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drawings/drawing1.xml" ContentType="application/vnd.openxmlformats-officedocument.drawing+xml"/>
  <Override PartName="/xl/worksheets/sheet13.xml" ContentType="application/vnd.openxmlformats-officedocument.spreadsheetml.worksheet+xml"/>
  <Override PartName="/xl/drawings/drawing2.xml" ContentType="application/vnd.openxmlformats-officedocument.drawing+xml"/>
  <Override PartName="/xl/worksheets/sheet14.xml" ContentType="application/vnd.openxmlformats-officedocument.spreadsheetml.worksheet+xml"/>
  <Override PartName="/xl/drawings/drawing3.xml" ContentType="application/vnd.openxmlformats-officedocument.drawing+xml"/>
  <Override PartName="/xl/worksheets/sheet15.xml" ContentType="application/vnd.openxmlformats-officedocument.spreadsheetml.worksheet+xml"/>
  <Override PartName="/xl/drawings/drawing4.xml" ContentType="application/vnd.openxmlformats-officedocument.drawing+xml"/>
  <Override PartName="/xl/worksheets/sheet16.xml" ContentType="application/vnd.openxmlformats-officedocument.spreadsheetml.worksheet+xml"/>
  <Override PartName="/xl/drawings/drawing5.xml" ContentType="application/vnd.openxmlformats-officedocument.drawing+xml"/>
  <Override PartName="/xl/worksheets/sheet17.xml" ContentType="application/vnd.openxmlformats-officedocument.spreadsheetml.worksheet+xml"/>
  <Override PartName="/xl/worksheets/sheet18.xml" ContentType="application/vnd.openxmlformats-officedocument.spreadsheetml.worksheet+xml"/>
  <Override PartName="/xl/drawings/drawing6.xml" ContentType="application/vnd.openxmlformats-officedocument.drawing+xml"/>
  <Override PartName="/xl/worksheets/sheet19.xml" ContentType="application/vnd.openxmlformats-officedocument.spreadsheetml.worksheet+xml"/>
  <Override PartName="/xl/drawings/drawing7.xml" ContentType="application/vnd.openxmlformats-officedocument.drawing+xml"/>
  <Override PartName="/xl/worksheets/sheet20.xml" ContentType="application/vnd.openxmlformats-officedocument.spreadsheetml.worksheet+xml"/>
  <Override PartName="/xl/drawings/drawing8.xml" ContentType="application/vnd.openxmlformats-officedocument.drawing+xml"/>
  <Override PartName="/xl/worksheets/sheet21.xml" ContentType="application/vnd.openxmlformats-officedocument.spreadsheetml.worksheet+xml"/>
  <Override PartName="/xl/worksheets/sheet22.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456" tabRatio="600" firstSheet="10" activeTab="17" autoFilterDateGrouping="1"/>
  </bookViews>
  <sheets>
    <sheet xmlns:r="http://schemas.openxmlformats.org/officeDocument/2006/relationships" name="Profit &amp; Loss" sheetId="1" state="visible" r:id="rId1"/>
    <sheet xmlns:r="http://schemas.openxmlformats.org/officeDocument/2006/relationships" name="Quarters" sheetId="2" state="visible" r:id="rId2"/>
    <sheet xmlns:r="http://schemas.openxmlformats.org/officeDocument/2006/relationships" name="Balance Sheet" sheetId="3" state="visible" r:id="rId3"/>
    <sheet xmlns:r="http://schemas.openxmlformats.org/officeDocument/2006/relationships" name="Cash Flow" sheetId="4" state="visible" r:id="rId4"/>
    <sheet xmlns:r="http://schemas.openxmlformats.org/officeDocument/2006/relationships" name="Customization" sheetId="5" state="visible" r:id="rId5"/>
    <sheet xmlns:r="http://schemas.openxmlformats.org/officeDocument/2006/relationships" name="Common Size Statement" sheetId="6" state="visible" r:id="rId6"/>
    <sheet xmlns:r="http://schemas.openxmlformats.org/officeDocument/2006/relationships" name="Data Sheet" sheetId="7" state="visible" r:id="rId7"/>
    <sheet xmlns:r="http://schemas.openxmlformats.org/officeDocument/2006/relationships" name="Cash Flow Statement" sheetId="8" state="visible" r:id="rId8"/>
    <sheet xmlns:r="http://schemas.openxmlformats.org/officeDocument/2006/relationships" name="Historical FS" sheetId="9" state="visible" r:id="rId9"/>
    <sheet xmlns:r="http://schemas.openxmlformats.org/officeDocument/2006/relationships" name="Ratio Analysis" sheetId="10" state="visible" r:id="rId10"/>
    <sheet xmlns:r="http://schemas.openxmlformats.org/officeDocument/2006/relationships" name="Forecasting" sheetId="11" state="visible" r:id="rId11"/>
    <sheet xmlns:r="http://schemas.openxmlformats.org/officeDocument/2006/relationships" name="Rm" sheetId="12" state="visible" r:id="rId12"/>
    <sheet xmlns:r="http://schemas.openxmlformats.org/officeDocument/2006/relationships" name="Beta-Regression" sheetId="13" state="visible" r:id="rId13"/>
    <sheet xmlns:r="http://schemas.openxmlformats.org/officeDocument/2006/relationships" name="WACC" sheetId="14" state="visible" r:id="rId14"/>
    <sheet xmlns:r="http://schemas.openxmlformats.org/officeDocument/2006/relationships" name="Intrinsic Valuation" sheetId="15" state="visible" r:id="rId15"/>
    <sheet xmlns:r="http://schemas.openxmlformats.org/officeDocument/2006/relationships" name="DCF" sheetId="16" state="visible" r:id="rId16"/>
    <sheet xmlns:r="http://schemas.openxmlformats.org/officeDocument/2006/relationships" name="Raw Data" sheetId="17" state="visible" r:id="rId17"/>
    <sheet xmlns:r="http://schemas.openxmlformats.org/officeDocument/2006/relationships" name="Comp_Valuation" sheetId="18" state="visible" r:id="rId18"/>
    <sheet xmlns:r="http://schemas.openxmlformats.org/officeDocument/2006/relationships" name="Dupont Analysis" sheetId="19" state="visible" r:id="rId19"/>
    <sheet xmlns:r="http://schemas.openxmlformats.org/officeDocument/2006/relationships" name="Altman's Z Score" sheetId="20" state="visible" r:id="rId20"/>
    <sheet xmlns:r="http://schemas.openxmlformats.org/officeDocument/2006/relationships" name="Raw FS" sheetId="21" state="visible" r:id="rId21"/>
    <sheet xmlns:r="http://schemas.openxmlformats.org/officeDocument/2006/relationships" name="List of Stocks" sheetId="22" state="visible" r:id="rId22"/>
  </sheets>
  <externalReferences>
    <externalReference xmlns:r="http://schemas.openxmlformats.org/officeDocument/2006/relationships" r:id="rId23"/>
  </externalReferences>
  <definedNames>
    <definedName name="UPDATE">'Data Sheet'!$E$1</definedName>
    <definedName name="UPDATE" localSheetId="21">'[1]Data Sheet'!$E$1</definedName>
    <definedName name="_xlnm._FilterDatabase" localSheetId="21" hidden="1">'List of Stocks'!$B$2:$E$5442</definedName>
  </definedNames>
  <calcPr calcId="191029" fullCalcOnLoad="1"/>
</workbook>
</file>

<file path=xl/styles.xml><?xml version="1.0" encoding="utf-8"?>
<styleSheet xmlns="http://schemas.openxmlformats.org/spreadsheetml/2006/main">
  <numFmts count="10">
    <numFmt numFmtId="164" formatCode="_ * #,##0.00_ ;_ * \-#,##0.00_ ;_ * &quot;-&quot;??_ ;_ @_ "/>
    <numFmt numFmtId="165" formatCode="[$-409]mmm\-yy;@"/>
    <numFmt numFmtId="166" formatCode="yyyy\A"/>
    <numFmt numFmtId="167" formatCode="yyyy&quot;E&quot;"/>
    <numFmt numFmtId="168" formatCode="mmm/yy\A"/>
    <numFmt numFmtId="169" formatCode="mmm/yy\E"/>
    <numFmt numFmtId="170" formatCode="0.00\x"/>
    <numFmt numFmtId="171" formatCode="#,##0.00\x"/>
    <numFmt numFmtId="172" formatCode="&quot;₹&quot;\ #,##0.00;\(&quot;₹&quot;\ #,##0.0\);\-"/>
    <numFmt numFmtId="173" formatCode="0.00&quot;x&quot;"/>
  </numFmts>
  <fonts count="19">
    <font>
      <name val="Calibri"/>
      <family val="2"/>
      <color theme="1"/>
      <sz val="11"/>
      <scheme val="minor"/>
    </font>
    <font>
      <name val="Calibri"/>
      <family val="2"/>
      <b val="1"/>
      <color theme="1"/>
      <sz val="11"/>
      <scheme val="minor"/>
    </font>
    <font>
      <name val="Calibri"/>
      <family val="2"/>
      <b val="1"/>
      <color theme="0"/>
      <sz val="11"/>
      <scheme val="minor"/>
    </font>
    <font>
      <name val="Calibri"/>
      <family val="2"/>
      <color theme="1"/>
      <sz val="11"/>
      <scheme val="minor"/>
    </font>
    <font>
      <name val="Calibri"/>
      <family val="2"/>
      <color theme="10"/>
      <sz val="11"/>
      <u val="single"/>
    </font>
    <font>
      <name val="Calibri"/>
      <family val="2"/>
      <color theme="0"/>
      <sz val="11"/>
      <scheme val="minor"/>
    </font>
    <font>
      <name val="Calibri"/>
      <family val="2"/>
      <b val="1"/>
      <color theme="10"/>
      <sz val="11"/>
      <u val="single"/>
    </font>
    <font>
      <name val="Calibri"/>
      <family val="2"/>
      <b val="1"/>
      <color theme="1"/>
      <sz val="16"/>
      <scheme val="minor"/>
    </font>
    <font>
      <name val="Calibri"/>
      <family val="2"/>
      <b val="1"/>
      <color rgb="FFFF0000"/>
      <sz val="11"/>
      <scheme val="minor"/>
    </font>
    <font>
      <name val="Calibri"/>
      <family val="2"/>
      <sz val="11"/>
      <scheme val="minor"/>
    </font>
    <font>
      <name val="Calibri"/>
      <family val="2"/>
      <b val="1"/>
      <sz val="11"/>
      <scheme val="minor"/>
    </font>
    <font>
      <name val="Calibri"/>
      <family val="2"/>
      <i val="1"/>
      <color theme="1"/>
      <sz val="9"/>
      <scheme val="minor"/>
    </font>
    <font>
      <name val="Calibri"/>
      <family val="2"/>
      <b val="1"/>
      <color rgb="FF002060"/>
      <sz val="18"/>
      <scheme val="minor"/>
    </font>
    <font>
      <name val="Calibri"/>
      <family val="2"/>
      <b val="1"/>
      <color rgb="FF002060"/>
      <sz val="22"/>
      <scheme val="minor"/>
    </font>
    <font>
      <name val="Calibri"/>
      <family val="2"/>
      <b val="1"/>
      <color rgb="FF002060"/>
      <sz val="16"/>
      <scheme val="minor"/>
    </font>
    <font>
      <name val="Calibri"/>
      <family val="2"/>
      <b val="1"/>
      <color rgb="FF002060"/>
      <sz val="14"/>
      <scheme val="minor"/>
    </font>
    <font>
      <name val="Calibri"/>
      <family val="2"/>
      <color theme="0" tint="-0.3499862666707358"/>
      <sz val="11"/>
      <scheme val="minor"/>
    </font>
    <font>
      <name val="Calibri"/>
      <family val="2"/>
      <color rgb="FF39639D"/>
      <sz val="11"/>
      <scheme val="minor"/>
    </font>
    <font>
      <name val="Calibri"/>
      <family val="2"/>
      <i val="1"/>
      <color theme="1"/>
      <sz val="11"/>
      <scheme val="minor"/>
    </font>
  </fonts>
  <fills count="14">
    <fill>
      <patternFill/>
    </fill>
    <fill>
      <patternFill patternType="gray125"/>
    </fill>
    <fill>
      <patternFill patternType="solid">
        <fgColor theme="4" tint="0.3999755851924192"/>
        <bgColor indexed="65"/>
      </patternFill>
    </fill>
    <fill>
      <patternFill patternType="solid">
        <fgColor theme="6" tint="0.3999755851924192"/>
        <bgColor indexed="65"/>
      </patternFill>
    </fill>
    <fill>
      <patternFill patternType="solid">
        <fgColor theme="9"/>
      </patternFill>
    </fill>
    <fill>
      <patternFill patternType="solid">
        <fgColor rgb="FF0275D8"/>
        <bgColor indexed="64"/>
      </patternFill>
    </fill>
    <fill>
      <patternFill patternType="solid">
        <fgColor rgb="FF002060"/>
        <bgColor indexed="64"/>
      </patternFill>
    </fill>
    <fill>
      <patternFill patternType="solid">
        <fgColor theme="0" tint="-0.0499893185216834"/>
        <bgColor indexed="64"/>
      </patternFill>
    </fill>
    <fill>
      <patternFill patternType="solid">
        <fgColor theme="0"/>
        <bgColor indexed="64"/>
      </patternFill>
    </fill>
    <fill>
      <patternFill patternType="solid">
        <fgColor theme="2" tint="-0.249977111117893"/>
        <bgColor indexed="64"/>
      </patternFill>
    </fill>
    <fill>
      <patternFill patternType="solid">
        <fgColor theme="0" tint="-0.1499984740745262"/>
        <bgColor indexed="64"/>
      </patternFill>
    </fill>
    <fill>
      <patternFill patternType="solid">
        <fgColor rgb="FF14196B"/>
        <bgColor indexed="64"/>
      </patternFill>
    </fill>
    <fill>
      <patternFill patternType="solid">
        <fgColor theme="7" tint="0.5999938962981048"/>
        <bgColor indexed="64"/>
      </patternFill>
    </fill>
    <fill>
      <patternFill patternType="solid">
        <fgColor theme="4" tint="0.7999816888943144"/>
        <bgColor indexed="64"/>
      </patternFill>
    </fill>
  </fills>
  <borders count="14">
    <border>
      <left/>
      <right/>
      <top/>
      <bottom/>
      <diagonal/>
    </border>
    <border>
      <left/>
      <right/>
      <top/>
      <bottom style="thin">
        <color auto="1"/>
      </bottom>
      <diagonal/>
    </border>
    <border>
      <left/>
      <right/>
      <top style="thin">
        <color rgb="FF002060"/>
      </top>
      <bottom style="thin">
        <color rgb="FF002060"/>
      </bottom>
      <diagonal/>
    </border>
    <border>
      <left/>
      <right/>
      <top style="thin">
        <color rgb="FF002060"/>
      </top>
      <bottom/>
      <diagonal/>
    </border>
    <border>
      <left/>
      <right/>
      <top/>
      <bottom style="thin">
        <color rgb="FF002060"/>
      </bottom>
      <diagonal/>
    </border>
    <border>
      <left/>
      <right/>
      <top style="thin">
        <color auto="1"/>
      </top>
      <bottom/>
      <diagonal/>
    </border>
    <border>
      <left/>
      <right/>
      <top style="dotted">
        <color rgb="FF002060"/>
      </top>
      <bottom/>
      <diagonal/>
    </border>
    <border>
      <left/>
      <right/>
      <top style="thin">
        <color rgb="FF002060"/>
      </top>
      <bottom style="medium">
        <color rgb="FF002060"/>
      </bottom>
      <diagonal/>
    </border>
    <border>
      <left/>
      <right/>
      <top/>
      <bottom style="thin">
        <color theme="0"/>
      </bottom>
      <diagonal/>
    </border>
    <border>
      <left style="medium">
        <color rgb="FFCCCCCC"/>
      </left>
      <right style="medium">
        <color rgb="FFCCCCCC"/>
      </right>
      <top style="medium">
        <color rgb="FFCCCCCC"/>
      </top>
      <bottom style="medium">
        <color rgb="FFCCCCCC"/>
      </bottom>
      <diagonal/>
    </border>
    <border>
      <left/>
      <right/>
      <top style="medium">
        <color rgb="FF002060"/>
      </top>
      <bottom/>
      <diagonal/>
    </border>
    <border>
      <left/>
      <right/>
      <top style="thick">
        <color rgb="FF002060"/>
      </top>
      <bottom/>
      <diagonal/>
    </border>
    <border>
      <left/>
      <right/>
      <top style="medium">
        <color rgb="FF002060"/>
      </top>
      <bottom style="medium">
        <color rgb="FF002060"/>
      </bottom>
      <diagonal/>
    </border>
    <border>
      <left/>
      <right/>
      <top style="dashed">
        <color rgb="FF002060"/>
      </top>
      <bottom style="dashed">
        <color rgb="FF002060"/>
      </bottom>
      <diagonal/>
    </border>
  </borders>
  <cellStyleXfs count="7">
    <xf numFmtId="0" fontId="3" fillId="0" borderId="0"/>
    <xf numFmtId="43" fontId="3" fillId="0" borderId="0"/>
    <xf numFmtId="0" fontId="4" fillId="0" borderId="0" applyAlignment="1" applyProtection="1">
      <alignment vertical="top"/>
      <protection locked="0" hidden="0"/>
    </xf>
    <xf numFmtId="0" fontId="5" fillId="2" borderId="0"/>
    <xf numFmtId="0" fontId="5" fillId="3" borderId="0"/>
    <xf numFmtId="0" fontId="5" fillId="4" borderId="0"/>
    <xf numFmtId="9" fontId="3" fillId="0" borderId="0"/>
  </cellStyleXfs>
  <cellXfs count="185">
    <xf numFmtId="0" fontId="0" fillId="0" borderId="0" pivotButton="0" quotePrefix="0" xfId="0"/>
    <xf numFmtId="164" fontId="1" fillId="0" borderId="0" pivotButton="0" quotePrefix="0" xfId="1"/>
    <xf numFmtId="0" fontId="1" fillId="0" borderId="0" pivotButton="0" quotePrefix="0" xfId="0"/>
    <xf numFmtId="0" fontId="8" fillId="0" borderId="0" pivotButton="0" quotePrefix="0" xfId="0"/>
    <xf numFmtId="0" fontId="1" fillId="0" borderId="0" pivotButton="0" quotePrefix="0" xfId="0"/>
    <xf numFmtId="164" fontId="0" fillId="0" borderId="0" pivotButton="0" quotePrefix="0" xfId="1"/>
    <xf numFmtId="0" fontId="0" fillId="0" borderId="0" pivotButton="0" quotePrefix="0" xfId="0"/>
    <xf numFmtId="10" fontId="0" fillId="0" borderId="0" pivotButton="0" quotePrefix="0" xfId="0"/>
    <xf numFmtId="0" fontId="1" fillId="0" borderId="0" pivotButton="0" quotePrefix="0" xfId="0"/>
    <xf numFmtId="164" fontId="3" fillId="0" borderId="0" pivotButton="0" quotePrefix="0" xfId="1"/>
    <xf numFmtId="9" fontId="3" fillId="0" borderId="0" pivotButton="0" quotePrefix="0" xfId="1"/>
    <xf numFmtId="0" fontId="0" fillId="0" borderId="0" pivotButton="0" quotePrefix="0" xfId="0"/>
    <xf numFmtId="164" fontId="2" fillId="2" borderId="0" pivotButton="0" quotePrefix="0" xfId="3"/>
    <xf numFmtId="164" fontId="2" fillId="3" borderId="0" pivotButton="0" quotePrefix="0" xfId="4"/>
    <xf numFmtId="9" fontId="1" fillId="0" borderId="0" pivotButton="0" quotePrefix="0" xfId="6"/>
    <xf numFmtId="0" fontId="2" fillId="5" borderId="0" pivotButton="0" quotePrefix="0" xfId="0"/>
    <xf numFmtId="165" fontId="2" fillId="5" borderId="0" applyAlignment="1" pivotButton="0" quotePrefix="0" xfId="0">
      <alignment horizontal="center"/>
    </xf>
    <xf numFmtId="0" fontId="2" fillId="5" borderId="0" applyAlignment="1" pivotButton="0" quotePrefix="0" xfId="0">
      <alignment horizontal="center"/>
    </xf>
    <xf numFmtId="0" fontId="0" fillId="0" borderId="0" pivotButton="0" quotePrefix="0" xfId="0"/>
    <xf numFmtId="164" fontId="0" fillId="0" borderId="0" applyAlignment="1" pivotButton="0" quotePrefix="0" xfId="1">
      <alignment horizontal="center"/>
    </xf>
    <xf numFmtId="164" fontId="1" fillId="0" borderId="0" applyAlignment="1" pivotButton="0" quotePrefix="0" xfId="1">
      <alignment horizontal="center"/>
    </xf>
    <xf numFmtId="164" fontId="0" fillId="0" borderId="0" pivotButton="0" quotePrefix="0" xfId="1"/>
    <xf numFmtId="10" fontId="1" fillId="0" borderId="0" pivotButton="0" quotePrefix="0" xfId="0"/>
    <xf numFmtId="165" fontId="2" fillId="5" borderId="0" pivotButton="0" quotePrefix="0" xfId="1"/>
    <xf numFmtId="165" fontId="9" fillId="0" borderId="0" pivotButton="0" quotePrefix="0" xfId="1"/>
    <xf numFmtId="0" fontId="7" fillId="0" borderId="0" pivotButton="0" quotePrefix="0" xfId="0"/>
    <xf numFmtId="0" fontId="0" fillId="0" borderId="0" applyAlignment="1" pivotButton="0" quotePrefix="0" xfId="0">
      <alignment horizontal="left"/>
    </xf>
    <xf numFmtId="0" fontId="6" fillId="0" borderId="0" applyAlignment="1" pivotButton="0" quotePrefix="0" xfId="2">
      <alignment horizontal="left"/>
    </xf>
    <xf numFmtId="0" fontId="6" fillId="0" borderId="0" pivotButton="0" quotePrefix="0" xfId="2"/>
    <xf numFmtId="0" fontId="0" fillId="0" borderId="0" pivotButton="0" quotePrefix="0" xfId="0"/>
    <xf numFmtId="0" fontId="9" fillId="0" borderId="0" pivotButton="0" quotePrefix="0" xfId="0"/>
    <xf numFmtId="43" fontId="0" fillId="0" borderId="0" pivotButton="0" quotePrefix="0" xfId="1"/>
    <xf numFmtId="0" fontId="2" fillId="6" borderId="0" pivotButton="0" quotePrefix="0" xfId="0"/>
    <xf numFmtId="164" fontId="0" fillId="0" borderId="0" pivotButton="0" quotePrefix="0" xfId="0"/>
    <xf numFmtId="15" fontId="0" fillId="0" borderId="0" pivotButton="0" quotePrefix="0" xfId="0"/>
    <xf numFmtId="17" fontId="0" fillId="0" borderId="0" pivotButton="0" quotePrefix="0" xfId="0"/>
    <xf numFmtId="10" fontId="0" fillId="0" borderId="0" pivotButton="0" quotePrefix="0" xfId="6"/>
    <xf numFmtId="0" fontId="1" fillId="0" borderId="0" pivotButton="0" quotePrefix="0" xfId="0"/>
    <xf numFmtId="17" fontId="1" fillId="0" borderId="0" pivotButton="0" quotePrefix="0" xfId="0"/>
    <xf numFmtId="0" fontId="0" fillId="6" borderId="0" pivotButton="0" quotePrefix="0" xfId="0"/>
    <xf numFmtId="17" fontId="2" fillId="6" borderId="0" pivotButton="0" quotePrefix="0" xfId="0"/>
    <xf numFmtId="0" fontId="2" fillId="6" borderId="0" pivotButton="0" quotePrefix="0" xfId="0"/>
    <xf numFmtId="0" fontId="2" fillId="8" borderId="0" pivotButton="0" quotePrefix="0" xfId="0"/>
    <xf numFmtId="0" fontId="2" fillId="8" borderId="0" pivotButton="0" quotePrefix="0" xfId="0"/>
    <xf numFmtId="0" fontId="10" fillId="9" borderId="0" pivotButton="0" quotePrefix="0" xfId="0"/>
    <xf numFmtId="0" fontId="0" fillId="0" borderId="0" applyAlignment="1" pivotButton="0" quotePrefix="0" xfId="0">
      <alignment horizontal="center"/>
    </xf>
    <xf numFmtId="10" fontId="0" fillId="0" borderId="0" pivotButton="0" quotePrefix="0" xfId="0"/>
    <xf numFmtId="2" fontId="0" fillId="0" borderId="0" pivotButton="0" quotePrefix="0" xfId="0"/>
    <xf numFmtId="3" fontId="0" fillId="0" borderId="0" pivotButton="0" quotePrefix="0" xfId="0"/>
    <xf numFmtId="0" fontId="1" fillId="0" borderId="1" pivotButton="0" quotePrefix="0" xfId="0"/>
    <xf numFmtId="17" fontId="1" fillId="0" borderId="1" pivotButton="0" quotePrefix="0" xfId="0"/>
    <xf numFmtId="17" fontId="1" fillId="0" borderId="0" pivotButton="0" quotePrefix="0" xfId="0"/>
    <xf numFmtId="0" fontId="11" fillId="0" borderId="0" pivotButton="0" quotePrefix="0" xfId="0"/>
    <xf numFmtId="0" fontId="0" fillId="0" borderId="1" pivotButton="0" quotePrefix="0" xfId="0"/>
    <xf numFmtId="166" fontId="0" fillId="0" borderId="0" pivotButton="0" quotePrefix="0" xfId="0"/>
    <xf numFmtId="167" fontId="0" fillId="0" borderId="0" pivotButton="0" quotePrefix="0" xfId="0"/>
    <xf numFmtId="10" fontId="0" fillId="0" borderId="0" applyAlignment="1" pivotButton="0" quotePrefix="0" xfId="6">
      <alignment horizontal="center"/>
    </xf>
    <xf numFmtId="0" fontId="0" fillId="0" borderId="3" pivotButton="0" quotePrefix="0" xfId="0"/>
    <xf numFmtId="0" fontId="0" fillId="0" borderId="4" pivotButton="0" quotePrefix="0" xfId="0"/>
    <xf numFmtId="0" fontId="0" fillId="0" borderId="4" applyAlignment="1" pivotButton="0" quotePrefix="0" xfId="0">
      <alignment horizontal="center" wrapText="1"/>
    </xf>
    <xf numFmtId="0" fontId="0" fillId="0" borderId="5" pivotButton="0" quotePrefix="0" xfId="0"/>
    <xf numFmtId="0" fontId="0" fillId="0" borderId="1" pivotButton="0" quotePrefix="0" xfId="0"/>
    <xf numFmtId="10" fontId="0" fillId="0" borderId="5" pivotButton="0" quotePrefix="0" xfId="0"/>
    <xf numFmtId="10" fontId="0" fillId="0" borderId="5" pivotButton="0" quotePrefix="0" xfId="6"/>
    <xf numFmtId="0" fontId="0" fillId="0" borderId="6" pivotButton="0" quotePrefix="0" xfId="0"/>
    <xf numFmtId="10" fontId="0" fillId="7" borderId="0" pivotButton="0" quotePrefix="0" xfId="6"/>
    <xf numFmtId="10" fontId="0" fillId="7" borderId="6" pivotButton="0" quotePrefix="0" xfId="6"/>
    <xf numFmtId="0" fontId="1" fillId="0" borderId="6" pivotButton="0" quotePrefix="0" xfId="0"/>
    <xf numFmtId="0" fontId="1" fillId="0" borderId="4" pivotButton="0" quotePrefix="0" xfId="0"/>
    <xf numFmtId="10" fontId="0" fillId="0" borderId="3" pivotButton="0" quotePrefix="0" xfId="0"/>
    <xf numFmtId="10" fontId="0" fillId="0" borderId="4" pivotButton="0" quotePrefix="0" xfId="0"/>
    <xf numFmtId="3" fontId="0" fillId="0" borderId="3" pivotButton="0" quotePrefix="0" xfId="0"/>
    <xf numFmtId="0" fontId="0" fillId="0" borderId="2" pivotButton="0" quotePrefix="0" xfId="0"/>
    <xf numFmtId="3" fontId="0" fillId="0" borderId="0" pivotButton="0" quotePrefix="0" xfId="0"/>
    <xf numFmtId="0" fontId="0" fillId="0" borderId="7" pivotButton="0" quotePrefix="0" xfId="0"/>
    <xf numFmtId="9" fontId="0" fillId="0" borderId="0" pivotButton="0" quotePrefix="0" xfId="0"/>
    <xf numFmtId="2" fontId="0" fillId="0" borderId="0" pivotButton="0" quotePrefix="0" xfId="6"/>
    <xf numFmtId="168" fontId="2" fillId="6" borderId="0" pivotButton="0" quotePrefix="0" xfId="0"/>
    <xf numFmtId="169" fontId="2" fillId="6" borderId="0" pivotButton="0" quotePrefix="0" xfId="0"/>
    <xf numFmtId="0" fontId="0" fillId="10" borderId="0" pivotButton="0" quotePrefix="0" xfId="0"/>
    <xf numFmtId="10" fontId="0" fillId="10" borderId="0" pivotButton="0" quotePrefix="0" xfId="0"/>
    <xf numFmtId="10" fontId="0" fillId="0" borderId="2" pivotButton="0" quotePrefix="0" xfId="0"/>
    <xf numFmtId="0" fontId="0" fillId="0" borderId="2" applyAlignment="1" pivotButton="0" quotePrefix="0" xfId="0">
      <alignment horizontal="center"/>
    </xf>
    <xf numFmtId="170" fontId="0" fillId="0" borderId="0" pivotButton="0" quotePrefix="0" xfId="0"/>
    <xf numFmtId="0" fontId="2" fillId="6" borderId="0" pivotButton="0" quotePrefix="0" xfId="0"/>
    <xf numFmtId="0" fontId="2" fillId="6" borderId="0" applyAlignment="1" pivotButton="0" quotePrefix="0" xfId="0">
      <alignment horizontal="center" wrapText="1"/>
    </xf>
    <xf numFmtId="170" fontId="0" fillId="10" borderId="0" pivotButton="0" quotePrefix="0" xfId="0"/>
    <xf numFmtId="171" fontId="0" fillId="10" borderId="0" pivotButton="0" quotePrefix="0" xfId="0"/>
    <xf numFmtId="0" fontId="0" fillId="11" borderId="0" pivotButton="0" quotePrefix="0" xfId="0"/>
    <xf numFmtId="0" fontId="1" fillId="12" borderId="0" pivotButton="0" quotePrefix="0" xfId="0"/>
    <xf numFmtId="10" fontId="1" fillId="12" borderId="0" pivotButton="0" quotePrefix="0" xfId="6"/>
    <xf numFmtId="10" fontId="1" fillId="12" borderId="0" pivotButton="0" quotePrefix="0" xfId="0"/>
    <xf numFmtId="0" fontId="12" fillId="0" borderId="0" pivotButton="0" quotePrefix="0" xfId="0"/>
    <xf numFmtId="0" fontId="0" fillId="8" borderId="0" pivotButton="0" quotePrefix="0" xfId="0"/>
    <xf numFmtId="164" fontId="13" fillId="8" borderId="0" pivotButton="0" quotePrefix="0" xfId="0"/>
    <xf numFmtId="0" fontId="1" fillId="0" borderId="9" applyAlignment="1" pivotButton="0" quotePrefix="0" xfId="0">
      <alignment wrapText="1"/>
    </xf>
    <xf numFmtId="0" fontId="0" fillId="0" borderId="9" applyAlignment="1" pivotButton="0" quotePrefix="0" xfId="0">
      <alignment wrapText="1"/>
    </xf>
    <xf numFmtId="0" fontId="0" fillId="0" borderId="9" applyAlignment="1" pivotButton="0" quotePrefix="0" xfId="0">
      <alignment horizontal="right" wrapText="1"/>
    </xf>
    <xf numFmtId="0" fontId="14" fillId="8" borderId="0" pivotButton="0" quotePrefix="0" xfId="0"/>
    <xf numFmtId="0" fontId="14" fillId="0" borderId="0" pivotButton="0" quotePrefix="0" xfId="0"/>
    <xf numFmtId="170" fontId="1" fillId="12" borderId="0" pivotButton="0" quotePrefix="0" xfId="0"/>
    <xf numFmtId="0" fontId="15" fillId="0" borderId="0" pivotButton="0" quotePrefix="0" xfId="0"/>
    <xf numFmtId="0" fontId="1" fillId="8" borderId="0" pivotButton="0" quotePrefix="0" xfId="0"/>
    <xf numFmtId="10" fontId="1" fillId="8" borderId="0" pivotButton="0" quotePrefix="0" xfId="6"/>
    <xf numFmtId="17" fontId="1" fillId="8" borderId="0" pivotButton="0" quotePrefix="0" xfId="0"/>
    <xf numFmtId="10" fontId="1" fillId="8" borderId="0" pivotButton="0" quotePrefix="0" xfId="0"/>
    <xf numFmtId="172" fontId="0" fillId="0" borderId="0" pivotButton="0" quotePrefix="0" xfId="0"/>
    <xf numFmtId="172" fontId="0" fillId="0" borderId="0" pivotButton="0" quotePrefix="0" xfId="0"/>
    <xf numFmtId="0" fontId="0" fillId="0" borderId="0" pivotButton="0" quotePrefix="0" xfId="0"/>
    <xf numFmtId="0" fontId="0" fillId="0" borderId="0" pivotButton="0" quotePrefix="0" xfId="0"/>
    <xf numFmtId="0" fontId="16" fillId="0" borderId="0" applyAlignment="1" pivotButton="0" quotePrefix="0" xfId="0">
      <alignment horizontal="center"/>
    </xf>
    <xf numFmtId="10" fontId="16" fillId="0" borderId="0" applyAlignment="1" pivotButton="0" quotePrefix="0" xfId="6">
      <alignment horizontal="center"/>
    </xf>
    <xf numFmtId="10" fontId="16" fillId="0" borderId="0" pivotButton="0" quotePrefix="0" xfId="6"/>
    <xf numFmtId="164" fontId="1" fillId="0" borderId="0" pivotButton="0" quotePrefix="0" xfId="0"/>
    <xf numFmtId="10" fontId="1" fillId="0" borderId="0" pivotButton="0" quotePrefix="0" xfId="6"/>
    <xf numFmtId="10" fontId="0" fillId="7" borderId="0" pivotButton="0" quotePrefix="0" xfId="0"/>
    <xf numFmtId="0" fontId="0" fillId="7" borderId="0" pivotButton="0" quotePrefix="0" xfId="0"/>
    <xf numFmtId="0" fontId="1" fillId="13" borderId="0" pivotButton="0" quotePrefix="0" xfId="0"/>
    <xf numFmtId="0" fontId="0" fillId="13" borderId="0" pivotButton="0" quotePrefix="0" xfId="0"/>
    <xf numFmtId="0" fontId="17" fillId="0" borderId="0" pivotButton="0" quotePrefix="0" xfId="0"/>
    <xf numFmtId="10" fontId="17" fillId="0" borderId="0" pivotButton="0" quotePrefix="0" xfId="6"/>
    <xf numFmtId="10" fontId="17" fillId="0" borderId="0" pivotButton="0" quotePrefix="0" xfId="0"/>
    <xf numFmtId="0" fontId="1" fillId="0" borderId="3" pivotButton="0" quotePrefix="0" xfId="0"/>
    <xf numFmtId="0" fontId="0" fillId="0" borderId="4" applyAlignment="1" pivotButton="0" quotePrefix="0" xfId="0">
      <alignment horizontal="right"/>
    </xf>
    <xf numFmtId="172" fontId="17" fillId="0" borderId="0" pivotButton="0" quotePrefix="0" xfId="0"/>
    <xf numFmtId="172" fontId="0" fillId="0" borderId="5" pivotButton="0" quotePrefix="0" xfId="0"/>
    <xf numFmtId="2" fontId="0" fillId="7" borderId="6" pivotButton="0" quotePrefix="0" xfId="0"/>
    <xf numFmtId="0" fontId="1" fillId="0" borderId="7" pivotButton="0" quotePrefix="0" xfId="0"/>
    <xf numFmtId="172" fontId="1" fillId="0" borderId="7" pivotButton="0" quotePrefix="0" xfId="0"/>
    <xf numFmtId="172" fontId="1" fillId="0" borderId="0" pivotButton="0" quotePrefix="0" xfId="0"/>
    <xf numFmtId="172" fontId="0" fillId="0" borderId="2" pivotButton="0" quotePrefix="0" xfId="0"/>
    <xf numFmtId="172" fontId="0" fillId="0" borderId="7" pivotButton="0" quotePrefix="0" xfId="0"/>
    <xf numFmtId="172" fontId="0" fillId="0" borderId="2" applyAlignment="1" pivotButton="0" quotePrefix="0" xfId="0">
      <alignment horizontal="center"/>
    </xf>
    <xf numFmtId="172" fontId="0" fillId="0" borderId="2" pivotButton="0" quotePrefix="0" xfId="6"/>
    <xf numFmtId="10" fontId="0" fillId="0" borderId="2" pivotButton="0" quotePrefix="0" xfId="6"/>
    <xf numFmtId="10" fontId="0" fillId="0" borderId="7" pivotButton="0" quotePrefix="0" xfId="0"/>
    <xf numFmtId="172" fontId="1" fillId="0" borderId="3" pivotButton="0" quotePrefix="0" xfId="0"/>
    <xf numFmtId="0" fontId="1" fillId="0" borderId="10" pivotButton="0" quotePrefix="0" xfId="0"/>
    <xf numFmtId="172" fontId="1" fillId="0" borderId="10" pivotButton="0" quotePrefix="0" xfId="0"/>
    <xf numFmtId="0" fontId="1" fillId="0" borderId="11" pivotButton="0" quotePrefix="0" xfId="0"/>
    <xf numFmtId="172" fontId="1" fillId="0" borderId="11" pivotButton="0" quotePrefix="0" xfId="0"/>
    <xf numFmtId="0" fontId="1" fillId="0" borderId="12" pivotButton="0" quotePrefix="0" xfId="0"/>
    <xf numFmtId="172" fontId="1" fillId="0" borderId="12" pivotButton="0" quotePrefix="0" xfId="0"/>
    <xf numFmtId="10" fontId="1" fillId="0" borderId="7" pivotButton="0" quotePrefix="0" xfId="6"/>
    <xf numFmtId="10" fontId="1" fillId="0" borderId="12" pivotButton="0" quotePrefix="0" xfId="6"/>
    <xf numFmtId="0" fontId="1" fillId="0" borderId="2" pivotButton="0" quotePrefix="0" xfId="0"/>
    <xf numFmtId="172" fontId="1" fillId="0" borderId="2" pivotButton="0" quotePrefix="0" xfId="0"/>
    <xf numFmtId="0" fontId="1" fillId="0" borderId="7" applyAlignment="1" pivotButton="0" quotePrefix="0" xfId="0">
      <alignment horizontal="center"/>
    </xf>
    <xf numFmtId="0" fontId="18" fillId="0" borderId="4" pivotButton="0" quotePrefix="0" xfId="0"/>
    <xf numFmtId="0" fontId="18" fillId="0" borderId="0" pivotButton="0" quotePrefix="0" xfId="0"/>
    <xf numFmtId="0" fontId="0" fillId="0" borderId="13" pivotButton="0" quotePrefix="0" xfId="0"/>
    <xf numFmtId="170" fontId="0" fillId="0" borderId="13" pivotButton="0" quotePrefix="0" xfId="0"/>
    <xf numFmtId="0" fontId="1" fillId="10" borderId="0" pivotButton="0" quotePrefix="0" xfId="0"/>
    <xf numFmtId="170" fontId="1" fillId="10" borderId="0" pivotButton="0" quotePrefix="0" xfId="0"/>
    <xf numFmtId="171" fontId="1" fillId="12" borderId="0" pivotButton="0" quotePrefix="0" xfId="0"/>
    <xf numFmtId="172" fontId="0" fillId="0" borderId="13" pivotButton="0" quotePrefix="0" xfId="0"/>
    <xf numFmtId="172" fontId="0" fillId="8" borderId="0" pivotButton="0" quotePrefix="0" xfId="0"/>
    <xf numFmtId="172" fontId="1" fillId="10" borderId="0" pivotButton="0" quotePrefix="0" xfId="0"/>
    <xf numFmtId="173" fontId="0" fillId="0" borderId="0" pivotButton="0" quotePrefix="0" xfId="0"/>
    <xf numFmtId="1" fontId="0" fillId="0" borderId="0" pivotButton="0" quotePrefix="0" xfId="0"/>
    <xf numFmtId="0" fontId="2" fillId="6" borderId="0" applyAlignment="1" pivotButton="0" quotePrefix="0" xfId="0">
      <alignment horizontal="center"/>
    </xf>
    <xf numFmtId="164" fontId="4" fillId="0" borderId="0" applyAlignment="1" pivotButton="0" quotePrefix="0" xfId="2">
      <alignment horizontal="center"/>
    </xf>
    <xf numFmtId="164" fontId="2" fillId="4" borderId="0" applyAlignment="1" pivotButton="0" quotePrefix="0" xfId="5">
      <alignment horizontal="center"/>
    </xf>
    <xf numFmtId="0" fontId="0" fillId="0" borderId="0" applyAlignment="1" pivotButton="0" quotePrefix="0" xfId="0">
      <alignment horizontal="center"/>
    </xf>
    <xf numFmtId="0" fontId="0" fillId="0" borderId="3" applyAlignment="1" pivotButton="0" quotePrefix="0" xfId="0">
      <alignment horizontal="center" wrapText="1"/>
    </xf>
    <xf numFmtId="0" fontId="0" fillId="0" borderId="4" applyAlignment="1" pivotButton="0" quotePrefix="0" xfId="0">
      <alignment horizontal="center" wrapText="1"/>
    </xf>
    <xf numFmtId="0" fontId="2" fillId="6" borderId="8" applyAlignment="1" pivotButton="0" quotePrefix="0" xfId="0">
      <alignment horizontal="center"/>
    </xf>
    <xf numFmtId="0" fontId="0" fillId="0" borderId="0" applyAlignment="1" pivotButton="0" quotePrefix="0" xfId="0">
      <alignment horizontal="left" wrapText="1"/>
    </xf>
    <xf numFmtId="0" fontId="0" fillId="0" borderId="0" applyAlignment="1" pivotButton="0" quotePrefix="0" xfId="0">
      <alignment horizontal="center" wrapText="1"/>
    </xf>
    <xf numFmtId="0" fontId="2" fillId="8" borderId="0" applyAlignment="1" pivotButton="0" quotePrefix="0" xfId="0">
      <alignment horizontal="center"/>
    </xf>
    <xf numFmtId="164" fontId="1" fillId="0" borderId="0" pivotButton="0" quotePrefix="0" xfId="1"/>
    <xf numFmtId="164" fontId="3" fillId="0" borderId="0" pivotButton="0" quotePrefix="0" xfId="1"/>
    <xf numFmtId="164" fontId="2" fillId="2" borderId="0" pivotButton="0" quotePrefix="0" xfId="3"/>
    <xf numFmtId="164" fontId="2" fillId="3" borderId="0" pivotButton="0" quotePrefix="0" xfId="4"/>
    <xf numFmtId="164" fontId="0" fillId="0" borderId="0" applyAlignment="1" pivotButton="0" quotePrefix="0" xfId="1">
      <alignment horizontal="center"/>
    </xf>
    <xf numFmtId="164" fontId="1" fillId="0" borderId="0" applyAlignment="1" pivotButton="0" quotePrefix="0" xfId="1">
      <alignment horizontal="center"/>
    </xf>
    <xf numFmtId="164" fontId="0" fillId="0" borderId="0" pivotButton="0" quotePrefix="0" xfId="1"/>
    <xf numFmtId="164" fontId="1" fillId="0" borderId="0" pivotButton="0" quotePrefix="0" xfId="0"/>
    <xf numFmtId="164" fontId="0" fillId="0" borderId="0" pivotButton="0" quotePrefix="0" xfId="0"/>
    <xf numFmtId="164" fontId="4" fillId="0" borderId="0" applyAlignment="1" pivotButton="0" quotePrefix="0" xfId="2">
      <alignment horizontal="center"/>
    </xf>
    <xf numFmtId="164" fontId="2" fillId="4" borderId="0" applyAlignment="1" pivotButton="0" quotePrefix="0" xfId="5">
      <alignment horizontal="center"/>
    </xf>
    <xf numFmtId="43" fontId="0" fillId="0" borderId="0" pivotButton="0" quotePrefix="0" xfId="1"/>
    <xf numFmtId="0" fontId="0" fillId="0" borderId="2" applyAlignment="1" pivotButton="0" quotePrefix="0" xfId="0">
      <alignment horizontal="center" wrapText="1"/>
    </xf>
    <xf numFmtId="0" fontId="0" fillId="0" borderId="8" pivotButton="0" quotePrefix="0" xfId="0"/>
    <xf numFmtId="164" fontId="13" fillId="8" borderId="0" pivotButton="0" quotePrefix="0" xfId="0"/>
  </cellXfs>
  <cellStyles count="7">
    <cellStyle name="Normal" xfId="0" builtinId="0"/>
    <cellStyle name="Comma" xfId="1" builtinId="3"/>
    <cellStyle name="Hyperlink" xfId="2" builtinId="8"/>
    <cellStyle name="60% - Accent1" xfId="3" builtinId="32"/>
    <cellStyle name="60% - Accent3" xfId="4" builtinId="40"/>
    <cellStyle name="Accent6" xfId="5" builtinId="49"/>
    <cellStyle name="Per cent" xfId="6" builtinId="5"/>
  </cellStyles>
  <dxfs count="31">
    <dxf>
      <font>
        <b val="1"/>
        <color theme="0"/>
      </font>
      <fill>
        <patternFill>
          <bgColor theme="5"/>
        </patternFill>
      </fill>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border outline="0">
        <left style="thin">
          <color theme="4"/>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style="thin">
          <color theme="4"/>
        </right>
        <top/>
        <bottom/>
      </border>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externalLink" Target="/xl/externalLinks/externalLink1.xml" Id="rId23"/><Relationship Type="http://schemas.openxmlformats.org/officeDocument/2006/relationships/styles" Target="styles.xml" Id="rId24"/><Relationship Type="http://schemas.openxmlformats.org/officeDocument/2006/relationships/theme" Target="theme/theme1.xml" Id="rId25"/></Relationships>
</file>

<file path=xl/charts/chart1.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Analysis'!$F$67:$I$67</f>
              <numCache>
                <formatCode>"₹"\ #,##0.00;\("₹"\ #,##0.0\);\-</formatCode>
                <ptCount val="4"/>
                <pt idx="0">
                  <v>70919.03</v>
                </pt>
                <pt idx="1">
                  <v>67931.94</v>
                </pt>
                <pt idx="2">
                  <v>75323.34</v>
                </pt>
                <pt idx="3">
                  <v>78868.39999999999</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2.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Analysis'!$F$66:$I$66</f>
              <numCache>
                <formatCode>"₹"\ #,##0.00;\("₹"\ #,##0.0\);\-</formatCode>
                <ptCount val="4"/>
                <pt idx="0">
                  <v>19191.66</v>
                </pt>
                <pt idx="1">
                  <v>20458.78</v>
                </pt>
                <pt idx="2">
                  <v>34746.63</v>
                </pt>
                <pt idx="3">
                  <v>20689.47</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3.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Analysis'!$F$71:$I$71</f>
              <numCache>
                <formatCode>"₹"\ #,##0.00;\("₹"\ #,##0.0\);\-</formatCode>
                <ptCount val="4"/>
                <pt idx="0">
                  <v>81513.49000000001</v>
                </pt>
                <pt idx="1">
                  <v>88792.465</v>
                </pt>
                <pt idx="2">
                  <v>89878.33499999999</v>
                </pt>
                <pt idx="3">
                  <v>90819.95</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4.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Analysis'!$F$67:$I$67</f>
              <numCache>
                <formatCode>"₹"\ #,##0.00;\("₹"\ #,##0.0\);\-</formatCode>
                <ptCount val="4"/>
                <pt idx="0">
                  <v>70919.03</v>
                </pt>
                <pt idx="1">
                  <v>67931.94</v>
                </pt>
                <pt idx="2">
                  <v>75323.34</v>
                </pt>
                <pt idx="3">
                  <v>78868.39999999999</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5.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'Dupont Analysis'!$F$59:$I$59</f>
              <numCache>
                <formatCode>mmm\-yy</formatCode>
                <ptCount val="4"/>
                <pt idx="0">
                  <v>45016</v>
                </pt>
                <pt idx="1">
                  <v>45382</v>
                </pt>
                <pt idx="2">
                  <v>45747</v>
                </pt>
                <pt idx="3">
                  <v>46112</v>
                </pt>
              </numCache>
            </numRef>
          </cat>
          <val>
            <numRef>
              <f>'Dupont Analysis'!$F$78:$I$78</f>
              <numCache>
                <formatCode>0.00%</formatCode>
                <ptCount val="4"/>
                <pt idx="0">
                  <v>0.2916425646734391</v>
                </pt>
                <pt idx="1">
                  <v>0.2848177384930461</v>
                </pt>
                <pt idx="2">
                  <v>0.4807989370199544</v>
                </pt>
                <pt idx="3">
                  <v>0.2903024365192702</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6.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Analysis'!$F$67:$I$67</f>
              <numCache>
                <formatCode>"₹"\ #,##0.00;\("₹"\ #,##0.0\);\-</formatCode>
                <ptCount val="4"/>
                <pt idx="0">
                  <v>70919.03</v>
                </pt>
                <pt idx="1">
                  <v>67931.94</v>
                </pt>
                <pt idx="2">
                  <v>75323.34</v>
                </pt>
                <pt idx="3">
                  <v>78868.39999999999</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7.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Analysis'!$F$67:$I$67</f>
              <numCache>
                <formatCode>"₹"\ #,##0.00;\("₹"\ #,##0.0\);\-</formatCode>
                <ptCount val="4"/>
                <pt idx="0">
                  <v>70919.03</v>
                </pt>
                <pt idx="1">
                  <v>67931.94</v>
                </pt>
                <pt idx="2">
                  <v>75323.34</v>
                </pt>
                <pt idx="3">
                  <v>78868.39999999999</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8.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Analysis'!$F$84:$I$84</f>
              <numCache>
                <formatCode>0.00%</formatCode>
                <ptCount val="4"/>
                <pt idx="0">
                  <v>0.235441520170465</v>
                </pt>
                <pt idx="1">
                  <v>0.2304112178888152</v>
                </pt>
                <pt idx="2">
                  <v>0.3865962804050609</v>
                </pt>
                <pt idx="3">
                  <v>0.2278075466899068</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9.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Analysis'!$F$76:$I$76</f>
              <numCache>
                <formatCode>0.00\x</formatCode>
                <ptCount val="4"/>
                <pt idx="0">
                  <v>1.238704899893117</v>
                </pt>
                <pt idx="1">
                  <v>1.236127915570867</v>
                </pt>
                <pt idx="2">
                  <v>1.243671916646977</v>
                </pt>
                <pt idx="3">
                  <v>1.274331955799655</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0.00\x"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0.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'Altman''s Z Score'!$F$64:$I$64</f>
              <numCache>
                <formatCode>mmm\-yy</formatCode>
                <ptCount val="4"/>
                <pt idx="0">
                  <v>45016</v>
                </pt>
                <pt idx="1">
                  <v>45382</v>
                </pt>
                <pt idx="2">
                  <v>45747</v>
                </pt>
                <pt idx="3">
                  <v>46112</v>
                </pt>
              </numCache>
            </numRef>
          </cat>
          <val>
            <numRef>
              <f>'Altman''s Z Score'!$F$66:$I$66</f>
              <numCache>
                <formatCode>"₹"\ #,##0.00;\("₹"\ #,##0.0\);\-</formatCode>
                <ptCount val="4"/>
                <pt idx="0">
                  <v>85830.96000000001</v>
                </pt>
                <pt idx="1">
                  <v>91753.97</v>
                </pt>
                <pt idx="2">
                  <v>88002.7</v>
                </pt>
                <pt idx="3">
                  <v>93637.2</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1.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'Altman''s Z Score'!$F$64:$I$64</f>
              <numCache>
                <formatCode>mmm\-yy</formatCode>
                <ptCount val="4"/>
                <pt idx="0">
                  <v>45016</v>
                </pt>
                <pt idx="1">
                  <v>45382</v>
                </pt>
                <pt idx="2">
                  <v>45747</v>
                </pt>
                <pt idx="3">
                  <v>46112</v>
                </pt>
              </numCache>
            </numRef>
          </cat>
          <val>
            <numRef>
              <f>'Altman''s Z Score'!$F$65:$I$65</f>
              <numCache>
                <formatCode>"₹"\ #,##0.00;\("₹"\ #,##0.0\);\-</formatCode>
                <ptCount val="4"/>
                <pt idx="0">
                  <v>67912.46000000001</v>
                </pt>
                <pt idx="1">
                  <v>73258.53</v>
                </pt>
                <pt idx="2">
                  <v>68778.64</v>
                </pt>
                <pt idx="3">
                  <v>71254.35000000001</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2.xml><?xml version="1.0" encoding="utf-8"?>
<chartSpace xmlns="http://schemas.openxmlformats.org/drawingml/2006/chart">
  <chart>
    <plotArea>
      <layout>
        <manualLayout>
          <layoutTarget val="inner"/>
          <xMode val="edge"/>
          <yMode val="edge"/>
          <wMode val="factor"/>
          <hMode val="factor"/>
          <x val="0.06047248210058417"/>
          <y val="0.1271287615036691"/>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'Altman''s Z Score'!$F$64:$I$64</f>
              <numCache>
                <formatCode>mmm\-yy</formatCode>
                <ptCount val="4"/>
                <pt idx="0">
                  <v>45016</v>
                </pt>
                <pt idx="1">
                  <v>45382</v>
                </pt>
                <pt idx="2">
                  <v>45747</v>
                </pt>
                <pt idx="3">
                  <v>46112</v>
                </pt>
              </numCache>
            </numRef>
          </cat>
          <val>
            <numRef>
              <f>'Altman''s Z Score'!$F$72:$I$72</f>
              <numCache>
                <formatCode>"₹"\ #,##0.00;\("₹"\ #,##0.0\);\-</formatCode>
                <ptCount val="4"/>
                <pt idx="0">
                  <v>85830.96000000001</v>
                </pt>
                <pt idx="1">
                  <v>91753.97</v>
                </pt>
                <pt idx="2">
                  <v>88002.7</v>
                </pt>
                <pt idx="3">
                  <v>93637.2</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3.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'Altman''s Z Score'!$F$64:$I$64</f>
              <numCache>
                <formatCode>mmm\-yy</formatCode>
                <ptCount val="4"/>
                <pt idx="0">
                  <v>45016</v>
                </pt>
                <pt idx="1">
                  <v>45382</v>
                </pt>
                <pt idx="2">
                  <v>45747</v>
                </pt>
                <pt idx="3">
                  <v>46112</v>
                </pt>
              </numCache>
            </numRef>
          </cat>
          <val>
            <numRef>
              <f>'Altman''s Z Score'!$F$66:$I$66</f>
              <numCache>
                <formatCode>"₹"\ #,##0.00;\("₹"\ #,##0.0\);\-</formatCode>
                <ptCount val="4"/>
                <pt idx="0">
                  <v>85830.96000000001</v>
                </pt>
                <pt idx="1">
                  <v>91753.97</v>
                </pt>
                <pt idx="2">
                  <v>88002.7</v>
                </pt>
                <pt idx="3">
                  <v>93637.2</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4.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tx>
            <strRef>
              <f>'Altman''s Z Score'!$E$76</f>
              <strCache>
                <ptCount val="1"/>
                <pt idx="0">
                  <v>Mar-22</v>
                </pt>
              </strCache>
            </strRef>
          </tx>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val>
            <numRef>
              <f>'Altman''s Z Score'!$E$79</f>
              <numCache>
                <formatCode>0.00%</formatCode>
                <ptCount val="1"/>
                <pt idx="0">
                  <v>19.6431083718611</v>
                </pt>
              </numCache>
            </numRef>
          </val>
        </ser>
        <ser>
          <idx val="1"/>
          <order val="1"/>
          <tx>
            <strRef>
              <f>'Altman''s Z Score'!$F$76</f>
              <strCache>
                <ptCount val="1"/>
                <pt idx="0">
                  <v>Mar-23</v>
                </pt>
              </strCache>
            </strRef>
          </tx>
          <spPr>
            <a:solidFill xmlns:a="http://schemas.openxmlformats.org/drawingml/2006/main">
              <a:schemeClr val="accent2"/>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val>
            <numRef>
              <f>'Altman''s Z Score'!$F$79</f>
              <numCache>
                <formatCode>0.00%</formatCode>
                <ptCount val="1"/>
                <pt idx="0">
                  <v>26.79192909443082</v>
                </pt>
              </numCache>
            </numRef>
          </val>
        </ser>
        <ser>
          <idx val="2"/>
          <order val="2"/>
          <tx>
            <strRef>
              <f>'Altman''s Z Score'!$G$76</f>
              <strCache>
                <ptCount val="1"/>
                <pt idx="0">
                  <v>Mar-24</v>
                </pt>
              </strCache>
            </strRef>
          </tx>
          <spPr>
            <a:solidFill xmlns:a="http://schemas.openxmlformats.org/drawingml/2006/main">
              <a:schemeClr val="accent3"/>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val>
            <numRef>
              <f>'Altman''s Z Score'!$G$79</f>
              <numCache>
                <formatCode>0.00%</formatCode>
                <ptCount val="1"/>
                <pt idx="0">
                  <v>29.06586832933553</v>
                </pt>
              </numCache>
            </numRef>
          </val>
        </ser>
        <ser>
          <idx val="3"/>
          <order val="3"/>
          <tx>
            <strRef>
              <f>'Altman''s Z Score'!$H$76</f>
              <strCache>
                <ptCount val="1"/>
                <pt idx="0">
                  <v>Mar-25</v>
                </pt>
              </strCache>
            </strRef>
          </tx>
          <spPr>
            <a:solidFill xmlns:a="http://schemas.openxmlformats.org/drawingml/2006/main">
              <a:schemeClr val="accent4"/>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val>
            <numRef>
              <f>'Altman''s Z Score'!$H$79</f>
              <numCache>
                <formatCode>0.00%</formatCode>
                <ptCount val="1"/>
                <pt idx="0">
                  <v>28.53030841306096</v>
                </pt>
              </numCache>
            </numRef>
          </val>
        </ser>
        <ser>
          <idx val="4"/>
          <order val="4"/>
          <tx>
            <strRef>
              <f>'Altman''s Z Score'!$I$76</f>
              <strCache>
                <ptCount val="1"/>
                <pt idx="0">
                  <v>Mar-26</v>
                </pt>
              </strCache>
            </strRef>
          </tx>
          <spPr>
            <a:solidFill xmlns:a="http://schemas.openxmlformats.org/drawingml/2006/main">
              <a:schemeClr val="accent5"/>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val>
            <numRef>
              <f>'Altman''s Z Score'!$I$79</f>
              <numCache>
                <formatCode>0.00%</formatCode>
                <ptCount val="1"/>
                <pt idx="0">
                  <v>17.05988741073077</v>
                </pt>
              </numCache>
            </numRef>
          </val>
        </ser>
        <dLbls>
          <dLblPos val="outEnd"/>
          <showLegendKey val="0"/>
          <showVal val="1"/>
          <showCatName val="0"/>
          <showSerName val="0"/>
          <showPercent val="0"/>
          <showBubbleSize val="0"/>
        </dLbls>
        <gapWidth val="219"/>
        <overlap val="-27"/>
        <axId val="1745049279"/>
        <axId val="1745049759"/>
      </barChart>
      <cat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auto val="1"/>
        <lblAlgn val="ctr"/>
        <lblOffset val="100"/>
        <noMultiLvlLbl val="1"/>
      </cat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5.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'Altman''s Z Score'!$F$64:$I$64</f>
              <numCache>
                <formatCode>mmm\-yy</formatCode>
                <ptCount val="4"/>
                <pt idx="0">
                  <v>45016</v>
                </pt>
                <pt idx="1">
                  <v>45382</v>
                </pt>
                <pt idx="2">
                  <v>45747</v>
                </pt>
                <pt idx="3">
                  <v>46112</v>
                </pt>
              </numCache>
            </numRef>
          </cat>
          <val>
            <numRef>
              <f>'Altman''s Z Score'!$F$66:$I$66</f>
              <numCache>
                <formatCode>"₹"\ #,##0.00;\("₹"\ #,##0.0\);\-</formatCode>
                <ptCount val="4"/>
                <pt idx="0">
                  <v>85830.96000000001</v>
                </pt>
                <pt idx="1">
                  <v>91753.97</v>
                </pt>
                <pt idx="2">
                  <v>88002.7</v>
                </pt>
                <pt idx="3">
                  <v>93637.2</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6.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'Altman''s Z Score'!$F$64:$I$64</f>
              <numCache>
                <formatCode>mmm\-yy</formatCode>
                <ptCount val="4"/>
                <pt idx="0">
                  <v>45016</v>
                </pt>
                <pt idx="1">
                  <v>45382</v>
                </pt>
                <pt idx="2">
                  <v>45747</v>
                </pt>
                <pt idx="3">
                  <v>46112</v>
                </pt>
              </numCache>
            </numRef>
          </cat>
          <val>
            <numRef>
              <f>'Altman''s Z Score'!$F$66:$I$66</f>
              <numCache>
                <formatCode>"₹"\ #,##0.00;\("₹"\ #,##0.0\);\-</formatCode>
                <ptCount val="4"/>
                <pt idx="0">
                  <v>85830.96000000001</v>
                </pt>
                <pt idx="1">
                  <v>91753.97</v>
                </pt>
                <pt idx="2">
                  <v>88002.7</v>
                </pt>
                <pt idx="3">
                  <v>93637.2</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7.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'Altman''s Z Score'!$E$82:$I$82</f>
              <numCache>
                <formatCode>mmm\-yy</formatCode>
                <ptCount val="5"/>
                <pt idx="0">
                  <v>44651</v>
                </pt>
                <pt idx="1">
                  <v>45016</v>
                </pt>
                <pt idx="2">
                  <v>45382</v>
                </pt>
                <pt idx="3">
                  <v>45747</v>
                </pt>
                <pt idx="4">
                  <v>46112</v>
                </pt>
              </numCache>
            </numRef>
          </cat>
          <val>
            <numRef>
              <f>'Altman''s Z Score'!$E$85:$I$85</f>
              <numCache>
                <formatCode>0.00%</formatCode>
                <ptCount val="5"/>
                <pt idx="0">
                  <v>0.7855915369730201</v>
                </pt>
                <pt idx="1">
                  <v>0.8262639728135395</v>
                </pt>
                <pt idx="2">
                  <v>0.7403705801503739</v>
                </pt>
                <pt idx="3">
                  <v>0.8559207842486651</v>
                </pt>
                <pt idx="4">
                  <v>0.8422763602499861</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8.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'Altman''s Z Score'!$E$88:$I$88</f>
              <numCache>
                <formatCode>mmm\-yy</formatCode>
                <ptCount val="5"/>
                <pt idx="0">
                  <v>44651</v>
                </pt>
                <pt idx="1">
                  <v>45016</v>
                </pt>
                <pt idx="2">
                  <v>45382</v>
                </pt>
                <pt idx="3">
                  <v>45747</v>
                </pt>
                <pt idx="4">
                  <v>46112</v>
                </pt>
              </numCache>
            </numRef>
          </cat>
          <val>
            <numRef>
              <f>'Altman''s Z Score'!$E$89:$I$89</f>
              <numCache>
                <formatCode>0.00</formatCode>
                <ptCount val="5"/>
                <pt idx="0">
                  <v>14.73271798263452</v>
                </pt>
                <pt idx="1">
                  <v>19.16499154449812</v>
                </pt>
                <pt idx="2">
                  <v>20.43898111905437</v>
                </pt>
                <pt idx="3">
                  <v>20.81389720212275</v>
                </pt>
                <pt idx="4">
                  <v>13.29768689872879</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_rels/drawing6.xml.rels><Relationships xmlns="http://schemas.openxmlformats.org/package/2006/relationships"><Relationship Type="http://schemas.openxmlformats.org/officeDocument/2006/relationships/image" Target="/xl/media/image6.png" Id="rId1"/></Relationships>
</file>

<file path=xl/drawings/_rels/drawing7.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 Type="http://schemas.openxmlformats.org/officeDocument/2006/relationships/chart" Target="/xl/charts/chart6.xml" Id="rId6"/><Relationship Type="http://schemas.openxmlformats.org/officeDocument/2006/relationships/chart" Target="/xl/charts/chart7.xml" Id="rId7"/><Relationship Type="http://schemas.openxmlformats.org/officeDocument/2006/relationships/chart" Target="/xl/charts/chart8.xml" Id="rId8"/><Relationship Type="http://schemas.openxmlformats.org/officeDocument/2006/relationships/chart" Target="/xl/charts/chart9.xml" Id="rId9"/><Relationship Type="http://schemas.openxmlformats.org/officeDocument/2006/relationships/image" Target="/xl/media/image7.png" Id="rId10"/></Relationships>
</file>

<file path=xl/drawings/_rels/drawing8.xml.rels><Relationships xmlns="http://schemas.openxmlformats.org/package/2006/relationships"><Relationship Type="http://schemas.openxmlformats.org/officeDocument/2006/relationships/chart" Target="/xl/charts/chart10.xml" Id="rId1"/><Relationship Type="http://schemas.openxmlformats.org/officeDocument/2006/relationships/chart" Target="/xl/charts/chart11.xml" Id="rId2"/><Relationship Type="http://schemas.openxmlformats.org/officeDocument/2006/relationships/chart" Target="/xl/charts/chart12.xml" Id="rId3"/><Relationship Type="http://schemas.openxmlformats.org/officeDocument/2006/relationships/chart" Target="/xl/charts/chart13.xml" Id="rId4"/><Relationship Type="http://schemas.openxmlformats.org/officeDocument/2006/relationships/chart" Target="/xl/charts/chart14.xml" Id="rId5"/><Relationship Type="http://schemas.openxmlformats.org/officeDocument/2006/relationships/chart" Target="/xl/charts/chart15.xml" Id="rId6"/><Relationship Type="http://schemas.openxmlformats.org/officeDocument/2006/relationships/chart" Target="/xl/charts/chart16.xml" Id="rId7"/><Relationship Type="http://schemas.openxmlformats.org/officeDocument/2006/relationships/chart" Target="/xl/charts/chart17.xml" Id="rId8"/><Relationship Type="http://schemas.openxmlformats.org/officeDocument/2006/relationships/chart" Target="/xl/charts/chart18.xml" Id="rId9"/><Relationship Type="http://schemas.openxmlformats.org/officeDocument/2006/relationships/image" Target="/xl/media/image8.png" Id="rId10"/></Relationships>
</file>

<file path=xl/drawings/drawing1.xml><?xml version="1.0" encoding="utf-8"?>
<wsDr xmlns="http://schemas.openxmlformats.org/drawingml/2006/spreadsheetDrawing">
  <twoCellAnchor editAs="oneCell">
    <from>
      <col>0</col>
      <colOff>114090</colOff>
      <row>0</row>
      <rowOff>0</rowOff>
    </from>
    <to>
      <col>3</col>
      <colOff>240393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0</col>
      <colOff>114090</colOff>
      <row>0</row>
      <rowOff>0</rowOff>
    </from>
    <to>
      <col>2</col>
      <colOff>667113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twoCellAnchor editAs="oneCell">
    <from>
      <col>0</col>
      <colOff>114090</colOff>
      <row>0</row>
      <rowOff>0</rowOff>
    </from>
    <to>
      <col>2</col>
      <colOff>133713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4.xml><?xml version="1.0" encoding="utf-8"?>
<wsDr xmlns="http://schemas.openxmlformats.org/drawingml/2006/spreadsheetDrawing">
  <twoCellAnchor editAs="oneCell">
    <from>
      <col>0</col>
      <colOff>114090</colOff>
      <row>0</row>
      <rowOff>0</rowOff>
    </from>
    <to>
      <col>2</col>
      <colOff>499473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5.xml><?xml version="1.0" encoding="utf-8"?>
<wsDr xmlns="http://schemas.openxmlformats.org/drawingml/2006/spreadsheetDrawing">
  <twoCellAnchor editAs="oneCell">
    <from>
      <col>0</col>
      <colOff>114090</colOff>
      <row>0</row>
      <rowOff>0</rowOff>
    </from>
    <to>
      <col>2</col>
      <colOff>11793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6.xml><?xml version="1.0" encoding="utf-8"?>
<wsDr xmlns="http://schemas.openxmlformats.org/drawingml/2006/spreadsheetDrawing">
  <twoCellAnchor editAs="oneCell">
    <from>
      <col>0</col>
      <colOff>114090</colOff>
      <row>0</row>
      <rowOff>0</rowOff>
    </from>
    <to>
      <col>2</col>
      <colOff>286113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7.xml><?xml version="1.0" encoding="utf-8"?>
<wsDr xmlns="http://schemas.openxmlformats.org/drawingml/2006/spreadsheetDrawing">
  <twoCellAnchor>
    <from>
      <col>0</col>
      <colOff>92019</colOff>
      <row>16</row>
      <rowOff>157756</rowOff>
    </from>
    <to>
      <col>1</col>
      <colOff>1684421</colOff>
      <row>23</row>
      <rowOff>154692</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2</col>
      <colOff>344109</colOff>
      <row>16</row>
      <rowOff>117651</rowOff>
    </from>
    <to>
      <col>5</col>
      <colOff>171880</colOff>
      <row>23</row>
      <rowOff>154692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5</col>
      <colOff>515990</colOff>
      <row>16</row>
      <rowOff>94732</rowOff>
    </from>
    <to>
      <col>8</col>
      <colOff>481263</colOff>
      <row>23</row>
      <rowOff>131774</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0</col>
      <colOff>92019</colOff>
      <row>16</row>
      <rowOff>157756</rowOff>
    </from>
    <to>
      <col>1</col>
      <colOff>1684421</colOff>
      <row>23</row>
      <rowOff>154692</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0</col>
      <colOff>84355</colOff>
      <row>26</row>
      <rowOff>72902</rowOff>
    </from>
    <to>
      <col>1</col>
      <colOff>1675363</colOff>
      <row>33</row>
      <rowOff>69837</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0</col>
      <colOff>92019</colOff>
      <row>16</row>
      <rowOff>157756</rowOff>
    </from>
    <to>
      <col>1</col>
      <colOff>1684421</colOff>
      <row>23</row>
      <rowOff>154692</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0</col>
      <colOff>92019</colOff>
      <row>16</row>
      <rowOff>157756</rowOff>
    </from>
    <to>
      <col>1</col>
      <colOff>1684421</colOff>
      <row>23</row>
      <rowOff>154692</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twoCellAnchor>
    <from>
      <col>2</col>
      <colOff>257433</colOff>
      <row>26</row>
      <rowOff>102972</rowOff>
    </from>
    <to>
      <col>5</col>
      <colOff>107966</colOff>
      <row>33</row>
      <rowOff>98206</rowOff>
    </to>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twoCellAnchor>
  <twoCellAnchor>
    <from>
      <col>5</col>
      <colOff>473676</colOff>
      <row>26</row>
      <rowOff>73467</rowOff>
    </from>
    <to>
      <col>8</col>
      <colOff>375695</colOff>
      <row>33</row>
      <rowOff>72726</rowOff>
    </to>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twoCellAnchor>
  <twoCellAnchor editAs="oneCell">
    <from>
      <col>6</col>
      <colOff>564174</colOff>
      <row>0</row>
      <rowOff>0</rowOff>
    </from>
    <to>
      <col>8</col>
      <colOff>43962</colOff>
      <row>4</row>
      <rowOff>34405</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0"/>
        <a:srcRect xmlns:a="http://schemas.openxmlformats.org/drawingml/2006/main"/>
        <a:stretch xmlns:a="http://schemas.openxmlformats.org/drawingml/2006/main">
          <a:fillRect/>
        </a:stretch>
      </blipFill>
      <spPr bwMode="auto">
        <a:xfrm xmlns:a="http://schemas.openxmlformats.org/drawingml/2006/main">
          <a:off x="5018943" y="0"/>
          <a:ext cx="989134" cy="1030867"/>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8.xml><?xml version="1.0" encoding="utf-8"?>
<wsDr xmlns="http://schemas.openxmlformats.org/drawingml/2006/spreadsheetDrawing">
  <twoCellAnchor>
    <from>
      <col>0</col>
      <colOff>92019</colOff>
      <row>15</row>
      <rowOff>157756</rowOff>
    </from>
    <to>
      <col>1</col>
      <colOff>1684421</colOff>
      <row>22</row>
      <rowOff>154692</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2</col>
      <colOff>344109</colOff>
      <row>15</row>
      <rowOff>117651</rowOff>
    </from>
    <to>
      <col>5</col>
      <colOff>171880</colOff>
      <row>22</row>
      <rowOff>154692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5</col>
      <colOff>515990</colOff>
      <row>15</row>
      <rowOff>94732</rowOff>
    </from>
    <to>
      <col>8</col>
      <colOff>481263</colOff>
      <row>22</row>
      <rowOff>131774</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0</col>
      <colOff>92019</colOff>
      <row>15</row>
      <rowOff>157756</rowOff>
    </from>
    <to>
      <col>1</col>
      <colOff>1684421</colOff>
      <row>22</row>
      <rowOff>154692</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0</col>
      <colOff>84355</colOff>
      <row>25</row>
      <rowOff>72902</rowOff>
    </from>
    <to>
      <col>1</col>
      <colOff>1675363</colOff>
      <row>32</row>
      <rowOff>69837</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0</col>
      <colOff>92019</colOff>
      <row>15</row>
      <rowOff>157756</rowOff>
    </from>
    <to>
      <col>1</col>
      <colOff>1684421</colOff>
      <row>22</row>
      <rowOff>154692</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0</col>
      <colOff>92019</colOff>
      <row>15</row>
      <rowOff>157756</rowOff>
    </from>
    <to>
      <col>1</col>
      <colOff>1684421</colOff>
      <row>22</row>
      <rowOff>154692</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twoCellAnchor>
    <from>
      <col>2</col>
      <colOff>257433</colOff>
      <row>25</row>
      <rowOff>102972</rowOff>
    </from>
    <to>
      <col>5</col>
      <colOff>107966</colOff>
      <row>32</row>
      <rowOff>98206</rowOff>
    </to>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twoCellAnchor>
  <twoCellAnchor>
    <from>
      <col>5</col>
      <colOff>473676</colOff>
      <row>25</row>
      <rowOff>73467</rowOff>
    </from>
    <to>
      <col>8</col>
      <colOff>375695</colOff>
      <row>32</row>
      <rowOff>72726</rowOff>
    </to>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twoCellAnchor>
  <twoCellAnchor editAs="oneCell">
    <from>
      <col>7</col>
      <colOff>432288</colOff>
      <row>0</row>
      <rowOff>0</rowOff>
    </from>
    <to>
      <col>8</col>
      <colOff>498230</colOff>
      <row>4</row>
      <rowOff>34405</rowOff>
    </to>
    <pic>
      <nvPicPr>
        <cNvPr id="30" name="Picture 29"/>
        <cNvPicPr>
          <a:picLocks xmlns:a="http://schemas.openxmlformats.org/drawingml/2006/main" noChangeAspect="1" noChangeArrowheads="1"/>
        </cNvPicPr>
      </nvPicPr>
      <blipFill>
        <a:blip xmlns:a="http://schemas.openxmlformats.org/drawingml/2006/main" xmlns:r="http://schemas.openxmlformats.org/officeDocument/2006/relationships" r:embed="rId10"/>
        <a:srcRect xmlns:a="http://schemas.openxmlformats.org/drawingml/2006/main"/>
        <a:stretch xmlns:a="http://schemas.openxmlformats.org/drawingml/2006/main">
          <a:fillRect/>
        </a:stretch>
      </blipFill>
      <spPr bwMode="auto">
        <a:xfrm xmlns:a="http://schemas.openxmlformats.org/drawingml/2006/main">
          <a:off x="6081346" y="0"/>
          <a:ext cx="989134" cy="1030867"/>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file:///C:\Users\LENOVO\Downloads\Tata%20Steel.xlsx" TargetMode="External" Id="rId2"/></Relationships>
</file>

<file path=xl/externalLinks/externalLink1.xml><?xml version="1.0" encoding="utf-8"?>
<externalLink xmlns="http://schemas.openxmlformats.org/spreadsheetml/2006/main">
  <externalBook xmlns:r="http://schemas.openxmlformats.org/officeDocument/2006/relationships" r:id="rId1">
    <sheetNames>
      <sheetName val="Profit &amp; Loss"/>
      <sheetName val="Quarters"/>
      <sheetName val="Balance Sheet"/>
      <sheetName val="Cash Flow"/>
      <sheetName val="Cash Flow Data"/>
      <sheetName val="Common Size Statement"/>
      <sheetName val="Data Sheet"/>
      <sheetName val="HistoricalFS"/>
      <sheetName val="Ratio Analysis"/>
      <sheetName val="Forecasting"/>
      <sheetName val="Rm"/>
      <sheetName val="Beta-Regression"/>
      <sheetName val="WACC"/>
      <sheetName val="DCF"/>
      <sheetName val=" Intrinsic Growth"/>
      <sheetName val="Raw FS"/>
      <sheetName val="Comp_Value"/>
      <sheetName val="Football Field"/>
      <sheetName val="Dupont Analysis"/>
      <sheetName val="Altman's Z Score"/>
      <sheetName val="One Page Profile"/>
      <sheetName val="Share Price"/>
      <sheetName val="List of Stocks"/>
    </sheetNames>
    <sheetDataSet>
      <sheetData sheetId="0" refreshError="1"/>
      <sheetData sheetId="1" refreshError="1"/>
      <sheetData sheetId="2" refreshError="1"/>
      <sheetData sheetId="3" refreshError="1"/>
      <sheetData sheetId="4" refreshError="1"/>
      <sheetData sheetId="5" refreshError="1"/>
      <sheetData sheetId="6">
        <row r="1">
          <cell r="E1" t="str"/>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tables/table1.xml><?xml version="1.0" encoding="utf-8"?>
<table xmlns="http://schemas.openxmlformats.org/spreadsheetml/2006/main" id="1" name="Annual" displayName="Annual" ref="A3:N19" headerRowCount="0" totalsRowShown="0" headerRowDxfId="30">
  <tableColumns count="14">
    <tableColumn id="1" name="Column1" headerRowDxfId="29" dataDxfId="28"/>
    <tableColumn id="2" name="Column2" headerRowDxfId="27"/>
    <tableColumn id="3" name="Column3" headerRowDxfId="26"/>
    <tableColumn id="4" name="Column4" headerRowDxfId="25"/>
    <tableColumn id="5" name="Column5" headerRowDxfId="24"/>
    <tableColumn id="6" name="Column6" headerRowDxfId="23"/>
    <tableColumn id="7" name="Column7" headerRowDxfId="22"/>
    <tableColumn id="8" name="Column8" headerRowDxfId="21"/>
    <tableColumn id="9" name="Column9" headerRowDxfId="20"/>
    <tableColumn id="10" name="Column10" headerRowDxfId="19"/>
    <tableColumn id="11" name="Column11" headerRowDxfId="18"/>
    <tableColumn id="12" name="Column12" headerRowDxfId="17"/>
    <tableColumn id="13" name="Column13" headerRowDxfId="16" dataDxfId="15"/>
    <tableColumn id="14" name="Column14" headerRowDxfId="14" dataDxfId="13"/>
  </tableColumns>
  <tableStyleInfo showFirstColumn="0" showLastColumn="0" showRowStripes="0" showColumnStripes="0"/>
</table>
</file>

<file path=xl/tables/table2.xml><?xml version="1.0" encoding="utf-8"?>
<table xmlns="http://schemas.openxmlformats.org/spreadsheetml/2006/main" id="2" name="Quarters" displayName="Quarters" ref="A3:K14" headerRowCount="0" totalsRowShown="0" headerRowDxfId="12">
  <tableColumns count="11">
    <tableColumn id="1" name="Column1" headerRowDxfId="11"/>
    <tableColumn id="2" name="Column2" headerRowDxfId="10"/>
    <tableColumn id="3" name="Column3" headerRowDxfId="9"/>
    <tableColumn id="4" name="Column4" headerRowDxfId="8"/>
    <tableColumn id="5" name="Column5" headerRowDxfId="7"/>
    <tableColumn id="6" name="Column6" headerRowDxfId="6"/>
    <tableColumn id="7" name="Column7" headerRowDxfId="5"/>
    <tableColumn id="8" name="Column8" headerRowDxfId="4"/>
    <tableColumn id="9" name="Column9" headerRowDxfId="3"/>
    <tableColumn id="10" name="Column10" headerRowDxfId="2"/>
    <tableColumn id="11" name="Column11" headerRowDxfId="1"/>
  </tableColumns>
  <tableStyleInfo name="TableStyleLight1" showFirstColumn="0" showLastColumn="0" showRowStripes="0" showColumnStripes="0"/>
</table>
</file>

<file path=xl/theme/theme1.xml><?xml version="1.0" encoding="utf-8"?>
<a:theme xmlns:a="http://schemas.openxmlformats.org/drawingml/2006/main" name="Adjacency">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Adjacency">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gradFill rotWithShape="1">
          <a:gsLst>
            <a:gs pos="0">
              <a:schemeClr val="phClr">
                <a:tint val="90000"/>
              </a:schemeClr>
            </a:gs>
            <a:gs pos="75000">
              <a:schemeClr val="phClr">
                <a:shade val="100000"/>
                <a:satMod val="115000"/>
              </a:schemeClr>
            </a:gs>
            <a:gs pos="100000">
              <a:schemeClr val="phClr">
                <a:shade val="70000"/>
                <a:satMod val="130000"/>
              </a:schemeClr>
            </a:gs>
          </a:gsLst>
          <a:path path="circle">
            <a:fillToRect l="20000" t="50000" r="100000" b="50000"/>
          </a:path>
        </a:gradFill>
        <a:blipFill rotWithShape="1">
          <a:blip xmlns:r="http://schemas.openxmlformats.org/officeDocument/2006/relationships" r:embed="rId1">
            <a:duotone>
              <a:schemeClr val="phClr">
                <a:tint val="97000"/>
              </a:schemeClr>
              <a:schemeClr val="phClr">
                <a:shade val="96000"/>
              </a:schemeClr>
            </a:duotone>
          </a:blip>
          <a:tile tx="0" ty="0" sx="32000" sy="32000" flip="none" algn="tl"/>
        </a:blip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www.screener.in/" TargetMode="External" Id="rId1"/><Relationship Type="http://schemas.openxmlformats.org/officeDocument/2006/relationships/table" Target="/xl/tables/table1.xml" Id="rId2"/></Relationships>
</file>

<file path=xl/worksheets/_rels/sheet2.xml.rels><Relationships xmlns="http://schemas.openxmlformats.org/package/2006/relationships"><Relationship Type="http://schemas.openxmlformats.org/officeDocument/2006/relationships/hyperlink" Target="http://www.screener.in/" TargetMode="External" Id="rId1"/><Relationship Type="http://schemas.openxmlformats.org/officeDocument/2006/relationships/table" Target="/xl/tables/table2.xml" Id="rId2"/></Relationships>
</file>

<file path=xl/worksheets/_rels/sheet3.xml.rels><Relationships xmlns="http://schemas.openxmlformats.org/package/2006/relationships"><Relationship Type="http://schemas.openxmlformats.org/officeDocument/2006/relationships/hyperlink" Target="http://www.screener.in/" TargetMode="External" Id="rId1"/></Relationships>
</file>

<file path=xl/worksheets/_rels/sheet4.xml.rels><Relationships xmlns="http://schemas.openxmlformats.org/package/2006/relationships"><Relationship Type="http://schemas.openxmlformats.org/officeDocument/2006/relationships/hyperlink" Target="http://www.screener.in/" TargetMode="External" Id="rId1"/></Relationships>
</file>

<file path=xl/worksheets/_rels/sheet5.xml.rels><Relationships xmlns="http://schemas.openxmlformats.org/package/2006/relationships"><Relationship Type="http://schemas.openxmlformats.org/officeDocument/2006/relationships/hyperlink" Target="http://www.screener.in/excel/" TargetMode="External" Id="rId1"/></Relationships>
</file>

<file path=xl/worksheets/_rels/sheet7.xml.rels><Relationships xmlns="http://schemas.openxmlformats.org/package/2006/relationships"><Relationship Type="http://schemas.openxmlformats.org/officeDocument/2006/relationships/hyperlink" Target="https://www.screener.in/excel/" TargetMode="External" Id="rId1"/></Relationships>
</file>

<file path=xl/worksheets/_rels/sheet12.xml.rels><Relationships xmlns="http://schemas.openxmlformats.org/package/2006/relationships"><Relationship Type="http://schemas.openxmlformats.org/officeDocument/2006/relationships/drawing" Target="/xl/drawings/drawing1.xml" Id="rId1"/></Relationships>
</file>

<file path=xl/worksheets/_rels/sheet13.xml.rels><Relationships xmlns="http://schemas.openxmlformats.org/package/2006/relationships"><Relationship Type="http://schemas.openxmlformats.org/officeDocument/2006/relationships/drawing" Target="/xl/drawings/drawing2.xml" Id="rId1"/></Relationships>
</file>

<file path=xl/worksheets/_rels/sheet14.xml.rels><Relationships xmlns="http://schemas.openxmlformats.org/package/2006/relationships"><Relationship Type="http://schemas.openxmlformats.org/officeDocument/2006/relationships/drawing" Target="/xl/drawings/drawing3.xml" Id="rId1"/></Relationships>
</file>

<file path=xl/worksheets/_rels/sheet15.xml.rels><Relationships xmlns="http://schemas.openxmlformats.org/package/2006/relationships"><Relationship Type="http://schemas.openxmlformats.org/officeDocument/2006/relationships/drawing" Target="/xl/drawings/drawing4.xml" Id="rId1"/></Relationships>
</file>

<file path=xl/worksheets/_rels/sheet16.xml.rels><Relationships xmlns="http://schemas.openxmlformats.org/package/2006/relationships"><Relationship Type="http://schemas.openxmlformats.org/officeDocument/2006/relationships/drawing" Target="/xl/drawings/drawing5.xml" Id="rId1"/></Relationships>
</file>

<file path=xl/worksheets/_rels/sheet18.xml.rels><Relationships xmlns="http://schemas.openxmlformats.org/package/2006/relationships"><Relationship Type="http://schemas.openxmlformats.org/officeDocument/2006/relationships/drawing" Target="/xl/drawings/drawing6.xml" Id="rId1"/></Relationships>
</file>

<file path=xl/worksheets/_rels/sheet19.xml.rels><Relationships xmlns="http://schemas.openxmlformats.org/package/2006/relationships"><Relationship Type="http://schemas.openxmlformats.org/officeDocument/2006/relationships/drawing" Target="/xl/drawings/drawing7.xml" Id="rId1"/></Relationships>
</file>

<file path=xl/worksheets/_rels/sheet20.xml.rels><Relationships xmlns="http://schemas.openxmlformats.org/package/2006/relationships"><Relationship Type="http://schemas.openxmlformats.org/officeDocument/2006/relationships/drawing" Target="/xl/drawings/drawing8.xml" Id="rId1"/></Relationships>
</file>

<file path=xl/worksheets/sheet1.xml><?xml version="1.0" encoding="utf-8"?>
<worksheet xmlns="http://schemas.openxmlformats.org/spreadsheetml/2006/main">
  <sheetPr codeName="Sheet1">
    <outlinePr summaryBelow="1" summaryRight="1"/>
    <pageSetUpPr fitToPage="1"/>
  </sheetPr>
  <dimension ref="A1:N25"/>
  <sheetViews>
    <sheetView zoomScale="120" zoomScaleNormal="120" zoomScaleSheetLayoutView="100" zoomScalePageLayoutView="120" workbookViewId="0">
      <pane xSplit="1" ySplit="4" topLeftCell="C5" activePane="bottomRight" state="frozen"/>
      <selection activeCell="I2" sqref="I2"/>
      <selection pane="topRight" activeCell="I2" sqref="I2"/>
      <selection pane="bottomLeft" activeCell="I2" sqref="I2"/>
      <selection pane="bottomRight" activeCell="M15" sqref="M15"/>
    </sheetView>
  </sheetViews>
  <sheetFormatPr baseColWidth="8" defaultColWidth="8.77734375" defaultRowHeight="14.4"/>
  <cols>
    <col width="20.6640625" customWidth="1" style="109" min="1" max="1"/>
    <col width="13.44140625" customWidth="1" style="109" min="2" max="6"/>
    <col width="14.77734375" bestFit="1" customWidth="1" style="109" min="7" max="7"/>
    <col width="13.44140625" customWidth="1" style="109" min="8" max="11"/>
    <col width="13.33203125" customWidth="1" style="109" min="12" max="12"/>
    <col width="12.109375" customWidth="1" style="109" min="13" max="14"/>
    <col width="8.77734375" customWidth="1" style="109" min="15" max="16384"/>
  </cols>
  <sheetData>
    <row r="1" customFormat="1" s="37">
      <c r="A1" s="37">
        <f>'Data Sheet'!B1</f>
        <v/>
      </c>
      <c r="H1">
        <f>UPDATE</f>
        <v/>
      </c>
      <c r="J1" s="3" t="n"/>
      <c r="K1" s="3" t="n"/>
      <c r="M1" s="37" t="inlineStr">
        <is>
          <t>SCREENER.IN</t>
        </is>
      </c>
    </row>
    <row r="3" customFormat="1" s="37">
      <c r="A3" s="15" t="inlineStr">
        <is>
          <t>Narration</t>
        </is>
      </c>
      <c r="B3" s="16">
        <f>'Data Sheet'!B16</f>
        <v/>
      </c>
      <c r="C3" s="16">
        <f>'Data Sheet'!C16</f>
        <v/>
      </c>
      <c r="D3" s="16">
        <f>'Data Sheet'!D16</f>
        <v/>
      </c>
      <c r="E3" s="16">
        <f>'Data Sheet'!E16</f>
        <v/>
      </c>
      <c r="F3" s="16">
        <f>'Data Sheet'!F16</f>
        <v/>
      </c>
      <c r="G3" s="16">
        <f>'Data Sheet'!G16</f>
        <v/>
      </c>
      <c r="H3" s="16">
        <f>'Data Sheet'!H16</f>
        <v/>
      </c>
      <c r="I3" s="16">
        <f>'Data Sheet'!I16</f>
        <v/>
      </c>
      <c r="J3" s="16">
        <f>'Data Sheet'!J16</f>
        <v/>
      </c>
      <c r="K3" s="16">
        <f>'Data Sheet'!K16</f>
        <v/>
      </c>
      <c r="L3" s="17" t="inlineStr">
        <is>
          <t>Trailing</t>
        </is>
      </c>
      <c r="M3" s="17" t="inlineStr">
        <is>
          <t>Best Case</t>
        </is>
      </c>
      <c r="N3" s="17" t="inlineStr">
        <is>
          <t>Worst Case</t>
        </is>
      </c>
    </row>
    <row r="4" customFormat="1" s="37">
      <c r="A4" s="37" t="inlineStr">
        <is>
          <t>Sales</t>
        </is>
      </c>
      <c r="B4" s="170">
        <f>'Data Sheet'!B17</f>
        <v/>
      </c>
      <c r="C4" s="170">
        <f>'Data Sheet'!C17</f>
        <v/>
      </c>
      <c r="D4" s="170">
        <f>'Data Sheet'!D17</f>
        <v/>
      </c>
      <c r="E4" s="170">
        <f>'Data Sheet'!E17</f>
        <v/>
      </c>
      <c r="F4" s="170">
        <f>'Data Sheet'!F17</f>
        <v/>
      </c>
      <c r="G4" s="170">
        <f>'Data Sheet'!G17</f>
        <v/>
      </c>
      <c r="H4" s="170">
        <f>'Data Sheet'!H17</f>
        <v/>
      </c>
      <c r="I4" s="170">
        <f>'Data Sheet'!I17</f>
        <v/>
      </c>
      <c r="J4" s="170">
        <f>'Data Sheet'!J17</f>
        <v/>
      </c>
      <c r="K4" s="170">
        <f>'Data Sheet'!K17</f>
        <v/>
      </c>
      <c r="L4" s="170">
        <f>SUM(Quarters!H4:K4)</f>
        <v/>
      </c>
      <c r="M4" s="170">
        <f>$K4+M23*K4</f>
        <v/>
      </c>
      <c r="N4" s="170">
        <f>$K4+N23*L4</f>
        <v/>
      </c>
    </row>
    <row r="5">
      <c r="A5" t="inlineStr">
        <is>
          <t>Expenses</t>
        </is>
      </c>
      <c r="B5" s="171">
        <f>SUM('Data Sheet'!B18,'Data Sheet'!B20:B24, -1*'Data Sheet'!B19)</f>
        <v/>
      </c>
      <c r="C5" s="171">
        <f>SUM('Data Sheet'!C18,'Data Sheet'!C20:C24, -1*'Data Sheet'!C19)</f>
        <v/>
      </c>
      <c r="D5" s="171">
        <f>SUM('Data Sheet'!D18,'Data Sheet'!D20:D24, -1*'Data Sheet'!D19)</f>
        <v/>
      </c>
      <c r="E5" s="171">
        <f>SUM('Data Sheet'!E18,'Data Sheet'!E20:E24, -1*'Data Sheet'!E19)</f>
        <v/>
      </c>
      <c r="F5" s="171">
        <f>SUM('Data Sheet'!F18,'Data Sheet'!F20:F24, -1*'Data Sheet'!F19)</f>
        <v/>
      </c>
      <c r="G5" s="171">
        <f>SUM('Data Sheet'!G18,'Data Sheet'!G20:G24, -1*'Data Sheet'!G19)</f>
        <v/>
      </c>
      <c r="H5" s="171">
        <f>SUM('Data Sheet'!H18,'Data Sheet'!H20:H24, -1*'Data Sheet'!H19)</f>
        <v/>
      </c>
      <c r="I5" s="171">
        <f>SUM('Data Sheet'!I18,'Data Sheet'!I20:I24, -1*'Data Sheet'!I19)</f>
        <v/>
      </c>
      <c r="J5" s="171">
        <f>SUM('Data Sheet'!J18,'Data Sheet'!J20:J24, -1*'Data Sheet'!J19)</f>
        <v/>
      </c>
      <c r="K5" s="171">
        <f>SUM('Data Sheet'!K18,'Data Sheet'!K20:K24, -1*'Data Sheet'!K19)</f>
        <v/>
      </c>
      <c r="L5" s="171">
        <f>SUM(Quarters!H5:K5)</f>
        <v/>
      </c>
      <c r="M5" s="171">
        <f>M4-M6</f>
        <v/>
      </c>
      <c r="N5" s="171">
        <f>N4-N6</f>
        <v/>
      </c>
    </row>
    <row r="6" customFormat="1" s="37">
      <c r="A6" s="37" t="inlineStr">
        <is>
          <t>Operating Profit</t>
        </is>
      </c>
      <c r="B6" s="170">
        <f>B4-B5</f>
        <v/>
      </c>
      <c r="C6" s="170">
        <f>C4-C5</f>
        <v/>
      </c>
      <c r="D6" s="170">
        <f>D4-D5</f>
        <v/>
      </c>
      <c r="E6" s="170">
        <f>E4-E5</f>
        <v/>
      </c>
      <c r="F6" s="170">
        <f>F4-F5</f>
        <v/>
      </c>
      <c r="G6" s="170">
        <f>G4-G5</f>
        <v/>
      </c>
      <c r="H6" s="170">
        <f>H4-H5</f>
        <v/>
      </c>
      <c r="I6" s="170">
        <f>I4-I5</f>
        <v/>
      </c>
      <c r="J6" s="170">
        <f>J4-J5</f>
        <v/>
      </c>
      <c r="K6" s="170">
        <f>K4-K5</f>
        <v/>
      </c>
      <c r="L6" s="170">
        <f>SUM(Quarters!H6:K6)</f>
        <v/>
      </c>
      <c r="M6" s="170">
        <f>M4*M24</f>
        <v/>
      </c>
      <c r="N6" s="170">
        <f>N4*N24</f>
        <v/>
      </c>
    </row>
    <row r="7">
      <c r="A7" t="inlineStr">
        <is>
          <t>Other Income</t>
        </is>
      </c>
      <c r="B7" s="171">
        <f>'Data Sheet'!B25</f>
        <v/>
      </c>
      <c r="C7" s="171">
        <f>'Data Sheet'!C25</f>
        <v/>
      </c>
      <c r="D7" s="171">
        <f>'Data Sheet'!D25</f>
        <v/>
      </c>
      <c r="E7" s="171">
        <f>'Data Sheet'!E25</f>
        <v/>
      </c>
      <c r="F7" s="171">
        <f>'Data Sheet'!F25</f>
        <v/>
      </c>
      <c r="G7" s="171">
        <f>'Data Sheet'!G25</f>
        <v/>
      </c>
      <c r="H7" s="171">
        <f>'Data Sheet'!H25</f>
        <v/>
      </c>
      <c r="I7" s="171">
        <f>'Data Sheet'!I25</f>
        <v/>
      </c>
      <c r="J7" s="171">
        <f>'Data Sheet'!J25</f>
        <v/>
      </c>
      <c r="K7" s="171">
        <f>'Data Sheet'!K25</f>
        <v/>
      </c>
      <c r="L7" s="171">
        <f>SUM(Quarters!H7:K7)</f>
        <v/>
      </c>
      <c r="M7" s="171" t="n">
        <v>0</v>
      </c>
      <c r="N7" s="171" t="n">
        <v>0</v>
      </c>
    </row>
    <row r="8">
      <c r="A8" t="inlineStr">
        <is>
          <t>Depreciation</t>
        </is>
      </c>
      <c r="B8" s="171">
        <f>'Data Sheet'!B26</f>
        <v/>
      </c>
      <c r="C8" s="171">
        <f>'Data Sheet'!C26</f>
        <v/>
      </c>
      <c r="D8" s="171">
        <f>'Data Sheet'!D26</f>
        <v/>
      </c>
      <c r="E8" s="171">
        <f>'Data Sheet'!E26</f>
        <v/>
      </c>
      <c r="F8" s="171">
        <f>'Data Sheet'!F26</f>
        <v/>
      </c>
      <c r="G8" s="171">
        <f>'Data Sheet'!G26</f>
        <v/>
      </c>
      <c r="H8" s="171">
        <f>'Data Sheet'!H26</f>
        <v/>
      </c>
      <c r="I8" s="171">
        <f>'Data Sheet'!I26</f>
        <v/>
      </c>
      <c r="J8" s="171">
        <f>'Data Sheet'!J26</f>
        <v/>
      </c>
      <c r="K8" s="171">
        <f>'Data Sheet'!K26</f>
        <v/>
      </c>
      <c r="L8" s="171">
        <f>SUM(Quarters!H8:K8)</f>
        <v/>
      </c>
      <c r="M8" s="171">
        <f>+$L8</f>
        <v/>
      </c>
      <c r="N8" s="171">
        <f>+$L8</f>
        <v/>
      </c>
    </row>
    <row r="9">
      <c r="A9" t="inlineStr">
        <is>
          <t>Interest</t>
        </is>
      </c>
      <c r="B9" s="171">
        <f>'Data Sheet'!B27</f>
        <v/>
      </c>
      <c r="C9" s="171">
        <f>'Data Sheet'!C27</f>
        <v/>
      </c>
      <c r="D9" s="171">
        <f>'Data Sheet'!D27</f>
        <v/>
      </c>
      <c r="E9" s="171">
        <f>'Data Sheet'!E27</f>
        <v/>
      </c>
      <c r="F9" s="171">
        <f>'Data Sheet'!F27</f>
        <v/>
      </c>
      <c r="G9" s="171">
        <f>'Data Sheet'!G27</f>
        <v/>
      </c>
      <c r="H9" s="171">
        <f>'Data Sheet'!H27</f>
        <v/>
      </c>
      <c r="I9" s="171">
        <f>'Data Sheet'!I27</f>
        <v/>
      </c>
      <c r="J9" s="171">
        <f>'Data Sheet'!J27</f>
        <v/>
      </c>
      <c r="K9" s="171">
        <f>'Data Sheet'!K27</f>
        <v/>
      </c>
      <c r="L9" s="171">
        <f>SUM(Quarters!H9:K9)</f>
        <v/>
      </c>
      <c r="M9" s="171">
        <f>+$L9</f>
        <v/>
      </c>
      <c r="N9" s="171">
        <f>+$L9</f>
        <v/>
      </c>
    </row>
    <row r="10">
      <c r="A10" t="inlineStr">
        <is>
          <t>Profit before tax</t>
        </is>
      </c>
      <c r="B10" s="171">
        <f>'Data Sheet'!B28</f>
        <v/>
      </c>
      <c r="C10" s="171">
        <f>'Data Sheet'!C28</f>
        <v/>
      </c>
      <c r="D10" s="171">
        <f>'Data Sheet'!D28</f>
        <v/>
      </c>
      <c r="E10" s="171">
        <f>'Data Sheet'!E28</f>
        <v/>
      </c>
      <c r="F10" s="171">
        <f>'Data Sheet'!F28</f>
        <v/>
      </c>
      <c r="G10" s="171">
        <f>'Data Sheet'!G28</f>
        <v/>
      </c>
      <c r="H10" s="171">
        <f>'Data Sheet'!H28</f>
        <v/>
      </c>
      <c r="I10" s="171">
        <f>'Data Sheet'!I28</f>
        <v/>
      </c>
      <c r="J10" s="171">
        <f>'Data Sheet'!J28</f>
        <v/>
      </c>
      <c r="K10" s="171">
        <f>'Data Sheet'!K28</f>
        <v/>
      </c>
      <c r="L10" s="171">
        <f>SUM(Quarters!H10:K10)</f>
        <v/>
      </c>
      <c r="M10" s="171">
        <f>M6+M7-SUM(M8:M9)</f>
        <v/>
      </c>
      <c r="N10" s="171">
        <f>N6+N7-SUM(N8:N9)</f>
        <v/>
      </c>
    </row>
    <row r="11">
      <c r="A11" t="inlineStr">
        <is>
          <t>Tax</t>
        </is>
      </c>
      <c r="B11" s="171">
        <f>'Data Sheet'!B29</f>
        <v/>
      </c>
      <c r="C11" s="171">
        <f>'Data Sheet'!C29</f>
        <v/>
      </c>
      <c r="D11" s="171">
        <f>'Data Sheet'!D29</f>
        <v/>
      </c>
      <c r="E11" s="171">
        <f>'Data Sheet'!E29</f>
        <v/>
      </c>
      <c r="F11" s="171">
        <f>'Data Sheet'!F29</f>
        <v/>
      </c>
      <c r="G11" s="171">
        <f>'Data Sheet'!G29</f>
        <v/>
      </c>
      <c r="H11" s="171">
        <f>'Data Sheet'!H29</f>
        <v/>
      </c>
      <c r="I11" s="171">
        <f>'Data Sheet'!I29</f>
        <v/>
      </c>
      <c r="J11" s="171">
        <f>'Data Sheet'!J29</f>
        <v/>
      </c>
      <c r="K11" s="171">
        <f>'Data Sheet'!K29</f>
        <v/>
      </c>
      <c r="L11" s="171">
        <f>SUM(Quarters!H11:K11)</f>
        <v/>
      </c>
      <c r="M11" s="10">
        <f>IF($L10&gt;0,$L11/$L10,0)</f>
        <v/>
      </c>
      <c r="N11" s="10">
        <f>IF($L10&gt;0,$L11/$L10,0)</f>
        <v/>
      </c>
    </row>
    <row r="12" customFormat="1" s="37">
      <c r="A12" s="37" t="inlineStr">
        <is>
          <t>Net profit</t>
        </is>
      </c>
      <c r="B12" s="170">
        <f>'Data Sheet'!B30</f>
        <v/>
      </c>
      <c r="C12" s="170">
        <f>'Data Sheet'!C30</f>
        <v/>
      </c>
      <c r="D12" s="170">
        <f>'Data Sheet'!D30</f>
        <v/>
      </c>
      <c r="E12" s="170">
        <f>'Data Sheet'!E30</f>
        <v/>
      </c>
      <c r="F12" s="170">
        <f>'Data Sheet'!F30</f>
        <v/>
      </c>
      <c r="G12" s="170">
        <f>'Data Sheet'!G30</f>
        <v/>
      </c>
      <c r="H12" s="170">
        <f>'Data Sheet'!H30</f>
        <v/>
      </c>
      <c r="I12" s="170">
        <f>'Data Sheet'!I30</f>
        <v/>
      </c>
      <c r="J12" s="170">
        <f>'Data Sheet'!J30</f>
        <v/>
      </c>
      <c r="K12" s="170">
        <f>'Data Sheet'!K30</f>
        <v/>
      </c>
      <c r="L12" s="170">
        <f>SUM(Quarters!H12:K12)</f>
        <v/>
      </c>
      <c r="M12" s="170">
        <f>M10-M11*M10</f>
        <v/>
      </c>
      <c r="N12" s="170">
        <f>N10-N11*N10</f>
        <v/>
      </c>
    </row>
    <row r="13">
      <c r="A13" t="inlineStr">
        <is>
          <t>EPS</t>
        </is>
      </c>
      <c r="B13" s="171">
        <f>IF('Data Sheet'!B93&gt;0,B12/'Data Sheet'!B93,0)</f>
        <v/>
      </c>
      <c r="C13" s="171">
        <f>IF('Data Sheet'!C93&gt;0,C12/'Data Sheet'!C93,0)</f>
        <v/>
      </c>
      <c r="D13" s="171">
        <f>IF('Data Sheet'!D93&gt;0,D12/'Data Sheet'!D93,0)</f>
        <v/>
      </c>
      <c r="E13" s="171">
        <f>IF('Data Sheet'!E93&gt;0,E12/'Data Sheet'!E93,0)</f>
        <v/>
      </c>
      <c r="F13" s="171">
        <f>IF('Data Sheet'!F93&gt;0,F12/'Data Sheet'!F93,0)</f>
        <v/>
      </c>
      <c r="G13" s="171">
        <f>IF('Data Sheet'!G93&gt;0,G12/'Data Sheet'!G93,0)</f>
        <v/>
      </c>
      <c r="H13" s="171">
        <f>IF('Data Sheet'!H93&gt;0,H12/'Data Sheet'!H93,0)</f>
        <v/>
      </c>
      <c r="I13" s="171">
        <f>IF('Data Sheet'!I93&gt;0,I12/'Data Sheet'!I93,0)</f>
        <v/>
      </c>
      <c r="J13" s="171">
        <f>IF('Data Sheet'!J93&gt;0,J12/'Data Sheet'!J93,0)</f>
        <v/>
      </c>
      <c r="K13" s="171">
        <f>IF('Data Sheet'!K93&gt;0,K12/'Data Sheet'!K93,0)</f>
        <v/>
      </c>
      <c r="L13" s="171">
        <f>IF('Data Sheet'!$B6&gt;0,'Profit &amp; Loss'!L12/'Data Sheet'!$B6,0)</f>
        <v/>
      </c>
      <c r="M13" s="171">
        <f>IF('Data Sheet'!$B6&gt;0,'Profit &amp; Loss'!M12/'Data Sheet'!$B6,0)</f>
        <v/>
      </c>
      <c r="N13" s="171">
        <f>IF('Data Sheet'!$B6&gt;0,'Profit &amp; Loss'!N12/'Data Sheet'!$B6,0)</f>
        <v/>
      </c>
    </row>
    <row r="14">
      <c r="A14" t="inlineStr">
        <is>
          <t>Price to earning</t>
        </is>
      </c>
      <c r="B14" s="171">
        <f>IF(B15&gt;0,B15/B13,"")</f>
        <v/>
      </c>
      <c r="C14" s="171">
        <f>IF(C15&gt;0,C15/C13,"")</f>
        <v/>
      </c>
      <c r="D14" s="171">
        <f>IF(D15&gt;0,D15/D13,"")</f>
        <v/>
      </c>
      <c r="E14" s="171">
        <f>IF(E15&gt;0,E15/E13,"")</f>
        <v/>
      </c>
      <c r="F14" s="171">
        <f>IF(F15&gt;0,F15/F13,"")</f>
        <v/>
      </c>
      <c r="G14" s="171">
        <f>IF(G15&gt;0,G15/G13,"")</f>
        <v/>
      </c>
      <c r="H14" s="171">
        <f>IF(H15&gt;0,H15/H13,"")</f>
        <v/>
      </c>
      <c r="I14" s="171">
        <f>IF(I15&gt;0,I15/I13,"")</f>
        <v/>
      </c>
      <c r="J14" s="171">
        <f>IF(J15&gt;0,J15/J13,"")</f>
        <v/>
      </c>
      <c r="K14" s="171">
        <f>IF(K15&gt;0,K15/K13,"")</f>
        <v/>
      </c>
      <c r="L14" s="171">
        <f>IF(L13&gt;0,L15/L13,0)</f>
        <v/>
      </c>
      <c r="M14" s="171">
        <f>M25</f>
        <v/>
      </c>
      <c r="N14" s="171">
        <f>N25</f>
        <v/>
      </c>
    </row>
    <row r="15" customFormat="1" s="37">
      <c r="A15" s="37" t="inlineStr">
        <is>
          <t>Price</t>
        </is>
      </c>
      <c r="B15" s="170">
        <f>'Data Sheet'!B90</f>
        <v/>
      </c>
      <c r="C15" s="170">
        <f>'Data Sheet'!C90</f>
        <v/>
      </c>
      <c r="D15" s="170">
        <f>'Data Sheet'!D90</f>
        <v/>
      </c>
      <c r="E15" s="170">
        <f>'Data Sheet'!E90</f>
        <v/>
      </c>
      <c r="F15" s="170">
        <f>'Data Sheet'!F90</f>
        <v/>
      </c>
      <c r="G15" s="170">
        <f>'Data Sheet'!G90</f>
        <v/>
      </c>
      <c r="H15" s="170">
        <f>'Data Sheet'!H90</f>
        <v/>
      </c>
      <c r="I15" s="170">
        <f>'Data Sheet'!I90</f>
        <v/>
      </c>
      <c r="J15" s="170">
        <f>'Data Sheet'!J90</f>
        <v/>
      </c>
      <c r="K15" s="170">
        <f>'Data Sheet'!K90</f>
        <v/>
      </c>
      <c r="L15" s="170">
        <f>'Data Sheet'!B8</f>
        <v/>
      </c>
      <c r="M15" s="172">
        <f>M13*M14</f>
        <v/>
      </c>
      <c r="N15" s="173">
        <f>N13*N14</f>
        <v/>
      </c>
    </row>
    <row r="17" customFormat="1" s="37">
      <c r="A17" s="37" t="inlineStr">
        <is>
          <t>RATIOS:</t>
        </is>
      </c>
    </row>
    <row r="18">
      <c r="A18" t="inlineStr">
        <is>
          <t>Dividend Payout</t>
        </is>
      </c>
      <c r="B18" s="46">
        <f>IF('Data Sheet'!B30&gt;0, 'Data Sheet'!B31/'Data Sheet'!B30, 0)</f>
        <v/>
      </c>
      <c r="C18" s="46">
        <f>IF('Data Sheet'!C30&gt;0, 'Data Sheet'!C31/'Data Sheet'!C30, 0)</f>
        <v/>
      </c>
      <c r="D18" s="46">
        <f>IF('Data Sheet'!D30&gt;0, 'Data Sheet'!D31/'Data Sheet'!D30, 0)</f>
        <v/>
      </c>
      <c r="E18" s="46">
        <f>IF('Data Sheet'!E30&gt;0, 'Data Sheet'!E31/'Data Sheet'!E30, 0)</f>
        <v/>
      </c>
      <c r="F18" s="46">
        <f>IF('Data Sheet'!F30&gt;0, 'Data Sheet'!F31/'Data Sheet'!F30, 0)</f>
        <v/>
      </c>
      <c r="G18" s="46">
        <f>IF('Data Sheet'!G30&gt;0, 'Data Sheet'!G31/'Data Sheet'!G30, 0)</f>
        <v/>
      </c>
      <c r="H18" s="46">
        <f>IF('Data Sheet'!H30&gt;0, 'Data Sheet'!H31/'Data Sheet'!H30, 0)</f>
        <v/>
      </c>
      <c r="I18" s="46">
        <f>IF('Data Sheet'!I30&gt;0, 'Data Sheet'!I31/'Data Sheet'!I30, 0)</f>
        <v/>
      </c>
      <c r="J18" s="46">
        <f>IF('Data Sheet'!J30&gt;0, 'Data Sheet'!J31/'Data Sheet'!J30, 0)</f>
        <v/>
      </c>
      <c r="K18" s="46">
        <f>IF('Data Sheet'!K30&gt;0, 'Data Sheet'!K31/'Data Sheet'!K30, 0)</f>
        <v/>
      </c>
    </row>
    <row r="19">
      <c r="A19" t="inlineStr">
        <is>
          <t>OPM</t>
        </is>
      </c>
      <c r="B19" s="46">
        <f>IF(B6&gt;0,B6/B4,0)</f>
        <v/>
      </c>
      <c r="C19" s="46">
        <f>IF(C6&gt;0,C6/C4,0)</f>
        <v/>
      </c>
      <c r="D19" s="46">
        <f>IF(D6&gt;0,D6/D4,0)</f>
        <v/>
      </c>
      <c r="E19" s="46">
        <f>IF(E6&gt;0,E6/E4,0)</f>
        <v/>
      </c>
      <c r="F19" s="46">
        <f>IF(F6&gt;0,F6/F4,0)</f>
        <v/>
      </c>
      <c r="G19" s="46">
        <f>IF(G6&gt;0,G6/G4,0)</f>
        <v/>
      </c>
      <c r="H19" s="46">
        <f>IF(H6&gt;0,H6/H4,0)</f>
        <v/>
      </c>
      <c r="I19" s="46">
        <f>IF(I6&gt;0,I6/I4,0)</f>
        <v/>
      </c>
      <c r="J19" s="46">
        <f>IF(J6&gt;0,J6/J4,0)</f>
        <v/>
      </c>
      <c r="K19" s="46">
        <f>IF(K6&gt;0,K6/K4,0)</f>
        <v/>
      </c>
      <c r="L19" s="46">
        <f>IF(L6&gt;0,L6/L4,0)</f>
        <v/>
      </c>
    </row>
    <row r="20">
      <c r="B20" s="46" t="n"/>
      <c r="C20" s="46" t="n"/>
      <c r="D20" s="46" t="n"/>
      <c r="E20" s="46" t="n"/>
      <c r="F20" s="46" t="n"/>
      <c r="G20" s="46" t="n"/>
      <c r="H20" s="46" t="n"/>
      <c r="I20" s="46" t="n"/>
      <c r="J20" s="46" t="n"/>
      <c r="K20" s="46" t="n"/>
      <c r="L20" s="46" t="n"/>
    </row>
    <row r="21">
      <c r="B21" s="46" t="n"/>
      <c r="C21" s="46" t="n"/>
      <c r="D21" s="46" t="n"/>
      <c r="E21" s="46" t="n"/>
      <c r="F21" s="46" t="n"/>
      <c r="G21" s="46" t="n"/>
      <c r="H21" s="46" t="n"/>
      <c r="I21" s="46" t="n"/>
      <c r="J21" s="46" t="n"/>
      <c r="K21" s="46" t="n"/>
      <c r="L21" s="46" t="n"/>
    </row>
    <row r="22" customFormat="1" s="37">
      <c r="A22" s="15" t="n"/>
      <c r="B22" s="16" t="n"/>
      <c r="C22" s="16" t="n"/>
      <c r="D22" s="16" t="n"/>
      <c r="E22" s="16" t="n"/>
      <c r="F22" s="16" t="n"/>
      <c r="G22" s="16" t="inlineStr">
        <is>
          <t>TRENDS:</t>
        </is>
      </c>
      <c r="H22" s="16" t="inlineStr">
        <is>
          <t>10 YEARS</t>
        </is>
      </c>
      <c r="I22" s="16" t="inlineStr">
        <is>
          <t>7 YEARS</t>
        </is>
      </c>
      <c r="J22" s="16" t="inlineStr">
        <is>
          <t>5 YEARS</t>
        </is>
      </c>
      <c r="K22" s="16" t="inlineStr">
        <is>
          <t>3 YEARS</t>
        </is>
      </c>
      <c r="L22" s="17" t="inlineStr">
        <is>
          <t>RECENT</t>
        </is>
      </c>
      <c r="M22" s="17" t="inlineStr">
        <is>
          <t>BEST</t>
        </is>
      </c>
      <c r="N22" s="17" t="inlineStr">
        <is>
          <t>WORST</t>
        </is>
      </c>
    </row>
    <row r="23" customFormat="1" s="37">
      <c r="G23" t="inlineStr">
        <is>
          <t>Sales Growth</t>
        </is>
      </c>
      <c r="H23" s="46">
        <f>IF(B4=0,"",POWER($K4/B4,1/9)-1)</f>
        <v/>
      </c>
      <c r="I23" s="46">
        <f>IF(D4=0,"",POWER($K4/D4,1/7)-1)</f>
        <v/>
      </c>
      <c r="J23" s="46">
        <f>IF(F4=0,"",POWER($K4/F4,1/5)-1)</f>
        <v/>
      </c>
      <c r="K23" s="46">
        <f>IF(H4=0,"",POWER($K4/H4, 1/3)-1)</f>
        <v/>
      </c>
      <c r="L23" s="46">
        <f>IF(ISERROR(MAX(IF(J4=0,"",(K4-J4)/J4),IF(K4=0,"",(L4-K4)/K4))),"",MAX(IF(J4=0,"",(K4-J4)/J4),IF(K4=0,"",(L4-K4)/K4)))</f>
        <v/>
      </c>
      <c r="M23" s="22">
        <f>MAX(K23:L23)</f>
        <v/>
      </c>
      <c r="N23" s="22">
        <f>MIN(H23:L23)</f>
        <v/>
      </c>
    </row>
    <row r="24">
      <c r="G24" t="inlineStr">
        <is>
          <t>OPM</t>
        </is>
      </c>
      <c r="H24" s="46">
        <f>IF(SUM(B4:$K$4)=0,"",SUMPRODUCT(B19:$K$19,B4:$K$4)/SUM(B4:$K$4))</f>
        <v/>
      </c>
      <c r="I24" s="46">
        <f>IF(SUM(E4:$K$4)=0,"",SUMPRODUCT(E19:$K$19,E4:$K$4)/SUM(E4:$K$4))</f>
        <v/>
      </c>
      <c r="J24" s="46">
        <f>IF(SUM(G4:$K$4)=0,"",SUMPRODUCT(G19:$K$19,G4:$K$4)/SUM(G4:$K$4))</f>
        <v/>
      </c>
      <c r="K24" s="46">
        <f>IF(SUM(I4:$K$4)=0, "", SUMPRODUCT(I19:$K$19,I4:$K$4)/SUM(I4:$K$4))</f>
        <v/>
      </c>
      <c r="L24" s="46">
        <f>L19</f>
        <v/>
      </c>
      <c r="M24" s="22">
        <f>MAX(K24:L24)</f>
        <v/>
      </c>
      <c r="N24" s="22">
        <f>MIN(H24:L24)</f>
        <v/>
      </c>
    </row>
    <row r="25">
      <c r="G25" t="inlineStr">
        <is>
          <t>Price to Earning</t>
        </is>
      </c>
      <c r="H25" s="171">
        <f>IF(ISERROR(AVERAGEIF(B14:$L14,"&gt;0")),"",AVERAGEIF(B14:$L14,"&gt;0"))</f>
        <v/>
      </c>
      <c r="I25" s="171">
        <f>IF(ISERROR(AVERAGEIF(E14:$L14,"&gt;0")),"",AVERAGEIF(E14:$L14,"&gt;0"))</f>
        <v/>
      </c>
      <c r="J25" s="171">
        <f>IF(ISERROR(AVERAGEIF(G14:$L14,"&gt;0")),"",AVERAGEIF(G14:$L14,"&gt;0"))</f>
        <v/>
      </c>
      <c r="K25" s="171">
        <f>IF(ISERROR(AVERAGEIF(I14:$L14,"&gt;0")),"",AVERAGEIF(I14:$L14,"&gt;0"))</f>
        <v/>
      </c>
      <c r="L25" s="171">
        <f>L14</f>
        <v/>
      </c>
      <c r="M25" s="170">
        <f>MAX(K25:L25)</f>
        <v/>
      </c>
      <c r="N25" s="170">
        <f>MIN(H25:L25)</f>
        <v/>
      </c>
    </row>
  </sheetData>
  <hyperlinks>
    <hyperlink xmlns:r="http://schemas.openxmlformats.org/officeDocument/2006/relationships" ref="M1" r:id="rId1"/>
  </hyperlinks>
  <printOptions gridLines="1"/>
  <pageMargins left="0.7" right="0.7" top="0.75" bottom="0.75" header="0.3" footer="0.3"/>
  <pageSetup orientation="landscape" paperSize="9" horizontalDpi="300" verticalDpi="300"/>
  <tableParts count="1">
    <tablePart xmlns:r="http://schemas.openxmlformats.org/officeDocument/2006/relationships" r:id="rId2"/>
  </tableParts>
</worksheet>
</file>

<file path=xl/worksheets/sheet2.xml><?xml version="1.0" encoding="utf-8"?>
<worksheet xmlns="http://schemas.openxmlformats.org/spreadsheetml/2006/main">
  <sheetPr codeName="Sheet4">
    <outlinePr summaryBelow="1" summaryRight="1"/>
    <pageSetUpPr fitToPage="1"/>
  </sheetPr>
  <dimension ref="A1:K14"/>
  <sheetViews>
    <sheetView zoomScale="150" workbookViewId="0">
      <pane xSplit="1" ySplit="3" topLeftCell="D4" activePane="bottomRight" state="frozen"/>
      <selection pane="topRight" activeCell="B1" sqref="B1"/>
      <selection pane="bottomLeft" activeCell="A4" sqref="A4"/>
      <selection pane="bottomRight" activeCell="K5" sqref="K5"/>
    </sheetView>
  </sheetViews>
  <sheetFormatPr baseColWidth="8" defaultColWidth="8.77734375" defaultRowHeight="14.4"/>
  <cols>
    <col width="20.6640625" customWidth="1" style="109" min="1" max="1"/>
    <col width="13.44140625" bestFit="1" customWidth="1" style="109" min="2" max="11"/>
    <col width="8.77734375" customWidth="1" style="109" min="12" max="16384"/>
  </cols>
  <sheetData>
    <row r="1" customFormat="1" s="37">
      <c r="A1" s="37">
        <f>'Profit &amp; Loss'!A1</f>
        <v/>
      </c>
      <c r="E1">
        <f>UPDATE</f>
        <v/>
      </c>
      <c r="J1" s="37" t="inlineStr">
        <is>
          <t>SCREENER.IN</t>
        </is>
      </c>
      <c r="K1" s="37" t="n"/>
    </row>
    <row r="3" customFormat="1" s="37">
      <c r="A3" s="15" t="inlineStr">
        <is>
          <t>Narration</t>
        </is>
      </c>
      <c r="B3" s="16">
        <f>'Data Sheet'!B41</f>
        <v/>
      </c>
      <c r="C3" s="16">
        <f>'Data Sheet'!C41</f>
        <v/>
      </c>
      <c r="D3" s="16">
        <f>'Data Sheet'!D41</f>
        <v/>
      </c>
      <c r="E3" s="16">
        <f>'Data Sheet'!E41</f>
        <v/>
      </c>
      <c r="F3" s="16">
        <f>'Data Sheet'!F41</f>
        <v/>
      </c>
      <c r="G3" s="16">
        <f>'Data Sheet'!G41</f>
        <v/>
      </c>
      <c r="H3" s="16">
        <f>'Data Sheet'!H41</f>
        <v/>
      </c>
      <c r="I3" s="16">
        <f>'Data Sheet'!I41</f>
        <v/>
      </c>
      <c r="J3" s="16">
        <f>'Data Sheet'!J41</f>
        <v/>
      </c>
      <c r="K3" s="16">
        <f>'Data Sheet'!K41</f>
        <v/>
      </c>
    </row>
    <row r="4" customFormat="1" s="37">
      <c r="A4" s="37" t="inlineStr">
        <is>
          <t>Sales</t>
        </is>
      </c>
      <c r="B4" s="170">
        <f>'Data Sheet'!B42</f>
        <v/>
      </c>
      <c r="C4" s="170">
        <f>'Data Sheet'!C42</f>
        <v/>
      </c>
      <c r="D4" s="170">
        <f>'Data Sheet'!D42</f>
        <v/>
      </c>
      <c r="E4" s="170">
        <f>'Data Sheet'!E42</f>
        <v/>
      </c>
      <c r="F4" s="170">
        <f>'Data Sheet'!F42</f>
        <v/>
      </c>
      <c r="G4" s="170">
        <f>'Data Sheet'!G42</f>
        <v/>
      </c>
      <c r="H4" s="170">
        <f>'Data Sheet'!H42</f>
        <v/>
      </c>
      <c r="I4" s="170">
        <f>'Data Sheet'!I42</f>
        <v/>
      </c>
      <c r="J4" s="170">
        <f>'Data Sheet'!J42</f>
        <v/>
      </c>
      <c r="K4" s="170">
        <f>'Data Sheet'!K42</f>
        <v/>
      </c>
    </row>
    <row r="5">
      <c r="A5" t="inlineStr">
        <is>
          <t>Expenses</t>
        </is>
      </c>
      <c r="B5" s="171">
        <f>'Data Sheet'!B43</f>
        <v/>
      </c>
      <c r="C5" s="171">
        <f>'Data Sheet'!C43</f>
        <v/>
      </c>
      <c r="D5" s="171">
        <f>'Data Sheet'!D43</f>
        <v/>
      </c>
      <c r="E5" s="171">
        <f>'Data Sheet'!E43</f>
        <v/>
      </c>
      <c r="F5" s="171">
        <f>'Data Sheet'!F43</f>
        <v/>
      </c>
      <c r="G5" s="171">
        <f>'Data Sheet'!G43</f>
        <v/>
      </c>
      <c r="H5" s="171">
        <f>'Data Sheet'!H43</f>
        <v/>
      </c>
      <c r="I5" s="171">
        <f>'Data Sheet'!I43</f>
        <v/>
      </c>
      <c r="J5" s="171">
        <f>'Data Sheet'!J43</f>
        <v/>
      </c>
      <c r="K5" s="171">
        <f>'Data Sheet'!K43</f>
        <v/>
      </c>
    </row>
    <row r="6" customFormat="1" s="37">
      <c r="A6" s="37" t="inlineStr">
        <is>
          <t>Operating Profit</t>
        </is>
      </c>
      <c r="B6" s="170">
        <f>'Data Sheet'!B50</f>
        <v/>
      </c>
      <c r="C6" s="170">
        <f>'Data Sheet'!C50</f>
        <v/>
      </c>
      <c r="D6" s="170">
        <f>'Data Sheet'!D50</f>
        <v/>
      </c>
      <c r="E6" s="170">
        <f>'Data Sheet'!E50</f>
        <v/>
      </c>
      <c r="F6" s="170">
        <f>'Data Sheet'!F50</f>
        <v/>
      </c>
      <c r="G6" s="170">
        <f>'Data Sheet'!G50</f>
        <v/>
      </c>
      <c r="H6" s="170">
        <f>'Data Sheet'!H50</f>
        <v/>
      </c>
      <c r="I6" s="170">
        <f>'Data Sheet'!I50</f>
        <v/>
      </c>
      <c r="J6" s="170">
        <f>'Data Sheet'!J50</f>
        <v/>
      </c>
      <c r="K6" s="170">
        <f>'Data Sheet'!K50</f>
        <v/>
      </c>
    </row>
    <row r="7">
      <c r="A7" t="inlineStr">
        <is>
          <t>Other Income</t>
        </is>
      </c>
      <c r="B7" s="171">
        <f>'Data Sheet'!B44</f>
        <v/>
      </c>
      <c r="C7" s="171">
        <f>'Data Sheet'!C44</f>
        <v/>
      </c>
      <c r="D7" s="171">
        <f>'Data Sheet'!D44</f>
        <v/>
      </c>
      <c r="E7" s="171">
        <f>'Data Sheet'!E44</f>
        <v/>
      </c>
      <c r="F7" s="171">
        <f>'Data Sheet'!F44</f>
        <v/>
      </c>
      <c r="G7" s="171">
        <f>'Data Sheet'!G44</f>
        <v/>
      </c>
      <c r="H7" s="171">
        <f>'Data Sheet'!H44</f>
        <v/>
      </c>
      <c r="I7" s="171">
        <f>'Data Sheet'!I44</f>
        <v/>
      </c>
      <c r="J7" s="171">
        <f>'Data Sheet'!J44</f>
        <v/>
      </c>
      <c r="K7" s="171">
        <f>'Data Sheet'!K44</f>
        <v/>
      </c>
    </row>
    <row r="8">
      <c r="A8" t="inlineStr">
        <is>
          <t>Depreciation</t>
        </is>
      </c>
      <c r="B8" s="171">
        <f>'Data Sheet'!B45</f>
        <v/>
      </c>
      <c r="C8" s="171">
        <f>'Data Sheet'!C45</f>
        <v/>
      </c>
      <c r="D8" s="171">
        <f>'Data Sheet'!D45</f>
        <v/>
      </c>
      <c r="E8" s="171">
        <f>'Data Sheet'!E45</f>
        <v/>
      </c>
      <c r="F8" s="171">
        <f>'Data Sheet'!F45</f>
        <v/>
      </c>
      <c r="G8" s="171">
        <f>'Data Sheet'!G45</f>
        <v/>
      </c>
      <c r="H8" s="171">
        <f>'Data Sheet'!H45</f>
        <v/>
      </c>
      <c r="I8" s="171">
        <f>'Data Sheet'!I45</f>
        <v/>
      </c>
      <c r="J8" s="171">
        <f>'Data Sheet'!J45</f>
        <v/>
      </c>
      <c r="K8" s="171">
        <f>'Data Sheet'!K45</f>
        <v/>
      </c>
    </row>
    <row r="9">
      <c r="A9" t="inlineStr">
        <is>
          <t>Interest</t>
        </is>
      </c>
      <c r="B9" s="171">
        <f>'Data Sheet'!B46</f>
        <v/>
      </c>
      <c r="C9" s="171">
        <f>'Data Sheet'!C46</f>
        <v/>
      </c>
      <c r="D9" s="171">
        <f>'Data Sheet'!D46</f>
        <v/>
      </c>
      <c r="E9" s="171">
        <f>'Data Sheet'!E46</f>
        <v/>
      </c>
      <c r="F9" s="171">
        <f>'Data Sheet'!F46</f>
        <v/>
      </c>
      <c r="G9" s="171">
        <f>'Data Sheet'!G46</f>
        <v/>
      </c>
      <c r="H9" s="171">
        <f>'Data Sheet'!H46</f>
        <v/>
      </c>
      <c r="I9" s="171">
        <f>'Data Sheet'!I46</f>
        <v/>
      </c>
      <c r="J9" s="171">
        <f>'Data Sheet'!J46</f>
        <v/>
      </c>
      <c r="K9" s="171">
        <f>'Data Sheet'!K46</f>
        <v/>
      </c>
    </row>
    <row r="10">
      <c r="A10" t="inlineStr">
        <is>
          <t>Profit before tax</t>
        </is>
      </c>
      <c r="B10" s="171">
        <f>'Data Sheet'!B47</f>
        <v/>
      </c>
      <c r="C10" s="171">
        <f>'Data Sheet'!C47</f>
        <v/>
      </c>
      <c r="D10" s="171">
        <f>'Data Sheet'!D47</f>
        <v/>
      </c>
      <c r="E10" s="171">
        <f>'Data Sheet'!E47</f>
        <v/>
      </c>
      <c r="F10" s="171">
        <f>'Data Sheet'!F47</f>
        <v/>
      </c>
      <c r="G10" s="171">
        <f>'Data Sheet'!G47</f>
        <v/>
      </c>
      <c r="H10" s="171">
        <f>'Data Sheet'!H47</f>
        <v/>
      </c>
      <c r="I10" s="171">
        <f>'Data Sheet'!I47</f>
        <v/>
      </c>
      <c r="J10" s="171">
        <f>'Data Sheet'!J47</f>
        <v/>
      </c>
      <c r="K10" s="171">
        <f>'Data Sheet'!K47</f>
        <v/>
      </c>
    </row>
    <row r="11">
      <c r="A11" t="inlineStr">
        <is>
          <t>Tax</t>
        </is>
      </c>
      <c r="B11" s="171">
        <f>'Data Sheet'!B48</f>
        <v/>
      </c>
      <c r="C11" s="171">
        <f>'Data Sheet'!C48</f>
        <v/>
      </c>
      <c r="D11" s="171">
        <f>'Data Sheet'!D48</f>
        <v/>
      </c>
      <c r="E11" s="171">
        <f>'Data Sheet'!E48</f>
        <v/>
      </c>
      <c r="F11" s="171">
        <f>'Data Sheet'!F48</f>
        <v/>
      </c>
      <c r="G11" s="171">
        <f>'Data Sheet'!G48</f>
        <v/>
      </c>
      <c r="H11" s="171">
        <f>'Data Sheet'!H48</f>
        <v/>
      </c>
      <c r="I11" s="171">
        <f>'Data Sheet'!I48</f>
        <v/>
      </c>
      <c r="J11" s="171">
        <f>'Data Sheet'!J48</f>
        <v/>
      </c>
      <c r="K11" s="171">
        <f>'Data Sheet'!K48</f>
        <v/>
      </c>
    </row>
    <row r="12" customFormat="1" s="37">
      <c r="A12" s="37" t="inlineStr">
        <is>
          <t>Net profit</t>
        </is>
      </c>
      <c r="B12" s="170">
        <f>'Data Sheet'!B49</f>
        <v/>
      </c>
      <c r="C12" s="170">
        <f>'Data Sheet'!C49</f>
        <v/>
      </c>
      <c r="D12" s="170">
        <f>'Data Sheet'!D49</f>
        <v/>
      </c>
      <c r="E12" s="170">
        <f>'Data Sheet'!E49</f>
        <v/>
      </c>
      <c r="F12" s="170">
        <f>'Data Sheet'!F49</f>
        <v/>
      </c>
      <c r="G12" s="170">
        <f>'Data Sheet'!G49</f>
        <v/>
      </c>
      <c r="H12" s="170">
        <f>'Data Sheet'!H49</f>
        <v/>
      </c>
      <c r="I12" s="170">
        <f>'Data Sheet'!I49</f>
        <v/>
      </c>
      <c r="J12" s="170">
        <f>'Data Sheet'!J49</f>
        <v/>
      </c>
      <c r="K12" s="170">
        <f>'Data Sheet'!K49</f>
        <v/>
      </c>
    </row>
    <row r="14" customFormat="1" s="37">
      <c r="A14" s="37" t="inlineStr">
        <is>
          <t>OPM</t>
        </is>
      </c>
      <c r="B14" s="14">
        <f>IF(B4&gt;0,B6/B4,"")</f>
        <v/>
      </c>
      <c r="C14" s="14">
        <f>IF(C4&gt;0,C6/C4,"")</f>
        <v/>
      </c>
      <c r="D14" s="14">
        <f>IF(D4&gt;0,D6/D4,"")</f>
        <v/>
      </c>
      <c r="E14" s="14">
        <f>IF(E4&gt;0,E6/E4,"")</f>
        <v/>
      </c>
      <c r="F14" s="14">
        <f>IF(F4&gt;0,F6/F4,"")</f>
        <v/>
      </c>
      <c r="G14" s="14">
        <f>IF(G4&gt;0,G6/G4,"")</f>
        <v/>
      </c>
      <c r="H14" s="14">
        <f>IF(H4&gt;0,H6/H4,"")</f>
        <v/>
      </c>
      <c r="I14" s="14">
        <f>IF(I4&gt;0,I6/I4,"")</f>
        <v/>
      </c>
      <c r="J14" s="14">
        <f>IF(J4&gt;0,J6/J4,"")</f>
        <v/>
      </c>
      <c r="K14" s="14">
        <f>IF(K4&gt;0,K6/K4,"")</f>
        <v/>
      </c>
    </row>
    <row r="22" customFormat="1" s="30"/>
  </sheetData>
  <hyperlinks>
    <hyperlink xmlns:r="http://schemas.openxmlformats.org/officeDocument/2006/relationships" ref="J1" r:id="rId1"/>
  </hyperlinks>
  <printOptions gridLines="1"/>
  <pageMargins left="0.7" right="0.7" top="0.75" bottom="0.75" header="0.3" footer="0.3"/>
  <pageSetup orientation="landscape" paperSize="9" scale="83" horizontalDpi="300" verticalDpi="300"/>
  <tableParts count="1">
    <tablePart xmlns:r="http://schemas.openxmlformats.org/officeDocument/2006/relationships" r:id="rId2"/>
  </tableParts>
</worksheet>
</file>

<file path=xl/worksheets/sheet3.xml><?xml version="1.0" encoding="utf-8"?>
<worksheet xmlns="http://schemas.openxmlformats.org/spreadsheetml/2006/main">
  <sheetPr codeName="Sheet2">
    <outlinePr summaryBelow="1" summaryRight="1"/>
    <pageSetUpPr fitToPage="1"/>
  </sheetPr>
  <dimension ref="A1:K24"/>
  <sheetViews>
    <sheetView zoomScale="125" workbookViewId="0">
      <pane xSplit="1" ySplit="3" topLeftCell="E4" activePane="bottomRight" state="frozen"/>
      <selection activeCell="C4" sqref="C4"/>
      <selection pane="topRight" activeCell="C4" sqref="C4"/>
      <selection pane="bottomLeft" activeCell="C4" sqref="C4"/>
      <selection pane="bottomRight" activeCell="K24" sqref="K24"/>
    </sheetView>
  </sheetViews>
  <sheetFormatPr baseColWidth="8" defaultColWidth="8.77734375" defaultRowHeight="14.4"/>
  <cols>
    <col width="22.77734375" bestFit="1" customWidth="1" style="109" min="1" max="1"/>
    <col width="13.44140625" customWidth="1" style="109" min="2" max="2"/>
    <col width="15.44140625" customWidth="1" style="109" min="3" max="11"/>
    <col width="8.77734375" customWidth="1" style="109" min="12" max="16384"/>
  </cols>
  <sheetData>
    <row r="1" customFormat="1" s="37">
      <c r="A1" s="37">
        <f>'Profit &amp; Loss'!A1</f>
        <v/>
      </c>
      <c r="E1">
        <f>UPDATE</f>
        <v/>
      </c>
      <c r="J1" s="37" t="inlineStr">
        <is>
          <t>SCREENER.IN</t>
        </is>
      </c>
      <c r="K1" s="37" t="n"/>
    </row>
    <row r="2">
      <c r="G2" s="37" t="n"/>
      <c r="H2" s="37" t="n"/>
    </row>
    <row r="3" s="109">
      <c r="A3" s="15" t="inlineStr">
        <is>
          <t>Narration</t>
        </is>
      </c>
      <c r="B3" s="16">
        <f>'Data Sheet'!B56</f>
        <v/>
      </c>
      <c r="C3" s="16">
        <f>'Data Sheet'!C56</f>
        <v/>
      </c>
      <c r="D3" s="16">
        <f>'Data Sheet'!D56</f>
        <v/>
      </c>
      <c r="E3" s="16">
        <f>'Data Sheet'!E56</f>
        <v/>
      </c>
      <c r="F3" s="16">
        <f>'Data Sheet'!F56</f>
        <v/>
      </c>
      <c r="G3" s="16">
        <f>'Data Sheet'!G56</f>
        <v/>
      </c>
      <c r="H3" s="16">
        <f>'Data Sheet'!H56</f>
        <v/>
      </c>
      <c r="I3" s="16">
        <f>'Data Sheet'!I56</f>
        <v/>
      </c>
      <c r="J3" s="16">
        <f>'Data Sheet'!J56</f>
        <v/>
      </c>
      <c r="K3" s="16">
        <f>'Data Sheet'!K56</f>
        <v/>
      </c>
    </row>
    <row r="4">
      <c r="A4" t="inlineStr">
        <is>
          <t>Equity Share Capital</t>
        </is>
      </c>
      <c r="B4" s="174">
        <f>'Data Sheet'!B57</f>
        <v/>
      </c>
      <c r="C4" s="174">
        <f>'Data Sheet'!C57</f>
        <v/>
      </c>
      <c r="D4" s="174">
        <f>'Data Sheet'!D57</f>
        <v/>
      </c>
      <c r="E4" s="174">
        <f>'Data Sheet'!E57</f>
        <v/>
      </c>
      <c r="F4" s="174">
        <f>'Data Sheet'!F57</f>
        <v/>
      </c>
      <c r="G4" s="174">
        <f>'Data Sheet'!G57</f>
        <v/>
      </c>
      <c r="H4" s="174">
        <f>'Data Sheet'!H57</f>
        <v/>
      </c>
      <c r="I4" s="174">
        <f>'Data Sheet'!I57</f>
        <v/>
      </c>
      <c r="J4" s="174">
        <f>'Data Sheet'!J57</f>
        <v/>
      </c>
      <c r="K4" s="174">
        <f>'Data Sheet'!K57</f>
        <v/>
      </c>
    </row>
    <row r="5" s="109">
      <c r="A5" t="inlineStr">
        <is>
          <t>Reserves</t>
        </is>
      </c>
      <c r="B5" s="174">
        <f>'Data Sheet'!B58</f>
        <v/>
      </c>
      <c r="C5" s="174">
        <f>'Data Sheet'!C58</f>
        <v/>
      </c>
      <c r="D5" s="174">
        <f>'Data Sheet'!D58</f>
        <v/>
      </c>
      <c r="E5" s="174">
        <f>'Data Sheet'!E58</f>
        <v/>
      </c>
      <c r="F5" s="174">
        <f>'Data Sheet'!F58</f>
        <v/>
      </c>
      <c r="G5" s="174">
        <f>'Data Sheet'!G58</f>
        <v/>
      </c>
      <c r="H5" s="174">
        <f>'Data Sheet'!H58</f>
        <v/>
      </c>
      <c r="I5" s="174">
        <f>'Data Sheet'!I58</f>
        <v/>
      </c>
      <c r="J5" s="174">
        <f>'Data Sheet'!J58</f>
        <v/>
      </c>
      <c r="K5" s="174">
        <f>'Data Sheet'!K58</f>
        <v/>
      </c>
    </row>
    <row r="6">
      <c r="A6" t="inlineStr">
        <is>
          <t>Borrowings</t>
        </is>
      </c>
      <c r="B6" s="174">
        <f>'Data Sheet'!B59</f>
        <v/>
      </c>
      <c r="C6" s="174">
        <f>'Data Sheet'!C59</f>
        <v/>
      </c>
      <c r="D6" s="174">
        <f>'Data Sheet'!D59</f>
        <v/>
      </c>
      <c r="E6" s="174">
        <f>'Data Sheet'!E59</f>
        <v/>
      </c>
      <c r="F6" s="174">
        <f>'Data Sheet'!F59</f>
        <v/>
      </c>
      <c r="G6" s="174">
        <f>'Data Sheet'!G59</f>
        <v/>
      </c>
      <c r="H6" s="174">
        <f>'Data Sheet'!H59</f>
        <v/>
      </c>
      <c r="I6" s="174">
        <f>'Data Sheet'!I59</f>
        <v/>
      </c>
      <c r="J6" s="174">
        <f>'Data Sheet'!J59</f>
        <v/>
      </c>
      <c r="K6" s="174">
        <f>'Data Sheet'!K59</f>
        <v/>
      </c>
    </row>
    <row r="7" s="109">
      <c r="A7" t="inlineStr">
        <is>
          <t>Other Liabilities</t>
        </is>
      </c>
      <c r="B7" s="174">
        <f>'Data Sheet'!B60</f>
        <v/>
      </c>
      <c r="C7" s="174">
        <f>'Data Sheet'!C60</f>
        <v/>
      </c>
      <c r="D7" s="174">
        <f>'Data Sheet'!D60</f>
        <v/>
      </c>
      <c r="E7" s="174">
        <f>'Data Sheet'!E60</f>
        <v/>
      </c>
      <c r="F7" s="174">
        <f>'Data Sheet'!F60</f>
        <v/>
      </c>
      <c r="G7" s="174">
        <f>'Data Sheet'!G60</f>
        <v/>
      </c>
      <c r="H7" s="174">
        <f>'Data Sheet'!H60</f>
        <v/>
      </c>
      <c r="I7" s="174">
        <f>'Data Sheet'!I60</f>
        <v/>
      </c>
      <c r="J7" s="174">
        <f>'Data Sheet'!J60</f>
        <v/>
      </c>
      <c r="K7" s="174">
        <f>'Data Sheet'!K60</f>
        <v/>
      </c>
    </row>
    <row r="8" customFormat="1" s="37">
      <c r="A8" s="37" t="inlineStr">
        <is>
          <t>Total</t>
        </is>
      </c>
      <c r="B8" s="175">
        <f>'Data Sheet'!B61</f>
        <v/>
      </c>
      <c r="C8" s="175">
        <f>'Data Sheet'!C61</f>
        <v/>
      </c>
      <c r="D8" s="175">
        <f>'Data Sheet'!D61</f>
        <v/>
      </c>
      <c r="E8" s="175">
        <f>'Data Sheet'!E61</f>
        <v/>
      </c>
      <c r="F8" s="175">
        <f>'Data Sheet'!F61</f>
        <v/>
      </c>
      <c r="G8" s="175">
        <f>'Data Sheet'!G61</f>
        <v/>
      </c>
      <c r="H8" s="175">
        <f>'Data Sheet'!H61</f>
        <v/>
      </c>
      <c r="I8" s="175">
        <f>'Data Sheet'!I61</f>
        <v/>
      </c>
      <c r="J8" s="175">
        <f>'Data Sheet'!J61</f>
        <v/>
      </c>
      <c r="K8" s="175">
        <f>'Data Sheet'!K61</f>
        <v/>
      </c>
    </row>
    <row r="9" customFormat="1" s="37">
      <c r="B9" s="175" t="n"/>
      <c r="C9" s="175" t="n"/>
      <c r="D9" s="175" t="n"/>
      <c r="E9" s="175" t="n"/>
      <c r="F9" s="175" t="n"/>
      <c r="G9" s="175" t="n"/>
      <c r="H9" s="175" t="n"/>
      <c r="I9" s="175" t="n"/>
      <c r="J9" s="175" t="n"/>
      <c r="K9" s="175" t="n"/>
    </row>
    <row r="10">
      <c r="A10" t="inlineStr">
        <is>
          <t>Net Block</t>
        </is>
      </c>
      <c r="B10" s="174">
        <f>'Data Sheet'!B62</f>
        <v/>
      </c>
      <c r="C10" s="174">
        <f>'Data Sheet'!C62</f>
        <v/>
      </c>
      <c r="D10" s="174">
        <f>'Data Sheet'!D62</f>
        <v/>
      </c>
      <c r="E10" s="174">
        <f>'Data Sheet'!E62</f>
        <v/>
      </c>
      <c r="F10" s="174">
        <f>'Data Sheet'!F62</f>
        <v/>
      </c>
      <c r="G10" s="174">
        <f>'Data Sheet'!G62</f>
        <v/>
      </c>
      <c r="H10" s="174">
        <f>'Data Sheet'!H62</f>
        <v/>
      </c>
      <c r="I10" s="174">
        <f>'Data Sheet'!I62</f>
        <v/>
      </c>
      <c r="J10" s="174">
        <f>'Data Sheet'!J62</f>
        <v/>
      </c>
      <c r="K10" s="174">
        <f>'Data Sheet'!K62</f>
        <v/>
      </c>
    </row>
    <row r="11">
      <c r="A11" t="inlineStr">
        <is>
          <t>Capital Work in Progress</t>
        </is>
      </c>
      <c r="B11" s="174">
        <f>'Data Sheet'!B63</f>
        <v/>
      </c>
      <c r="C11" s="174">
        <f>'Data Sheet'!C63</f>
        <v/>
      </c>
      <c r="D11" s="174">
        <f>'Data Sheet'!D63</f>
        <v/>
      </c>
      <c r="E11" s="174">
        <f>'Data Sheet'!E63</f>
        <v/>
      </c>
      <c r="F11" s="174">
        <f>'Data Sheet'!F63</f>
        <v/>
      </c>
      <c r="G11" s="174">
        <f>'Data Sheet'!G63</f>
        <v/>
      </c>
      <c r="H11" s="174">
        <f>'Data Sheet'!H63</f>
        <v/>
      </c>
      <c r="I11" s="174">
        <f>'Data Sheet'!I63</f>
        <v/>
      </c>
      <c r="J11" s="174">
        <f>'Data Sheet'!J63</f>
        <v/>
      </c>
      <c r="K11" s="174">
        <f>'Data Sheet'!K63</f>
        <v/>
      </c>
    </row>
    <row r="12">
      <c r="A12" t="inlineStr">
        <is>
          <t>Investments</t>
        </is>
      </c>
      <c r="B12" s="174">
        <f>'Data Sheet'!B64</f>
        <v/>
      </c>
      <c r="C12" s="174">
        <f>'Data Sheet'!C64</f>
        <v/>
      </c>
      <c r="D12" s="174">
        <f>'Data Sheet'!D64</f>
        <v/>
      </c>
      <c r="E12" s="174">
        <f>'Data Sheet'!E64</f>
        <v/>
      </c>
      <c r="F12" s="174">
        <f>'Data Sheet'!F64</f>
        <v/>
      </c>
      <c r="G12" s="174">
        <f>'Data Sheet'!G64</f>
        <v/>
      </c>
      <c r="H12" s="174">
        <f>'Data Sheet'!H64</f>
        <v/>
      </c>
      <c r="I12" s="174">
        <f>'Data Sheet'!I64</f>
        <v/>
      </c>
      <c r="J12" s="174">
        <f>'Data Sheet'!J64</f>
        <v/>
      </c>
      <c r="K12" s="174">
        <f>'Data Sheet'!K64</f>
        <v/>
      </c>
    </row>
    <row r="13">
      <c r="A13" t="inlineStr">
        <is>
          <t>Other Assets</t>
        </is>
      </c>
      <c r="B13" s="174">
        <f>'Data Sheet'!B65</f>
        <v/>
      </c>
      <c r="C13" s="174">
        <f>'Data Sheet'!C65</f>
        <v/>
      </c>
      <c r="D13" s="174">
        <f>'Data Sheet'!D65</f>
        <v/>
      </c>
      <c r="E13" s="174">
        <f>'Data Sheet'!E65</f>
        <v/>
      </c>
      <c r="F13" s="174">
        <f>'Data Sheet'!F65</f>
        <v/>
      </c>
      <c r="G13" s="174">
        <f>'Data Sheet'!G65</f>
        <v/>
      </c>
      <c r="H13" s="174">
        <f>'Data Sheet'!H65</f>
        <v/>
      </c>
      <c r="I13" s="174">
        <f>'Data Sheet'!I65</f>
        <v/>
      </c>
      <c r="J13" s="174">
        <f>'Data Sheet'!J65</f>
        <v/>
      </c>
      <c r="K13" s="174">
        <f>'Data Sheet'!K65</f>
        <v/>
      </c>
    </row>
    <row r="14" customFormat="1" s="37">
      <c r="A14" s="37" t="inlineStr">
        <is>
          <t>Total</t>
        </is>
      </c>
      <c r="B14" s="174">
        <f>'Data Sheet'!B66</f>
        <v/>
      </c>
      <c r="C14" s="174">
        <f>'Data Sheet'!C66</f>
        <v/>
      </c>
      <c r="D14" s="174">
        <f>'Data Sheet'!D66</f>
        <v/>
      </c>
      <c r="E14" s="174">
        <f>'Data Sheet'!E66</f>
        <v/>
      </c>
      <c r="F14" s="174">
        <f>'Data Sheet'!F66</f>
        <v/>
      </c>
      <c r="G14" s="174">
        <f>'Data Sheet'!G66</f>
        <v/>
      </c>
      <c r="H14" s="174">
        <f>'Data Sheet'!H66</f>
        <v/>
      </c>
      <c r="I14" s="174">
        <f>'Data Sheet'!I66</f>
        <v/>
      </c>
      <c r="J14" s="174">
        <f>'Data Sheet'!J66</f>
        <v/>
      </c>
      <c r="K14" s="174">
        <f>'Data Sheet'!K66</f>
        <v/>
      </c>
    </row>
    <row r="15">
      <c r="B15" s="176" t="n"/>
      <c r="C15" s="176" t="n"/>
      <c r="D15" s="176" t="n"/>
      <c r="E15" s="176" t="n"/>
      <c r="F15" s="176" t="n"/>
      <c r="G15" s="176" t="n"/>
      <c r="H15" s="176" t="n"/>
      <c r="I15" s="176" t="n"/>
      <c r="J15" s="176" t="n"/>
      <c r="K15" s="176" t="n"/>
    </row>
    <row r="16">
      <c r="A16" t="inlineStr">
        <is>
          <t>Working Capital</t>
        </is>
      </c>
      <c r="B16" s="176">
        <f>B13-B7</f>
        <v/>
      </c>
      <c r="C16" s="176">
        <f>C13-C7</f>
        <v/>
      </c>
      <c r="D16" s="176">
        <f>D13-D7</f>
        <v/>
      </c>
      <c r="E16" s="176">
        <f>E13-E7</f>
        <v/>
      </c>
      <c r="F16" s="176">
        <f>F13-F7</f>
        <v/>
      </c>
      <c r="G16" s="176">
        <f>G13-G7</f>
        <v/>
      </c>
      <c r="H16" s="176">
        <f>H13-H7</f>
        <v/>
      </c>
      <c r="I16" s="176">
        <f>I13-I7</f>
        <v/>
      </c>
      <c r="J16" s="176">
        <f>J13-J7</f>
        <v/>
      </c>
      <c r="K16" s="176">
        <f>K13-K7</f>
        <v/>
      </c>
    </row>
    <row r="17">
      <c r="A17" t="inlineStr">
        <is>
          <t>Debtors</t>
        </is>
      </c>
      <c r="B17" s="176">
        <f>'Data Sheet'!B67</f>
        <v/>
      </c>
      <c r="C17" s="176">
        <f>'Data Sheet'!C67</f>
        <v/>
      </c>
      <c r="D17" s="176">
        <f>'Data Sheet'!D67</f>
        <v/>
      </c>
      <c r="E17" s="176">
        <f>'Data Sheet'!E67</f>
        <v/>
      </c>
      <c r="F17" s="176">
        <f>'Data Sheet'!F67</f>
        <v/>
      </c>
      <c r="G17" s="176">
        <f>'Data Sheet'!G67</f>
        <v/>
      </c>
      <c r="H17" s="176">
        <f>'Data Sheet'!H67</f>
        <v/>
      </c>
      <c r="I17" s="176">
        <f>'Data Sheet'!I67</f>
        <v/>
      </c>
      <c r="J17" s="176">
        <f>'Data Sheet'!J67</f>
        <v/>
      </c>
      <c r="K17" s="176">
        <f>'Data Sheet'!K67</f>
        <v/>
      </c>
    </row>
    <row r="18">
      <c r="A18" t="inlineStr">
        <is>
          <t>Inventory</t>
        </is>
      </c>
      <c r="B18" s="176">
        <f>'Data Sheet'!B68</f>
        <v/>
      </c>
      <c r="C18" s="176">
        <f>'Data Sheet'!C68</f>
        <v/>
      </c>
      <c r="D18" s="176">
        <f>'Data Sheet'!D68</f>
        <v/>
      </c>
      <c r="E18" s="176">
        <f>'Data Sheet'!E68</f>
        <v/>
      </c>
      <c r="F18" s="176">
        <f>'Data Sheet'!F68</f>
        <v/>
      </c>
      <c r="G18" s="176">
        <f>'Data Sheet'!G68</f>
        <v/>
      </c>
      <c r="H18" s="176">
        <f>'Data Sheet'!H68</f>
        <v/>
      </c>
      <c r="I18" s="176">
        <f>'Data Sheet'!I68</f>
        <v/>
      </c>
      <c r="J18" s="176">
        <f>'Data Sheet'!J68</f>
        <v/>
      </c>
      <c r="K18" s="176">
        <f>'Data Sheet'!K68</f>
        <v/>
      </c>
    </row>
    <row r="20">
      <c r="A20" t="inlineStr">
        <is>
          <t>Debtor Days</t>
        </is>
      </c>
      <c r="B20" s="176">
        <f>IF('Profit &amp; Loss'!B4&gt;0,'Balance Sheet'!B17/('Profit &amp; Loss'!B4/365),0)</f>
        <v/>
      </c>
      <c r="C20" s="176">
        <f>IF('Profit &amp; Loss'!C4&gt;0,'Balance Sheet'!C17/('Profit &amp; Loss'!C4/365),0)</f>
        <v/>
      </c>
      <c r="D20" s="176">
        <f>IF('Profit &amp; Loss'!D4&gt;0,'Balance Sheet'!D17/('Profit &amp; Loss'!D4/365),0)</f>
        <v/>
      </c>
      <c r="E20" s="176">
        <f>IF('Profit &amp; Loss'!E4&gt;0,'Balance Sheet'!E17/('Profit &amp; Loss'!E4/365),0)</f>
        <v/>
      </c>
      <c r="F20" s="176">
        <f>IF('Profit &amp; Loss'!F4&gt;0,'Balance Sheet'!F17/('Profit &amp; Loss'!F4/365),0)</f>
        <v/>
      </c>
      <c r="G20" s="176">
        <f>IF('Profit &amp; Loss'!G4&gt;0,'Balance Sheet'!G17/('Profit &amp; Loss'!G4/365),0)</f>
        <v/>
      </c>
      <c r="H20" s="176">
        <f>IF('Profit &amp; Loss'!H4&gt;0,'Balance Sheet'!H17/('Profit &amp; Loss'!H4/365),0)</f>
        <v/>
      </c>
      <c r="I20" s="176">
        <f>IF('Profit &amp; Loss'!I4&gt;0,'Balance Sheet'!I17/('Profit &amp; Loss'!I4/365),0)</f>
        <v/>
      </c>
      <c r="J20" s="176">
        <f>IF('Profit &amp; Loss'!J4&gt;0,'Balance Sheet'!J17/('Profit &amp; Loss'!J4/365),0)</f>
        <v/>
      </c>
      <c r="K20" s="176">
        <f>IF('Profit &amp; Loss'!K4&gt;0,'Balance Sheet'!K17/('Profit &amp; Loss'!K4/365),0)</f>
        <v/>
      </c>
    </row>
    <row r="21">
      <c r="A21" t="inlineStr">
        <is>
          <t>Inventory Turnover</t>
        </is>
      </c>
      <c r="B21" s="176">
        <f>IF('Balance Sheet'!B18&gt;0,'Profit &amp; Loss'!B4/'Balance Sheet'!B18,0)</f>
        <v/>
      </c>
      <c r="C21" s="176">
        <f>IF('Balance Sheet'!C18&gt;0,'Profit &amp; Loss'!C4/'Balance Sheet'!C18,0)</f>
        <v/>
      </c>
      <c r="D21" s="176">
        <f>IF('Balance Sheet'!D18&gt;0,'Profit &amp; Loss'!D4/'Balance Sheet'!D18,0)</f>
        <v/>
      </c>
      <c r="E21" s="176">
        <f>IF('Balance Sheet'!E18&gt;0,'Profit &amp; Loss'!E4/'Balance Sheet'!E18,0)</f>
        <v/>
      </c>
      <c r="F21" s="176">
        <f>IF('Balance Sheet'!F18&gt;0,'Profit &amp; Loss'!F4/'Balance Sheet'!F18,0)</f>
        <v/>
      </c>
      <c r="G21" s="176">
        <f>IF('Balance Sheet'!G18&gt;0,'Profit &amp; Loss'!G4/'Balance Sheet'!G18,0)</f>
        <v/>
      </c>
      <c r="H21" s="176">
        <f>IF('Balance Sheet'!H18&gt;0,'Profit &amp; Loss'!H4/'Balance Sheet'!H18,0)</f>
        <v/>
      </c>
      <c r="I21" s="176">
        <f>IF('Balance Sheet'!I18&gt;0,'Profit &amp; Loss'!I4/'Balance Sheet'!I18,0)</f>
        <v/>
      </c>
      <c r="J21" s="176">
        <f>IF('Balance Sheet'!J18&gt;0,'Profit &amp; Loss'!J4/'Balance Sheet'!J18,0)</f>
        <v/>
      </c>
      <c r="K21" s="176">
        <f>IF('Balance Sheet'!K18&gt;0,'Profit &amp; Loss'!K4/'Balance Sheet'!K18,0)</f>
        <v/>
      </c>
    </row>
    <row r="23" customFormat="1" s="37">
      <c r="A23" s="37" t="inlineStr">
        <is>
          <t>Return on Equity</t>
        </is>
      </c>
      <c r="B23" s="14">
        <f>IF(SUM('Balance Sheet'!B4:B5)&gt;0,'Profit &amp; Loss'!B12/SUM('Balance Sheet'!B4:B5),"")</f>
        <v/>
      </c>
      <c r="C23" s="14">
        <f>IF(SUM('Balance Sheet'!C4:C5)&gt;0,'Profit &amp; Loss'!C12/SUM('Balance Sheet'!C4:C5),"")</f>
        <v/>
      </c>
      <c r="D23" s="14">
        <f>IF(SUM('Balance Sheet'!D4:D5)&gt;0,'Profit &amp; Loss'!D12/SUM('Balance Sheet'!D4:D5),"")</f>
        <v/>
      </c>
      <c r="E23" s="14">
        <f>IF(SUM('Balance Sheet'!E4:E5)&gt;0,'Profit &amp; Loss'!E12/SUM('Balance Sheet'!E4:E5),"")</f>
        <v/>
      </c>
      <c r="F23" s="14">
        <f>IF(SUM('Balance Sheet'!F4:F5)&gt;0,'Profit &amp; Loss'!F12/SUM('Balance Sheet'!F4:F5),"")</f>
        <v/>
      </c>
      <c r="G23" s="14">
        <f>IF(SUM('Balance Sheet'!G4:G5)&gt;0,'Profit &amp; Loss'!G12/SUM('Balance Sheet'!G4:G5),"")</f>
        <v/>
      </c>
      <c r="H23" s="14">
        <f>IF(SUM('Balance Sheet'!H4:H5)&gt;0,'Profit &amp; Loss'!H12/SUM('Balance Sheet'!H4:H5),"")</f>
        <v/>
      </c>
      <c r="I23" s="14">
        <f>IF(SUM('Balance Sheet'!I4:I5)&gt;0,'Profit &amp; Loss'!I12/SUM('Balance Sheet'!I4:I5),"")</f>
        <v/>
      </c>
      <c r="J23" s="14">
        <f>IF(SUM('Balance Sheet'!J4:J5)&gt;0,'Profit &amp; Loss'!J12/SUM('Balance Sheet'!J4:J5),"")</f>
        <v/>
      </c>
      <c r="K23" s="14">
        <f>IF(SUM('Balance Sheet'!K4:K5)&gt;0,'Profit &amp; Loss'!K12/SUM('Balance Sheet'!K4:K5),"")</f>
        <v/>
      </c>
    </row>
    <row r="24" customFormat="1" s="37">
      <c r="A24" s="37" t="inlineStr">
        <is>
          <t>Return on Capital Emp</t>
        </is>
      </c>
      <c r="B24" s="14" t="n"/>
      <c r="C24" s="14">
        <f>IF((B4+B5+B6+C4+C5+C6)&gt;0,('Profit &amp; Loss'!C10+'Profit &amp; Loss'!C9)*2/(B4+B5+B6+C4+C5+C6),"")</f>
        <v/>
      </c>
      <c r="D24" s="14">
        <f>IF((C4+C5+C6+D4+D5+D6)&gt;0,('Profit &amp; Loss'!D10+'Profit &amp; Loss'!D9)*2/(C4+C5+C6+D4+D5+D6),"")</f>
        <v/>
      </c>
      <c r="E24" s="14">
        <f>IF((D4+D5+D6+E4+E5+E6)&gt;0,('Profit &amp; Loss'!E10+'Profit &amp; Loss'!E9)*2/(D4+D5+D6+E4+E5+E6),"")</f>
        <v/>
      </c>
      <c r="F24" s="14">
        <f>IF((E4+E5+E6+F4+F5+F6)&gt;0,('Profit &amp; Loss'!F10+'Profit &amp; Loss'!F9)*2/(E4+E5+E6+F4+F5+F6),"")</f>
        <v/>
      </c>
      <c r="G24" s="14">
        <f>IF((F4+F5+F6+G4+G5+G6)&gt;0,('Profit &amp; Loss'!G10+'Profit &amp; Loss'!G9)*2/(F4+F5+F6+G4+G5+G6),"")</f>
        <v/>
      </c>
      <c r="H24" s="14">
        <f>IF((G4+G5+G6+H4+H5+H6)&gt;0,('Profit &amp; Loss'!H10+'Profit &amp; Loss'!H9)*2/(G4+G5+G6+H4+H5+H6),"")</f>
        <v/>
      </c>
      <c r="I24" s="14">
        <f>IF((H4+H5+H6+I4+I5+I6)&gt;0,('Profit &amp; Loss'!I10+'Profit &amp; Loss'!I9)*2/(H4+H5+H6+I4+I5+I6),"")</f>
        <v/>
      </c>
      <c r="J24" s="14">
        <f>IF((I4+I5+I6+J4+J5+J6)&gt;0,('Profit &amp; Loss'!J10+'Profit &amp; Loss'!J9)*2/(I4+I5+I6+J4+J5+J6),"")</f>
        <v/>
      </c>
      <c r="K24" s="14">
        <f>IF((J4+J5+J6+K4+K5+K6)&gt;0,('Profit &amp; Loss'!K10+'Profit &amp; Loss'!K9)*2/(J4+J5+J6+K4+K5+K6),"")</f>
        <v/>
      </c>
    </row>
    <row r="25" s="109"/>
  </sheetData>
  <hyperlinks>
    <hyperlink xmlns:r="http://schemas.openxmlformats.org/officeDocument/2006/relationships" ref="J1" r:id="rId1"/>
  </hyperlinks>
  <printOptions gridLines="1"/>
  <pageMargins left="0.7" right="0.7" top="0.75" bottom="0.75" header="0.3" footer="0.3"/>
  <pageSetup orientation="landscape" paperSize="9" horizontalDpi="0" verticalDpi="0"/>
</worksheet>
</file>

<file path=xl/worksheets/sheet4.xml><?xml version="1.0" encoding="utf-8"?>
<worksheet xmlns="http://schemas.openxmlformats.org/spreadsheetml/2006/main">
  <sheetPr codeName="Sheet3">
    <outlinePr summaryBelow="1" summaryRight="1"/>
    <pageSetUpPr fitToPage="1"/>
  </sheetPr>
  <dimension ref="A1:K8"/>
  <sheetViews>
    <sheetView zoomScale="150" zoomScaleNormal="150" zoomScalePageLayoutView="150" workbookViewId="0">
      <pane xSplit="1" ySplit="3" topLeftCell="E4" activePane="bottomRight" state="frozen"/>
      <selection pane="topRight" activeCell="B1" sqref="B1"/>
      <selection pane="bottomLeft" activeCell="A4" sqref="A4"/>
      <selection pane="bottomRight" activeCell="K5" sqref="K5"/>
    </sheetView>
  </sheetViews>
  <sheetFormatPr baseColWidth="8" defaultColWidth="8.77734375" defaultRowHeight="14.4"/>
  <cols>
    <col width="26.77734375" bestFit="1" customWidth="1" style="109" min="1" max="1"/>
    <col width="13.44140625" customWidth="1" style="109" min="2" max="6"/>
    <col width="13.44140625" bestFit="1" customWidth="1" style="109" min="7" max="11"/>
    <col width="8.77734375" customWidth="1" style="109" min="12" max="16384"/>
  </cols>
  <sheetData>
    <row r="1" customFormat="1" s="37">
      <c r="A1" s="37">
        <f>'Balance Sheet'!A1</f>
        <v/>
      </c>
      <c r="E1">
        <f>UPDATE</f>
        <v/>
      </c>
      <c r="J1" s="37" t="inlineStr">
        <is>
          <t>SCREENER.IN</t>
        </is>
      </c>
      <c r="K1" s="37" t="n"/>
    </row>
    <row r="3" customFormat="1" s="37">
      <c r="A3" s="15" t="inlineStr">
        <is>
          <t>Narration</t>
        </is>
      </c>
      <c r="B3" s="16">
        <f>'Data Sheet'!B81</f>
        <v/>
      </c>
      <c r="C3" s="16">
        <f>'Data Sheet'!C81</f>
        <v/>
      </c>
      <c r="D3" s="16">
        <f>'Data Sheet'!D81</f>
        <v/>
      </c>
      <c r="E3" s="16">
        <f>'Data Sheet'!E81</f>
        <v/>
      </c>
      <c r="F3" s="16">
        <f>'Data Sheet'!F81</f>
        <v/>
      </c>
      <c r="G3" s="16">
        <f>'Data Sheet'!G81</f>
        <v/>
      </c>
      <c r="H3" s="16">
        <f>'Data Sheet'!H81</f>
        <v/>
      </c>
      <c r="I3" s="16">
        <f>'Data Sheet'!I81</f>
        <v/>
      </c>
      <c r="J3" s="16">
        <f>'Data Sheet'!J81</f>
        <v/>
      </c>
      <c r="K3" s="16">
        <f>'Data Sheet'!K81</f>
        <v/>
      </c>
    </row>
    <row r="4" customFormat="1" s="37">
      <c r="A4" s="37" t="inlineStr">
        <is>
          <t>Cash from Operating Activity</t>
        </is>
      </c>
      <c r="B4" s="170">
        <f>'Data Sheet'!B82</f>
        <v/>
      </c>
      <c r="C4" s="170">
        <f>'Data Sheet'!C82</f>
        <v/>
      </c>
      <c r="D4" s="170">
        <f>'Data Sheet'!D82</f>
        <v/>
      </c>
      <c r="E4" s="170">
        <f>'Data Sheet'!E82</f>
        <v/>
      </c>
      <c r="F4" s="170">
        <f>'Data Sheet'!F82</f>
        <v/>
      </c>
      <c r="G4" s="170">
        <f>'Data Sheet'!G82</f>
        <v/>
      </c>
      <c r="H4" s="170">
        <f>'Data Sheet'!H82</f>
        <v/>
      </c>
      <c r="I4" s="170">
        <f>'Data Sheet'!I82</f>
        <v/>
      </c>
      <c r="J4" s="170">
        <f>'Data Sheet'!J82</f>
        <v/>
      </c>
      <c r="K4" s="170">
        <f>'Data Sheet'!K82</f>
        <v/>
      </c>
    </row>
    <row r="5">
      <c r="A5" t="inlineStr">
        <is>
          <t>Cash from Investing Activity</t>
        </is>
      </c>
      <c r="B5" s="171">
        <f>'Data Sheet'!B83</f>
        <v/>
      </c>
      <c r="C5" s="171">
        <f>'Data Sheet'!C83</f>
        <v/>
      </c>
      <c r="D5" s="171">
        <f>'Data Sheet'!D83</f>
        <v/>
      </c>
      <c r="E5" s="171">
        <f>'Data Sheet'!E83</f>
        <v/>
      </c>
      <c r="F5" s="171">
        <f>'Data Sheet'!F83</f>
        <v/>
      </c>
      <c r="G5" s="171">
        <f>'Data Sheet'!G83</f>
        <v/>
      </c>
      <c r="H5" s="171">
        <f>'Data Sheet'!H83</f>
        <v/>
      </c>
      <c r="I5" s="171">
        <f>'Data Sheet'!I83</f>
        <v/>
      </c>
      <c r="J5" s="171">
        <f>'Data Sheet'!J83</f>
        <v/>
      </c>
      <c r="K5" s="171">
        <f>'Data Sheet'!K83</f>
        <v/>
      </c>
    </row>
    <row r="6">
      <c r="A6" t="inlineStr">
        <is>
          <t>Cash from Financing Activity</t>
        </is>
      </c>
      <c r="B6" s="171">
        <f>'Data Sheet'!B84</f>
        <v/>
      </c>
      <c r="C6" s="171">
        <f>'Data Sheet'!C84</f>
        <v/>
      </c>
      <c r="D6" s="171">
        <f>'Data Sheet'!D84</f>
        <v/>
      </c>
      <c r="E6" s="171">
        <f>'Data Sheet'!E84</f>
        <v/>
      </c>
      <c r="F6" s="171">
        <f>'Data Sheet'!F84</f>
        <v/>
      </c>
      <c r="G6" s="171">
        <f>'Data Sheet'!G84</f>
        <v/>
      </c>
      <c r="H6" s="171">
        <f>'Data Sheet'!H84</f>
        <v/>
      </c>
      <c r="I6" s="171">
        <f>'Data Sheet'!I84</f>
        <v/>
      </c>
      <c r="J6" s="171">
        <f>'Data Sheet'!J84</f>
        <v/>
      </c>
      <c r="K6" s="171">
        <f>'Data Sheet'!K84</f>
        <v/>
      </c>
    </row>
    <row r="7" customFormat="1" s="37">
      <c r="A7" s="37" t="inlineStr">
        <is>
          <t>Net Cash Flow</t>
        </is>
      </c>
      <c r="B7" s="170">
        <f>'Data Sheet'!B85</f>
        <v/>
      </c>
      <c r="C7" s="170">
        <f>'Data Sheet'!C85</f>
        <v/>
      </c>
      <c r="D7" s="170">
        <f>'Data Sheet'!D85</f>
        <v/>
      </c>
      <c r="E7" s="170">
        <f>'Data Sheet'!E85</f>
        <v/>
      </c>
      <c r="F7" s="170">
        <f>'Data Sheet'!F85</f>
        <v/>
      </c>
      <c r="G7" s="170">
        <f>'Data Sheet'!G85</f>
        <v/>
      </c>
      <c r="H7" s="170">
        <f>'Data Sheet'!H85</f>
        <v/>
      </c>
      <c r="I7" s="170">
        <f>'Data Sheet'!I85</f>
        <v/>
      </c>
      <c r="J7" s="170">
        <f>'Data Sheet'!J85</f>
        <v/>
      </c>
      <c r="K7" s="170">
        <f>'Data Sheet'!K85</f>
        <v/>
      </c>
    </row>
    <row r="8">
      <c r="B8" s="171" t="n"/>
      <c r="C8" s="171" t="n"/>
      <c r="D8" s="171" t="n"/>
      <c r="E8" s="171" t="n"/>
      <c r="F8" s="171" t="n"/>
      <c r="G8" s="171" t="n"/>
      <c r="H8" s="171" t="n"/>
      <c r="I8" s="171" t="n"/>
      <c r="J8" s="171" t="n"/>
      <c r="K8" s="171" t="n"/>
    </row>
    <row r="24" s="109"/>
  </sheetData>
  <hyperlinks>
    <hyperlink xmlns:r="http://schemas.openxmlformats.org/officeDocument/2006/relationships" ref="J1" r:id="rId1"/>
  </hyperlinks>
  <printOptions gridLines="1"/>
  <pageMargins left="0.7" right="0.7" top="0.75" bottom="0.75" header="0.3" footer="0.3"/>
  <pageSetup orientation="landscape" paperSize="9" horizontalDpi="0" verticalDpi="0"/>
</worksheet>
</file>

<file path=xl/worksheets/sheet5.xml><?xml version="1.0" encoding="utf-8"?>
<worksheet xmlns="http://schemas.openxmlformats.org/spreadsheetml/2006/main">
  <sheetPr codeName="Sheet5">
    <outlinePr summaryBelow="1" summaryRight="1"/>
    <pageSetUpPr/>
  </sheetPr>
  <dimension ref="A1:G16"/>
  <sheetViews>
    <sheetView zoomScale="150" zoomScaleNormal="150" zoomScalePageLayoutView="150" workbookViewId="0">
      <selection activeCell="B16" sqref="B16"/>
    </sheetView>
  </sheetViews>
  <sheetFormatPr baseColWidth="8" defaultColWidth="8.77734375" defaultRowHeight="14.4"/>
  <cols>
    <col width="8.77734375" customWidth="1" style="37" min="1" max="1"/>
    <col width="10.44140625" customWidth="1" style="109" min="2" max="2"/>
    <col width="13.33203125" customWidth="1" style="26" min="3" max="3"/>
    <col width="8.77734375" customWidth="1" style="109" min="4" max="5"/>
    <col width="6.77734375" customWidth="1" style="109" min="6" max="6"/>
    <col width="8.77734375" customWidth="1" style="109" min="7" max="16384"/>
  </cols>
  <sheetData>
    <row r="1" ht="21" customHeight="1" s="109">
      <c r="A1" s="25" t="inlineStr">
        <is>
          <t>How to use it?</t>
        </is>
      </c>
    </row>
    <row r="3">
      <c r="A3" s="37" t="inlineStr">
        <is>
          <t>You can customize this workbook as you want.</t>
        </is>
      </c>
    </row>
    <row r="4">
      <c r="B4" t="inlineStr">
        <is>
          <t>You can add custom formating, add conditional formating, add your own formulas… do ANYTHING.</t>
        </is>
      </c>
    </row>
    <row r="5">
      <c r="B5" t="inlineStr">
        <is>
          <t>Please don't edit the "Data Sheet" only.</t>
        </is>
      </c>
    </row>
    <row r="7">
      <c r="A7" s="37" t="inlineStr">
        <is>
          <t>After customization, you can upload this back on Screener.</t>
        </is>
      </c>
    </row>
    <row r="8">
      <c r="B8" t="inlineStr">
        <is>
          <t>Upload on:</t>
        </is>
      </c>
      <c r="C8" s="27" t="inlineStr">
        <is>
          <t xml:space="preserve"> https://www.screener.in/excel/</t>
        </is>
      </c>
    </row>
    <row r="10">
      <c r="A10" s="37" t="inlineStr">
        <is>
          <t>Download your customized workbooks now onwards.</t>
        </is>
      </c>
    </row>
    <row r="11">
      <c r="B11" t="inlineStr">
        <is>
          <t>Now whenever you will "Export to excel" from Screener, it will export your customized file.</t>
        </is>
      </c>
    </row>
    <row r="14">
      <c r="A14" s="37" t="inlineStr">
        <is>
          <t>TESTING:</t>
        </is>
      </c>
    </row>
    <row r="15">
      <c r="B15" t="inlineStr">
        <is>
          <t>This is a testing feature currently.</t>
        </is>
      </c>
    </row>
    <row r="16">
      <c r="B16" t="inlineStr">
        <is>
          <t>You can report any formula errors on the worksheet at: support@screener.in</t>
        </is>
      </c>
      <c r="G16" s="28" t="n"/>
    </row>
  </sheetData>
  <hyperlinks>
    <hyperlink xmlns:r="http://schemas.openxmlformats.org/officeDocument/2006/relationships" ref="C8" display=" http://www.screener.in/excel" r:id="rId1"/>
  </hyperlink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B2:L40"/>
  <sheetViews>
    <sheetView showGridLines="0" topLeftCell="A15" workbookViewId="0">
      <selection activeCell="C37" sqref="C37"/>
    </sheetView>
  </sheetViews>
  <sheetFormatPr baseColWidth="8" defaultRowHeight="14.4"/>
  <cols>
    <col width="1.88671875" customWidth="1" style="109" min="1" max="1"/>
    <col width="27.33203125" customWidth="1" style="109" min="2" max="2"/>
    <col width="9.6640625" bestFit="1" customWidth="1" style="109" min="3" max="3"/>
  </cols>
  <sheetData>
    <row r="2">
      <c r="B2" s="160">
        <f>"Common Size Statement - "&amp;'Data Sheet'!$B$1</f>
        <v/>
      </c>
    </row>
    <row r="4">
      <c r="B4" s="37" t="inlineStr">
        <is>
          <t>Particulars</t>
        </is>
      </c>
      <c r="C4" s="51">
        <f>'Data Sheet'!B$16</f>
        <v/>
      </c>
      <c r="D4" s="51">
        <f>'Data Sheet'!C$16</f>
        <v/>
      </c>
      <c r="E4" s="51">
        <f>'Data Sheet'!D$16</f>
        <v/>
      </c>
      <c r="F4" s="51">
        <f>'Data Sheet'!E$16</f>
        <v/>
      </c>
      <c r="G4" s="51">
        <f>'Data Sheet'!F$16</f>
        <v/>
      </c>
      <c r="H4" s="51">
        <f>'Data Sheet'!G$16</f>
        <v/>
      </c>
      <c r="I4" s="51">
        <f>'Data Sheet'!H$16</f>
        <v/>
      </c>
      <c r="J4" s="51">
        <f>'Data Sheet'!I$16</f>
        <v/>
      </c>
      <c r="K4" s="51">
        <f>'Data Sheet'!J$16</f>
        <v/>
      </c>
      <c r="L4" s="51">
        <f>'Data Sheet'!K$16</f>
        <v/>
      </c>
    </row>
    <row r="5" ht="6" customHeight="1" s="109"/>
    <row r="6">
      <c r="B6" s="177">
        <f>'Data Sheet'!A17</f>
        <v/>
      </c>
      <c r="C6" s="114">
        <f>'Data Sheet'!B17/'Data Sheet'!B$17</f>
        <v/>
      </c>
      <c r="D6" s="114">
        <f>'Data Sheet'!C17/'Data Sheet'!C$17</f>
        <v/>
      </c>
      <c r="E6" s="114">
        <f>'Data Sheet'!D17/'Data Sheet'!D$17</f>
        <v/>
      </c>
      <c r="F6" s="114">
        <f>'Data Sheet'!E17/'Data Sheet'!E$17</f>
        <v/>
      </c>
      <c r="G6" s="114">
        <f>'Data Sheet'!F17/'Data Sheet'!F$17</f>
        <v/>
      </c>
      <c r="H6" s="114">
        <f>'Data Sheet'!G17/'Data Sheet'!G$17</f>
        <v/>
      </c>
      <c r="I6" s="114">
        <f>'Data Sheet'!H17/'Data Sheet'!H$17</f>
        <v/>
      </c>
      <c r="J6" s="114">
        <f>'Data Sheet'!I17/'Data Sheet'!I$17</f>
        <v/>
      </c>
      <c r="K6" s="114">
        <f>'Data Sheet'!J17/'Data Sheet'!J$17</f>
        <v/>
      </c>
      <c r="L6" s="114">
        <f>'Data Sheet'!K17/'Data Sheet'!K$17</f>
        <v/>
      </c>
    </row>
    <row r="7">
      <c r="B7" s="178">
        <f>'Data Sheet'!A18</f>
        <v/>
      </c>
      <c r="C7" s="36">
        <f>'Data Sheet'!B18/'Data Sheet'!B$17</f>
        <v/>
      </c>
      <c r="D7" s="36">
        <f>'Data Sheet'!C18/'Data Sheet'!C$17</f>
        <v/>
      </c>
      <c r="E7" s="36">
        <f>'Data Sheet'!D18/'Data Sheet'!D$17</f>
        <v/>
      </c>
      <c r="F7" s="36">
        <f>'Data Sheet'!E18/'Data Sheet'!E$17</f>
        <v/>
      </c>
      <c r="G7" s="36">
        <f>'Data Sheet'!F18/'Data Sheet'!F$17</f>
        <v/>
      </c>
      <c r="H7" s="36">
        <f>'Data Sheet'!G18/'Data Sheet'!G$17</f>
        <v/>
      </c>
      <c r="I7" s="36">
        <f>'Data Sheet'!H18/'Data Sheet'!H$17</f>
        <v/>
      </c>
      <c r="J7" s="36">
        <f>'Data Sheet'!I18/'Data Sheet'!I$17</f>
        <v/>
      </c>
      <c r="K7" s="36">
        <f>'Data Sheet'!J18/'Data Sheet'!J$17</f>
        <v/>
      </c>
      <c r="L7" s="36">
        <f>'Data Sheet'!K18/'Data Sheet'!K$17</f>
        <v/>
      </c>
    </row>
    <row r="8">
      <c r="B8" s="178">
        <f>'Data Sheet'!A19</f>
        <v/>
      </c>
      <c r="C8" s="36">
        <f>'Data Sheet'!B19/'Data Sheet'!B$17</f>
        <v/>
      </c>
      <c r="D8" s="36">
        <f>'Data Sheet'!C19/'Data Sheet'!C$17</f>
        <v/>
      </c>
      <c r="E8" s="36">
        <f>'Data Sheet'!D19/'Data Sheet'!D$17</f>
        <v/>
      </c>
      <c r="F8" s="36">
        <f>'Data Sheet'!E19/'Data Sheet'!E$17</f>
        <v/>
      </c>
      <c r="G8" s="36">
        <f>'Data Sheet'!F19/'Data Sheet'!F$17</f>
        <v/>
      </c>
      <c r="H8" s="36">
        <f>'Data Sheet'!G19/'Data Sheet'!G$17</f>
        <v/>
      </c>
      <c r="I8" s="36">
        <f>'Data Sheet'!H19/'Data Sheet'!H$17</f>
        <v/>
      </c>
      <c r="J8" s="36">
        <f>'Data Sheet'!I19/'Data Sheet'!I$17</f>
        <v/>
      </c>
      <c r="K8" s="36">
        <f>'Data Sheet'!J19/'Data Sheet'!J$17</f>
        <v/>
      </c>
      <c r="L8" s="36">
        <f>'Data Sheet'!K19/'Data Sheet'!K$17</f>
        <v/>
      </c>
    </row>
    <row r="9">
      <c r="B9" s="178">
        <f>'Data Sheet'!A20</f>
        <v/>
      </c>
      <c r="C9" s="36">
        <f>'Data Sheet'!B20/'Data Sheet'!B$17</f>
        <v/>
      </c>
      <c r="D9" s="36">
        <f>'Data Sheet'!C20/'Data Sheet'!C$17</f>
        <v/>
      </c>
      <c r="E9" s="36">
        <f>'Data Sheet'!D20/'Data Sheet'!D$17</f>
        <v/>
      </c>
      <c r="F9" s="36">
        <f>'Data Sheet'!E20/'Data Sheet'!E$17</f>
        <v/>
      </c>
      <c r="G9" s="36">
        <f>'Data Sheet'!F20/'Data Sheet'!F$17</f>
        <v/>
      </c>
      <c r="H9" s="36">
        <f>'Data Sheet'!G20/'Data Sheet'!G$17</f>
        <v/>
      </c>
      <c r="I9" s="36">
        <f>'Data Sheet'!H20/'Data Sheet'!H$17</f>
        <v/>
      </c>
      <c r="J9" s="36">
        <f>'Data Sheet'!I20/'Data Sheet'!I$17</f>
        <v/>
      </c>
      <c r="K9" s="36">
        <f>'Data Sheet'!J20/'Data Sheet'!J$17</f>
        <v/>
      </c>
      <c r="L9" s="36">
        <f>'Data Sheet'!K20/'Data Sheet'!K$17</f>
        <v/>
      </c>
    </row>
    <row r="10">
      <c r="B10" s="178">
        <f>'Data Sheet'!A21</f>
        <v/>
      </c>
      <c r="C10" s="36">
        <f>'Data Sheet'!B21/'Data Sheet'!B$17</f>
        <v/>
      </c>
      <c r="D10" s="36">
        <f>'Data Sheet'!C21/'Data Sheet'!C$17</f>
        <v/>
      </c>
      <c r="E10" s="36">
        <f>'Data Sheet'!D21/'Data Sheet'!D$17</f>
        <v/>
      </c>
      <c r="F10" s="36">
        <f>'Data Sheet'!E21/'Data Sheet'!E$17</f>
        <v/>
      </c>
      <c r="G10" s="36">
        <f>'Data Sheet'!F21/'Data Sheet'!F$17</f>
        <v/>
      </c>
      <c r="H10" s="36">
        <f>'Data Sheet'!G21/'Data Sheet'!G$17</f>
        <v/>
      </c>
      <c r="I10" s="36">
        <f>'Data Sheet'!H21/'Data Sheet'!H$17</f>
        <v/>
      </c>
      <c r="J10" s="36">
        <f>'Data Sheet'!I21/'Data Sheet'!I$17</f>
        <v/>
      </c>
      <c r="K10" s="36">
        <f>'Data Sheet'!J21/'Data Sheet'!J$17</f>
        <v/>
      </c>
      <c r="L10" s="36">
        <f>'Data Sheet'!K21/'Data Sheet'!K$17</f>
        <v/>
      </c>
    </row>
    <row r="11">
      <c r="B11" s="178">
        <f>'Data Sheet'!A22</f>
        <v/>
      </c>
      <c r="C11" s="36">
        <f>'Data Sheet'!B22/'Data Sheet'!B$17</f>
        <v/>
      </c>
      <c r="D11" s="36">
        <f>'Data Sheet'!C22/'Data Sheet'!C$17</f>
        <v/>
      </c>
      <c r="E11" s="36">
        <f>'Data Sheet'!D22/'Data Sheet'!D$17</f>
        <v/>
      </c>
      <c r="F11" s="36">
        <f>'Data Sheet'!E22/'Data Sheet'!E$17</f>
        <v/>
      </c>
      <c r="G11" s="36">
        <f>'Data Sheet'!F22/'Data Sheet'!F$17</f>
        <v/>
      </c>
      <c r="H11" s="36">
        <f>'Data Sheet'!G22/'Data Sheet'!G$17</f>
        <v/>
      </c>
      <c r="I11" s="36">
        <f>'Data Sheet'!H22/'Data Sheet'!H$17</f>
        <v/>
      </c>
      <c r="J11" s="36">
        <f>'Data Sheet'!I22/'Data Sheet'!I$17</f>
        <v/>
      </c>
      <c r="K11" s="36">
        <f>'Data Sheet'!J22/'Data Sheet'!J$17</f>
        <v/>
      </c>
      <c r="L11" s="36">
        <f>'Data Sheet'!K22/'Data Sheet'!K$17</f>
        <v/>
      </c>
    </row>
    <row r="12">
      <c r="B12" s="178">
        <f>'Data Sheet'!A23</f>
        <v/>
      </c>
      <c r="C12" s="36">
        <f>'Data Sheet'!B23/'Data Sheet'!B$17</f>
        <v/>
      </c>
      <c r="D12" s="36">
        <f>'Data Sheet'!C23/'Data Sheet'!C$17</f>
        <v/>
      </c>
      <c r="E12" s="36">
        <f>'Data Sheet'!D23/'Data Sheet'!D$17</f>
        <v/>
      </c>
      <c r="F12" s="36">
        <f>'Data Sheet'!E23/'Data Sheet'!E$17</f>
        <v/>
      </c>
      <c r="G12" s="36">
        <f>'Data Sheet'!F23/'Data Sheet'!F$17</f>
        <v/>
      </c>
      <c r="H12" s="36">
        <f>'Data Sheet'!G23/'Data Sheet'!G$17</f>
        <v/>
      </c>
      <c r="I12" s="36">
        <f>'Data Sheet'!H23/'Data Sheet'!H$17</f>
        <v/>
      </c>
      <c r="J12" s="36">
        <f>'Data Sheet'!I23/'Data Sheet'!I$17</f>
        <v/>
      </c>
      <c r="K12" s="36">
        <f>'Data Sheet'!J23/'Data Sheet'!J$17</f>
        <v/>
      </c>
      <c r="L12" s="36">
        <f>'Data Sheet'!K23/'Data Sheet'!K$17</f>
        <v/>
      </c>
    </row>
    <row r="13">
      <c r="B13" s="178">
        <f>'Data Sheet'!A24</f>
        <v/>
      </c>
      <c r="C13" s="36">
        <f>'Data Sheet'!B24/'Data Sheet'!B$17</f>
        <v/>
      </c>
      <c r="D13" s="36">
        <f>'Data Sheet'!C24/'Data Sheet'!C$17</f>
        <v/>
      </c>
      <c r="E13" s="36">
        <f>'Data Sheet'!D24/'Data Sheet'!D$17</f>
        <v/>
      </c>
      <c r="F13" s="36">
        <f>'Data Sheet'!E24/'Data Sheet'!E$17</f>
        <v/>
      </c>
      <c r="G13" s="36">
        <f>'Data Sheet'!F24/'Data Sheet'!F$17</f>
        <v/>
      </c>
      <c r="H13" s="36">
        <f>'Data Sheet'!G24/'Data Sheet'!G$17</f>
        <v/>
      </c>
      <c r="I13" s="36">
        <f>'Data Sheet'!H24/'Data Sheet'!H$17</f>
        <v/>
      </c>
      <c r="J13" s="36">
        <f>'Data Sheet'!I24/'Data Sheet'!I$17</f>
        <v/>
      </c>
      <c r="K13" s="36">
        <f>'Data Sheet'!J24/'Data Sheet'!J$17</f>
        <v/>
      </c>
      <c r="L13" s="36">
        <f>'Data Sheet'!K24/'Data Sheet'!K$17</f>
        <v/>
      </c>
    </row>
    <row r="14">
      <c r="B14" s="178">
        <f>'Data Sheet'!A25</f>
        <v/>
      </c>
      <c r="C14" s="36">
        <f>'Data Sheet'!B25/'Data Sheet'!B$17</f>
        <v/>
      </c>
      <c r="D14" s="36">
        <f>'Data Sheet'!C25/'Data Sheet'!C$17</f>
        <v/>
      </c>
      <c r="E14" s="36">
        <f>'Data Sheet'!D25/'Data Sheet'!D$17</f>
        <v/>
      </c>
      <c r="F14" s="36">
        <f>'Data Sheet'!E25/'Data Sheet'!E$17</f>
        <v/>
      </c>
      <c r="G14" s="36">
        <f>'Data Sheet'!F25/'Data Sheet'!F$17</f>
        <v/>
      </c>
      <c r="H14" s="36">
        <f>'Data Sheet'!G25/'Data Sheet'!G$17</f>
        <v/>
      </c>
      <c r="I14" s="36">
        <f>'Data Sheet'!H25/'Data Sheet'!H$17</f>
        <v/>
      </c>
      <c r="J14" s="36">
        <f>'Data Sheet'!I25/'Data Sheet'!I$17</f>
        <v/>
      </c>
      <c r="K14" s="36">
        <f>'Data Sheet'!J25/'Data Sheet'!J$17</f>
        <v/>
      </c>
      <c r="L14" s="36">
        <f>'Data Sheet'!K25/'Data Sheet'!K$17</f>
        <v/>
      </c>
    </row>
    <row r="15">
      <c r="B15" s="178">
        <f>'Data Sheet'!A26</f>
        <v/>
      </c>
      <c r="C15" s="36">
        <f>'Data Sheet'!B26/'Data Sheet'!B$17</f>
        <v/>
      </c>
      <c r="D15" s="36">
        <f>'Data Sheet'!C26/'Data Sheet'!C$17</f>
        <v/>
      </c>
      <c r="E15" s="36">
        <f>'Data Sheet'!D26/'Data Sheet'!D$17</f>
        <v/>
      </c>
      <c r="F15" s="36">
        <f>'Data Sheet'!E26/'Data Sheet'!E$17</f>
        <v/>
      </c>
      <c r="G15" s="36">
        <f>'Data Sheet'!F26/'Data Sheet'!F$17</f>
        <v/>
      </c>
      <c r="H15" s="36">
        <f>'Data Sheet'!G26/'Data Sheet'!G$17</f>
        <v/>
      </c>
      <c r="I15" s="36">
        <f>'Data Sheet'!H26/'Data Sheet'!H$17</f>
        <v/>
      </c>
      <c r="J15" s="36">
        <f>'Data Sheet'!I26/'Data Sheet'!I$17</f>
        <v/>
      </c>
      <c r="K15" s="36">
        <f>'Data Sheet'!J26/'Data Sheet'!J$17</f>
        <v/>
      </c>
      <c r="L15" s="36">
        <f>'Data Sheet'!K26/'Data Sheet'!K$17</f>
        <v/>
      </c>
    </row>
    <row r="16">
      <c r="B16" s="178">
        <f>'Data Sheet'!A27</f>
        <v/>
      </c>
      <c r="C16" s="36">
        <f>'Data Sheet'!B27/'Data Sheet'!B$17</f>
        <v/>
      </c>
      <c r="D16" s="36">
        <f>'Data Sheet'!C27/'Data Sheet'!C$17</f>
        <v/>
      </c>
      <c r="E16" s="36">
        <f>'Data Sheet'!D27/'Data Sheet'!D$17</f>
        <v/>
      </c>
      <c r="F16" s="36">
        <f>'Data Sheet'!E27/'Data Sheet'!E$17</f>
        <v/>
      </c>
      <c r="G16" s="36">
        <f>'Data Sheet'!F27/'Data Sheet'!F$17</f>
        <v/>
      </c>
      <c r="H16" s="36">
        <f>'Data Sheet'!G27/'Data Sheet'!G$17</f>
        <v/>
      </c>
      <c r="I16" s="36">
        <f>'Data Sheet'!H27/'Data Sheet'!H$17</f>
        <v/>
      </c>
      <c r="J16" s="36">
        <f>'Data Sheet'!I27/'Data Sheet'!I$17</f>
        <v/>
      </c>
      <c r="K16" s="36">
        <f>'Data Sheet'!J27/'Data Sheet'!J$17</f>
        <v/>
      </c>
      <c r="L16" s="36">
        <f>'Data Sheet'!K27/'Data Sheet'!K$17</f>
        <v/>
      </c>
    </row>
    <row r="17">
      <c r="B17" s="178">
        <f>'Data Sheet'!A28</f>
        <v/>
      </c>
      <c r="C17" s="36">
        <f>'Data Sheet'!B28/'Data Sheet'!B$17</f>
        <v/>
      </c>
      <c r="D17" s="36">
        <f>'Data Sheet'!C28/'Data Sheet'!C$17</f>
        <v/>
      </c>
      <c r="E17" s="36">
        <f>'Data Sheet'!D28/'Data Sheet'!D$17</f>
        <v/>
      </c>
      <c r="F17" s="36">
        <f>'Data Sheet'!E28/'Data Sheet'!E$17</f>
        <v/>
      </c>
      <c r="G17" s="36">
        <f>'Data Sheet'!F28/'Data Sheet'!F$17</f>
        <v/>
      </c>
      <c r="H17" s="36">
        <f>'Data Sheet'!G28/'Data Sheet'!G$17</f>
        <v/>
      </c>
      <c r="I17" s="36">
        <f>'Data Sheet'!H28/'Data Sheet'!H$17</f>
        <v/>
      </c>
      <c r="J17" s="36">
        <f>'Data Sheet'!I28/'Data Sheet'!I$17</f>
        <v/>
      </c>
      <c r="K17" s="36">
        <f>'Data Sheet'!J28/'Data Sheet'!J$17</f>
        <v/>
      </c>
      <c r="L17" s="36">
        <f>'Data Sheet'!K28/'Data Sheet'!K$17</f>
        <v/>
      </c>
    </row>
    <row r="18">
      <c r="B18" s="178">
        <f>'Data Sheet'!A29</f>
        <v/>
      </c>
      <c r="C18" s="36">
        <f>'Data Sheet'!B29/'Data Sheet'!B$17</f>
        <v/>
      </c>
      <c r="D18" s="36">
        <f>'Data Sheet'!C29/'Data Sheet'!C$17</f>
        <v/>
      </c>
      <c r="E18" s="36">
        <f>'Data Sheet'!D29/'Data Sheet'!D$17</f>
        <v/>
      </c>
      <c r="F18" s="36">
        <f>'Data Sheet'!E29/'Data Sheet'!E$17</f>
        <v/>
      </c>
      <c r="G18" s="36">
        <f>'Data Sheet'!F29/'Data Sheet'!F$17</f>
        <v/>
      </c>
      <c r="H18" s="36">
        <f>'Data Sheet'!G29/'Data Sheet'!G$17</f>
        <v/>
      </c>
      <c r="I18" s="36">
        <f>'Data Sheet'!H29/'Data Sheet'!H$17</f>
        <v/>
      </c>
      <c r="J18" s="36">
        <f>'Data Sheet'!I29/'Data Sheet'!I$17</f>
        <v/>
      </c>
      <c r="K18" s="36">
        <f>'Data Sheet'!J29/'Data Sheet'!J$17</f>
        <v/>
      </c>
      <c r="L18" s="36">
        <f>'Data Sheet'!K29/'Data Sheet'!K$17</f>
        <v/>
      </c>
    </row>
    <row r="19">
      <c r="B19" s="178">
        <f>'Data Sheet'!A30</f>
        <v/>
      </c>
      <c r="C19" s="36">
        <f>'Data Sheet'!B30/'Data Sheet'!B$17</f>
        <v/>
      </c>
      <c r="D19" s="36">
        <f>'Data Sheet'!C30/'Data Sheet'!C$17</f>
        <v/>
      </c>
      <c r="E19" s="36">
        <f>'Data Sheet'!D30/'Data Sheet'!D$17</f>
        <v/>
      </c>
      <c r="F19" s="36">
        <f>'Data Sheet'!E30/'Data Sheet'!E$17</f>
        <v/>
      </c>
      <c r="G19" s="36">
        <f>'Data Sheet'!F30/'Data Sheet'!F$17</f>
        <v/>
      </c>
      <c r="H19" s="36">
        <f>'Data Sheet'!G30/'Data Sheet'!G$17</f>
        <v/>
      </c>
      <c r="I19" s="36">
        <f>'Data Sheet'!H30/'Data Sheet'!H$17</f>
        <v/>
      </c>
      <c r="J19" s="36">
        <f>'Data Sheet'!I30/'Data Sheet'!I$17</f>
        <v/>
      </c>
      <c r="K19" s="36">
        <f>'Data Sheet'!J30/'Data Sheet'!J$17</f>
        <v/>
      </c>
      <c r="L19" s="36">
        <f>'Data Sheet'!K30/'Data Sheet'!K$17</f>
        <v/>
      </c>
    </row>
    <row r="20">
      <c r="B20" s="178">
        <f>'Data Sheet'!A31</f>
        <v/>
      </c>
      <c r="C20" s="36">
        <f>'Data Sheet'!B31/'Data Sheet'!B$17</f>
        <v/>
      </c>
      <c r="D20" s="36">
        <f>'Data Sheet'!C31/'Data Sheet'!C$17</f>
        <v/>
      </c>
      <c r="E20" s="36">
        <f>'Data Sheet'!D31/'Data Sheet'!D$17</f>
        <v/>
      </c>
      <c r="F20" s="36">
        <f>'Data Sheet'!E31/'Data Sheet'!E$17</f>
        <v/>
      </c>
      <c r="G20" s="36">
        <f>'Data Sheet'!F31/'Data Sheet'!F$17</f>
        <v/>
      </c>
      <c r="H20" s="36">
        <f>'Data Sheet'!G31/'Data Sheet'!G$17</f>
        <v/>
      </c>
      <c r="I20" s="36">
        <f>'Data Sheet'!H31/'Data Sheet'!H$17</f>
        <v/>
      </c>
      <c r="J20" s="36">
        <f>'Data Sheet'!I31/'Data Sheet'!I$17</f>
        <v/>
      </c>
      <c r="K20" s="36">
        <f>'Data Sheet'!J31/'Data Sheet'!J$17</f>
        <v/>
      </c>
      <c r="L20" s="36">
        <f>'Data Sheet'!K31/'Data Sheet'!K$17</f>
        <v/>
      </c>
    </row>
    <row r="21">
      <c r="B21" s="178">
        <f>'Data Sheet'!A32</f>
        <v/>
      </c>
      <c r="C21" s="36">
        <f>'Data Sheet'!B32/'Data Sheet'!B$17</f>
        <v/>
      </c>
      <c r="D21" s="36">
        <f>'Data Sheet'!C32/'Data Sheet'!C$17</f>
        <v/>
      </c>
      <c r="E21" s="36">
        <f>'Data Sheet'!D32/'Data Sheet'!D$17</f>
        <v/>
      </c>
      <c r="F21" s="36">
        <f>'Data Sheet'!E32/'Data Sheet'!E$17</f>
        <v/>
      </c>
      <c r="G21" s="36">
        <f>'Data Sheet'!F32/'Data Sheet'!F$17</f>
        <v/>
      </c>
      <c r="H21" s="36">
        <f>'Data Sheet'!G32/'Data Sheet'!G$17</f>
        <v/>
      </c>
      <c r="I21" s="36">
        <f>'Data Sheet'!H32/'Data Sheet'!H$17</f>
        <v/>
      </c>
      <c r="J21" s="36">
        <f>'Data Sheet'!I32/'Data Sheet'!I$17</f>
        <v/>
      </c>
      <c r="K21" s="36">
        <f>'Data Sheet'!J32/'Data Sheet'!J$17</f>
        <v/>
      </c>
      <c r="L21" s="36">
        <f>'Data Sheet'!K32/'Data Sheet'!K$17</f>
        <v/>
      </c>
    </row>
    <row r="23">
      <c r="B23" s="160">
        <f>"Common Size Balance Sheet - "&amp;'Data Sheet'!$B$1</f>
        <v/>
      </c>
    </row>
    <row r="25">
      <c r="B25" s="37" t="inlineStr">
        <is>
          <t>Particulars</t>
        </is>
      </c>
      <c r="C25" s="51">
        <f>'Data Sheet'!B$16</f>
        <v/>
      </c>
      <c r="D25" s="51">
        <f>'Data Sheet'!C$16</f>
        <v/>
      </c>
      <c r="E25" s="51">
        <f>'Data Sheet'!D$16</f>
        <v/>
      </c>
      <c r="F25" s="51">
        <f>'Data Sheet'!E$16</f>
        <v/>
      </c>
      <c r="G25" s="51">
        <f>'Data Sheet'!F$16</f>
        <v/>
      </c>
      <c r="H25" s="51">
        <f>'Data Sheet'!G$16</f>
        <v/>
      </c>
      <c r="I25" s="51">
        <f>'Data Sheet'!H$16</f>
        <v/>
      </c>
      <c r="J25" s="51">
        <f>'Data Sheet'!I$16</f>
        <v/>
      </c>
      <c r="K25" s="51">
        <f>'Data Sheet'!J$16</f>
        <v/>
      </c>
      <c r="L25" s="51">
        <f>'Data Sheet'!K$16</f>
        <v/>
      </c>
    </row>
    <row r="26" ht="6.6" customHeight="1" s="109"/>
    <row r="27">
      <c r="B27" s="177" t="inlineStr">
        <is>
          <t>Total Liabilities</t>
        </is>
      </c>
      <c r="C27" s="114">
        <f>'Data Sheet'!B61/'Data Sheet'!B$61</f>
        <v/>
      </c>
      <c r="D27" s="114">
        <f>'Data Sheet'!C61/'Data Sheet'!C$61</f>
        <v/>
      </c>
      <c r="E27" s="114">
        <f>'Data Sheet'!D61/'Data Sheet'!D$61</f>
        <v/>
      </c>
      <c r="F27" s="114">
        <f>'Data Sheet'!E61/'Data Sheet'!E$61</f>
        <v/>
      </c>
      <c r="G27" s="114">
        <f>'Data Sheet'!F61/'Data Sheet'!F$61</f>
        <v/>
      </c>
      <c r="H27" s="114">
        <f>'Data Sheet'!G61/'Data Sheet'!G$61</f>
        <v/>
      </c>
      <c r="I27" s="114">
        <f>'Data Sheet'!H61/'Data Sheet'!H$61</f>
        <v/>
      </c>
      <c r="J27" s="114">
        <f>'Data Sheet'!I61/'Data Sheet'!I$61</f>
        <v/>
      </c>
      <c r="K27" s="114">
        <f>'Data Sheet'!J61/'Data Sheet'!J$61</f>
        <v/>
      </c>
      <c r="L27" s="114">
        <f>'Data Sheet'!K61/'Data Sheet'!K$61</f>
        <v/>
      </c>
    </row>
    <row r="28">
      <c r="B28" s="178">
        <f>'Data Sheet'!A57</f>
        <v/>
      </c>
      <c r="C28" s="36">
        <f>'Data Sheet'!B57/'Data Sheet'!B$61</f>
        <v/>
      </c>
      <c r="D28" s="36">
        <f>'Data Sheet'!C57/'Data Sheet'!C$61</f>
        <v/>
      </c>
      <c r="E28" s="36">
        <f>'Data Sheet'!D57/'Data Sheet'!D$61</f>
        <v/>
      </c>
      <c r="F28" s="36">
        <f>'Data Sheet'!E57/'Data Sheet'!E$61</f>
        <v/>
      </c>
      <c r="G28" s="36">
        <f>'Data Sheet'!F57/'Data Sheet'!F$61</f>
        <v/>
      </c>
      <c r="H28" s="36">
        <f>'Data Sheet'!G57/'Data Sheet'!G$61</f>
        <v/>
      </c>
      <c r="I28" s="36">
        <f>'Data Sheet'!H57/'Data Sheet'!H$61</f>
        <v/>
      </c>
      <c r="J28" s="36">
        <f>'Data Sheet'!I57/'Data Sheet'!I$61</f>
        <v/>
      </c>
      <c r="K28" s="36">
        <f>'Data Sheet'!J57/'Data Sheet'!J$61</f>
        <v/>
      </c>
      <c r="L28" s="36">
        <f>'Data Sheet'!K57/'Data Sheet'!K$61</f>
        <v/>
      </c>
    </row>
    <row r="29">
      <c r="B29" s="178">
        <f>'Data Sheet'!A58</f>
        <v/>
      </c>
      <c r="C29" s="36">
        <f>'Data Sheet'!B58/'Data Sheet'!B$61</f>
        <v/>
      </c>
      <c r="D29" s="36">
        <f>'Data Sheet'!C58/'Data Sheet'!C$61</f>
        <v/>
      </c>
      <c r="E29" s="36">
        <f>'Data Sheet'!D58/'Data Sheet'!D$61</f>
        <v/>
      </c>
      <c r="F29" s="36">
        <f>'Data Sheet'!E58/'Data Sheet'!E$61</f>
        <v/>
      </c>
      <c r="G29" s="36">
        <f>'Data Sheet'!F58/'Data Sheet'!F$61</f>
        <v/>
      </c>
      <c r="H29" s="36">
        <f>'Data Sheet'!G58/'Data Sheet'!G$61</f>
        <v/>
      </c>
      <c r="I29" s="36">
        <f>'Data Sheet'!H58/'Data Sheet'!H$61</f>
        <v/>
      </c>
      <c r="J29" s="36">
        <f>'Data Sheet'!I58/'Data Sheet'!I$61</f>
        <v/>
      </c>
      <c r="K29" s="36">
        <f>'Data Sheet'!J58/'Data Sheet'!J$61</f>
        <v/>
      </c>
      <c r="L29" s="36">
        <f>'Data Sheet'!K58/'Data Sheet'!K$61</f>
        <v/>
      </c>
    </row>
    <row r="30">
      <c r="B30" s="178">
        <f>'Data Sheet'!A59</f>
        <v/>
      </c>
      <c r="C30" s="36">
        <f>'Data Sheet'!B59/'Data Sheet'!B$61</f>
        <v/>
      </c>
      <c r="D30" s="36">
        <f>'Data Sheet'!C59/'Data Sheet'!C$61</f>
        <v/>
      </c>
      <c r="E30" s="36">
        <f>'Data Sheet'!D59/'Data Sheet'!D$61</f>
        <v/>
      </c>
      <c r="F30" s="36">
        <f>'Data Sheet'!E59/'Data Sheet'!E$61</f>
        <v/>
      </c>
      <c r="G30" s="36">
        <f>'Data Sheet'!F59/'Data Sheet'!F$61</f>
        <v/>
      </c>
      <c r="H30" s="36">
        <f>'Data Sheet'!G59/'Data Sheet'!G$61</f>
        <v/>
      </c>
      <c r="I30" s="36">
        <f>'Data Sheet'!H59/'Data Sheet'!H$61</f>
        <v/>
      </c>
      <c r="J30" s="36">
        <f>'Data Sheet'!I59/'Data Sheet'!I$61</f>
        <v/>
      </c>
      <c r="K30" s="36">
        <f>'Data Sheet'!J59/'Data Sheet'!J$61</f>
        <v/>
      </c>
      <c r="L30" s="36">
        <f>'Data Sheet'!K59/'Data Sheet'!K$61</f>
        <v/>
      </c>
    </row>
    <row r="31">
      <c r="B31" s="178">
        <f>'Data Sheet'!A60</f>
        <v/>
      </c>
      <c r="C31" s="36">
        <f>'Data Sheet'!B60/'Data Sheet'!B$61</f>
        <v/>
      </c>
      <c r="D31" s="36">
        <f>'Data Sheet'!C60/'Data Sheet'!C$61</f>
        <v/>
      </c>
      <c r="E31" s="36">
        <f>'Data Sheet'!D60/'Data Sheet'!D$61</f>
        <v/>
      </c>
      <c r="F31" s="36">
        <f>'Data Sheet'!E60/'Data Sheet'!E$61</f>
        <v/>
      </c>
      <c r="G31" s="36">
        <f>'Data Sheet'!F60/'Data Sheet'!F$61</f>
        <v/>
      </c>
      <c r="H31" s="36">
        <f>'Data Sheet'!G60/'Data Sheet'!G$61</f>
        <v/>
      </c>
      <c r="I31" s="36">
        <f>'Data Sheet'!H60/'Data Sheet'!H$61</f>
        <v/>
      </c>
      <c r="J31" s="36">
        <f>'Data Sheet'!I60/'Data Sheet'!I$61</f>
        <v/>
      </c>
      <c r="K31" s="36">
        <f>'Data Sheet'!J60/'Data Sheet'!J$61</f>
        <v/>
      </c>
      <c r="L31" s="36">
        <f>'Data Sheet'!K60/'Data Sheet'!K$61</f>
        <v/>
      </c>
    </row>
    <row r="33">
      <c r="B33" s="177" t="inlineStr">
        <is>
          <t>Total Assets</t>
        </is>
      </c>
      <c r="C33" s="114">
        <f>'Data Sheet'!B66/'Data Sheet'!B$66</f>
        <v/>
      </c>
      <c r="D33" s="114">
        <f>'Data Sheet'!C66/'Data Sheet'!C$66</f>
        <v/>
      </c>
      <c r="E33" s="114">
        <f>'Data Sheet'!D66/'Data Sheet'!D$66</f>
        <v/>
      </c>
      <c r="F33" s="114">
        <f>'Data Sheet'!E66/'Data Sheet'!E$66</f>
        <v/>
      </c>
      <c r="G33" s="114">
        <f>'Data Sheet'!F66/'Data Sheet'!F$66</f>
        <v/>
      </c>
      <c r="H33" s="114">
        <f>'Data Sheet'!G66/'Data Sheet'!G$66</f>
        <v/>
      </c>
      <c r="I33" s="114">
        <f>'Data Sheet'!H66/'Data Sheet'!H$66</f>
        <v/>
      </c>
      <c r="J33" s="114">
        <f>'Data Sheet'!I66/'Data Sheet'!I$66</f>
        <v/>
      </c>
      <c r="K33" s="114">
        <f>'Data Sheet'!J66/'Data Sheet'!J$66</f>
        <v/>
      </c>
      <c r="L33" s="114">
        <f>'Data Sheet'!K66/'Data Sheet'!K$66</f>
        <v/>
      </c>
    </row>
    <row r="34">
      <c r="B34" s="178" t="inlineStr">
        <is>
          <t>Fixed Assets Net Block</t>
        </is>
      </c>
      <c r="C34" s="36">
        <f>'Data Sheet'!B62/'Data Sheet'!B$66</f>
        <v/>
      </c>
      <c r="D34" s="36">
        <f>'Data Sheet'!C62/'Data Sheet'!C$66</f>
        <v/>
      </c>
      <c r="E34" s="36">
        <f>'Data Sheet'!D62/'Data Sheet'!D$66</f>
        <v/>
      </c>
      <c r="F34" s="36">
        <f>'Data Sheet'!E62/'Data Sheet'!E$66</f>
        <v/>
      </c>
      <c r="G34" s="36">
        <f>'Data Sheet'!F62/'Data Sheet'!F$66</f>
        <v/>
      </c>
      <c r="H34" s="36">
        <f>'Data Sheet'!G62/'Data Sheet'!G$66</f>
        <v/>
      </c>
      <c r="I34" s="36">
        <f>'Data Sheet'!H62/'Data Sheet'!H$66</f>
        <v/>
      </c>
      <c r="J34" s="36">
        <f>'Data Sheet'!I62/'Data Sheet'!I$66</f>
        <v/>
      </c>
      <c r="K34" s="36">
        <f>'Data Sheet'!J62/'Data Sheet'!J$66</f>
        <v/>
      </c>
      <c r="L34" s="36">
        <f>'Data Sheet'!K62/'Data Sheet'!K$66</f>
        <v/>
      </c>
    </row>
    <row r="35">
      <c r="B35" s="178">
        <f>'Data Sheet'!A63</f>
        <v/>
      </c>
      <c r="C35" s="36">
        <f>'Data Sheet'!B63/'Data Sheet'!B$66</f>
        <v/>
      </c>
      <c r="D35" s="36">
        <f>'Data Sheet'!C63/'Data Sheet'!C$66</f>
        <v/>
      </c>
      <c r="E35" s="36">
        <f>'Data Sheet'!D63/'Data Sheet'!D$66</f>
        <v/>
      </c>
      <c r="F35" s="36">
        <f>'Data Sheet'!E63/'Data Sheet'!E$66</f>
        <v/>
      </c>
      <c r="G35" s="36">
        <f>'Data Sheet'!F63/'Data Sheet'!F$66</f>
        <v/>
      </c>
      <c r="H35" s="36">
        <f>'Data Sheet'!G63/'Data Sheet'!G$66</f>
        <v/>
      </c>
      <c r="I35" s="36">
        <f>'Data Sheet'!H63/'Data Sheet'!H$66</f>
        <v/>
      </c>
      <c r="J35" s="36">
        <f>'Data Sheet'!I63/'Data Sheet'!I$66</f>
        <v/>
      </c>
      <c r="K35" s="36">
        <f>'Data Sheet'!J63/'Data Sheet'!J$66</f>
        <v/>
      </c>
      <c r="L35" s="36">
        <f>'Data Sheet'!K63/'Data Sheet'!K$66</f>
        <v/>
      </c>
    </row>
    <row r="36">
      <c r="B36" s="178">
        <f>'Data Sheet'!A64</f>
        <v/>
      </c>
      <c r="C36" s="36">
        <f>'Data Sheet'!B64/'Data Sheet'!B$66</f>
        <v/>
      </c>
      <c r="D36" s="36">
        <f>'Data Sheet'!C64/'Data Sheet'!C$66</f>
        <v/>
      </c>
      <c r="E36" s="36">
        <f>'Data Sheet'!D64/'Data Sheet'!D$66</f>
        <v/>
      </c>
      <c r="F36" s="36">
        <f>'Data Sheet'!E64/'Data Sheet'!E$66</f>
        <v/>
      </c>
      <c r="G36" s="36">
        <f>'Data Sheet'!F64/'Data Sheet'!F$66</f>
        <v/>
      </c>
      <c r="H36" s="36">
        <f>'Data Sheet'!G64/'Data Sheet'!G$66</f>
        <v/>
      </c>
      <c r="I36" s="36">
        <f>'Data Sheet'!H64/'Data Sheet'!H$66</f>
        <v/>
      </c>
      <c r="J36" s="36">
        <f>'Data Sheet'!I64/'Data Sheet'!I$66</f>
        <v/>
      </c>
      <c r="K36" s="36">
        <f>'Data Sheet'!J64/'Data Sheet'!J$66</f>
        <v/>
      </c>
      <c r="L36" s="36">
        <f>'Data Sheet'!K64/'Data Sheet'!K$66</f>
        <v/>
      </c>
    </row>
    <row r="37">
      <c r="B37" s="178">
        <f>'Data Sheet'!A65</f>
        <v/>
      </c>
      <c r="C37" s="36">
        <f>'Data Sheet'!B74/'Data Sheet'!B66</f>
        <v/>
      </c>
      <c r="D37" s="36">
        <f>'Data Sheet'!C74/'Data Sheet'!C66</f>
        <v/>
      </c>
      <c r="E37" s="36">
        <f>'Data Sheet'!D74/'Data Sheet'!D66</f>
        <v/>
      </c>
      <c r="F37" s="36">
        <f>'Data Sheet'!E74/'Data Sheet'!E66</f>
        <v/>
      </c>
      <c r="G37" s="36">
        <f>'Data Sheet'!F74/'Data Sheet'!F66</f>
        <v/>
      </c>
      <c r="H37" s="36">
        <f>'Data Sheet'!G74/'Data Sheet'!G66</f>
        <v/>
      </c>
      <c r="I37" s="36">
        <f>'Data Sheet'!H74/'Data Sheet'!H66</f>
        <v/>
      </c>
      <c r="J37" s="36">
        <f>'Data Sheet'!I74/'Data Sheet'!I66</f>
        <v/>
      </c>
      <c r="K37" s="36">
        <f>'Data Sheet'!J74/'Data Sheet'!J66</f>
        <v/>
      </c>
      <c r="L37" s="36">
        <f>'Data Sheet'!K74/'Data Sheet'!K66</f>
        <v/>
      </c>
    </row>
    <row r="38">
      <c r="B38" s="178">
        <f>'Data Sheet'!A67</f>
        <v/>
      </c>
      <c r="C38" s="36">
        <f>'Data Sheet'!B67/'Data Sheet'!B$66</f>
        <v/>
      </c>
      <c r="D38" s="36">
        <f>'Data Sheet'!C67/'Data Sheet'!C$66</f>
        <v/>
      </c>
      <c r="E38" s="36">
        <f>'Data Sheet'!D67/'Data Sheet'!D$66</f>
        <v/>
      </c>
      <c r="F38" s="36">
        <f>'Data Sheet'!E67/'Data Sheet'!E$66</f>
        <v/>
      </c>
      <c r="G38" s="36">
        <f>'Data Sheet'!F67/'Data Sheet'!F$66</f>
        <v/>
      </c>
      <c r="H38" s="36">
        <f>'Data Sheet'!G67/'Data Sheet'!G$66</f>
        <v/>
      </c>
      <c r="I38" s="36">
        <f>'Data Sheet'!H67/'Data Sheet'!H$66</f>
        <v/>
      </c>
      <c r="J38" s="36">
        <f>'Data Sheet'!I67/'Data Sheet'!I$66</f>
        <v/>
      </c>
      <c r="K38" s="36">
        <f>'Data Sheet'!J67/'Data Sheet'!J$66</f>
        <v/>
      </c>
      <c r="L38" s="36">
        <f>'Data Sheet'!K67/'Data Sheet'!K$66</f>
        <v/>
      </c>
    </row>
    <row r="39">
      <c r="B39" s="178">
        <f>'Data Sheet'!A68</f>
        <v/>
      </c>
      <c r="C39" s="36">
        <f>'Data Sheet'!B68/'Data Sheet'!B$66</f>
        <v/>
      </c>
      <c r="D39" s="36">
        <f>'Data Sheet'!C68/'Data Sheet'!C$66</f>
        <v/>
      </c>
      <c r="E39" s="36">
        <f>'Data Sheet'!D68/'Data Sheet'!D$66</f>
        <v/>
      </c>
      <c r="F39" s="36">
        <f>'Data Sheet'!E68/'Data Sheet'!E$66</f>
        <v/>
      </c>
      <c r="G39" s="36">
        <f>'Data Sheet'!F68/'Data Sheet'!F$66</f>
        <v/>
      </c>
      <c r="H39" s="36">
        <f>'Data Sheet'!G68/'Data Sheet'!G$66</f>
        <v/>
      </c>
      <c r="I39" s="36">
        <f>'Data Sheet'!H68/'Data Sheet'!H$66</f>
        <v/>
      </c>
      <c r="J39" s="36">
        <f>'Data Sheet'!I68/'Data Sheet'!I$66</f>
        <v/>
      </c>
      <c r="K39" s="36">
        <f>'Data Sheet'!J68/'Data Sheet'!J$66</f>
        <v/>
      </c>
      <c r="L39" s="36">
        <f>'Data Sheet'!K68/'Data Sheet'!K$66</f>
        <v/>
      </c>
    </row>
    <row r="40">
      <c r="B40" s="178">
        <f>'Data Sheet'!A69</f>
        <v/>
      </c>
      <c r="C40" s="36">
        <f>'Data Sheet'!B69/'Data Sheet'!B$66</f>
        <v/>
      </c>
      <c r="D40" s="36">
        <f>'Data Sheet'!C69/'Data Sheet'!C$66</f>
        <v/>
      </c>
      <c r="E40" s="36">
        <f>'Data Sheet'!D69/'Data Sheet'!D$66</f>
        <v/>
      </c>
      <c r="F40" s="36">
        <f>'Data Sheet'!E69/'Data Sheet'!E$66</f>
        <v/>
      </c>
      <c r="G40" s="36">
        <f>'Data Sheet'!F69/'Data Sheet'!F$66</f>
        <v/>
      </c>
      <c r="H40" s="36">
        <f>'Data Sheet'!G69/'Data Sheet'!G$66</f>
        <v/>
      </c>
      <c r="I40" s="36">
        <f>'Data Sheet'!H69/'Data Sheet'!H$66</f>
        <v/>
      </c>
      <c r="J40" s="36">
        <f>'Data Sheet'!I69/'Data Sheet'!I$66</f>
        <v/>
      </c>
      <c r="K40" s="36">
        <f>'Data Sheet'!J69/'Data Sheet'!J$66</f>
        <v/>
      </c>
      <c r="L40" s="36">
        <f>'Data Sheet'!K69/'Data Sheet'!K$66</f>
        <v/>
      </c>
    </row>
  </sheetData>
  <mergeCells count="2">
    <mergeCell ref="B2:L2"/>
    <mergeCell ref="B23:L23"/>
  </mergeCell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K93"/>
  <sheetViews>
    <sheetView zoomScale="120" zoomScaleNormal="120" zoomScalePageLayoutView="120" workbookViewId="0">
      <pane xSplit="1" ySplit="1" topLeftCell="B89" activePane="bottomRight" state="frozen"/>
      <selection activeCell="C4" sqref="C4"/>
      <selection pane="topRight" activeCell="C4" sqref="C4"/>
      <selection pane="bottomLeft" activeCell="C4" sqref="C4"/>
      <selection pane="bottomRight" activeCell="B69" sqref="B69"/>
    </sheetView>
  </sheetViews>
  <sheetFormatPr baseColWidth="8" defaultColWidth="8.77734375" defaultRowHeight="14.4"/>
  <cols>
    <col width="27.6640625" bestFit="1" customWidth="1" style="176" min="1" max="1"/>
    <col width="13.44140625" bestFit="1" customWidth="1" style="176" min="2" max="11"/>
    <col width="8.77734375" customWidth="1" style="176" min="12" max="16384"/>
  </cols>
  <sheetData>
    <row r="1" customFormat="1" s="170">
      <c r="A1" s="170" t="inlineStr">
        <is>
          <t>COMPANY NAME</t>
        </is>
      </c>
      <c r="B1" s="170" t="inlineStr">
        <is>
          <t>Infosys Ltd</t>
        </is>
      </c>
      <c r="E1" s="179">
        <f>IF(B2&lt;&gt;B3, "A NEW VERSION OF THE WORKSHEET IS AVAILABLE", "")</f>
        <v/>
      </c>
    </row>
    <row r="2">
      <c r="A2" s="170" t="inlineStr">
        <is>
          <t>LATEST VERSION</t>
        </is>
      </c>
      <c r="B2" s="176" t="n">
        <v>2.1</v>
      </c>
      <c r="E2" s="180" t="inlineStr">
        <is>
          <t>PLEASE DO NOT MAKE ANY CHANGES TO THIS SHEET</t>
        </is>
      </c>
    </row>
    <row r="3">
      <c r="A3" s="170" t="inlineStr">
        <is>
          <t>CURRENT VERSION</t>
        </is>
      </c>
      <c r="B3" s="176" t="n">
        <v>2.1</v>
      </c>
    </row>
    <row r="4">
      <c r="A4" s="170" t="n"/>
    </row>
    <row r="5">
      <c r="A5" s="170" t="inlineStr">
        <is>
          <t>META</t>
        </is>
      </c>
    </row>
    <row r="6">
      <c r="A6" s="176" t="inlineStr">
        <is>
          <t>Number of shares</t>
        </is>
      </c>
      <c r="B6" s="176">
        <f>IF(B9&gt;0, B9/B8, 0)</f>
        <v/>
      </c>
    </row>
    <row r="7">
      <c r="A7" s="176" t="inlineStr">
        <is>
          <t>Face Value</t>
        </is>
      </c>
      <c r="B7" t="n">
        <v>5</v>
      </c>
    </row>
    <row r="8">
      <c r="A8" s="176" t="inlineStr">
        <is>
          <t>Current Price</t>
        </is>
      </c>
      <c r="B8" t="n">
        <v>1051</v>
      </c>
    </row>
    <row r="9">
      <c r="A9" s="176" t="inlineStr">
        <is>
          <t>Market Capitalization</t>
        </is>
      </c>
      <c r="B9" t="n">
        <v>425444.8</v>
      </c>
    </row>
    <row r="15">
      <c r="A15" s="170" t="inlineStr">
        <is>
          <t>PROFIT &amp; LOSS</t>
        </is>
      </c>
    </row>
    <row r="16" customFormat="1" s="24">
      <c r="A16" s="23" t="inlineStr">
        <is>
          <t>Report Date</t>
        </is>
      </c>
      <c r="B16" s="16" t="inlineStr">
        <is>
          <t>Mar 2017</t>
        </is>
      </c>
      <c r="C16" s="16" t="inlineStr">
        <is>
          <t>Mar 2018</t>
        </is>
      </c>
      <c r="D16" s="16" t="inlineStr">
        <is>
          <t>Mar 2019</t>
        </is>
      </c>
      <c r="E16" s="16" t="inlineStr">
        <is>
          <t>Mar 2020</t>
        </is>
      </c>
      <c r="F16" s="16" t="inlineStr">
        <is>
          <t>Mar 2021</t>
        </is>
      </c>
      <c r="G16" s="16" t="inlineStr">
        <is>
          <t>Mar 2022</t>
        </is>
      </c>
      <c r="H16" s="16" t="inlineStr">
        <is>
          <t>Mar 2023</t>
        </is>
      </c>
      <c r="I16" s="16" t="inlineStr">
        <is>
          <t>Mar 2024</t>
        </is>
      </c>
      <c r="J16" s="16" t="inlineStr">
        <is>
          <t>Mar 2025</t>
        </is>
      </c>
      <c r="K16" s="16" t="inlineStr">
        <is>
          <t>Mar 2026</t>
        </is>
      </c>
    </row>
    <row r="17" customFormat="1" s="171">
      <c r="A17" s="171" t="inlineStr">
        <is>
          <t>Sales</t>
        </is>
      </c>
      <c r="B17" t="n">
        <v>68484</v>
      </c>
      <c r="C17" t="n">
        <v>70522</v>
      </c>
      <c r="D17" t="n">
        <v>82675</v>
      </c>
      <c r="E17" t="n">
        <v>90791</v>
      </c>
      <c r="F17" t="n">
        <v>100472</v>
      </c>
      <c r="G17" t="n">
        <v>121641</v>
      </c>
      <c r="H17" t="n">
        <v>146767</v>
      </c>
      <c r="I17" t="n">
        <v>153670</v>
      </c>
      <c r="J17" t="n">
        <v>162990</v>
      </c>
      <c r="K17" t="n">
        <v>178650</v>
      </c>
    </row>
    <row r="18" customFormat="1" s="171">
      <c r="A18" s="176" t="inlineStr">
        <is>
          <t>Raw Material Cost</t>
        </is>
      </c>
      <c r="B18" t="n">
        <v>0</v>
      </c>
      <c r="C18" t="n">
        <v>0</v>
      </c>
      <c r="D18" t="n">
        <v>0</v>
      </c>
      <c r="E18" t="n">
        <v>0</v>
      </c>
      <c r="F18" t="n">
        <v>0</v>
      </c>
      <c r="G18" t="n">
        <v>0</v>
      </c>
      <c r="H18" t="n">
        <v>0</v>
      </c>
      <c r="I18" t="n">
        <v>0</v>
      </c>
      <c r="J18" t="n">
        <v>0</v>
      </c>
      <c r="K18" t="n">
        <v>0</v>
      </c>
    </row>
    <row r="19" customFormat="1" s="171">
      <c r="A19" s="176" t="inlineStr">
        <is>
          <t>Change in Inventory</t>
        </is>
      </c>
      <c r="B19" t="n">
        <v>0</v>
      </c>
      <c r="C19" t="n">
        <v>0</v>
      </c>
      <c r="D19" t="n">
        <v>0</v>
      </c>
      <c r="E19" t="n">
        <v>0</v>
      </c>
      <c r="F19" t="n">
        <v>0</v>
      </c>
      <c r="G19" t="n">
        <v>0</v>
      </c>
      <c r="H19" t="n">
        <v>0</v>
      </c>
      <c r="I19" t="n">
        <v>0</v>
      </c>
      <c r="J19" t="n">
        <v>0</v>
      </c>
      <c r="K19" t="n">
        <v>0</v>
      </c>
    </row>
    <row r="20" customFormat="1" s="171">
      <c r="A20" s="176" t="inlineStr">
        <is>
          <t>Power and Fuel</t>
        </is>
      </c>
      <c r="B20" t="n">
        <v>0</v>
      </c>
      <c r="C20" t="n">
        <v>0</v>
      </c>
      <c r="D20" t="n">
        <v>0</v>
      </c>
      <c r="E20" t="n">
        <v>0</v>
      </c>
      <c r="F20" t="n">
        <v>0</v>
      </c>
      <c r="G20" t="n">
        <v>0</v>
      </c>
      <c r="H20" t="n">
        <v>0</v>
      </c>
      <c r="I20" t="n">
        <v>0</v>
      </c>
      <c r="J20" t="n">
        <v>0</v>
      </c>
      <c r="K20" t="n">
        <v>0</v>
      </c>
    </row>
    <row r="21" customFormat="1" s="171">
      <c r="A21" s="176" t="inlineStr">
        <is>
          <t>Other Mfr. Exp</t>
        </is>
      </c>
      <c r="B21" t="n">
        <v>6848.4</v>
      </c>
      <c r="C21" t="n">
        <v>7757.42</v>
      </c>
      <c r="D21" t="n">
        <v>9921</v>
      </c>
      <c r="E21" t="n">
        <v>10894.92</v>
      </c>
      <c r="F21" t="n">
        <v>13061.36</v>
      </c>
      <c r="G21" t="n">
        <v>20678.97</v>
      </c>
      <c r="H21" t="n">
        <v>26418.06</v>
      </c>
      <c r="I21" t="n">
        <v>27660.6</v>
      </c>
      <c r="J21" t="n">
        <v>30968.1</v>
      </c>
      <c r="K21" t="n">
        <v>33943.5</v>
      </c>
    </row>
    <row r="22" customFormat="1" s="171">
      <c r="A22" s="176" t="inlineStr">
        <is>
          <t>Employee Cost</t>
        </is>
      </c>
      <c r="B22" t="n">
        <v>37666.2</v>
      </c>
      <c r="C22" t="n">
        <v>38787.1</v>
      </c>
      <c r="D22" t="n">
        <v>45471.25</v>
      </c>
      <c r="E22" t="n">
        <v>50842.96</v>
      </c>
      <c r="F22" t="n">
        <v>55259.6</v>
      </c>
      <c r="G22" t="n">
        <v>64469.73</v>
      </c>
      <c r="H22" t="n">
        <v>77786.50999999999</v>
      </c>
      <c r="I22" t="n">
        <v>82981.8</v>
      </c>
      <c r="J22" t="n">
        <v>86384.7</v>
      </c>
      <c r="K22" t="n">
        <v>94684.5</v>
      </c>
    </row>
    <row r="23" customFormat="1" s="171">
      <c r="A23" s="176" t="inlineStr">
        <is>
          <t>Selling and admin</t>
        </is>
      </c>
      <c r="B23" t="n">
        <v>0</v>
      </c>
      <c r="C23" t="n">
        <v>0</v>
      </c>
      <c r="D23" t="n">
        <v>0</v>
      </c>
      <c r="E23" t="n">
        <v>0</v>
      </c>
      <c r="F23" t="n">
        <v>0</v>
      </c>
      <c r="G23" t="n">
        <v>0</v>
      </c>
      <c r="H23" t="n">
        <v>0</v>
      </c>
      <c r="I23" t="n">
        <v>0</v>
      </c>
      <c r="J23" t="n">
        <v>0</v>
      </c>
      <c r="K23" t="n">
        <v>0</v>
      </c>
    </row>
    <row r="24" customFormat="1" s="171">
      <c r="A24" s="176" t="inlineStr">
        <is>
          <t>Other Expenses</t>
        </is>
      </c>
      <c r="B24" t="n">
        <v>5478.72</v>
      </c>
      <c r="C24" t="n">
        <v>5641.76</v>
      </c>
      <c r="D24" t="n">
        <v>7440.75</v>
      </c>
      <c r="E24" t="n">
        <v>6355.37</v>
      </c>
      <c r="F24" t="n">
        <v>4018.88</v>
      </c>
      <c r="G24" t="n">
        <v>4865.64</v>
      </c>
      <c r="H24" t="n">
        <v>7338.35</v>
      </c>
      <c r="I24" t="n">
        <v>7683.5</v>
      </c>
      <c r="J24" t="n">
        <v>6519.6</v>
      </c>
      <c r="K24" t="n">
        <v>8932.5</v>
      </c>
    </row>
    <row r="25" customFormat="1" s="171">
      <c r="A25" s="171" t="inlineStr">
        <is>
          <t>Other Income</t>
        </is>
      </c>
      <c r="B25" t="n">
        <v>3050</v>
      </c>
      <c r="C25" t="n">
        <v>3311</v>
      </c>
      <c r="D25" t="n">
        <v>2882</v>
      </c>
      <c r="E25" t="n">
        <v>2803</v>
      </c>
      <c r="F25" t="n">
        <v>2201</v>
      </c>
      <c r="G25" t="n">
        <v>2295</v>
      </c>
      <c r="H25" t="n">
        <v>2701</v>
      </c>
      <c r="I25" t="n">
        <v>4711</v>
      </c>
      <c r="J25" t="n">
        <v>3600</v>
      </c>
      <c r="K25" t="n">
        <v>3033</v>
      </c>
    </row>
    <row r="26" customFormat="1" s="171">
      <c r="A26" s="171" t="inlineStr">
        <is>
          <t>Depreciation</t>
        </is>
      </c>
      <c r="B26" t="n">
        <v>1703</v>
      </c>
      <c r="C26" t="n">
        <v>1863</v>
      </c>
      <c r="D26" t="n">
        <v>2011</v>
      </c>
      <c r="E26" t="n">
        <v>2893</v>
      </c>
      <c r="F26" t="n">
        <v>3267</v>
      </c>
      <c r="G26" t="n">
        <v>3476</v>
      </c>
      <c r="H26" t="n">
        <v>4225</v>
      </c>
      <c r="I26" t="n">
        <v>4678</v>
      </c>
      <c r="J26" t="n">
        <v>4812</v>
      </c>
      <c r="K26" t="n">
        <v>4902</v>
      </c>
    </row>
    <row r="27" customFormat="1" s="171">
      <c r="A27" s="171" t="inlineStr">
        <is>
          <t>Interest</t>
        </is>
      </c>
      <c r="B27" t="n">
        <v>0</v>
      </c>
      <c r="C27" t="n">
        <v>0</v>
      </c>
      <c r="D27" t="n">
        <v>0</v>
      </c>
      <c r="E27" t="n">
        <v>170</v>
      </c>
      <c r="F27" t="n">
        <v>195</v>
      </c>
      <c r="G27" t="n">
        <v>200</v>
      </c>
      <c r="H27" t="n">
        <v>284</v>
      </c>
      <c r="I27" t="n">
        <v>470</v>
      </c>
      <c r="J27" t="n">
        <v>416</v>
      </c>
      <c r="K27" t="n">
        <v>416</v>
      </c>
    </row>
    <row r="28" customFormat="1" s="171">
      <c r="A28" s="171" t="inlineStr">
        <is>
          <t>Profit before tax</t>
        </is>
      </c>
      <c r="B28" t="n">
        <v>19951</v>
      </c>
      <c r="C28" t="n">
        <v>20270</v>
      </c>
      <c r="D28" t="n">
        <v>21041</v>
      </c>
      <c r="E28" t="n">
        <v>22007</v>
      </c>
      <c r="F28" t="n">
        <v>26628</v>
      </c>
      <c r="G28" t="n">
        <v>30110</v>
      </c>
      <c r="H28" t="n">
        <v>33322</v>
      </c>
      <c r="I28" t="n">
        <v>35988</v>
      </c>
      <c r="J28" t="n">
        <v>37608</v>
      </c>
      <c r="K28" t="n">
        <v>39995</v>
      </c>
    </row>
    <row r="29" customFormat="1" s="171">
      <c r="A29" s="171" t="inlineStr">
        <is>
          <t>Tax</t>
        </is>
      </c>
      <c r="B29" t="n">
        <v>19951</v>
      </c>
      <c r="C29" t="n">
        <v>20270</v>
      </c>
      <c r="D29" t="n">
        <v>21041</v>
      </c>
      <c r="E29" t="n">
        <v>22007</v>
      </c>
      <c r="F29" t="n">
        <v>26628</v>
      </c>
      <c r="G29" t="n">
        <v>30110</v>
      </c>
      <c r="H29" t="n">
        <v>33322</v>
      </c>
      <c r="I29" t="n">
        <v>35988</v>
      </c>
      <c r="J29" t="n">
        <v>37608</v>
      </c>
      <c r="K29" t="n">
        <v>39995</v>
      </c>
    </row>
    <row r="30" customFormat="1" s="171">
      <c r="A30" s="171" t="inlineStr">
        <is>
          <t>Net profit</t>
        </is>
      </c>
      <c r="B30" t="n">
        <v>14353</v>
      </c>
      <c r="C30" t="n">
        <v>16029</v>
      </c>
      <c r="D30" t="n">
        <v>15410</v>
      </c>
      <c r="E30" t="n">
        <v>16639</v>
      </c>
      <c r="F30" t="n">
        <v>19423</v>
      </c>
      <c r="G30" t="n">
        <v>22146</v>
      </c>
      <c r="H30" t="n">
        <v>24108</v>
      </c>
      <c r="I30" t="n">
        <v>26248</v>
      </c>
      <c r="J30" t="n">
        <v>26750</v>
      </c>
      <c r="K30" t="n">
        <v>29474</v>
      </c>
    </row>
    <row r="31" customFormat="1" s="171">
      <c r="A31" s="171" t="inlineStr">
        <is>
          <t>Dividend Amount</t>
        </is>
      </c>
      <c r="B31" t="n">
        <v>5884.73</v>
      </c>
      <c r="C31" t="n">
        <v>9457.110000000001</v>
      </c>
      <c r="D31" t="n">
        <v>9246</v>
      </c>
      <c r="E31" t="n">
        <v>7487.55</v>
      </c>
      <c r="F31" t="n">
        <v>11459.57</v>
      </c>
      <c r="G31" t="n">
        <v>13066.14</v>
      </c>
      <c r="H31" t="n">
        <v>13982.64</v>
      </c>
      <c r="I31" t="n">
        <v>19161.04</v>
      </c>
      <c r="J31" t="n">
        <v>17922.5</v>
      </c>
      <c r="K31" t="n">
        <v>19452.84</v>
      </c>
    </row>
    <row r="32" customFormat="1" s="171">
      <c r="A32" s="171" t="inlineStr">
        <is>
          <t>EBITDA</t>
        </is>
      </c>
      <c r="B32" s="171">
        <f>SUM(B26:B28)</f>
        <v/>
      </c>
      <c r="C32" s="171">
        <f>SUM(C26:C28)</f>
        <v/>
      </c>
      <c r="D32" s="171">
        <f>SUM(D26:D28)</f>
        <v/>
      </c>
      <c r="E32" s="171">
        <f>SUM(E26:E28)</f>
        <v/>
      </c>
      <c r="F32" s="171">
        <f>SUM(F26:F28)</f>
        <v/>
      </c>
      <c r="G32" s="171">
        <f>SUM(G26:G28)</f>
        <v/>
      </c>
      <c r="H32" s="171">
        <f>SUM(H26:H28)</f>
        <v/>
      </c>
      <c r="I32" s="171">
        <f>SUM(I26:I28)</f>
        <v/>
      </c>
      <c r="J32" s="171">
        <f>SUM(J26:J28)</f>
        <v/>
      </c>
      <c r="K32" s="171">
        <f>SUM(K26:K28)</f>
        <v/>
      </c>
    </row>
    <row r="33">
      <c r="A33" s="171" t="n"/>
      <c r="B33">
        <f>B30+B29+B27+B26</f>
        <v/>
      </c>
      <c r="C33">
        <f>C30+C29+C27+C26</f>
        <v/>
      </c>
      <c r="D33">
        <f>D30+D29+D27+D26</f>
        <v/>
      </c>
      <c r="E33">
        <f>E30+E29+E27+E26</f>
        <v/>
      </c>
      <c r="F33">
        <f>F30+F29+F27+F26</f>
        <v/>
      </c>
      <c r="G33">
        <f>G30+G29+G27+G26</f>
        <v/>
      </c>
      <c r="H33">
        <f>H30+H29+H27+H26</f>
        <v/>
      </c>
      <c r="I33">
        <f>I30+I29+I27+I26</f>
        <v/>
      </c>
      <c r="J33">
        <f>J30+J29+J27+J26</f>
        <v/>
      </c>
      <c r="K33">
        <f>K30+K29+K27+K26</f>
        <v/>
      </c>
    </row>
    <row r="34">
      <c r="A34" s="171" t="n"/>
    </row>
    <row r="35">
      <c r="A35" s="171" t="n"/>
    </row>
    <row r="36">
      <c r="A36" s="171" t="n"/>
    </row>
    <row r="37">
      <c r="A37" s="171" t="n"/>
    </row>
    <row r="38">
      <c r="A38" s="171" t="n"/>
    </row>
    <row r="39">
      <c r="A39" s="171" t="n"/>
    </row>
    <row r="40">
      <c r="A40" s="170" t="inlineStr">
        <is>
          <t>Quarters</t>
        </is>
      </c>
    </row>
    <row r="41" customFormat="1" s="24">
      <c r="A41" s="23" t="inlineStr">
        <is>
          <t>Report Date</t>
        </is>
      </c>
      <c r="B41" s="16" t="inlineStr">
        <is>
          <t>Mar 2024</t>
        </is>
      </c>
      <c r="C41" s="16" t="inlineStr">
        <is>
          <t>Jun 2024</t>
        </is>
      </c>
      <c r="D41" s="16" t="inlineStr">
        <is>
          <t>Sep 2024</t>
        </is>
      </c>
      <c r="E41" s="16" t="inlineStr">
        <is>
          <t>Dec 2024</t>
        </is>
      </c>
      <c r="F41" s="16" t="inlineStr">
        <is>
          <t>Mar 2025</t>
        </is>
      </c>
      <c r="G41" s="16" t="inlineStr">
        <is>
          <t>Jun 2025</t>
        </is>
      </c>
      <c r="H41" s="16" t="inlineStr">
        <is>
          <t>Sep 2025</t>
        </is>
      </c>
      <c r="I41" s="16" t="inlineStr">
        <is>
          <t>Dec 2025</t>
        </is>
      </c>
      <c r="J41" s="16" t="inlineStr">
        <is>
          <t>Mar 2026</t>
        </is>
      </c>
      <c r="K41" s="16" t="inlineStr">
        <is>
          <t>Jun 2026</t>
        </is>
      </c>
    </row>
    <row r="42" customFormat="1" s="171">
      <c r="A42" s="171" t="inlineStr">
        <is>
          <t>Sales</t>
        </is>
      </c>
      <c r="B42" t="n">
        <v>37923</v>
      </c>
      <c r="C42" t="n">
        <v>39315</v>
      </c>
      <c r="D42" t="n">
        <v>40986</v>
      </c>
      <c r="E42" t="n">
        <v>41764</v>
      </c>
      <c r="F42" t="n">
        <v>40925</v>
      </c>
      <c r="G42" t="n">
        <v>42279</v>
      </c>
      <c r="H42" t="n">
        <v>44490</v>
      </c>
      <c r="I42" t="n">
        <v>45479</v>
      </c>
      <c r="J42" t="n">
        <v>46402</v>
      </c>
      <c r="K42" t="n">
        <v>48211</v>
      </c>
    </row>
    <row r="43" customFormat="1" s="171">
      <c r="A43" s="171" t="inlineStr">
        <is>
          <t>Expenses</t>
        </is>
      </c>
      <c r="B43" t="n">
        <v>29139</v>
      </c>
      <c r="C43" t="n">
        <v>29878</v>
      </c>
      <c r="D43" t="n">
        <v>31177</v>
      </c>
      <c r="E43" t="n">
        <v>31649</v>
      </c>
      <c r="F43" t="n">
        <v>31051</v>
      </c>
      <c r="G43" t="n">
        <v>32336</v>
      </c>
      <c r="H43" t="n">
        <v>33955</v>
      </c>
      <c r="I43" t="n">
        <v>34845</v>
      </c>
      <c r="J43" t="n">
        <v>35235</v>
      </c>
      <c r="K43" t="n">
        <v>36802</v>
      </c>
    </row>
    <row r="44" customFormat="1" s="171">
      <c r="A44" s="171" t="inlineStr">
        <is>
          <t>Other Income</t>
        </is>
      </c>
      <c r="B44" t="n">
        <v>2729</v>
      </c>
      <c r="C44" t="n">
        <v>838</v>
      </c>
      <c r="D44" t="n">
        <v>712</v>
      </c>
      <c r="E44" t="n">
        <v>859</v>
      </c>
      <c r="F44" t="n">
        <v>1190</v>
      </c>
      <c r="G44" t="n">
        <v>1042</v>
      </c>
      <c r="H44" t="n">
        <v>982</v>
      </c>
      <c r="I44" t="n">
        <v>-150</v>
      </c>
      <c r="J44" t="n">
        <v>1159</v>
      </c>
      <c r="K44" t="n">
        <v>984</v>
      </c>
    </row>
    <row r="45" customFormat="1" s="171">
      <c r="A45" s="171" t="inlineStr">
        <is>
          <t>Depreciation</t>
        </is>
      </c>
      <c r="B45" t="n">
        <v>1163</v>
      </c>
      <c r="C45" t="n">
        <v>1149</v>
      </c>
      <c r="D45" t="n">
        <v>1160</v>
      </c>
      <c r="E45" t="n">
        <v>1203</v>
      </c>
      <c r="F45" t="n">
        <v>1299</v>
      </c>
      <c r="G45" t="n">
        <v>1140</v>
      </c>
      <c r="H45" t="n">
        <v>1182</v>
      </c>
      <c r="I45" t="n">
        <v>1155</v>
      </c>
      <c r="J45" t="n">
        <v>1424</v>
      </c>
      <c r="K45" t="n">
        <v>1246</v>
      </c>
    </row>
    <row r="46" customFormat="1" s="171">
      <c r="A46" s="171" t="inlineStr">
        <is>
          <t>Interest</t>
        </is>
      </c>
      <c r="B46" t="n">
        <v>110</v>
      </c>
      <c r="C46" t="n">
        <v>105</v>
      </c>
      <c r="D46" t="n">
        <v>108</v>
      </c>
      <c r="E46" t="n">
        <v>101</v>
      </c>
      <c r="F46" t="n">
        <v>102</v>
      </c>
      <c r="G46" t="n">
        <v>105</v>
      </c>
      <c r="H46" t="n">
        <v>106</v>
      </c>
      <c r="I46" t="n">
        <v>100</v>
      </c>
      <c r="J46" t="n">
        <v>105</v>
      </c>
      <c r="K46" t="n">
        <v>119</v>
      </c>
    </row>
    <row r="47" customFormat="1" s="171">
      <c r="A47" s="171" t="inlineStr">
        <is>
          <t>Profit before tax</t>
        </is>
      </c>
      <c r="B47" t="n">
        <v>10240</v>
      </c>
      <c r="C47" t="n">
        <v>9021</v>
      </c>
      <c r="D47" t="n">
        <v>9253</v>
      </c>
      <c r="E47" t="n">
        <v>9670</v>
      </c>
      <c r="F47" t="n">
        <v>9663</v>
      </c>
      <c r="G47" t="n">
        <v>9740</v>
      </c>
      <c r="H47" t="n">
        <v>10229</v>
      </c>
      <c r="I47" t="n">
        <v>9229</v>
      </c>
      <c r="J47" t="n">
        <v>10797</v>
      </c>
      <c r="K47" t="n">
        <v>11028</v>
      </c>
    </row>
    <row r="48" customFormat="1" s="171">
      <c r="A48" s="171" t="inlineStr">
        <is>
          <t>Tax</t>
        </is>
      </c>
      <c r="B48" t="n">
        <v>10240</v>
      </c>
      <c r="C48" t="n">
        <v>9021</v>
      </c>
      <c r="D48" t="n">
        <v>9253</v>
      </c>
      <c r="E48" t="n">
        <v>9670</v>
      </c>
      <c r="F48" t="n">
        <v>9663</v>
      </c>
      <c r="G48" t="n">
        <v>9740</v>
      </c>
      <c r="H48" t="n">
        <v>10229</v>
      </c>
      <c r="I48" t="n">
        <v>9229</v>
      </c>
      <c r="J48" t="n">
        <v>10797</v>
      </c>
      <c r="K48" t="n">
        <v>11028</v>
      </c>
    </row>
    <row r="49" customFormat="1" s="171">
      <c r="A49" s="171" t="inlineStr">
        <is>
          <t>Net profit</t>
        </is>
      </c>
      <c r="B49" t="n">
        <v>7975</v>
      </c>
      <c r="C49" t="n">
        <v>6374</v>
      </c>
      <c r="D49" t="n">
        <v>6516</v>
      </c>
      <c r="E49" t="n">
        <v>6822</v>
      </c>
      <c r="F49" t="n">
        <v>7038</v>
      </c>
      <c r="G49" t="n">
        <v>6924</v>
      </c>
      <c r="H49" t="n">
        <v>7375</v>
      </c>
      <c r="I49" t="n">
        <v>6666</v>
      </c>
      <c r="J49" t="n">
        <v>8509</v>
      </c>
      <c r="K49" t="n">
        <v>7775</v>
      </c>
    </row>
    <row r="50">
      <c r="A50" s="171" t="inlineStr">
        <is>
          <t>Operating Profit</t>
        </is>
      </c>
      <c r="B50" t="n">
        <v>8784</v>
      </c>
      <c r="C50" t="n">
        <v>9437</v>
      </c>
      <c r="D50" t="n">
        <v>9809</v>
      </c>
      <c r="E50" t="n">
        <v>10115</v>
      </c>
      <c r="F50" t="n">
        <v>9874</v>
      </c>
      <c r="G50" t="n">
        <v>9943</v>
      </c>
      <c r="H50" t="n">
        <v>10535</v>
      </c>
      <c r="I50" t="n">
        <v>10634</v>
      </c>
      <c r="J50" t="n">
        <v>11167</v>
      </c>
      <c r="K50" t="n">
        <v>11409</v>
      </c>
    </row>
    <row r="51">
      <c r="A51" s="171" t="n"/>
    </row>
    <row r="52">
      <c r="A52" s="171" t="n"/>
    </row>
    <row r="53">
      <c r="A53" s="171" t="n"/>
    </row>
    <row r="54">
      <c r="A54" s="171" t="n"/>
    </row>
    <row r="55">
      <c r="A55" s="170" t="inlineStr">
        <is>
          <t>BALANCE SHEET</t>
        </is>
      </c>
    </row>
    <row r="56" customFormat="1" s="24">
      <c r="A56" s="23" t="inlineStr">
        <is>
          <t>Report Date</t>
        </is>
      </c>
      <c r="B56" s="16" t="inlineStr">
        <is>
          <t>Mar 2017</t>
        </is>
      </c>
      <c r="C56" s="16" t="inlineStr">
        <is>
          <t>Mar 2018</t>
        </is>
      </c>
      <c r="D56" s="16" t="inlineStr">
        <is>
          <t>Mar 2019</t>
        </is>
      </c>
      <c r="E56" s="16" t="inlineStr">
        <is>
          <t>Mar 2020</t>
        </is>
      </c>
      <c r="F56" s="16" t="inlineStr">
        <is>
          <t>Mar 2021</t>
        </is>
      </c>
      <c r="G56" s="16" t="inlineStr">
        <is>
          <t>Mar 2022</t>
        </is>
      </c>
      <c r="H56" s="16" t="inlineStr">
        <is>
          <t>Mar 2023</t>
        </is>
      </c>
      <c r="I56" s="16" t="inlineStr">
        <is>
          <t>Mar 2024</t>
        </is>
      </c>
      <c r="J56" s="16" t="inlineStr">
        <is>
          <t>Mar 2025</t>
        </is>
      </c>
      <c r="K56" s="16" t="inlineStr">
        <is>
          <t>Mar 2026</t>
        </is>
      </c>
    </row>
    <row r="57">
      <c r="A57" s="171" t="inlineStr">
        <is>
          <t>Equity Share Capital</t>
        </is>
      </c>
      <c r="B57" t="n">
        <v>1144</v>
      </c>
      <c r="C57" t="n">
        <v>1088</v>
      </c>
      <c r="D57" t="n">
        <v>2170</v>
      </c>
      <c r="E57" t="n">
        <v>2122</v>
      </c>
      <c r="F57" t="n">
        <v>2124</v>
      </c>
      <c r="G57" t="n">
        <v>2098</v>
      </c>
      <c r="H57" t="n">
        <v>2069</v>
      </c>
      <c r="I57" t="n">
        <v>2071</v>
      </c>
      <c r="J57" t="n">
        <v>2073</v>
      </c>
      <c r="K57" t="n">
        <v>2024</v>
      </c>
    </row>
    <row r="58">
      <c r="A58" s="171" t="inlineStr">
        <is>
          <t>Reserves</t>
        </is>
      </c>
      <c r="B58" t="n">
        <v>67838</v>
      </c>
      <c r="C58" t="n">
        <v>63835</v>
      </c>
      <c r="D58" t="n">
        <v>62778</v>
      </c>
      <c r="E58" t="n">
        <v>63328</v>
      </c>
      <c r="F58" t="n">
        <v>74227</v>
      </c>
      <c r="G58" t="n">
        <v>73252</v>
      </c>
      <c r="H58" t="n">
        <v>73338</v>
      </c>
      <c r="I58" t="n">
        <v>86045</v>
      </c>
      <c r="J58" t="n">
        <v>93745</v>
      </c>
      <c r="K58" t="n">
        <v>90828</v>
      </c>
    </row>
    <row r="59">
      <c r="A59" s="171" t="inlineStr">
        <is>
          <t>Borrowings</t>
        </is>
      </c>
      <c r="B59" t="n">
        <v>0</v>
      </c>
      <c r="C59" t="n">
        <v>0</v>
      </c>
      <c r="D59" t="n">
        <v>0</v>
      </c>
      <c r="E59" t="n">
        <v>4633</v>
      </c>
      <c r="F59" t="n">
        <v>5325</v>
      </c>
      <c r="G59" t="n">
        <v>5474</v>
      </c>
      <c r="H59" t="n">
        <v>8299</v>
      </c>
      <c r="I59" t="n">
        <v>8359</v>
      </c>
      <c r="J59" t="n">
        <v>8227</v>
      </c>
      <c r="K59" t="n">
        <v>9176</v>
      </c>
    </row>
    <row r="60">
      <c r="A60" s="171" t="inlineStr">
        <is>
          <t>Other Liabilities</t>
        </is>
      </c>
      <c r="B60" t="n">
        <v>14166</v>
      </c>
      <c r="C60" t="n">
        <v>14426</v>
      </c>
      <c r="D60" t="n">
        <v>19118</v>
      </c>
      <c r="E60" t="n">
        <v>21717</v>
      </c>
      <c r="F60" t="n">
        <v>25835</v>
      </c>
      <c r="G60" t="n">
        <v>35905</v>
      </c>
      <c r="H60" t="n">
        <v>40890</v>
      </c>
      <c r="I60" t="n">
        <v>39545</v>
      </c>
      <c r="J60" t="n">
        <v>43750</v>
      </c>
      <c r="K60" t="n">
        <v>52260</v>
      </c>
    </row>
    <row r="61" customFormat="1" s="170">
      <c r="A61" s="170" t="inlineStr">
        <is>
          <t>Total</t>
        </is>
      </c>
      <c r="B61" t="n">
        <v>83148</v>
      </c>
      <c r="C61" t="n">
        <v>79349</v>
      </c>
      <c r="D61" t="n">
        <v>84066</v>
      </c>
      <c r="E61" t="n">
        <v>91800</v>
      </c>
      <c r="F61" t="n">
        <v>107511</v>
      </c>
      <c r="G61" t="n">
        <v>116729</v>
      </c>
      <c r="H61" t="n">
        <v>124596</v>
      </c>
      <c r="I61" t="n">
        <v>136020</v>
      </c>
      <c r="J61" t="n">
        <v>147795</v>
      </c>
      <c r="K61" t="n">
        <v>154288</v>
      </c>
    </row>
    <row r="62">
      <c r="A62" s="171" t="inlineStr">
        <is>
          <t>Net Block</t>
        </is>
      </c>
      <c r="B62" t="n">
        <v>14179</v>
      </c>
      <c r="C62" t="n">
        <v>12574</v>
      </c>
      <c r="D62" t="n">
        <v>15710</v>
      </c>
      <c r="E62" t="n">
        <v>23789</v>
      </c>
      <c r="F62" t="n">
        <v>25505</v>
      </c>
      <c r="G62" t="n">
        <v>25800</v>
      </c>
      <c r="H62" t="n">
        <v>29225</v>
      </c>
      <c r="I62" t="n">
        <v>27622</v>
      </c>
      <c r="J62" t="n">
        <v>30961</v>
      </c>
      <c r="K62" t="n">
        <v>33770</v>
      </c>
    </row>
    <row r="63">
      <c r="A63" s="171" t="inlineStr">
        <is>
          <t>Capital Work in Progress</t>
        </is>
      </c>
      <c r="B63" t="n">
        <v>1365</v>
      </c>
      <c r="C63" t="n">
        <v>1606</v>
      </c>
      <c r="D63" t="n">
        <v>1388</v>
      </c>
      <c r="E63" t="n">
        <v>954</v>
      </c>
      <c r="F63" t="n">
        <v>922</v>
      </c>
      <c r="G63" t="n">
        <v>416</v>
      </c>
      <c r="H63" t="n">
        <v>288</v>
      </c>
      <c r="I63" t="n">
        <v>293</v>
      </c>
      <c r="J63" t="n">
        <v>814</v>
      </c>
      <c r="K63" t="n">
        <v>526</v>
      </c>
    </row>
    <row r="64">
      <c r="A64" s="171" t="inlineStr">
        <is>
          <t>Investments</t>
        </is>
      </c>
      <c r="B64" t="n">
        <v>16423</v>
      </c>
      <c r="C64" t="n">
        <v>12163</v>
      </c>
      <c r="D64" t="n">
        <v>11261</v>
      </c>
      <c r="E64" t="n">
        <v>8792</v>
      </c>
      <c r="F64" t="n">
        <v>14205</v>
      </c>
      <c r="G64" t="n">
        <v>20324</v>
      </c>
      <c r="H64" t="n">
        <v>19478</v>
      </c>
      <c r="I64" t="n">
        <v>24623</v>
      </c>
      <c r="J64" t="n">
        <v>23541</v>
      </c>
      <c r="K64" t="n">
        <v>21880</v>
      </c>
    </row>
    <row r="65">
      <c r="A65" s="171" t="inlineStr">
        <is>
          <t>Other Assets</t>
        </is>
      </c>
      <c r="B65" t="n">
        <v>51181</v>
      </c>
      <c r="C65" t="n">
        <v>53006</v>
      </c>
      <c r="D65" t="n">
        <v>55707</v>
      </c>
      <c r="E65" t="n">
        <v>58265</v>
      </c>
      <c r="F65" t="n">
        <v>66879</v>
      </c>
      <c r="G65" t="n">
        <v>70189</v>
      </c>
      <c r="H65" t="n">
        <v>75605</v>
      </c>
      <c r="I65" t="n">
        <v>83482</v>
      </c>
      <c r="J65" t="n">
        <v>92479</v>
      </c>
      <c r="K65" t="n">
        <v>98112</v>
      </c>
    </row>
    <row r="66" customFormat="1" s="170">
      <c r="A66" s="170" t="inlineStr">
        <is>
          <t>Total</t>
        </is>
      </c>
      <c r="B66" t="n">
        <v>83148</v>
      </c>
      <c r="C66" t="n">
        <v>79349</v>
      </c>
      <c r="D66" t="n">
        <v>84066</v>
      </c>
      <c r="E66" t="n">
        <v>91800</v>
      </c>
      <c r="F66" t="n">
        <v>107511</v>
      </c>
      <c r="G66" t="n">
        <v>116729</v>
      </c>
      <c r="H66" t="n">
        <v>124596</v>
      </c>
      <c r="I66" t="n">
        <v>136020</v>
      </c>
      <c r="J66" t="n">
        <v>147795</v>
      </c>
      <c r="K66" t="n">
        <v>154288</v>
      </c>
    </row>
    <row r="67" customFormat="1" s="171">
      <c r="A67" s="171" t="inlineStr">
        <is>
          <t>Receivables</t>
        </is>
      </c>
      <c r="B67" t="n">
        <v>12322</v>
      </c>
      <c r="C67" t="n">
        <v>13142</v>
      </c>
      <c r="D67" t="n">
        <v>14827</v>
      </c>
      <c r="E67" t="n">
        <v>18487</v>
      </c>
      <c r="F67" t="n">
        <v>19294</v>
      </c>
      <c r="G67" t="n">
        <v>22698</v>
      </c>
      <c r="H67" t="n">
        <v>25424</v>
      </c>
      <c r="I67" t="n">
        <v>30193</v>
      </c>
      <c r="J67" t="n">
        <v>31158</v>
      </c>
      <c r="K67" t="n">
        <v>35234</v>
      </c>
    </row>
    <row r="68">
      <c r="A68" s="171" t="inlineStr">
        <is>
          <t>Inventory</t>
        </is>
      </c>
      <c r="B68" t="n">
        <v>0</v>
      </c>
      <c r="C68" t="n">
        <v>0</v>
      </c>
      <c r="D68" t="n">
        <v>0</v>
      </c>
      <c r="E68" t="n">
        <v>0</v>
      </c>
      <c r="F68" t="n">
        <v>0</v>
      </c>
      <c r="G68" t="n">
        <v>0</v>
      </c>
      <c r="H68" t="n">
        <v>0</v>
      </c>
      <c r="I68" t="n">
        <v>0</v>
      </c>
      <c r="J68" t="n">
        <v>0</v>
      </c>
      <c r="K68" t="n">
        <v>0</v>
      </c>
    </row>
    <row r="69">
      <c r="A69" s="176" t="inlineStr">
        <is>
          <t>Cash &amp; Bank</t>
        </is>
      </c>
      <c r="B69" t="n">
        <v>22625</v>
      </c>
      <c r="C69" t="n">
        <v>19818</v>
      </c>
      <c r="D69" t="n">
        <v>19568</v>
      </c>
      <c r="E69" t="n">
        <v>18649</v>
      </c>
      <c r="F69" t="n">
        <v>24714</v>
      </c>
      <c r="G69" t="n">
        <v>17472</v>
      </c>
      <c r="H69" t="n">
        <v>12173</v>
      </c>
      <c r="I69" t="n">
        <v>14786</v>
      </c>
      <c r="J69" t="n">
        <v>24455</v>
      </c>
      <c r="K69" t="n">
        <v>22201</v>
      </c>
    </row>
    <row r="70">
      <c r="A70" s="176" t="inlineStr">
        <is>
          <t>No. of Equity Shares</t>
        </is>
      </c>
      <c r="B70" t="n">
        <v>2288000000</v>
      </c>
      <c r="C70" t="n">
        <v>2176000000</v>
      </c>
      <c r="D70" t="n">
        <v>4340000000</v>
      </c>
      <c r="E70" t="n">
        <v>4244000000</v>
      </c>
      <c r="F70" t="n">
        <v>4248000000</v>
      </c>
      <c r="G70" t="n">
        <v>4196000000</v>
      </c>
      <c r="H70" t="n">
        <v>4138000000</v>
      </c>
      <c r="I70" t="n">
        <v>4142000000</v>
      </c>
      <c r="J70" t="n">
        <v>4146000000</v>
      </c>
      <c r="K70" t="n">
        <v>4048000000</v>
      </c>
    </row>
    <row r="71">
      <c r="A71" s="176" t="inlineStr">
        <is>
          <t>New Bonus Shares</t>
        </is>
      </c>
      <c r="B71" t="n">
        <v>4026657100</v>
      </c>
    </row>
    <row r="72">
      <c r="A72" s="176" t="inlineStr">
        <is>
          <t>Face value</t>
        </is>
      </c>
      <c r="B72" t="n">
        <v>5</v>
      </c>
      <c r="C72" t="n">
        <v>5</v>
      </c>
      <c r="D72" t="n">
        <v>5</v>
      </c>
      <c r="E72" t="n">
        <v>5</v>
      </c>
      <c r="F72" t="n">
        <v>5</v>
      </c>
      <c r="G72" t="n">
        <v>5</v>
      </c>
      <c r="H72" t="n">
        <v>5</v>
      </c>
      <c r="I72" t="n">
        <v>5</v>
      </c>
      <c r="J72" t="n">
        <v>5</v>
      </c>
      <c r="K72" t="n">
        <v>5</v>
      </c>
    </row>
    <row r="74">
      <c r="A74" s="171" t="n"/>
      <c r="B74" s="176">
        <f>B65-SUM(B67:B69)</f>
        <v/>
      </c>
      <c r="C74" s="176">
        <f>C65-SUM(C67:C69)</f>
        <v/>
      </c>
      <c r="D74" s="176">
        <f>D65-SUM(D67:D69)</f>
        <v/>
      </c>
      <c r="E74" s="176">
        <f>E65-SUM(E67:E69)</f>
        <v/>
      </c>
      <c r="F74" s="176">
        <f>F65-SUM(F67:F69)</f>
        <v/>
      </c>
      <c r="G74" s="176">
        <f>G65-SUM(G67:G69)</f>
        <v/>
      </c>
      <c r="H74" s="176">
        <f>H65-SUM(H67:H69)</f>
        <v/>
      </c>
      <c r="I74" s="176">
        <f>I65-SUM(I67:I69)</f>
        <v/>
      </c>
      <c r="J74" s="176">
        <f>J65-SUM(J67:J69)</f>
        <v/>
      </c>
      <c r="K74" s="176">
        <f>K65-SUM(K67:K69)</f>
        <v/>
      </c>
    </row>
    <row r="75">
      <c r="A75" s="171" t="inlineStr">
        <is>
          <t>Other Assets</t>
        </is>
      </c>
      <c r="B75">
        <f>B65-SUM(B67:B69)</f>
        <v/>
      </c>
      <c r="C75">
        <f>C65-SUM(C67:C69)</f>
        <v/>
      </c>
      <c r="D75">
        <f>D65-SUM(D67:D69)</f>
        <v/>
      </c>
      <c r="E75">
        <f>E65-SUM(E67:E69)</f>
        <v/>
      </c>
      <c r="F75">
        <f>F65-SUM(F67:F69)</f>
        <v/>
      </c>
      <c r="G75">
        <f>G65-SUM(G67:G69)</f>
        <v/>
      </c>
      <c r="H75">
        <f>H65-SUM(H67:H69)</f>
        <v/>
      </c>
      <c r="I75">
        <f>I65-SUM(I67:I69)</f>
        <v/>
      </c>
      <c r="J75">
        <f>J65-SUM(J67:J69)</f>
        <v/>
      </c>
      <c r="K75">
        <f>K65-SUM(K67:K69)</f>
        <v/>
      </c>
    </row>
    <row r="76">
      <c r="A76" s="171" t="n"/>
    </row>
    <row r="77">
      <c r="A77" s="171" t="n"/>
    </row>
    <row r="78">
      <c r="A78" s="171" t="n"/>
    </row>
    <row r="79">
      <c r="A79" s="171" t="n"/>
    </row>
    <row r="80">
      <c r="A80" s="170" t="inlineStr">
        <is>
          <t>CASH FLOW:</t>
        </is>
      </c>
    </row>
    <row r="81" customFormat="1" s="24">
      <c r="A81" s="23" t="inlineStr">
        <is>
          <t>Report Date</t>
        </is>
      </c>
      <c r="B81" s="16" t="inlineStr">
        <is>
          <t>Mar 2017</t>
        </is>
      </c>
      <c r="C81" s="16" t="inlineStr">
        <is>
          <t>Mar 2018</t>
        </is>
      </c>
      <c r="D81" s="16" t="inlineStr">
        <is>
          <t>Mar 2019</t>
        </is>
      </c>
      <c r="E81" s="16" t="inlineStr">
        <is>
          <t>Mar 2020</t>
        </is>
      </c>
      <c r="F81" s="16" t="inlineStr">
        <is>
          <t>Mar 2021</t>
        </is>
      </c>
      <c r="G81" s="16" t="inlineStr">
        <is>
          <t>Mar 2022</t>
        </is>
      </c>
      <c r="H81" s="16" t="inlineStr">
        <is>
          <t>Mar 2023</t>
        </is>
      </c>
      <c r="I81" s="16" t="inlineStr">
        <is>
          <t>Mar 2024</t>
        </is>
      </c>
      <c r="J81" s="16" t="inlineStr">
        <is>
          <t>Mar 2025</t>
        </is>
      </c>
      <c r="K81" s="16" t="inlineStr">
        <is>
          <t>Mar 2026</t>
        </is>
      </c>
    </row>
    <row r="82" customFormat="1" s="170">
      <c r="A82" s="171" t="inlineStr">
        <is>
          <t>Cash from Operating Activity</t>
        </is>
      </c>
      <c r="B82" t="n">
        <v>11531</v>
      </c>
      <c r="C82" t="n">
        <v>13218</v>
      </c>
      <c r="D82" t="n">
        <v>14841</v>
      </c>
      <c r="E82" t="n">
        <v>17003</v>
      </c>
      <c r="F82" t="n">
        <v>23224</v>
      </c>
      <c r="G82" t="n">
        <v>23885</v>
      </c>
      <c r="H82" t="n">
        <v>22467</v>
      </c>
      <c r="I82" t="n">
        <v>25210</v>
      </c>
      <c r="J82" t="n">
        <v>35694</v>
      </c>
      <c r="K82" t="n">
        <v>33986</v>
      </c>
    </row>
    <row r="83" customFormat="1" s="171">
      <c r="A83" s="171" t="inlineStr">
        <is>
          <t>Cash from Investing Activity</t>
        </is>
      </c>
      <c r="B83" t="n">
        <v>-14664</v>
      </c>
      <c r="C83" t="n">
        <v>4533</v>
      </c>
      <c r="D83" t="n">
        <v>-632</v>
      </c>
      <c r="E83" t="n">
        <v>-331</v>
      </c>
      <c r="F83" t="n">
        <v>-7373</v>
      </c>
      <c r="G83" t="n">
        <v>-6485</v>
      </c>
      <c r="H83" t="n">
        <v>-1071</v>
      </c>
      <c r="I83" t="n">
        <v>-5093</v>
      </c>
      <c r="J83" t="n">
        <v>-1864</v>
      </c>
      <c r="K83" t="n">
        <v>3546</v>
      </c>
    </row>
    <row r="84" customFormat="1" s="171">
      <c r="A84" s="171" t="inlineStr">
        <is>
          <t>Cash from Financing Activity</t>
        </is>
      </c>
      <c r="B84" t="n">
        <v>-6939</v>
      </c>
      <c r="C84" t="n">
        <v>-20505</v>
      </c>
      <c r="D84" t="n">
        <v>-14512</v>
      </c>
      <c r="E84" t="n">
        <v>-17591</v>
      </c>
      <c r="F84" t="n">
        <v>-9786</v>
      </c>
      <c r="G84" t="n">
        <v>-24642</v>
      </c>
      <c r="H84" t="n">
        <v>-26695</v>
      </c>
      <c r="I84" t="n">
        <v>-17504</v>
      </c>
      <c r="J84" t="n">
        <v>-24161</v>
      </c>
      <c r="K84" t="n">
        <v>-39786</v>
      </c>
    </row>
    <row r="85" customFormat="1" s="170">
      <c r="A85" s="171" t="inlineStr">
        <is>
          <t>Net Cash Flow</t>
        </is>
      </c>
      <c r="B85" t="n">
        <v>-10072</v>
      </c>
      <c r="C85" t="n">
        <v>-2754</v>
      </c>
      <c r="D85" t="n">
        <v>-303</v>
      </c>
      <c r="E85" t="n">
        <v>-919</v>
      </c>
      <c r="F85" t="n">
        <v>6065</v>
      </c>
      <c r="G85" t="n">
        <v>-7242</v>
      </c>
      <c r="H85" t="n">
        <v>-5299</v>
      </c>
      <c r="I85" t="n">
        <v>2613</v>
      </c>
      <c r="J85" t="n">
        <v>9669</v>
      </c>
      <c r="K85" t="n">
        <v>-2254</v>
      </c>
    </row>
    <row r="86">
      <c r="A86" s="171" t="n"/>
    </row>
    <row r="87">
      <c r="A87" s="171" t="n"/>
    </row>
    <row r="88">
      <c r="A88" s="171" t="n"/>
    </row>
    <row r="89">
      <c r="A89" s="171" t="n"/>
    </row>
    <row r="90" customFormat="1" s="170">
      <c r="A90" s="170" t="inlineStr">
        <is>
          <t>PRICE:</t>
        </is>
      </c>
      <c r="B90" t="n">
        <v>515.6</v>
      </c>
      <c r="C90" t="n">
        <v>580.38</v>
      </c>
      <c r="D90" t="n">
        <v>741.9</v>
      </c>
      <c r="E90" t="n">
        <v>731.7</v>
      </c>
      <c r="F90" t="n">
        <v>1253.3</v>
      </c>
      <c r="G90" t="n">
        <v>1723.3</v>
      </c>
      <c r="H90" t="n">
        <v>1479.3</v>
      </c>
      <c r="I90" t="n">
        <v>1656.3</v>
      </c>
      <c r="J90" t="n">
        <v>1687.7</v>
      </c>
      <c r="K90" t="n">
        <v>1300.1</v>
      </c>
    </row>
    <row r="92" customFormat="1" s="170">
      <c r="A92" s="170" t="inlineStr">
        <is>
          <t>DERIVED:</t>
        </is>
      </c>
    </row>
    <row r="93">
      <c r="A93" s="176" t="inlineStr">
        <is>
          <t>Adjusted Equity Shares in Cr</t>
        </is>
      </c>
      <c r="B93" s="181" t="n">
        <v>459.41</v>
      </c>
      <c r="C93" s="181" t="n">
        <v>459.41</v>
      </c>
      <c r="D93" s="181" t="n">
        <v>459.41</v>
      </c>
      <c r="E93" s="181" t="n">
        <v>459.41</v>
      </c>
      <c r="F93" s="181" t="n">
        <v>459.41</v>
      </c>
      <c r="G93" s="181" t="n">
        <v>459.41</v>
      </c>
      <c r="H93" s="181" t="n">
        <v>459.41</v>
      </c>
      <c r="I93" s="181" t="n">
        <v>459.41</v>
      </c>
      <c r="J93" s="181" t="n">
        <v>459.41</v>
      </c>
      <c r="K93" s="181" t="n">
        <v>459.41</v>
      </c>
    </row>
  </sheetData>
  <mergeCells count="2">
    <mergeCell ref="E2:K2"/>
    <mergeCell ref="E1:K1"/>
  </mergeCells>
  <conditionalFormatting sqref="E1:K1">
    <cfRule type="cellIs" priority="1" operator="notEqual" dxfId="0">
      <formula>""</formula>
    </cfRule>
  </conditionalFormatting>
  <hyperlinks>
    <hyperlink xmlns:r="http://schemas.openxmlformats.org/officeDocument/2006/relationships" ref="E1" display="https://www.screener.in/excel/" r:id="rId1"/>
  </hyperlinks>
  <pageMargins left="0.7" right="0.7" top="0.75" bottom="0.75" header="0.3" footer="0.3"/>
  <pageSetup orientation="portrait" paperSize="9"/>
</worksheet>
</file>

<file path=xl/worksheets/sheet8.xml><?xml version="1.0" encoding="utf-8"?>
<worksheet xmlns="http://schemas.openxmlformats.org/spreadsheetml/2006/main">
  <sheetPr>
    <outlinePr summaryBelow="1" summaryRight="1"/>
    <pageSetUpPr/>
  </sheetPr>
  <dimension ref="B2:AB36"/>
  <sheetViews>
    <sheetView showGridLines="0" topLeftCell="A7" workbookViewId="0">
      <selection activeCell="C31" sqref="C31"/>
    </sheetView>
  </sheetViews>
  <sheetFormatPr baseColWidth="8" defaultRowHeight="14.4"/>
  <cols>
    <col width="1.88671875" customWidth="1" style="109" min="1" max="1"/>
    <col width="26.44140625" customWidth="1" style="109" min="2" max="2"/>
    <col width="18.77734375" customWidth="1" style="109" min="16" max="16"/>
  </cols>
  <sheetData>
    <row r="2">
      <c r="B2" s="160" t="inlineStr">
        <is>
          <t>Cash Flow Statement - Infosys Ltd</t>
        </is>
      </c>
    </row>
    <row r="4">
      <c r="B4" s="49" t="inlineStr">
        <is>
          <t>Particulars</t>
        </is>
      </c>
      <c r="C4" s="50" t="inlineStr">
        <is>
          <t>Mar 2015</t>
        </is>
      </c>
      <c r="D4" s="50" t="inlineStr">
        <is>
          <t>Mar 2016</t>
        </is>
      </c>
      <c r="E4" s="50" t="inlineStr">
        <is>
          <t>Mar 2017</t>
        </is>
      </c>
      <c r="F4" s="50" t="inlineStr">
        <is>
          <t>Mar 2018</t>
        </is>
      </c>
      <c r="G4" s="50" t="inlineStr">
        <is>
          <t>Mar 2019</t>
        </is>
      </c>
      <c r="H4" s="50" t="inlineStr">
        <is>
          <t>Mar 2020</t>
        </is>
      </c>
      <c r="I4" s="50" t="inlineStr">
        <is>
          <t>Mar 2021</t>
        </is>
      </c>
      <c r="J4" s="50" t="inlineStr">
        <is>
          <t>Mar 2022</t>
        </is>
      </c>
      <c r="K4" s="50" t="inlineStr">
        <is>
          <t>Mar 2023</t>
        </is>
      </c>
      <c r="L4" s="50" t="inlineStr">
        <is>
          <t>Mar 2024</t>
        </is>
      </c>
      <c r="M4" s="50" t="inlineStr">
        <is>
          <t>Mar 2025</t>
        </is>
      </c>
      <c r="N4" s="50" t="inlineStr">
        <is>
          <t>Mar 2026</t>
        </is>
      </c>
      <c r="Q4" s="35" t="n"/>
      <c r="R4" s="35" t="n"/>
      <c r="S4" s="35" t="n"/>
      <c r="T4" s="35" t="n"/>
      <c r="U4" s="35" t="n"/>
      <c r="V4" s="35" t="n"/>
      <c r="W4" s="35" t="n"/>
      <c r="X4" s="35" t="n"/>
      <c r="Y4" s="35" t="n"/>
      <c r="Z4" s="35" t="n"/>
      <c r="AA4" s="35" t="n"/>
      <c r="AB4" s="35" t="n"/>
    </row>
    <row r="5" ht="7.2" customHeight="1" s="109">
      <c r="B5" s="37" t="n"/>
      <c r="C5" s="51" t="n"/>
      <c r="D5" s="51" t="n"/>
      <c r="E5" s="51" t="n"/>
      <c r="F5" s="51" t="n"/>
      <c r="G5" s="51" t="n"/>
      <c r="H5" s="51" t="n"/>
      <c r="I5" s="51" t="n"/>
      <c r="J5" s="51" t="n"/>
      <c r="K5" s="51" t="n"/>
      <c r="L5" s="51" t="n"/>
      <c r="M5" s="51" t="n"/>
      <c r="N5" s="51" t="n"/>
      <c r="Q5" s="35" t="n"/>
      <c r="R5" s="35" t="n"/>
      <c r="S5" s="35" t="n"/>
      <c r="T5" s="35" t="n"/>
      <c r="U5" s="35" t="n"/>
      <c r="V5" s="35" t="n"/>
      <c r="W5" s="35" t="n"/>
      <c r="X5" s="35" t="n"/>
      <c r="Y5" s="35" t="n"/>
      <c r="Z5" s="35" t="n"/>
      <c r="AA5" s="35" t="n"/>
      <c r="AB5" s="35" t="n"/>
    </row>
    <row r="6">
      <c r="B6" t="inlineStr">
        <is>
          <t>Cash from Operating Activity -</t>
        </is>
      </c>
      <c r="C6" s="73" t="n">
        <v>8353</v>
      </c>
      <c r="D6" s="73" t="n">
        <v>10028</v>
      </c>
      <c r="E6" s="73" t="n">
        <v>11531</v>
      </c>
      <c r="F6" s="73" t="n">
        <v>13218</v>
      </c>
      <c r="G6" s="73" t="n">
        <v>14841</v>
      </c>
      <c r="H6" s="73" t="n">
        <v>17003</v>
      </c>
      <c r="I6" s="73" t="n">
        <v>23224</v>
      </c>
      <c r="J6" s="73" t="n">
        <v>23885</v>
      </c>
      <c r="K6" s="73" t="n">
        <v>22467</v>
      </c>
      <c r="L6" s="73" t="n">
        <v>25210</v>
      </c>
      <c r="M6" s="73" t="n">
        <v>35694</v>
      </c>
      <c r="N6" s="73" t="n">
        <v>33986</v>
      </c>
    </row>
    <row r="7">
      <c r="B7" t="inlineStr">
        <is>
          <t>Profit from operations</t>
        </is>
      </c>
      <c r="C7" s="73" t="n">
        <v>15946</v>
      </c>
      <c r="D7" s="73" t="n">
        <v>17839</v>
      </c>
      <c r="E7" s="73" t="n">
        <v>19340</v>
      </c>
      <c r="F7" s="73" t="n">
        <v>19963</v>
      </c>
      <c r="G7" s="73" t="n">
        <v>22126</v>
      </c>
      <c r="H7" s="73" t="n">
        <v>23920</v>
      </c>
      <c r="I7" s="73" t="n">
        <v>28845</v>
      </c>
      <c r="J7" s="73" t="n">
        <v>32921</v>
      </c>
      <c r="K7" s="73" t="n">
        <v>37605</v>
      </c>
      <c r="L7" s="73" t="n">
        <v>39523</v>
      </c>
      <c r="M7" s="73" t="n">
        <v>41591</v>
      </c>
      <c r="N7" s="73" t="n">
        <v>45273</v>
      </c>
    </row>
    <row r="8">
      <c r="B8" t="inlineStr">
        <is>
          <t>Receivables</t>
        </is>
      </c>
      <c r="C8" t="n">
        <v>-1475</v>
      </c>
      <c r="D8" t="n">
        <v>-1654</v>
      </c>
      <c r="E8" t="n">
        <v>-1743</v>
      </c>
      <c r="F8" t="n">
        <v>-1523</v>
      </c>
      <c r="G8" t="n">
        <v>-2881</v>
      </c>
      <c r="H8" s="73" t="n">
        <v>-3861</v>
      </c>
      <c r="I8" t="n">
        <v>-1835</v>
      </c>
      <c r="J8" t="n">
        <v>-7937</v>
      </c>
      <c r="K8" t="n">
        <v>-7076</v>
      </c>
      <c r="L8" t="n">
        <v>-2667</v>
      </c>
      <c r="M8" s="73" t="n">
        <v>-1769</v>
      </c>
      <c r="N8" t="n">
        <v>-5177</v>
      </c>
    </row>
    <row r="9">
      <c r="B9" t="inlineStr">
        <is>
          <t>Inventory</t>
        </is>
      </c>
      <c r="C9" t="n">
        <v>0</v>
      </c>
      <c r="D9" t="n">
        <v>0</v>
      </c>
      <c r="E9" t="n">
        <v>0</v>
      </c>
      <c r="F9" t="n">
        <v>0</v>
      </c>
      <c r="G9" t="n">
        <v>0</v>
      </c>
      <c r="H9" t="n">
        <v>0</v>
      </c>
      <c r="I9" s="73" t="n">
        <v>0</v>
      </c>
      <c r="J9" t="n">
        <v>0</v>
      </c>
      <c r="K9" s="73" t="n">
        <v>0</v>
      </c>
      <c r="L9" s="73" t="n">
        <v>0</v>
      </c>
      <c r="M9" s="73" t="n">
        <v>0</v>
      </c>
      <c r="N9" s="73" t="n">
        <v>0</v>
      </c>
    </row>
    <row r="10">
      <c r="B10" t="inlineStr">
        <is>
          <t>Payables</t>
        </is>
      </c>
      <c r="C10" t="n">
        <v>0</v>
      </c>
      <c r="D10" t="n">
        <v>242</v>
      </c>
      <c r="E10" t="n">
        <v>-19</v>
      </c>
      <c r="F10" s="73" t="n">
        <v>328</v>
      </c>
      <c r="G10" t="n">
        <v>916</v>
      </c>
      <c r="H10" t="n">
        <v>-373</v>
      </c>
      <c r="I10" s="73" t="n">
        <v>-245</v>
      </c>
      <c r="J10" s="73" t="n">
        <v>1489</v>
      </c>
      <c r="K10" s="73" t="n">
        <v>-279</v>
      </c>
      <c r="L10" t="n">
        <v>91</v>
      </c>
      <c r="M10" s="73" t="n">
        <v>176</v>
      </c>
      <c r="N10" t="n">
        <v>-26</v>
      </c>
    </row>
    <row r="11">
      <c r="B11" t="inlineStr">
        <is>
          <t>Working capital changes</t>
        </is>
      </c>
      <c r="C11" t="n">
        <v>-842</v>
      </c>
      <c r="D11" t="n">
        <v>-1946</v>
      </c>
      <c r="E11" t="n">
        <v>-2156</v>
      </c>
      <c r="F11" s="73" t="n">
        <v>84</v>
      </c>
      <c r="G11" t="n">
        <v>-453</v>
      </c>
      <c r="H11" t="n">
        <v>-2367</v>
      </c>
      <c r="I11" t="n">
        <v>768</v>
      </c>
      <c r="J11" t="n">
        <v>-1424</v>
      </c>
      <c r="K11" t="n">
        <v>-6344</v>
      </c>
      <c r="L11" s="73" t="n">
        <v>-5082</v>
      </c>
      <c r="M11" s="73" t="n">
        <v>-295</v>
      </c>
      <c r="N11" s="73" t="n">
        <v>-2639</v>
      </c>
    </row>
    <row r="12">
      <c r="B12" t="inlineStr">
        <is>
          <t>Direct taxes</t>
        </is>
      </c>
      <c r="C12" s="73" t="n">
        <v>-6751</v>
      </c>
      <c r="D12" s="73" t="n">
        <v>-5865</v>
      </c>
      <c r="E12" s="73" t="n">
        <v>-5653</v>
      </c>
      <c r="F12" s="73" t="n">
        <v>-6829</v>
      </c>
      <c r="G12" s="73" t="n">
        <v>-6832</v>
      </c>
      <c r="H12" s="73" t="n">
        <v>-4550</v>
      </c>
      <c r="I12" s="73" t="n">
        <v>-6389</v>
      </c>
      <c r="J12" s="73" t="n">
        <v>-7612</v>
      </c>
      <c r="K12" s="73" t="n">
        <v>-8794</v>
      </c>
      <c r="L12" s="73" t="n">
        <v>-9231</v>
      </c>
      <c r="M12" s="73" t="n">
        <v>-5602</v>
      </c>
      <c r="N12" s="73" t="n">
        <v>-8648</v>
      </c>
    </row>
    <row r="13">
      <c r="B13" t="inlineStr">
        <is>
          <t>Cash from Investing Activity -</t>
        </is>
      </c>
      <c r="C13" s="73" t="n">
        <v>999</v>
      </c>
      <c r="D13" s="73" t="n">
        <v>-885</v>
      </c>
      <c r="E13" s="73" t="n">
        <v>-14664</v>
      </c>
      <c r="F13" s="73" t="n">
        <v>4533</v>
      </c>
      <c r="G13" s="73" t="n">
        <v>-632</v>
      </c>
      <c r="H13" s="73" t="n">
        <v>-331</v>
      </c>
      <c r="I13" s="73" t="n">
        <v>-7373</v>
      </c>
      <c r="J13" s="73" t="n">
        <v>-6485</v>
      </c>
      <c r="K13" s="73" t="n">
        <v>-1071</v>
      </c>
      <c r="L13" s="73" t="n">
        <v>-5093</v>
      </c>
      <c r="M13" t="n">
        <v>-1864</v>
      </c>
      <c r="N13" s="73" t="n">
        <v>3546</v>
      </c>
    </row>
    <row r="14">
      <c r="B14" t="inlineStr">
        <is>
          <t>Fixed assets purchased</t>
        </is>
      </c>
      <c r="C14" s="73" t="n">
        <v>-2247</v>
      </c>
      <c r="D14" s="73" t="n">
        <v>-2723</v>
      </c>
      <c r="E14" s="73" t="n">
        <v>-2760</v>
      </c>
      <c r="F14" s="73" t="n">
        <v>-1998</v>
      </c>
      <c r="G14" s="73" t="n">
        <v>-2445</v>
      </c>
      <c r="H14" s="73" t="n">
        <v>-3307</v>
      </c>
      <c r="I14" s="73" t="n">
        <v>-2107</v>
      </c>
      <c r="J14" s="73" t="n">
        <v>-2161</v>
      </c>
      <c r="K14" s="73" t="n">
        <v>-2579</v>
      </c>
      <c r="L14" s="73" t="n">
        <v>-2201</v>
      </c>
      <c r="M14" s="73" t="n">
        <v>-2237</v>
      </c>
      <c r="N14" s="73" t="n">
        <v>-2727</v>
      </c>
    </row>
    <row r="15">
      <c r="B15" t="inlineStr">
        <is>
          <t>Fixed assets sold</t>
        </is>
      </c>
      <c r="C15" t="n">
        <v>0</v>
      </c>
      <c r="D15" t="n">
        <v>0</v>
      </c>
      <c r="E15" t="n">
        <v>0</v>
      </c>
      <c r="F15" t="n">
        <v>0</v>
      </c>
      <c r="G15" t="n">
        <v>0</v>
      </c>
      <c r="H15" t="n">
        <v>0</v>
      </c>
      <c r="I15" t="n">
        <v>0</v>
      </c>
      <c r="J15" t="n">
        <v>0</v>
      </c>
      <c r="K15" t="n">
        <v>0</v>
      </c>
      <c r="L15" t="n">
        <v>0</v>
      </c>
      <c r="M15" t="n">
        <v>0</v>
      </c>
      <c r="N15" t="n">
        <v>0</v>
      </c>
    </row>
    <row r="16">
      <c r="B16" t="inlineStr">
        <is>
          <t>Investments purchased</t>
        </is>
      </c>
      <c r="C16" s="73" t="n">
        <v>-23923</v>
      </c>
      <c r="D16" s="73" t="n">
        <v>-24577</v>
      </c>
      <c r="E16" s="73" t="n">
        <v>-66410</v>
      </c>
      <c r="F16" s="73" t="n">
        <v>-69159</v>
      </c>
      <c r="G16" s="73" t="n">
        <v>-79410</v>
      </c>
      <c r="H16" s="73" t="n">
        <v>-37482</v>
      </c>
      <c r="I16" s="73" t="n">
        <v>-46738</v>
      </c>
      <c r="J16" s="73" t="n">
        <v>-59951</v>
      </c>
      <c r="K16" s="73" t="n">
        <v>-75800</v>
      </c>
      <c r="L16" s="73" t="n">
        <v>-78092</v>
      </c>
      <c r="M16" s="73" t="n">
        <v>-82742</v>
      </c>
      <c r="N16" s="73" t="n">
        <v>-82617</v>
      </c>
    </row>
    <row r="17">
      <c r="B17" t="inlineStr">
        <is>
          <t>Investments sold</t>
        </is>
      </c>
      <c r="C17" s="73" t="n">
        <v>25253</v>
      </c>
      <c r="D17" s="73" t="n">
        <v>24980</v>
      </c>
      <c r="E17" s="73" t="n">
        <v>52048</v>
      </c>
      <c r="F17" s="73" t="n">
        <v>74003</v>
      </c>
      <c r="G17" s="73" t="n">
        <v>78098</v>
      </c>
      <c r="H17" s="73" t="n">
        <v>38861</v>
      </c>
      <c r="I17" s="73" t="n">
        <v>40381</v>
      </c>
      <c r="J17" s="73" t="n">
        <v>57356</v>
      </c>
      <c r="K17" s="73" t="n">
        <v>76722</v>
      </c>
      <c r="L17" s="73" t="n">
        <v>72930</v>
      </c>
      <c r="M17" s="73" t="n">
        <v>84877</v>
      </c>
      <c r="N17" s="73" t="n">
        <v>89699</v>
      </c>
    </row>
    <row r="18">
      <c r="B18" t="inlineStr">
        <is>
          <t>Interest received</t>
        </is>
      </c>
      <c r="C18" t="n">
        <v>2551</v>
      </c>
      <c r="D18" t="n">
        <v>2383</v>
      </c>
      <c r="E18" t="n">
        <v>0</v>
      </c>
      <c r="F18" t="n">
        <v>0</v>
      </c>
      <c r="G18" s="73" t="n">
        <v>0</v>
      </c>
      <c r="H18" s="73" t="n">
        <v>0</v>
      </c>
      <c r="I18" s="73" t="n">
        <v>0</v>
      </c>
      <c r="J18" s="73" t="n">
        <v>0</v>
      </c>
      <c r="K18" s="73" t="n">
        <v>0</v>
      </c>
      <c r="L18" s="73" t="n">
        <v>0</v>
      </c>
      <c r="M18" s="73" t="n">
        <v>0</v>
      </c>
      <c r="N18" t="n">
        <v>0</v>
      </c>
    </row>
    <row r="19">
      <c r="B19" t="inlineStr">
        <is>
          <t>Dividends received</t>
        </is>
      </c>
      <c r="C19" t="n">
        <v>0</v>
      </c>
      <c r="D19" t="n">
        <v>0</v>
      </c>
      <c r="E19" t="n">
        <v>2753</v>
      </c>
      <c r="F19" t="n">
        <v>1768</v>
      </c>
      <c r="G19" t="n">
        <v>1557</v>
      </c>
      <c r="H19" t="n">
        <v>1929</v>
      </c>
      <c r="I19" t="n">
        <v>1418</v>
      </c>
      <c r="J19" t="n">
        <v>1898</v>
      </c>
      <c r="K19" t="n">
        <v>1525</v>
      </c>
      <c r="L19" t="n">
        <v>1768</v>
      </c>
      <c r="M19" t="n">
        <v>2040</v>
      </c>
      <c r="N19" t="n">
        <v>2713</v>
      </c>
    </row>
    <row r="20">
      <c r="B20" t="inlineStr">
        <is>
          <t>Invest in subsidiaries</t>
        </is>
      </c>
      <c r="C20" t="n">
        <v>0</v>
      </c>
      <c r="D20" t="n">
        <v>0</v>
      </c>
      <c r="E20" t="n">
        <v>0</v>
      </c>
      <c r="F20" t="n">
        <v>0</v>
      </c>
      <c r="G20" t="n">
        <v>0</v>
      </c>
      <c r="H20" t="n">
        <v>0</v>
      </c>
      <c r="I20" t="n">
        <v>0</v>
      </c>
      <c r="J20" t="n">
        <v>0</v>
      </c>
      <c r="K20" t="n">
        <v>0</v>
      </c>
      <c r="L20" t="n">
        <v>0</v>
      </c>
      <c r="M20" t="n">
        <v>0</v>
      </c>
      <c r="N20" t="n">
        <v>0</v>
      </c>
    </row>
    <row r="21">
      <c r="B21" t="inlineStr">
        <is>
          <t>Investment in group cos</t>
        </is>
      </c>
      <c r="C21" t="n">
        <v>0</v>
      </c>
      <c r="D21" t="n">
        <v>0</v>
      </c>
      <c r="E21" t="n">
        <v>0</v>
      </c>
      <c r="F21" t="n">
        <v>0</v>
      </c>
      <c r="G21" t="n">
        <v>0</v>
      </c>
      <c r="H21" t="n">
        <v>0</v>
      </c>
      <c r="I21" t="n">
        <v>0</v>
      </c>
      <c r="J21" t="n">
        <v>0</v>
      </c>
      <c r="K21" t="n">
        <v>0</v>
      </c>
      <c r="L21" t="n">
        <v>0</v>
      </c>
      <c r="M21" t="n">
        <v>0</v>
      </c>
      <c r="N21" t="n">
        <v>0</v>
      </c>
    </row>
    <row r="22">
      <c r="B22" t="inlineStr">
        <is>
          <t>Redemp n Canc of Shares</t>
        </is>
      </c>
      <c r="C22" t="n">
        <v>0</v>
      </c>
      <c r="D22" t="n">
        <v>0</v>
      </c>
      <c r="E22" t="n">
        <v>0</v>
      </c>
      <c r="F22" t="n">
        <v>0</v>
      </c>
      <c r="G22" t="n">
        <v>0</v>
      </c>
      <c r="H22" t="n">
        <v>0</v>
      </c>
      <c r="I22" t="n">
        <v>0</v>
      </c>
      <c r="J22" t="n">
        <v>0</v>
      </c>
      <c r="K22" t="n">
        <v>0</v>
      </c>
      <c r="L22" t="n">
        <v>0</v>
      </c>
      <c r="M22" t="n">
        <v>0</v>
      </c>
      <c r="N22" t="n">
        <v>0</v>
      </c>
    </row>
    <row r="23">
      <c r="B23" t="inlineStr">
        <is>
          <t>Other investing items</t>
        </is>
      </c>
      <c r="C23" s="73" t="n">
        <v>741</v>
      </c>
      <c r="D23" s="73" t="n">
        <v>-59</v>
      </c>
      <c r="E23" s="73" t="n">
        <v>-131</v>
      </c>
      <c r="F23" s="73" t="n">
        <v>49</v>
      </c>
      <c r="G23" s="73" t="n">
        <v>1592</v>
      </c>
      <c r="H23" s="73" t="n">
        <v>-224</v>
      </c>
      <c r="I23" s="73" t="n">
        <v>-327</v>
      </c>
      <c r="J23" s="73" t="n">
        <v>-3627</v>
      </c>
      <c r="K23" t="n">
        <v>-939</v>
      </c>
      <c r="L23" s="73" t="n">
        <v>502</v>
      </c>
      <c r="M23" t="n">
        <v>-3802</v>
      </c>
      <c r="N23" s="73" t="n">
        <v>-3522</v>
      </c>
    </row>
    <row r="24">
      <c r="B24" t="inlineStr">
        <is>
          <t>Cash from Financing Activity -</t>
        </is>
      </c>
      <c r="C24" s="73" t="n">
        <v>-4935</v>
      </c>
      <c r="D24" s="73" t="n">
        <v>-6813</v>
      </c>
      <c r="E24" s="73" t="n">
        <v>-6939</v>
      </c>
      <c r="F24" s="73" t="n">
        <v>-20505</v>
      </c>
      <c r="G24" s="73" t="n">
        <v>-14512</v>
      </c>
      <c r="H24" s="73" t="n">
        <v>-17591</v>
      </c>
      <c r="I24" s="73" t="n">
        <v>-9786</v>
      </c>
      <c r="J24" s="73" t="n">
        <v>-24642</v>
      </c>
      <c r="K24" s="73" t="n">
        <v>-26695</v>
      </c>
      <c r="L24" s="73" t="n">
        <v>-17504</v>
      </c>
      <c r="M24" s="73" t="n">
        <v>-24161</v>
      </c>
      <c r="N24" s="73" t="n">
        <v>-39786</v>
      </c>
    </row>
    <row r="25">
      <c r="B25" t="inlineStr">
        <is>
          <t>Proceeds from shares</t>
        </is>
      </c>
      <c r="C25" t="n">
        <v>0</v>
      </c>
      <c r="D25" t="n">
        <v>0</v>
      </c>
      <c r="E25" s="73" t="n">
        <v>0</v>
      </c>
      <c r="F25" t="n">
        <v>5</v>
      </c>
      <c r="G25" t="n">
        <v>6</v>
      </c>
      <c r="H25" t="n">
        <v>6</v>
      </c>
      <c r="I25" t="n">
        <v>15</v>
      </c>
      <c r="J25" t="n">
        <v>21</v>
      </c>
      <c r="K25" s="73" t="n">
        <v>35</v>
      </c>
      <c r="L25" s="73" t="n">
        <v>5</v>
      </c>
      <c r="M25" t="n">
        <v>6</v>
      </c>
      <c r="N25" t="n">
        <v>2</v>
      </c>
    </row>
    <row r="26">
      <c r="B26" t="inlineStr">
        <is>
          <t>Proceeds from borrowings</t>
        </is>
      </c>
      <c r="C26" t="n">
        <v>0</v>
      </c>
      <c r="D26" t="n">
        <v>0</v>
      </c>
      <c r="E26" t="n">
        <v>0</v>
      </c>
      <c r="F26" t="n">
        <v>0</v>
      </c>
      <c r="G26" t="n">
        <v>0</v>
      </c>
      <c r="H26" t="n">
        <v>0</v>
      </c>
      <c r="I26" t="n">
        <v>0</v>
      </c>
      <c r="J26" t="n">
        <v>0</v>
      </c>
      <c r="K26" t="n">
        <v>0</v>
      </c>
      <c r="L26" t="n">
        <v>0</v>
      </c>
      <c r="M26" t="n">
        <v>0</v>
      </c>
      <c r="N26" s="73" t="n">
        <v>0</v>
      </c>
    </row>
    <row r="27">
      <c r="B27" t="inlineStr">
        <is>
          <t>Repayment of borrowings</t>
        </is>
      </c>
      <c r="C27" t="n">
        <v>0</v>
      </c>
      <c r="D27" t="n">
        <v>0</v>
      </c>
      <c r="E27" t="n">
        <v>0</v>
      </c>
      <c r="F27" t="n">
        <v>0</v>
      </c>
      <c r="G27" t="n">
        <v>0</v>
      </c>
      <c r="H27" t="n">
        <v>0</v>
      </c>
      <c r="I27" t="n">
        <v>0</v>
      </c>
      <c r="J27" t="n">
        <v>0</v>
      </c>
      <c r="K27" t="n">
        <v>0</v>
      </c>
      <c r="L27" t="n">
        <v>0</v>
      </c>
      <c r="M27" t="n">
        <v>-985</v>
      </c>
      <c r="N27" t="n">
        <v>0</v>
      </c>
    </row>
    <row r="28">
      <c r="B28" t="inlineStr">
        <is>
          <t>Interest paid fin</t>
        </is>
      </c>
      <c r="C28" t="n">
        <v>0</v>
      </c>
      <c r="D28" t="n">
        <v>0</v>
      </c>
      <c r="E28" t="n">
        <v>0</v>
      </c>
      <c r="F28" t="n">
        <v>0</v>
      </c>
      <c r="G28" t="n">
        <v>0</v>
      </c>
      <c r="H28" t="n">
        <v>0</v>
      </c>
      <c r="I28" t="n">
        <v>0</v>
      </c>
      <c r="J28" t="n">
        <v>0</v>
      </c>
      <c r="K28" t="n">
        <v>0</v>
      </c>
      <c r="L28" t="n">
        <v>0</v>
      </c>
      <c r="M28" t="n">
        <v>0</v>
      </c>
      <c r="N28" t="n">
        <v>0</v>
      </c>
    </row>
    <row r="29">
      <c r="B29" t="inlineStr">
        <is>
          <t>Dividends paid</t>
        </is>
      </c>
      <c r="C29" s="73" t="n">
        <v>-4935</v>
      </c>
      <c r="D29" s="73" t="n">
        <v>-6813</v>
      </c>
      <c r="E29" s="73" t="n">
        <v>-6939</v>
      </c>
      <c r="F29" s="73" t="n">
        <v>-7464</v>
      </c>
      <c r="G29" s="73" t="n">
        <v>-13705</v>
      </c>
      <c r="H29" s="73" t="n">
        <v>-9548</v>
      </c>
      <c r="I29" s="73" t="n">
        <v>-9137</v>
      </c>
      <c r="J29" s="73" t="n">
        <v>-12731</v>
      </c>
      <c r="K29" s="73" t="n">
        <v>-13653</v>
      </c>
      <c r="L29" s="73" t="n">
        <v>-14731</v>
      </c>
      <c r="M29" s="73" t="n">
        <v>-20289</v>
      </c>
      <c r="N29" s="73" t="n">
        <v>-18656</v>
      </c>
    </row>
    <row r="30">
      <c r="B30" t="inlineStr">
        <is>
          <t>Financial liabilities</t>
        </is>
      </c>
      <c r="C30" t="n">
        <v>0</v>
      </c>
      <c r="D30" t="n">
        <v>0</v>
      </c>
      <c r="E30" t="n">
        <v>0</v>
      </c>
      <c r="F30" t="n">
        <v>0</v>
      </c>
      <c r="G30" t="n">
        <v>0</v>
      </c>
      <c r="H30" t="n">
        <v>-571</v>
      </c>
      <c r="I30" t="n">
        <v>-698</v>
      </c>
      <c r="J30" t="n">
        <v>-915</v>
      </c>
      <c r="K30" t="n">
        <v>-1231</v>
      </c>
      <c r="L30" t="n">
        <v>-2024</v>
      </c>
      <c r="M30" t="n">
        <v>-2355</v>
      </c>
      <c r="N30" t="n">
        <v>-2824</v>
      </c>
    </row>
    <row r="31">
      <c r="B31" t="inlineStr">
        <is>
          <t>Other financing items</t>
        </is>
      </c>
      <c r="C31" t="n">
        <v>0</v>
      </c>
      <c r="D31" t="n">
        <v>0</v>
      </c>
      <c r="E31" s="73" t="n">
        <v>0</v>
      </c>
      <c r="F31" s="73" t="n">
        <v>-13046</v>
      </c>
      <c r="G31" s="73" t="n">
        <v>-813</v>
      </c>
      <c r="H31" s="73" t="n">
        <v>-7478</v>
      </c>
      <c r="I31" t="n">
        <v>34</v>
      </c>
      <c r="J31" t="n">
        <v>-11017</v>
      </c>
      <c r="K31" t="n">
        <v>-11846</v>
      </c>
      <c r="L31" t="n">
        <v>-754</v>
      </c>
      <c r="M31" t="n">
        <v>-538</v>
      </c>
      <c r="N31" t="n">
        <v>-18308</v>
      </c>
    </row>
    <row r="32">
      <c r="B32" t="inlineStr">
        <is>
          <t>Net Cash Flow</t>
        </is>
      </c>
      <c r="C32" t="n">
        <v>4417</v>
      </c>
      <c r="D32" t="n">
        <v>2330</v>
      </c>
      <c r="E32" t="n">
        <v>-10072</v>
      </c>
      <c r="F32" t="n">
        <v>-2754</v>
      </c>
      <c r="G32" t="n">
        <v>-303</v>
      </c>
      <c r="H32" t="n">
        <v>-919</v>
      </c>
      <c r="I32" t="n">
        <v>6065</v>
      </c>
      <c r="J32" t="n">
        <v>-7242</v>
      </c>
      <c r="K32" t="n">
        <v>-5299</v>
      </c>
      <c r="L32" t="n">
        <v>2613</v>
      </c>
      <c r="M32" t="n">
        <v>9669</v>
      </c>
      <c r="N32" t="n">
        <v>-2254</v>
      </c>
    </row>
    <row r="33">
      <c r="C33" s="73" t="n"/>
      <c r="D33" s="73" t="n"/>
      <c r="E33" s="73" t="n"/>
      <c r="F33" s="73" t="n"/>
      <c r="G33" s="73" t="n"/>
      <c r="H33" s="73" t="n"/>
      <c r="I33" s="73" t="n"/>
      <c r="J33" s="73" t="n"/>
      <c r="K33" s="73" t="n"/>
      <c r="L33" s="73" t="n"/>
      <c r="M33" s="73" t="n"/>
      <c r="N33" s="73" t="n"/>
    </row>
    <row r="35">
      <c r="H35" s="73" t="n"/>
    </row>
    <row r="36">
      <c r="H36" s="73" t="n"/>
      <c r="I36" s="73" t="n"/>
      <c r="M36" s="73" t="n"/>
      <c r="N36" s="73" t="n"/>
    </row>
  </sheetData>
  <mergeCells count="1">
    <mergeCell ref="B2:N2"/>
  </mergeCell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2:O106"/>
  <sheetViews>
    <sheetView showGridLines="0" workbookViewId="0">
      <pane ySplit="3" topLeftCell="A88" activePane="bottomLeft" state="frozen"/>
      <selection pane="bottomLeft" activeCell="F81" sqref="F81"/>
    </sheetView>
  </sheetViews>
  <sheetFormatPr baseColWidth="8" defaultRowHeight="14.4"/>
  <cols>
    <col width="1.88671875" customWidth="1" style="109" min="1" max="1"/>
    <col width="30.33203125" customWidth="1" style="109" min="2" max="2"/>
    <col width="12.109375" bestFit="1" customWidth="1" style="109" min="3" max="3"/>
    <col width="10.44140625" bestFit="1" customWidth="1" style="109" min="4" max="12"/>
  </cols>
  <sheetData>
    <row r="2">
      <c r="B2" s="160">
        <f>"Historical Financial Statement - "&amp;'Data Sheet'!$B$1</f>
        <v/>
      </c>
      <c r="N2" s="43" t="n"/>
    </row>
    <row r="3">
      <c r="B3" s="84" t="inlineStr">
        <is>
          <t>Particulars</t>
        </is>
      </c>
      <c r="C3" s="40">
        <f>'Data Sheet'!B56</f>
        <v/>
      </c>
      <c r="D3" s="40">
        <f>'Data Sheet'!C56</f>
        <v/>
      </c>
      <c r="E3" s="40">
        <f>'Data Sheet'!D56</f>
        <v/>
      </c>
      <c r="F3" s="40">
        <f>'Data Sheet'!E56</f>
        <v/>
      </c>
      <c r="G3" s="40">
        <f>'Data Sheet'!F56</f>
        <v/>
      </c>
      <c r="H3" s="40">
        <f>'Data Sheet'!G56</f>
        <v/>
      </c>
      <c r="I3" s="40">
        <f>'Data Sheet'!H56</f>
        <v/>
      </c>
      <c r="J3" s="40">
        <f>'Data Sheet'!I56</f>
        <v/>
      </c>
      <c r="K3" s="40">
        <f>'Data Sheet'!J56</f>
        <v/>
      </c>
      <c r="L3" s="40">
        <f>'Data Sheet'!K56</f>
        <v/>
      </c>
      <c r="M3" s="84" t="inlineStr">
        <is>
          <t>LTM</t>
        </is>
      </c>
      <c r="N3" s="43" t="n"/>
    </row>
    <row r="5">
      <c r="A5" t="inlineStr">
        <is>
          <t>#</t>
        </is>
      </c>
      <c r="B5" s="44" t="inlineStr">
        <is>
          <t>Income Statement</t>
        </is>
      </c>
      <c r="C5" s="44" t="n"/>
      <c r="D5" s="44" t="n"/>
      <c r="E5" s="44" t="n"/>
      <c r="F5" s="44" t="n"/>
      <c r="G5" s="44" t="n"/>
      <c r="H5" s="44" t="n"/>
      <c r="I5" s="44" t="n"/>
      <c r="J5" s="44" t="n"/>
      <c r="K5" s="44" t="n"/>
      <c r="L5" s="44" t="n"/>
      <c r="M5" s="44" t="n"/>
    </row>
    <row r="7">
      <c r="B7" t="inlineStr">
        <is>
          <t>Sales</t>
        </is>
      </c>
      <c r="C7" s="107">
        <f>'Data Sheet'!B17</f>
        <v/>
      </c>
      <c r="D7" s="107">
        <f>'Data Sheet'!C17</f>
        <v/>
      </c>
      <c r="E7" s="107">
        <f>'Data Sheet'!D17</f>
        <v/>
      </c>
      <c r="F7" s="107">
        <f>'Data Sheet'!E17</f>
        <v/>
      </c>
      <c r="G7" s="107">
        <f>'Data Sheet'!F17</f>
        <v/>
      </c>
      <c r="H7" s="107">
        <f>'Data Sheet'!G17</f>
        <v/>
      </c>
      <c r="I7" s="107">
        <f>'Data Sheet'!H17</f>
        <v/>
      </c>
      <c r="J7" s="107">
        <f>'Data Sheet'!I17</f>
        <v/>
      </c>
      <c r="K7" s="107">
        <f>'Data Sheet'!J17</f>
        <v/>
      </c>
      <c r="L7" s="107">
        <f>'Data Sheet'!K17</f>
        <v/>
      </c>
    </row>
    <row r="8">
      <c r="B8" t="inlineStr">
        <is>
          <t>Sales Growth</t>
        </is>
      </c>
      <c r="C8" s="110" t="inlineStr">
        <is>
          <t>-</t>
        </is>
      </c>
      <c r="D8" s="111">
        <f>D7/C7-1</f>
        <v/>
      </c>
      <c r="E8" s="111">
        <f>E7/D7-1</f>
        <v/>
      </c>
      <c r="F8" s="111">
        <f>F7/E7-1</f>
        <v/>
      </c>
      <c r="G8" s="111">
        <f>G7/F7-1</f>
        <v/>
      </c>
      <c r="H8" s="111">
        <f>H7/G7-1</f>
        <v/>
      </c>
      <c r="I8" s="111">
        <f>I7/H7-1</f>
        <v/>
      </c>
      <c r="J8" s="111">
        <f>J7/I7-1</f>
        <v/>
      </c>
      <c r="K8" s="111">
        <f>K7/J7-1</f>
        <v/>
      </c>
      <c r="L8" s="111">
        <f>L7/K7-1</f>
        <v/>
      </c>
    </row>
    <row r="10">
      <c r="B10" t="inlineStr">
        <is>
          <t>Cost of Goods Sold</t>
        </is>
      </c>
      <c r="C10" s="107">
        <f>SUM('Data Sheet'!B18,'Data Sheet'!B20:B22)-'Data Sheet'!B19</f>
        <v/>
      </c>
      <c r="D10" s="107">
        <f>SUM('Data Sheet'!C18,'Data Sheet'!C20:C22)-'Data Sheet'!C19</f>
        <v/>
      </c>
      <c r="E10" s="107">
        <f>SUM('Data Sheet'!D18,'Data Sheet'!D20:D22)-'Data Sheet'!D19</f>
        <v/>
      </c>
      <c r="F10" s="107">
        <f>SUM('Data Sheet'!E18,'Data Sheet'!E20:E22)-'Data Sheet'!E19</f>
        <v/>
      </c>
      <c r="G10" s="107">
        <f>SUM('Data Sheet'!F18,'Data Sheet'!F20:F22)-'Data Sheet'!F19</f>
        <v/>
      </c>
      <c r="H10" s="107">
        <f>SUM('Data Sheet'!G18,'Data Sheet'!G20:G22)-'Data Sheet'!G19</f>
        <v/>
      </c>
      <c r="I10" s="107">
        <f>SUM('Data Sheet'!H18,'Data Sheet'!H20:H22)-'Data Sheet'!H19</f>
        <v/>
      </c>
      <c r="J10" s="107">
        <f>SUM('Data Sheet'!I18,'Data Sheet'!I20:I22)-'Data Sheet'!I19</f>
        <v/>
      </c>
      <c r="K10" s="107">
        <f>SUM('Data Sheet'!J18,'Data Sheet'!J20:J22)-'Data Sheet'!J19</f>
        <v/>
      </c>
      <c r="L10" s="107">
        <f>SUM('Data Sheet'!K18,'Data Sheet'!K20:K22)-'Data Sheet'!K19</f>
        <v/>
      </c>
    </row>
    <row r="11">
      <c r="B11" t="inlineStr">
        <is>
          <t>COGS % Sales</t>
        </is>
      </c>
      <c r="C11" s="112">
        <f>C10/C7</f>
        <v/>
      </c>
      <c r="D11" s="112">
        <f>D10/D7</f>
        <v/>
      </c>
      <c r="E11" s="112">
        <f>E10/E7</f>
        <v/>
      </c>
      <c r="F11" s="112">
        <f>F10/F7</f>
        <v/>
      </c>
      <c r="G11" s="112">
        <f>G10/G7</f>
        <v/>
      </c>
      <c r="H11" s="112">
        <f>H10/H7</f>
        <v/>
      </c>
      <c r="I11" s="112">
        <f>I10/I7</f>
        <v/>
      </c>
      <c r="J11" s="112">
        <f>J10/J7</f>
        <v/>
      </c>
      <c r="K11" s="112">
        <f>K10/K7</f>
        <v/>
      </c>
      <c r="L11" s="112">
        <f>L10/L7</f>
        <v/>
      </c>
    </row>
    <row r="13">
      <c r="B13" t="inlineStr">
        <is>
          <t>Gross Profit</t>
        </is>
      </c>
      <c r="C13" s="107">
        <f>C7-C10</f>
        <v/>
      </c>
      <c r="D13" s="107">
        <f>D7-D10</f>
        <v/>
      </c>
      <c r="E13" s="107">
        <f>E7-E10</f>
        <v/>
      </c>
      <c r="F13" s="107">
        <f>F7-F10</f>
        <v/>
      </c>
      <c r="G13" s="107">
        <f>G7-G10</f>
        <v/>
      </c>
      <c r="H13" s="107">
        <f>H7-H10</f>
        <v/>
      </c>
      <c r="I13" s="107">
        <f>I7-I10</f>
        <v/>
      </c>
      <c r="J13" s="107">
        <f>J7-J10</f>
        <v/>
      </c>
      <c r="K13" s="107">
        <f>K7-K10</f>
        <v/>
      </c>
      <c r="L13" s="107">
        <f>L7-L10</f>
        <v/>
      </c>
    </row>
    <row r="14">
      <c r="B14" t="inlineStr">
        <is>
          <t>Gross Profit % Sales</t>
        </is>
      </c>
      <c r="C14" s="112">
        <f>C13/C7</f>
        <v/>
      </c>
      <c r="D14" s="112">
        <f>D13/D7</f>
        <v/>
      </c>
      <c r="E14" s="112">
        <f>E13/E7</f>
        <v/>
      </c>
      <c r="F14" s="112">
        <f>F13/F7</f>
        <v/>
      </c>
      <c r="G14" s="112">
        <f>G13/G7</f>
        <v/>
      </c>
      <c r="H14" s="112">
        <f>H13/H7</f>
        <v/>
      </c>
      <c r="I14" s="112">
        <f>I13/I7</f>
        <v/>
      </c>
      <c r="J14" s="112">
        <f>J13/J7</f>
        <v/>
      </c>
      <c r="K14" s="112">
        <f>K13/K7</f>
        <v/>
      </c>
      <c r="L14" s="112">
        <f>L13/L7</f>
        <v/>
      </c>
    </row>
    <row r="16">
      <c r="B16" t="inlineStr">
        <is>
          <t>Selling % General Expenses</t>
        </is>
      </c>
      <c r="C16" s="107">
        <f>'Data Sheet'!B23</f>
        <v/>
      </c>
      <c r="D16" s="107">
        <f>'Data Sheet'!C23</f>
        <v/>
      </c>
      <c r="E16" s="107">
        <f>'Data Sheet'!D23</f>
        <v/>
      </c>
      <c r="F16" s="107">
        <f>'Data Sheet'!E23</f>
        <v/>
      </c>
      <c r="G16" s="107">
        <f>'Data Sheet'!F23</f>
        <v/>
      </c>
      <c r="H16" s="107">
        <f>'Data Sheet'!G23</f>
        <v/>
      </c>
      <c r="I16" s="107">
        <f>'Data Sheet'!H23</f>
        <v/>
      </c>
      <c r="J16" s="107">
        <f>'Data Sheet'!I23</f>
        <v/>
      </c>
      <c r="K16" s="107">
        <f>'Data Sheet'!J23</f>
        <v/>
      </c>
      <c r="L16" s="107">
        <f>'Data Sheet'!K23</f>
        <v/>
      </c>
    </row>
    <row r="17">
      <c r="B17" t="inlineStr">
        <is>
          <t>S&amp;G % Sales</t>
        </is>
      </c>
      <c r="C17" s="112">
        <f>C16/C7</f>
        <v/>
      </c>
      <c r="D17" s="112">
        <f>D16/D7</f>
        <v/>
      </c>
      <c r="E17" s="112">
        <f>E16/E7</f>
        <v/>
      </c>
      <c r="F17" s="112">
        <f>F16/F7</f>
        <v/>
      </c>
      <c r="G17" s="112">
        <f>G16/G7</f>
        <v/>
      </c>
      <c r="H17" s="112">
        <f>H16/H7</f>
        <v/>
      </c>
      <c r="I17" s="112">
        <f>I16/I7</f>
        <v/>
      </c>
      <c r="J17" s="112">
        <f>J16/J7</f>
        <v/>
      </c>
      <c r="K17" s="112">
        <f>K16/K7</f>
        <v/>
      </c>
      <c r="L17" s="112">
        <f>L16/L7</f>
        <v/>
      </c>
    </row>
    <row r="19">
      <c r="B19" t="inlineStr">
        <is>
          <t>EBITDA</t>
        </is>
      </c>
      <c r="C19" s="107">
        <f>C13-C16</f>
        <v/>
      </c>
      <c r="D19" s="107">
        <f>D13-D16</f>
        <v/>
      </c>
      <c r="E19" s="107">
        <f>E13-E16</f>
        <v/>
      </c>
      <c r="F19" s="107">
        <f>F13-F16</f>
        <v/>
      </c>
      <c r="G19" s="107">
        <f>G13-G16</f>
        <v/>
      </c>
      <c r="H19" s="107">
        <f>H13-H16</f>
        <v/>
      </c>
      <c r="I19" s="107">
        <f>I13-I16</f>
        <v/>
      </c>
      <c r="J19" s="107">
        <f>J13-J16</f>
        <v/>
      </c>
      <c r="K19" s="107">
        <f>K13-K16</f>
        <v/>
      </c>
      <c r="L19" s="107">
        <f>L13-L16</f>
        <v/>
      </c>
    </row>
    <row r="20">
      <c r="B20" t="inlineStr">
        <is>
          <t>EBITDA % Sales</t>
        </is>
      </c>
      <c r="C20" s="112">
        <f>C19/C7</f>
        <v/>
      </c>
      <c r="D20" s="112">
        <f>D19/D7</f>
        <v/>
      </c>
      <c r="E20" s="112">
        <f>E19/E7</f>
        <v/>
      </c>
      <c r="F20" s="112">
        <f>F19/F7</f>
        <v/>
      </c>
      <c r="G20" s="112">
        <f>G19/G7</f>
        <v/>
      </c>
      <c r="H20" s="112">
        <f>H19/H7</f>
        <v/>
      </c>
      <c r="I20" s="112">
        <f>I19/I7</f>
        <v/>
      </c>
      <c r="J20" s="112">
        <f>J19/J7</f>
        <v/>
      </c>
      <c r="K20" s="112">
        <f>K19/K7</f>
        <v/>
      </c>
      <c r="L20" s="112">
        <f>L19/L7</f>
        <v/>
      </c>
    </row>
    <row r="22">
      <c r="B22" t="inlineStr">
        <is>
          <t>Depreciation</t>
        </is>
      </c>
      <c r="C22" s="107">
        <f>'Data Sheet'!B26</f>
        <v/>
      </c>
      <c r="D22" s="107">
        <f>'Data Sheet'!C26</f>
        <v/>
      </c>
      <c r="E22" s="107">
        <f>'Data Sheet'!D26</f>
        <v/>
      </c>
      <c r="F22" s="107">
        <f>'Data Sheet'!E26</f>
        <v/>
      </c>
      <c r="G22" s="107">
        <f>'Data Sheet'!F26</f>
        <v/>
      </c>
      <c r="H22" s="107">
        <f>'Data Sheet'!G26</f>
        <v/>
      </c>
      <c r="I22" s="107">
        <f>'Data Sheet'!H26</f>
        <v/>
      </c>
      <c r="J22" s="107">
        <f>'Data Sheet'!I26</f>
        <v/>
      </c>
      <c r="K22" s="107">
        <f>'Data Sheet'!J26</f>
        <v/>
      </c>
      <c r="L22" s="107">
        <f>'Data Sheet'!K26</f>
        <v/>
      </c>
    </row>
    <row r="23">
      <c r="B23" t="inlineStr">
        <is>
          <t>Depreciation % Sales</t>
        </is>
      </c>
      <c r="C23" s="112">
        <f>C22/C7</f>
        <v/>
      </c>
      <c r="D23" s="112">
        <f>D22/D7</f>
        <v/>
      </c>
      <c r="E23" s="112">
        <f>E22/E7</f>
        <v/>
      </c>
      <c r="F23" s="112">
        <f>F22/F7</f>
        <v/>
      </c>
      <c r="G23" s="112">
        <f>G22/G7</f>
        <v/>
      </c>
      <c r="H23" s="112">
        <f>H22/H7</f>
        <v/>
      </c>
      <c r="I23" s="112">
        <f>I22/I7</f>
        <v/>
      </c>
      <c r="J23" s="112">
        <f>J22/J7</f>
        <v/>
      </c>
      <c r="K23" s="112">
        <f>K22/K7</f>
        <v/>
      </c>
      <c r="L23" s="112">
        <f>L22/L7</f>
        <v/>
      </c>
    </row>
    <row r="25">
      <c r="B25" t="inlineStr">
        <is>
          <t>EBIT</t>
        </is>
      </c>
      <c r="C25" s="107">
        <f>C19-C22</f>
        <v/>
      </c>
      <c r="D25" s="107">
        <f>D19-D22</f>
        <v/>
      </c>
      <c r="E25" s="107">
        <f>E19-E22</f>
        <v/>
      </c>
      <c r="F25" s="107">
        <f>F19-F22</f>
        <v/>
      </c>
      <c r="G25" s="107">
        <f>G19-G22</f>
        <v/>
      </c>
      <c r="H25" s="107">
        <f>H19-H22</f>
        <v/>
      </c>
      <c r="I25" s="107">
        <f>I19-I22</f>
        <v/>
      </c>
      <c r="J25" s="107">
        <f>J19-J22</f>
        <v/>
      </c>
      <c r="K25" s="107">
        <f>K19-K22</f>
        <v/>
      </c>
      <c r="L25" s="107">
        <f>L19-L22</f>
        <v/>
      </c>
    </row>
    <row r="26">
      <c r="B26" t="inlineStr">
        <is>
          <t>EBIT % Sales</t>
        </is>
      </c>
      <c r="C26" s="112">
        <f>C25/C7</f>
        <v/>
      </c>
      <c r="D26" s="112">
        <f>D25/D7</f>
        <v/>
      </c>
      <c r="E26" s="112">
        <f>E25/E7</f>
        <v/>
      </c>
      <c r="F26" s="112">
        <f>F25/F7</f>
        <v/>
      </c>
      <c r="G26" s="112">
        <f>G25/G7</f>
        <v/>
      </c>
      <c r="H26" s="112">
        <f>H25/H7</f>
        <v/>
      </c>
      <c r="I26" s="112">
        <f>I25/I7</f>
        <v/>
      </c>
      <c r="J26" s="112">
        <f>J25/J7</f>
        <v/>
      </c>
      <c r="K26" s="112">
        <f>K25/K7</f>
        <v/>
      </c>
      <c r="L26" s="112">
        <f>L25/L7</f>
        <v/>
      </c>
    </row>
    <row r="28">
      <c r="B28" t="inlineStr">
        <is>
          <t>Interest</t>
        </is>
      </c>
      <c r="C28" s="107">
        <f>'Data Sheet'!B27</f>
        <v/>
      </c>
      <c r="D28" s="107">
        <f>'Data Sheet'!C27</f>
        <v/>
      </c>
      <c r="E28" s="107">
        <f>'Data Sheet'!D27</f>
        <v/>
      </c>
      <c r="F28" s="107">
        <f>'Data Sheet'!E27</f>
        <v/>
      </c>
      <c r="G28" s="107">
        <f>'Data Sheet'!F27</f>
        <v/>
      </c>
      <c r="H28" s="107">
        <f>'Data Sheet'!G27</f>
        <v/>
      </c>
      <c r="I28" s="107">
        <f>'Data Sheet'!H27</f>
        <v/>
      </c>
      <c r="J28" s="107">
        <f>'Data Sheet'!I27</f>
        <v/>
      </c>
      <c r="K28" s="107">
        <f>'Data Sheet'!J27</f>
        <v/>
      </c>
      <c r="L28" s="107">
        <f>'Data Sheet'!K27</f>
        <v/>
      </c>
    </row>
    <row r="29">
      <c r="B29" t="inlineStr">
        <is>
          <t>Interest % Sales</t>
        </is>
      </c>
      <c r="C29" s="112">
        <f>C28/C7</f>
        <v/>
      </c>
      <c r="D29" s="112">
        <f>D28/D7</f>
        <v/>
      </c>
      <c r="E29" s="112">
        <f>E28/E7</f>
        <v/>
      </c>
      <c r="F29" s="112">
        <f>F28/F7</f>
        <v/>
      </c>
      <c r="G29" s="112">
        <f>G28/G7</f>
        <v/>
      </c>
      <c r="H29" s="112">
        <f>H28/H7</f>
        <v/>
      </c>
      <c r="I29" s="112">
        <f>I28/I7</f>
        <v/>
      </c>
      <c r="J29" s="112">
        <f>J28/J7</f>
        <v/>
      </c>
      <c r="K29" s="112">
        <f>K28/K7</f>
        <v/>
      </c>
      <c r="L29" s="112">
        <f>L28/L7</f>
        <v/>
      </c>
    </row>
    <row r="31">
      <c r="B31" t="inlineStr">
        <is>
          <t>Earning Before Tax</t>
        </is>
      </c>
      <c r="C31" s="107">
        <f>C25-C28</f>
        <v/>
      </c>
      <c r="D31" s="107">
        <f>D25-D28</f>
        <v/>
      </c>
      <c r="E31" s="107">
        <f>E25-E28</f>
        <v/>
      </c>
      <c r="F31" s="107">
        <f>F25-F28</f>
        <v/>
      </c>
      <c r="G31" s="107">
        <f>G25-G28</f>
        <v/>
      </c>
      <c r="H31" s="107">
        <f>H25-H28</f>
        <v/>
      </c>
      <c r="I31" s="107">
        <f>I25-I28</f>
        <v/>
      </c>
      <c r="J31" s="107">
        <f>J25-J28</f>
        <v/>
      </c>
      <c r="K31" s="107">
        <f>K25-K28</f>
        <v/>
      </c>
      <c r="L31" s="107">
        <f>L25-L28</f>
        <v/>
      </c>
    </row>
    <row r="32">
      <c r="B32" t="inlineStr">
        <is>
          <t>EBT % Sales</t>
        </is>
      </c>
      <c r="C32" s="112">
        <f>C31/C7</f>
        <v/>
      </c>
      <c r="D32" s="112">
        <f>D31/D7</f>
        <v/>
      </c>
      <c r="E32" s="112">
        <f>E31/E7</f>
        <v/>
      </c>
      <c r="F32" s="112">
        <f>F31/F7</f>
        <v/>
      </c>
      <c r="G32" s="112">
        <f>G31/G7</f>
        <v/>
      </c>
      <c r="H32" s="112">
        <f>H31/H7</f>
        <v/>
      </c>
      <c r="I32" s="112">
        <f>I31/I7</f>
        <v/>
      </c>
      <c r="J32" s="112">
        <f>J31/J7</f>
        <v/>
      </c>
      <c r="K32" s="112">
        <f>K31/K7</f>
        <v/>
      </c>
      <c r="L32" s="112">
        <f>L31/L7</f>
        <v/>
      </c>
    </row>
    <row r="34">
      <c r="B34" t="inlineStr">
        <is>
          <t>Tax Rate</t>
        </is>
      </c>
      <c r="C34" s="107">
        <f>'Data Sheet'!B29</f>
        <v/>
      </c>
      <c r="D34" s="107">
        <f>'Data Sheet'!C29</f>
        <v/>
      </c>
      <c r="E34" s="107">
        <f>'Data Sheet'!D29</f>
        <v/>
      </c>
      <c r="F34" s="107">
        <f>'Data Sheet'!E29</f>
        <v/>
      </c>
      <c r="G34" s="107">
        <f>'Data Sheet'!F29</f>
        <v/>
      </c>
      <c r="H34" s="107">
        <f>'Data Sheet'!G29</f>
        <v/>
      </c>
      <c r="I34" s="107">
        <f>'Data Sheet'!H29</f>
        <v/>
      </c>
      <c r="J34" s="107">
        <f>'Data Sheet'!I29</f>
        <v/>
      </c>
      <c r="K34" s="107">
        <f>'Data Sheet'!J29</f>
        <v/>
      </c>
      <c r="L34" s="107">
        <f>'Data Sheet'!K29</f>
        <v/>
      </c>
    </row>
    <row r="35">
      <c r="B35" t="inlineStr">
        <is>
          <t>Effective Tax Rate</t>
        </is>
      </c>
      <c r="C35" s="112">
        <f>C34/C31</f>
        <v/>
      </c>
      <c r="D35" s="112">
        <f>D34/D31</f>
        <v/>
      </c>
      <c r="E35" s="112">
        <f>E34/E31</f>
        <v/>
      </c>
      <c r="F35" s="112">
        <f>F34/F31</f>
        <v/>
      </c>
      <c r="G35" s="112">
        <f>G34/G31</f>
        <v/>
      </c>
      <c r="H35" s="112">
        <f>H34/H31</f>
        <v/>
      </c>
      <c r="I35" s="112">
        <f>I34/I31</f>
        <v/>
      </c>
      <c r="J35" s="112">
        <f>J34/J31</f>
        <v/>
      </c>
      <c r="K35" s="112">
        <f>K34/K31</f>
        <v/>
      </c>
      <c r="L35" s="112">
        <f>L34/L31</f>
        <v/>
      </c>
    </row>
    <row r="37">
      <c r="B37" t="inlineStr">
        <is>
          <t>Net Profit</t>
        </is>
      </c>
      <c r="C37" s="107">
        <f>C31-C34</f>
        <v/>
      </c>
      <c r="D37" s="107">
        <f>D31-D34</f>
        <v/>
      </c>
      <c r="E37" s="107">
        <f>E31-E34</f>
        <v/>
      </c>
      <c r="F37" s="107">
        <f>F31-F34</f>
        <v/>
      </c>
      <c r="G37" s="107">
        <f>G31-G34</f>
        <v/>
      </c>
      <c r="H37" s="107">
        <f>H31-H34</f>
        <v/>
      </c>
      <c r="I37" s="107">
        <f>I31-I34</f>
        <v/>
      </c>
      <c r="J37" s="107">
        <f>J31-J34</f>
        <v/>
      </c>
      <c r="K37" s="107">
        <f>K31-K34</f>
        <v/>
      </c>
      <c r="L37" s="107">
        <f>L31-L34</f>
        <v/>
      </c>
    </row>
    <row r="38">
      <c r="B38" t="inlineStr">
        <is>
          <t>Net Profit % Sales</t>
        </is>
      </c>
      <c r="C38" s="112">
        <f>C37/C7</f>
        <v/>
      </c>
      <c r="D38" s="112">
        <f>D37/D7</f>
        <v/>
      </c>
      <c r="E38" s="112">
        <f>E37/E7</f>
        <v/>
      </c>
      <c r="F38" s="112">
        <f>F37/F7</f>
        <v/>
      </c>
      <c r="G38" s="112">
        <f>G37/G7</f>
        <v/>
      </c>
      <c r="H38" s="112">
        <f>H37/H7</f>
        <v/>
      </c>
      <c r="I38" s="112">
        <f>I37/I7</f>
        <v/>
      </c>
      <c r="J38" s="112">
        <f>J37/J7</f>
        <v/>
      </c>
      <c r="K38" s="112">
        <f>K37/K7</f>
        <v/>
      </c>
      <c r="L38" s="112">
        <f>L37/L7</f>
        <v/>
      </c>
    </row>
    <row r="40">
      <c r="B40" t="inlineStr">
        <is>
          <t>No. of Equity Shares</t>
        </is>
      </c>
      <c r="C40">
        <f>'Data Sheet'!B93</f>
        <v/>
      </c>
      <c r="D40">
        <f>'Data Sheet'!C93</f>
        <v/>
      </c>
      <c r="E40">
        <f>'Data Sheet'!D93</f>
        <v/>
      </c>
      <c r="F40">
        <f>'Data Sheet'!E93</f>
        <v/>
      </c>
      <c r="G40">
        <f>'Data Sheet'!F93</f>
        <v/>
      </c>
      <c r="H40">
        <f>'Data Sheet'!G93</f>
        <v/>
      </c>
      <c r="I40">
        <f>'Data Sheet'!H93</f>
        <v/>
      </c>
      <c r="J40">
        <f>'Data Sheet'!I93</f>
        <v/>
      </c>
      <c r="K40">
        <f>'Data Sheet'!J93</f>
        <v/>
      </c>
      <c r="L40">
        <f>'Data Sheet'!K93</f>
        <v/>
      </c>
    </row>
    <row r="42">
      <c r="B42" t="inlineStr">
        <is>
          <t>Earning per Share</t>
        </is>
      </c>
      <c r="C42" s="107">
        <f>C37/C40</f>
        <v/>
      </c>
      <c r="D42" s="107">
        <f>D37/D40</f>
        <v/>
      </c>
      <c r="E42" s="107">
        <f>E37/E40</f>
        <v/>
      </c>
      <c r="F42" s="107">
        <f>F37/F40</f>
        <v/>
      </c>
      <c r="G42" s="107">
        <f>G37/G40</f>
        <v/>
      </c>
      <c r="H42" s="107">
        <f>H37/H40</f>
        <v/>
      </c>
      <c r="I42" s="107">
        <f>I37/I40</f>
        <v/>
      </c>
      <c r="J42" s="107">
        <f>J37/J40</f>
        <v/>
      </c>
      <c r="K42" s="107">
        <f>K37/K40</f>
        <v/>
      </c>
      <c r="L42" s="107">
        <f>L37/L40</f>
        <v/>
      </c>
    </row>
    <row r="43">
      <c r="B43" t="inlineStr">
        <is>
          <t>EPS Growth</t>
        </is>
      </c>
      <c r="C43" s="111" t="inlineStr">
        <is>
          <t>-</t>
        </is>
      </c>
      <c r="D43" s="111">
        <f>D42/C42-1</f>
        <v/>
      </c>
      <c r="E43" s="111">
        <f>E42/D42-1</f>
        <v/>
      </c>
      <c r="F43" s="111">
        <f>F42/E42-1</f>
        <v/>
      </c>
      <c r="G43" s="111">
        <f>G42/F42-1</f>
        <v/>
      </c>
      <c r="H43" s="111">
        <f>H42/G42-1</f>
        <v/>
      </c>
      <c r="I43" s="111">
        <f>I42/H42-1</f>
        <v/>
      </c>
      <c r="J43" s="111">
        <f>J42/I42-1</f>
        <v/>
      </c>
      <c r="K43" s="111">
        <f>K42/J42-1</f>
        <v/>
      </c>
      <c r="L43" s="111">
        <f>L42/K42-1</f>
        <v/>
      </c>
    </row>
    <row r="45">
      <c r="B45" t="inlineStr">
        <is>
          <t>Dividend per Share</t>
        </is>
      </c>
      <c r="C45" s="107">
        <f>'Data Sheet'!B31/'Historical FS'!C40</f>
        <v/>
      </c>
      <c r="D45" s="107">
        <f>'Data Sheet'!C31/'Historical FS'!D40</f>
        <v/>
      </c>
      <c r="E45" s="107">
        <f>'Data Sheet'!D31/'Historical FS'!E40</f>
        <v/>
      </c>
      <c r="F45" s="107">
        <f>'Data Sheet'!E31/'Historical FS'!F40</f>
        <v/>
      </c>
      <c r="G45" s="107">
        <f>'Data Sheet'!F31/'Historical FS'!G40</f>
        <v/>
      </c>
      <c r="H45" s="107">
        <f>'Data Sheet'!G31/'Historical FS'!H40</f>
        <v/>
      </c>
      <c r="I45" s="107">
        <f>'Data Sheet'!H31/'Historical FS'!I40</f>
        <v/>
      </c>
      <c r="J45" s="107">
        <f>'Data Sheet'!I31/'Historical FS'!J40</f>
        <v/>
      </c>
      <c r="K45" s="107">
        <f>'Data Sheet'!J31/'Historical FS'!K40</f>
        <v/>
      </c>
      <c r="L45" s="107">
        <f>'Data Sheet'!K31/'Historical FS'!L40</f>
        <v/>
      </c>
    </row>
    <row r="46">
      <c r="B46" t="inlineStr">
        <is>
          <t>Dividend Payout Ratio</t>
        </is>
      </c>
      <c r="C46" s="112">
        <f>C45/C42</f>
        <v/>
      </c>
      <c r="D46" s="112">
        <f>D45/D42</f>
        <v/>
      </c>
      <c r="E46" s="112">
        <f>E45/E42</f>
        <v/>
      </c>
      <c r="F46" s="112">
        <f>F45/F42</f>
        <v/>
      </c>
      <c r="G46" s="112">
        <f>G45/G42</f>
        <v/>
      </c>
      <c r="H46" s="112">
        <f>H45/H42</f>
        <v/>
      </c>
      <c r="I46" s="112">
        <f>I45/I42</f>
        <v/>
      </c>
      <c r="J46" s="112">
        <f>J45/J42</f>
        <v/>
      </c>
      <c r="K46" s="112">
        <f>K45/K42</f>
        <v/>
      </c>
      <c r="L46" s="112">
        <f>L45/L42</f>
        <v/>
      </c>
    </row>
    <row r="48">
      <c r="B48" t="inlineStr">
        <is>
          <t>Retained Earnings</t>
        </is>
      </c>
      <c r="C48" s="36">
        <f>(1-C46)</f>
        <v/>
      </c>
      <c r="D48" s="36">
        <f>(1-D46)</f>
        <v/>
      </c>
      <c r="E48" s="36">
        <f>(1-E46)</f>
        <v/>
      </c>
      <c r="F48" s="36">
        <f>(1-F46)</f>
        <v/>
      </c>
      <c r="G48" s="36">
        <f>(1-G46)</f>
        <v/>
      </c>
      <c r="H48" s="36">
        <f>(1-H46)</f>
        <v/>
      </c>
      <c r="I48" s="36">
        <f>(1-I46)</f>
        <v/>
      </c>
      <c r="J48" s="36">
        <f>(1-J46)</f>
        <v/>
      </c>
      <c r="K48" s="36">
        <f>(1-K46)</f>
        <v/>
      </c>
      <c r="L48" s="36">
        <f>(1-L46)</f>
        <v/>
      </c>
    </row>
    <row r="50">
      <c r="B50" s="44" t="inlineStr">
        <is>
          <t>Balance Sheet</t>
        </is>
      </c>
      <c r="C50" s="44" t="n"/>
      <c r="D50" s="44" t="n"/>
      <c r="E50" s="44" t="n"/>
      <c r="F50" s="44" t="n"/>
      <c r="G50" s="44" t="n"/>
      <c r="H50" s="44" t="n"/>
      <c r="I50" s="44" t="n"/>
      <c r="J50" s="44" t="n"/>
      <c r="K50" s="44" t="n"/>
      <c r="L50" s="44" t="n"/>
      <c r="M50" s="44" t="n"/>
    </row>
    <row r="51">
      <c r="B51" s="178">
        <f>'Data Sheet'!A57</f>
        <v/>
      </c>
      <c r="C51" s="107">
        <f>'Data Sheet'!B57</f>
        <v/>
      </c>
      <c r="D51" s="107">
        <f>'Data Sheet'!C57</f>
        <v/>
      </c>
      <c r="E51" s="107">
        <f>'Data Sheet'!D57</f>
        <v/>
      </c>
      <c r="F51" s="107">
        <f>'Data Sheet'!E57</f>
        <v/>
      </c>
      <c r="G51" s="107">
        <f>'Data Sheet'!F57</f>
        <v/>
      </c>
      <c r="H51" s="107">
        <f>'Data Sheet'!G57</f>
        <v/>
      </c>
      <c r="I51" s="107">
        <f>'Data Sheet'!H57</f>
        <v/>
      </c>
      <c r="J51" s="107">
        <f>'Data Sheet'!I57</f>
        <v/>
      </c>
      <c r="K51" s="107">
        <f>'Data Sheet'!J57</f>
        <v/>
      </c>
      <c r="L51" s="107">
        <f>'Data Sheet'!K57</f>
        <v/>
      </c>
    </row>
    <row r="52">
      <c r="B52" s="178">
        <f>'Data Sheet'!A58</f>
        <v/>
      </c>
      <c r="C52" s="107">
        <f>'Data Sheet'!B58</f>
        <v/>
      </c>
      <c r="D52" s="107">
        <f>'Data Sheet'!C58</f>
        <v/>
      </c>
      <c r="E52" s="107">
        <f>'Data Sheet'!D58</f>
        <v/>
      </c>
      <c r="F52" s="107">
        <f>'Data Sheet'!E58</f>
        <v/>
      </c>
      <c r="G52" s="107">
        <f>'Data Sheet'!F58</f>
        <v/>
      </c>
      <c r="H52" s="107">
        <f>'Data Sheet'!G58</f>
        <v/>
      </c>
      <c r="I52" s="107">
        <f>'Data Sheet'!H58</f>
        <v/>
      </c>
      <c r="J52" s="107">
        <f>'Data Sheet'!I58</f>
        <v/>
      </c>
      <c r="K52" s="107">
        <f>'Data Sheet'!J58</f>
        <v/>
      </c>
      <c r="L52" s="107">
        <f>'Data Sheet'!K58</f>
        <v/>
      </c>
    </row>
    <row r="53">
      <c r="B53" s="178">
        <f>'Data Sheet'!A59</f>
        <v/>
      </c>
      <c r="C53" s="107">
        <f>'Data Sheet'!B59</f>
        <v/>
      </c>
      <c r="D53" s="107">
        <f>'Data Sheet'!C59</f>
        <v/>
      </c>
      <c r="E53" s="107">
        <f>'Data Sheet'!D59</f>
        <v/>
      </c>
      <c r="F53" s="107">
        <f>'Data Sheet'!E59</f>
        <v/>
      </c>
      <c r="G53" s="107">
        <f>'Data Sheet'!F59</f>
        <v/>
      </c>
      <c r="H53" s="107">
        <f>'Data Sheet'!G59</f>
        <v/>
      </c>
      <c r="I53" s="107">
        <f>'Data Sheet'!H59</f>
        <v/>
      </c>
      <c r="J53" s="107">
        <f>'Data Sheet'!I59</f>
        <v/>
      </c>
      <c r="K53" s="107">
        <f>'Data Sheet'!J59</f>
        <v/>
      </c>
      <c r="L53" s="107">
        <f>'Data Sheet'!K59</f>
        <v/>
      </c>
    </row>
    <row r="54">
      <c r="B54" s="178">
        <f>'Data Sheet'!A60</f>
        <v/>
      </c>
      <c r="C54" s="107">
        <f>'Data Sheet'!B60</f>
        <v/>
      </c>
      <c r="D54" s="107">
        <f>'Data Sheet'!C60</f>
        <v/>
      </c>
      <c r="E54" s="107">
        <f>'Data Sheet'!D60</f>
        <v/>
      </c>
      <c r="F54" s="107">
        <f>'Data Sheet'!E60</f>
        <v/>
      </c>
      <c r="G54" s="107">
        <f>'Data Sheet'!F60</f>
        <v/>
      </c>
      <c r="H54" s="107">
        <f>'Data Sheet'!G60</f>
        <v/>
      </c>
      <c r="I54" s="107">
        <f>'Data Sheet'!H60</f>
        <v/>
      </c>
      <c r="J54" s="107">
        <f>'Data Sheet'!I60</f>
        <v/>
      </c>
      <c r="K54" s="107">
        <f>'Data Sheet'!J60</f>
        <v/>
      </c>
      <c r="L54" s="107">
        <f>'Data Sheet'!K60</f>
        <v/>
      </c>
    </row>
    <row r="55">
      <c r="B55" s="178" t="inlineStr">
        <is>
          <t>Total Liabilities</t>
        </is>
      </c>
      <c r="C55" s="107">
        <f>SUM(C51:C54)</f>
        <v/>
      </c>
      <c r="D55" s="107">
        <f>SUM(D51:D54)</f>
        <v/>
      </c>
      <c r="E55" s="107">
        <f>SUM(E51:E54)</f>
        <v/>
      </c>
      <c r="F55" s="107">
        <f>SUM(F51:F54)</f>
        <v/>
      </c>
      <c r="G55" s="107">
        <f>SUM(G51:G54)</f>
        <v/>
      </c>
      <c r="H55" s="107">
        <f>SUM(H51:H54)</f>
        <v/>
      </c>
      <c r="I55" s="107">
        <f>SUM(I51:I54)</f>
        <v/>
      </c>
      <c r="J55" s="107">
        <f>SUM(J51:J54)</f>
        <v/>
      </c>
      <c r="K55" s="107">
        <f>SUM(K51:K54)</f>
        <v/>
      </c>
      <c r="L55" s="107">
        <f>SUM(L51:L54)</f>
        <v/>
      </c>
    </row>
    <row r="56">
      <c r="C56" s="107" t="n"/>
      <c r="D56" s="107" t="n"/>
      <c r="E56" s="107" t="n"/>
      <c r="F56" s="107" t="n"/>
      <c r="G56" s="107" t="n"/>
      <c r="H56" s="107" t="n"/>
      <c r="I56" s="107" t="n"/>
      <c r="J56" s="107" t="n"/>
      <c r="K56" s="107" t="n"/>
      <c r="L56" s="107" t="n"/>
    </row>
    <row r="57">
      <c r="B57" s="178" t="inlineStr">
        <is>
          <t>Fixed Asset Net Block</t>
        </is>
      </c>
      <c r="C57" s="107">
        <f>'Data Sheet'!B62</f>
        <v/>
      </c>
      <c r="D57" s="107">
        <f>'Data Sheet'!C62</f>
        <v/>
      </c>
      <c r="E57" s="107">
        <f>'Data Sheet'!D62</f>
        <v/>
      </c>
      <c r="F57" s="107">
        <f>'Data Sheet'!E62</f>
        <v/>
      </c>
      <c r="G57" s="107">
        <f>'Data Sheet'!F62</f>
        <v/>
      </c>
      <c r="H57" s="107">
        <f>'Data Sheet'!G62</f>
        <v/>
      </c>
      <c r="I57" s="107">
        <f>'Data Sheet'!H62</f>
        <v/>
      </c>
      <c r="J57" s="107">
        <f>'Data Sheet'!I62</f>
        <v/>
      </c>
      <c r="K57" s="107">
        <f>'Data Sheet'!J62</f>
        <v/>
      </c>
      <c r="L57" s="107">
        <f>'Data Sheet'!K62</f>
        <v/>
      </c>
    </row>
    <row r="58">
      <c r="B58" s="178">
        <f>'Data Sheet'!A63</f>
        <v/>
      </c>
      <c r="C58" s="107">
        <f>'Data Sheet'!B63</f>
        <v/>
      </c>
      <c r="D58" s="107">
        <f>'Data Sheet'!C63</f>
        <v/>
      </c>
      <c r="E58" s="107">
        <f>'Data Sheet'!D63</f>
        <v/>
      </c>
      <c r="F58" s="107">
        <f>'Data Sheet'!E63</f>
        <v/>
      </c>
      <c r="G58" s="107">
        <f>'Data Sheet'!F63</f>
        <v/>
      </c>
      <c r="H58" s="107">
        <f>'Data Sheet'!G63</f>
        <v/>
      </c>
      <c r="I58" s="107">
        <f>'Data Sheet'!H63</f>
        <v/>
      </c>
      <c r="J58" s="107">
        <f>'Data Sheet'!I63</f>
        <v/>
      </c>
      <c r="K58" s="107">
        <f>'Data Sheet'!J63</f>
        <v/>
      </c>
      <c r="L58" s="107">
        <f>'Data Sheet'!K63</f>
        <v/>
      </c>
    </row>
    <row r="59">
      <c r="B59" s="178">
        <f>'Data Sheet'!A64</f>
        <v/>
      </c>
      <c r="C59" s="107">
        <f>'Data Sheet'!B64</f>
        <v/>
      </c>
      <c r="D59" s="107">
        <f>'Data Sheet'!C64</f>
        <v/>
      </c>
      <c r="E59" s="107">
        <f>'Data Sheet'!D64</f>
        <v/>
      </c>
      <c r="F59" s="107">
        <f>'Data Sheet'!E64</f>
        <v/>
      </c>
      <c r="G59" s="107">
        <f>'Data Sheet'!F64</f>
        <v/>
      </c>
      <c r="H59" s="107">
        <f>'Data Sheet'!G64</f>
        <v/>
      </c>
      <c r="I59" s="107">
        <f>'Data Sheet'!H64</f>
        <v/>
      </c>
      <c r="J59" s="107">
        <f>'Data Sheet'!I64</f>
        <v/>
      </c>
      <c r="K59" s="107">
        <f>'Data Sheet'!J64</f>
        <v/>
      </c>
      <c r="L59" s="107">
        <f>'Data Sheet'!K64</f>
        <v/>
      </c>
    </row>
    <row r="60">
      <c r="B60" s="178">
        <f>'Data Sheet'!A65</f>
        <v/>
      </c>
      <c r="C60" s="107">
        <f>'Data Sheet'!B75</f>
        <v/>
      </c>
      <c r="D60" s="107">
        <f>'Data Sheet'!C75</f>
        <v/>
      </c>
      <c r="E60" s="107">
        <f>'Data Sheet'!D75</f>
        <v/>
      </c>
      <c r="F60" s="107">
        <f>'Data Sheet'!E75</f>
        <v/>
      </c>
      <c r="G60" s="107">
        <f>'Data Sheet'!F75</f>
        <v/>
      </c>
      <c r="H60" s="107">
        <f>'Data Sheet'!G75</f>
        <v/>
      </c>
      <c r="I60" s="107">
        <f>'Data Sheet'!H75</f>
        <v/>
      </c>
      <c r="J60" s="107">
        <f>'Data Sheet'!I75</f>
        <v/>
      </c>
      <c r="K60" s="107">
        <f>'Data Sheet'!J75</f>
        <v/>
      </c>
      <c r="L60" s="107">
        <f>'Data Sheet'!K75</f>
        <v/>
      </c>
      <c r="M60">
        <f>'Data Sheet'!L75</f>
        <v/>
      </c>
      <c r="N60">
        <f>'Data Sheet'!M75</f>
        <v/>
      </c>
      <c r="O60">
        <f>'Data Sheet'!N75</f>
        <v/>
      </c>
    </row>
    <row r="61">
      <c r="B61" s="178" t="inlineStr">
        <is>
          <t>Total Non Current Assets</t>
        </is>
      </c>
      <c r="C61" s="107">
        <f>SUM(C57:C60)</f>
        <v/>
      </c>
      <c r="D61" s="107">
        <f>SUM(D57:D60)</f>
        <v/>
      </c>
      <c r="E61" s="107">
        <f>SUM(E57:E60)</f>
        <v/>
      </c>
      <c r="F61" s="107">
        <f>SUM(F57:F60)</f>
        <v/>
      </c>
      <c r="G61" s="107">
        <f>SUM(G57:G60)</f>
        <v/>
      </c>
      <c r="H61" s="107">
        <f>SUM(H57:H60)</f>
        <v/>
      </c>
      <c r="I61" s="107">
        <f>SUM(I57:I60)</f>
        <v/>
      </c>
      <c r="J61" s="107">
        <f>SUM(J57:J60)</f>
        <v/>
      </c>
      <c r="K61" s="107">
        <f>SUM(K57:K60)</f>
        <v/>
      </c>
      <c r="L61" s="107">
        <f>SUM(L57:L60)</f>
        <v/>
      </c>
    </row>
    <row r="62">
      <c r="B62" s="178" t="n"/>
      <c r="C62" s="107" t="n"/>
      <c r="D62" s="107" t="n"/>
      <c r="E62" s="107" t="n"/>
      <c r="F62" s="107" t="n"/>
      <c r="G62" s="107" t="n"/>
      <c r="H62" s="107" t="n"/>
      <c r="I62" s="107" t="n"/>
      <c r="J62" s="107" t="n"/>
      <c r="K62" s="107" t="n"/>
      <c r="L62" s="107" t="n"/>
    </row>
    <row r="63">
      <c r="B63" s="178">
        <f>'Data Sheet'!A67</f>
        <v/>
      </c>
      <c r="C63" s="107">
        <f>'Data Sheet'!B67</f>
        <v/>
      </c>
      <c r="D63" s="107">
        <f>'Data Sheet'!C67</f>
        <v/>
      </c>
      <c r="E63" s="107">
        <f>'Data Sheet'!D67</f>
        <v/>
      </c>
      <c r="F63" s="107">
        <f>'Data Sheet'!E67</f>
        <v/>
      </c>
      <c r="G63" s="107">
        <f>'Data Sheet'!F67</f>
        <v/>
      </c>
      <c r="H63" s="107">
        <f>'Data Sheet'!G67</f>
        <v/>
      </c>
      <c r="I63" s="107">
        <f>'Data Sheet'!H67</f>
        <v/>
      </c>
      <c r="J63" s="107">
        <f>'Data Sheet'!I67</f>
        <v/>
      </c>
      <c r="K63" s="107">
        <f>'Data Sheet'!J67</f>
        <v/>
      </c>
      <c r="L63" s="107">
        <f>'Data Sheet'!K67</f>
        <v/>
      </c>
    </row>
    <row r="64">
      <c r="B64" s="178">
        <f>'Data Sheet'!A68</f>
        <v/>
      </c>
      <c r="C64" s="107">
        <f>'Data Sheet'!B68</f>
        <v/>
      </c>
      <c r="D64" s="107">
        <f>'Data Sheet'!C68</f>
        <v/>
      </c>
      <c r="E64" s="107">
        <f>'Data Sheet'!D68</f>
        <v/>
      </c>
      <c r="F64" s="107">
        <f>'Data Sheet'!E68</f>
        <v/>
      </c>
      <c r="G64" s="107">
        <f>'Data Sheet'!F68</f>
        <v/>
      </c>
      <c r="H64" s="107">
        <f>'Data Sheet'!G68</f>
        <v/>
      </c>
      <c r="I64" s="107">
        <f>'Data Sheet'!H68</f>
        <v/>
      </c>
      <c r="J64" s="107">
        <f>'Data Sheet'!I68</f>
        <v/>
      </c>
      <c r="K64" s="107">
        <f>'Data Sheet'!J68</f>
        <v/>
      </c>
      <c r="L64" s="107">
        <f>'Data Sheet'!K68</f>
        <v/>
      </c>
    </row>
    <row r="65">
      <c r="B65" s="178">
        <f>'Data Sheet'!A69</f>
        <v/>
      </c>
      <c r="C65" s="107">
        <f>'Data Sheet'!B69</f>
        <v/>
      </c>
      <c r="D65" s="107">
        <f>'Data Sheet'!C69</f>
        <v/>
      </c>
      <c r="E65" s="107">
        <f>'Data Sheet'!D69</f>
        <v/>
      </c>
      <c r="F65" s="107">
        <f>'Data Sheet'!E69</f>
        <v/>
      </c>
      <c r="G65" s="107">
        <f>'Data Sheet'!F69</f>
        <v/>
      </c>
      <c r="H65" s="107">
        <f>'Data Sheet'!G69</f>
        <v/>
      </c>
      <c r="I65" s="107">
        <f>'Data Sheet'!H69</f>
        <v/>
      </c>
      <c r="J65" s="107">
        <f>'Data Sheet'!I69</f>
        <v/>
      </c>
      <c r="K65" s="107">
        <f>'Data Sheet'!J69</f>
        <v/>
      </c>
      <c r="L65" s="107">
        <f>'Data Sheet'!K69</f>
        <v/>
      </c>
    </row>
    <row r="66">
      <c r="B66" s="178" t="inlineStr">
        <is>
          <t>Total Current Assets</t>
        </is>
      </c>
      <c r="C66" s="107">
        <f>SUM(C63:C65)</f>
        <v/>
      </c>
      <c r="D66" s="107">
        <f>SUM(D63:D65)</f>
        <v/>
      </c>
      <c r="E66" s="107">
        <f>SUM(E63:E65)</f>
        <v/>
      </c>
      <c r="F66" s="107">
        <f>SUM(F63:F65)</f>
        <v/>
      </c>
      <c r="G66" s="107">
        <f>SUM(G63:G65)</f>
        <v/>
      </c>
      <c r="H66" s="107">
        <f>SUM(H63:H65)</f>
        <v/>
      </c>
      <c r="I66" s="107">
        <f>SUM(I63:I65)</f>
        <v/>
      </c>
      <c r="J66" s="107">
        <f>SUM(J63:J65)</f>
        <v/>
      </c>
      <c r="K66" s="107">
        <f>SUM(K63:K65)</f>
        <v/>
      </c>
      <c r="L66" s="107">
        <f>SUM(L63:L65)</f>
        <v/>
      </c>
    </row>
    <row r="67">
      <c r="B67" s="178" t="n"/>
      <c r="C67" s="107" t="n"/>
      <c r="D67" s="107" t="n"/>
      <c r="E67" s="107" t="n"/>
      <c r="F67" s="107" t="n"/>
      <c r="G67" s="107" t="n"/>
      <c r="H67" s="107" t="n"/>
      <c r="I67" s="107" t="n"/>
      <c r="J67" s="107" t="n"/>
      <c r="K67" s="107" t="n"/>
      <c r="L67" s="107" t="n"/>
    </row>
    <row r="68">
      <c r="B68" t="inlineStr">
        <is>
          <t>Total Assets</t>
        </is>
      </c>
      <c r="C68" s="107">
        <f>C61+C66</f>
        <v/>
      </c>
      <c r="D68" s="107">
        <f>D61+D66</f>
        <v/>
      </c>
      <c r="E68" s="107">
        <f>E61+E66</f>
        <v/>
      </c>
      <c r="F68" s="107">
        <f>F61+F66</f>
        <v/>
      </c>
      <c r="G68" s="107">
        <f>G61+G66</f>
        <v/>
      </c>
      <c r="H68" s="107">
        <f>H61+H66</f>
        <v/>
      </c>
      <c r="I68" s="107">
        <f>I61+I66</f>
        <v/>
      </c>
      <c r="J68" s="107">
        <f>J61+J66</f>
        <v/>
      </c>
      <c r="K68" s="107">
        <f>K61+K66</f>
        <v/>
      </c>
      <c r="L68" s="107">
        <f>L61+L66</f>
        <v/>
      </c>
    </row>
    <row r="70">
      <c r="B70" t="inlineStr">
        <is>
          <t>Check</t>
        </is>
      </c>
      <c r="C70">
        <f>C68=C55</f>
        <v/>
      </c>
      <c r="D70">
        <f>D68=D55</f>
        <v/>
      </c>
      <c r="E70">
        <f>E68=E55</f>
        <v/>
      </c>
      <c r="F70">
        <f>F68=F55</f>
        <v/>
      </c>
      <c r="G70">
        <f>G68=G55</f>
        <v/>
      </c>
      <c r="H70">
        <f>H68=H55</f>
        <v/>
      </c>
      <c r="I70">
        <f>I68=I55</f>
        <v/>
      </c>
      <c r="J70">
        <f>J68=J55</f>
        <v/>
      </c>
      <c r="K70">
        <f>K68=K55</f>
        <v/>
      </c>
      <c r="L70">
        <f>L68=L55</f>
        <v/>
      </c>
    </row>
    <row r="72">
      <c r="B72" s="44" t="inlineStr">
        <is>
          <t>Cash Flow Statement</t>
        </is>
      </c>
      <c r="C72" s="44" t="n"/>
      <c r="D72" s="44" t="n"/>
      <c r="E72" s="44" t="n"/>
      <c r="F72" s="44" t="n"/>
      <c r="G72" s="44" t="n"/>
      <c r="H72" s="44" t="n"/>
      <c r="I72" s="44" t="n"/>
      <c r="J72" s="44" t="n"/>
      <c r="K72" s="44" t="n"/>
      <c r="L72" s="44" t="n"/>
      <c r="M72" s="44" t="n"/>
    </row>
    <row r="73">
      <c r="B73" t="inlineStr">
        <is>
          <t>Operating Activity</t>
        </is>
      </c>
    </row>
    <row r="74">
      <c r="B74">
        <f>'Cash Flow Statement'!B7</f>
        <v/>
      </c>
      <c r="C74" s="107">
        <f>'Cash Flow Statement'!E7</f>
        <v/>
      </c>
      <c r="D74" s="107">
        <f>'Cash Flow Statement'!F7</f>
        <v/>
      </c>
      <c r="E74" s="107">
        <f>'Cash Flow Statement'!G7</f>
        <v/>
      </c>
      <c r="F74" s="107">
        <f>'Cash Flow Statement'!H7</f>
        <v/>
      </c>
      <c r="G74" s="107">
        <f>'Cash Flow Statement'!I7</f>
        <v/>
      </c>
      <c r="H74" s="107">
        <f>'Cash Flow Statement'!J7</f>
        <v/>
      </c>
      <c r="I74" s="107">
        <f>'Cash Flow Statement'!K7</f>
        <v/>
      </c>
      <c r="J74" s="107">
        <f>'Cash Flow Statement'!L7</f>
        <v/>
      </c>
      <c r="K74" s="107">
        <f>'Cash Flow Statement'!M7</f>
        <v/>
      </c>
      <c r="L74" s="107">
        <f>'Cash Flow Statement'!N7</f>
        <v/>
      </c>
    </row>
    <row r="75">
      <c r="B75">
        <f>'Cash Flow Statement'!B8</f>
        <v/>
      </c>
      <c r="C75" s="107">
        <f>'Cash Flow Statement'!E8</f>
        <v/>
      </c>
      <c r="D75" s="107">
        <f>'Cash Flow Statement'!F8</f>
        <v/>
      </c>
      <c r="E75" s="107">
        <f>'Cash Flow Statement'!G8</f>
        <v/>
      </c>
      <c r="F75" s="107">
        <f>'Cash Flow Statement'!H8</f>
        <v/>
      </c>
      <c r="G75" s="107">
        <f>'Cash Flow Statement'!I8</f>
        <v/>
      </c>
      <c r="H75" s="107">
        <f>'Cash Flow Statement'!J8</f>
        <v/>
      </c>
      <c r="I75" s="107">
        <f>'Cash Flow Statement'!K8</f>
        <v/>
      </c>
      <c r="J75" s="107">
        <f>'Cash Flow Statement'!L8</f>
        <v/>
      </c>
      <c r="K75" s="107">
        <f>'Cash Flow Statement'!M8</f>
        <v/>
      </c>
      <c r="L75" s="107">
        <f>'Cash Flow Statement'!N8</f>
        <v/>
      </c>
    </row>
    <row r="76">
      <c r="B76">
        <f>'Cash Flow Statement'!B9</f>
        <v/>
      </c>
      <c r="C76" s="107">
        <f>'Cash Flow Statement'!E9</f>
        <v/>
      </c>
      <c r="D76" s="107">
        <f>'Cash Flow Statement'!F9</f>
        <v/>
      </c>
      <c r="E76" s="107">
        <f>'Cash Flow Statement'!G9</f>
        <v/>
      </c>
      <c r="F76" s="107">
        <f>'Cash Flow Statement'!H9</f>
        <v/>
      </c>
      <c r="G76" s="107">
        <f>'Cash Flow Statement'!I9</f>
        <v/>
      </c>
      <c r="H76" s="107">
        <f>'Cash Flow Statement'!J9</f>
        <v/>
      </c>
      <c r="I76" s="107">
        <f>'Cash Flow Statement'!K9</f>
        <v/>
      </c>
      <c r="J76" s="107">
        <f>'Cash Flow Statement'!L9</f>
        <v/>
      </c>
      <c r="K76" s="107">
        <f>'Cash Flow Statement'!M9</f>
        <v/>
      </c>
      <c r="L76" s="107">
        <f>'Cash Flow Statement'!N9</f>
        <v/>
      </c>
    </row>
    <row r="77">
      <c r="B77">
        <f>'Cash Flow Statement'!B10</f>
        <v/>
      </c>
      <c r="C77" s="107">
        <f>'Cash Flow Statement'!E10</f>
        <v/>
      </c>
      <c r="D77" s="107">
        <f>'Cash Flow Statement'!F10</f>
        <v/>
      </c>
      <c r="E77" s="107">
        <f>'Cash Flow Statement'!G10</f>
        <v/>
      </c>
      <c r="F77" s="107">
        <f>'Cash Flow Statement'!H10</f>
        <v/>
      </c>
      <c r="G77" s="107">
        <f>'Cash Flow Statement'!I10</f>
        <v/>
      </c>
      <c r="H77" s="107">
        <f>'Cash Flow Statement'!J10</f>
        <v/>
      </c>
      <c r="I77" s="107">
        <f>'Cash Flow Statement'!K10</f>
        <v/>
      </c>
      <c r="J77" s="107">
        <f>'Cash Flow Statement'!L10</f>
        <v/>
      </c>
      <c r="K77" s="107">
        <f>'Cash Flow Statement'!M10</f>
        <v/>
      </c>
      <c r="L77" s="107">
        <f>'Cash Flow Statement'!N10</f>
        <v/>
      </c>
    </row>
    <row r="78">
      <c r="B78">
        <f>'Cash Flow Statement'!B11</f>
        <v/>
      </c>
      <c r="C78" s="107">
        <f>'Cash Flow Statement'!E11</f>
        <v/>
      </c>
      <c r="D78" s="107">
        <f>'Cash Flow Statement'!F11</f>
        <v/>
      </c>
      <c r="E78" s="107">
        <f>'Cash Flow Statement'!G11</f>
        <v/>
      </c>
      <c r="F78" s="107">
        <f>'Cash Flow Statement'!H11</f>
        <v/>
      </c>
      <c r="G78" s="107">
        <f>'Cash Flow Statement'!I11</f>
        <v/>
      </c>
      <c r="H78" s="107">
        <f>'Cash Flow Statement'!J11</f>
        <v/>
      </c>
      <c r="I78" s="107">
        <f>'Cash Flow Statement'!K11</f>
        <v/>
      </c>
      <c r="J78" s="107">
        <f>'Cash Flow Statement'!L11</f>
        <v/>
      </c>
      <c r="K78" s="107">
        <f>'Cash Flow Statement'!M11</f>
        <v/>
      </c>
      <c r="L78" s="107">
        <f>'Cash Flow Statement'!N11</f>
        <v/>
      </c>
    </row>
    <row r="79">
      <c r="B79">
        <f>'Cash Flow Statement'!B12</f>
        <v/>
      </c>
      <c r="C79" s="107">
        <f>'Cash Flow Statement'!E12</f>
        <v/>
      </c>
      <c r="D79" s="107">
        <f>'Cash Flow Statement'!F12</f>
        <v/>
      </c>
      <c r="E79" s="107">
        <f>'Cash Flow Statement'!G12</f>
        <v/>
      </c>
      <c r="F79" s="107">
        <f>'Cash Flow Statement'!H12</f>
        <v/>
      </c>
      <c r="G79" s="107">
        <f>'Cash Flow Statement'!I12</f>
        <v/>
      </c>
      <c r="H79" s="107">
        <f>'Cash Flow Statement'!J12</f>
        <v/>
      </c>
      <c r="I79" s="107">
        <f>'Cash Flow Statement'!K12</f>
        <v/>
      </c>
      <c r="J79" s="107">
        <f>'Cash Flow Statement'!L12</f>
        <v/>
      </c>
      <c r="K79" s="107">
        <f>'Cash Flow Statement'!M12</f>
        <v/>
      </c>
      <c r="L79" s="107">
        <f>'Cash Flow Statement'!N12</f>
        <v/>
      </c>
    </row>
    <row r="80">
      <c r="B80" t="inlineStr">
        <is>
          <t>Cash From Operating Activities</t>
        </is>
      </c>
      <c r="C80" s="107">
        <f>SUM(C74:C79)</f>
        <v/>
      </c>
      <c r="D80" s="107">
        <f>SUM(D74:D79)</f>
        <v/>
      </c>
      <c r="E80" s="107">
        <f>SUM(E74:E79)</f>
        <v/>
      </c>
      <c r="F80" s="107">
        <f>SUM(F74:F79)</f>
        <v/>
      </c>
      <c r="G80" s="107">
        <f>SUM(G74:G79)</f>
        <v/>
      </c>
      <c r="H80" s="107">
        <f>SUM(H74:H79)</f>
        <v/>
      </c>
      <c r="I80" s="107">
        <f>SUM(I74:I79)</f>
        <v/>
      </c>
      <c r="J80" s="107">
        <f>SUM(J74:J79)</f>
        <v/>
      </c>
      <c r="K80" s="107">
        <f>SUM(K74:K79)</f>
        <v/>
      </c>
      <c r="L80" s="107">
        <f>SUM(L74:L79)</f>
        <v/>
      </c>
    </row>
    <row r="82">
      <c r="B82" t="inlineStr">
        <is>
          <t>Investing Activities</t>
        </is>
      </c>
    </row>
    <row r="83">
      <c r="B83">
        <f>'Cash Flow Statement'!B14</f>
        <v/>
      </c>
      <c r="C83" s="107">
        <f>'Cash Flow Statement'!E14</f>
        <v/>
      </c>
      <c r="D83" s="107">
        <f>'Cash Flow Statement'!F14</f>
        <v/>
      </c>
      <c r="E83" s="107">
        <f>'Cash Flow Statement'!G14</f>
        <v/>
      </c>
      <c r="F83" s="107">
        <f>'Cash Flow Statement'!H14</f>
        <v/>
      </c>
      <c r="G83" s="107">
        <f>'Cash Flow Statement'!I14</f>
        <v/>
      </c>
      <c r="H83" s="107">
        <f>'Cash Flow Statement'!J14</f>
        <v/>
      </c>
      <c r="I83" s="107">
        <f>'Cash Flow Statement'!K14</f>
        <v/>
      </c>
      <c r="J83" s="107">
        <f>'Cash Flow Statement'!L14</f>
        <v/>
      </c>
      <c r="K83" s="107">
        <f>'Cash Flow Statement'!M14</f>
        <v/>
      </c>
      <c r="L83" s="107">
        <f>'Cash Flow Statement'!N14</f>
        <v/>
      </c>
    </row>
    <row r="84">
      <c r="B84">
        <f>'Cash Flow Statement'!B15</f>
        <v/>
      </c>
      <c r="C84" s="107">
        <f>'Cash Flow Statement'!E15</f>
        <v/>
      </c>
      <c r="D84" s="107">
        <f>'Cash Flow Statement'!F15</f>
        <v/>
      </c>
      <c r="E84" s="107">
        <f>'Cash Flow Statement'!G15</f>
        <v/>
      </c>
      <c r="F84" s="107">
        <f>'Cash Flow Statement'!H15</f>
        <v/>
      </c>
      <c r="G84" s="107">
        <f>'Cash Flow Statement'!I15</f>
        <v/>
      </c>
      <c r="H84" s="107">
        <f>'Cash Flow Statement'!J15</f>
        <v/>
      </c>
      <c r="I84" s="107">
        <f>'Cash Flow Statement'!K15</f>
        <v/>
      </c>
      <c r="J84" s="107">
        <f>'Cash Flow Statement'!L15</f>
        <v/>
      </c>
      <c r="K84" s="107">
        <f>'Cash Flow Statement'!M15</f>
        <v/>
      </c>
      <c r="L84" s="107">
        <f>'Cash Flow Statement'!N15</f>
        <v/>
      </c>
    </row>
    <row r="85">
      <c r="B85">
        <f>'Cash Flow Statement'!B16</f>
        <v/>
      </c>
      <c r="C85" s="107">
        <f>'Cash Flow Statement'!E16</f>
        <v/>
      </c>
      <c r="D85" s="107">
        <f>'Cash Flow Statement'!F16</f>
        <v/>
      </c>
      <c r="E85" s="107">
        <f>'Cash Flow Statement'!G16</f>
        <v/>
      </c>
      <c r="F85" s="107">
        <f>'Cash Flow Statement'!H16</f>
        <v/>
      </c>
      <c r="G85" s="107">
        <f>'Cash Flow Statement'!I16</f>
        <v/>
      </c>
      <c r="H85" s="107">
        <f>'Cash Flow Statement'!J16</f>
        <v/>
      </c>
      <c r="I85" s="107">
        <f>'Cash Flow Statement'!K16</f>
        <v/>
      </c>
      <c r="J85" s="107">
        <f>'Cash Flow Statement'!L16</f>
        <v/>
      </c>
      <c r="K85" s="107">
        <f>'Cash Flow Statement'!M16</f>
        <v/>
      </c>
      <c r="L85" s="107">
        <f>'Cash Flow Statement'!N16</f>
        <v/>
      </c>
    </row>
    <row r="86">
      <c r="B86">
        <f>'Cash Flow Statement'!B17</f>
        <v/>
      </c>
      <c r="C86" s="107">
        <f>'Cash Flow Statement'!E17</f>
        <v/>
      </c>
      <c r="D86" s="107">
        <f>'Cash Flow Statement'!F17</f>
        <v/>
      </c>
      <c r="E86" s="107">
        <f>'Cash Flow Statement'!G17</f>
        <v/>
      </c>
      <c r="F86" s="107">
        <f>'Cash Flow Statement'!H17</f>
        <v/>
      </c>
      <c r="G86" s="107">
        <f>'Cash Flow Statement'!I17</f>
        <v/>
      </c>
      <c r="H86" s="107">
        <f>'Cash Flow Statement'!J17</f>
        <v/>
      </c>
      <c r="I86" s="107">
        <f>'Cash Flow Statement'!K17</f>
        <v/>
      </c>
      <c r="J86" s="107">
        <f>'Cash Flow Statement'!L17</f>
        <v/>
      </c>
      <c r="K86" s="107">
        <f>'Cash Flow Statement'!M17</f>
        <v/>
      </c>
      <c r="L86" s="107">
        <f>'Cash Flow Statement'!N17</f>
        <v/>
      </c>
    </row>
    <row r="87">
      <c r="B87">
        <f>'Cash Flow Statement'!B18</f>
        <v/>
      </c>
      <c r="C87" s="107">
        <f>'Cash Flow Statement'!E18</f>
        <v/>
      </c>
      <c r="D87" s="107">
        <f>'Cash Flow Statement'!F18</f>
        <v/>
      </c>
      <c r="E87" s="107">
        <f>'Cash Flow Statement'!G18</f>
        <v/>
      </c>
      <c r="F87" s="107">
        <f>'Cash Flow Statement'!H18</f>
        <v/>
      </c>
      <c r="G87" s="107">
        <f>'Cash Flow Statement'!I18</f>
        <v/>
      </c>
      <c r="H87" s="107">
        <f>'Cash Flow Statement'!J18</f>
        <v/>
      </c>
      <c r="I87" s="107">
        <f>'Cash Flow Statement'!K18</f>
        <v/>
      </c>
      <c r="J87" s="107">
        <f>'Cash Flow Statement'!L18</f>
        <v/>
      </c>
      <c r="K87" s="107">
        <f>'Cash Flow Statement'!M18</f>
        <v/>
      </c>
      <c r="L87" s="107">
        <f>'Cash Flow Statement'!N18</f>
        <v/>
      </c>
    </row>
    <row r="88">
      <c r="B88">
        <f>'Cash Flow Statement'!B19</f>
        <v/>
      </c>
      <c r="C88" s="107">
        <f>'Cash Flow Statement'!E19</f>
        <v/>
      </c>
      <c r="D88" s="107">
        <f>'Cash Flow Statement'!F19</f>
        <v/>
      </c>
      <c r="E88" s="107">
        <f>'Cash Flow Statement'!G19</f>
        <v/>
      </c>
      <c r="F88" s="107">
        <f>'Cash Flow Statement'!H19</f>
        <v/>
      </c>
      <c r="G88" s="107">
        <f>'Cash Flow Statement'!I19</f>
        <v/>
      </c>
      <c r="H88" s="107">
        <f>'Cash Flow Statement'!J19</f>
        <v/>
      </c>
      <c r="I88" s="107">
        <f>'Cash Flow Statement'!K19</f>
        <v/>
      </c>
      <c r="J88" s="107">
        <f>'Cash Flow Statement'!L19</f>
        <v/>
      </c>
      <c r="K88" s="107">
        <f>'Cash Flow Statement'!M19</f>
        <v/>
      </c>
      <c r="L88" s="107">
        <f>'Cash Flow Statement'!N19</f>
        <v/>
      </c>
    </row>
    <row r="89">
      <c r="B89">
        <f>'Cash Flow Statement'!B20</f>
        <v/>
      </c>
      <c r="C89" s="107">
        <f>'Cash Flow Statement'!E20</f>
        <v/>
      </c>
      <c r="D89" s="107">
        <f>'Cash Flow Statement'!F20</f>
        <v/>
      </c>
      <c r="E89" s="107">
        <f>'Cash Flow Statement'!G20</f>
        <v/>
      </c>
      <c r="F89" s="107">
        <f>'Cash Flow Statement'!H20</f>
        <v/>
      </c>
      <c r="G89" s="107">
        <f>'Cash Flow Statement'!I20</f>
        <v/>
      </c>
      <c r="H89" s="107">
        <f>'Cash Flow Statement'!J20</f>
        <v/>
      </c>
      <c r="I89" s="107">
        <f>'Cash Flow Statement'!K20</f>
        <v/>
      </c>
      <c r="J89" s="107">
        <f>'Cash Flow Statement'!L20</f>
        <v/>
      </c>
      <c r="K89" s="107">
        <f>'Cash Flow Statement'!M20</f>
        <v/>
      </c>
      <c r="L89" s="107">
        <f>'Cash Flow Statement'!N20</f>
        <v/>
      </c>
    </row>
    <row r="90">
      <c r="B90">
        <f>'Cash Flow Statement'!B21</f>
        <v/>
      </c>
      <c r="C90" s="107">
        <f>'Cash Flow Statement'!E21</f>
        <v/>
      </c>
      <c r="D90" s="107">
        <f>'Cash Flow Statement'!F21</f>
        <v/>
      </c>
      <c r="E90" s="107">
        <f>'Cash Flow Statement'!G21</f>
        <v/>
      </c>
      <c r="F90" s="107">
        <f>'Cash Flow Statement'!H21</f>
        <v/>
      </c>
      <c r="G90" s="107">
        <f>'Cash Flow Statement'!I21</f>
        <v/>
      </c>
      <c r="H90" s="107">
        <f>'Cash Flow Statement'!J21</f>
        <v/>
      </c>
      <c r="I90" s="107">
        <f>'Cash Flow Statement'!K21</f>
        <v/>
      </c>
      <c r="J90" s="107">
        <f>'Cash Flow Statement'!L21</f>
        <v/>
      </c>
      <c r="K90" s="107">
        <f>'Cash Flow Statement'!M21</f>
        <v/>
      </c>
      <c r="L90" s="107">
        <f>'Cash Flow Statement'!N21</f>
        <v/>
      </c>
    </row>
    <row r="91">
      <c r="B91">
        <f>'Cash Flow Statement'!B22</f>
        <v/>
      </c>
      <c r="C91" s="107">
        <f>'Cash Flow Statement'!E22</f>
        <v/>
      </c>
      <c r="D91" s="107">
        <f>'Cash Flow Statement'!F22</f>
        <v/>
      </c>
      <c r="E91" s="107">
        <f>'Cash Flow Statement'!G22</f>
        <v/>
      </c>
      <c r="F91" s="107">
        <f>'Cash Flow Statement'!H22</f>
        <v/>
      </c>
      <c r="G91" s="107">
        <f>'Cash Flow Statement'!I22</f>
        <v/>
      </c>
      <c r="H91" s="107">
        <f>'Cash Flow Statement'!J22</f>
        <v/>
      </c>
      <c r="I91" s="107">
        <f>'Cash Flow Statement'!K22</f>
        <v/>
      </c>
      <c r="J91" s="107">
        <f>'Cash Flow Statement'!L22</f>
        <v/>
      </c>
      <c r="K91" s="107">
        <f>'Cash Flow Statement'!M22</f>
        <v/>
      </c>
      <c r="L91" s="107">
        <f>'Cash Flow Statement'!N22</f>
        <v/>
      </c>
    </row>
    <row r="92">
      <c r="B92">
        <f>'Cash Flow Statement'!B23</f>
        <v/>
      </c>
      <c r="C92" s="107">
        <f>'Cash Flow Statement'!E23</f>
        <v/>
      </c>
      <c r="D92" s="107">
        <f>'Cash Flow Statement'!F23</f>
        <v/>
      </c>
      <c r="E92" s="107">
        <f>'Cash Flow Statement'!G23</f>
        <v/>
      </c>
      <c r="F92" s="107">
        <f>'Cash Flow Statement'!H23</f>
        <v/>
      </c>
      <c r="G92" s="107">
        <f>'Cash Flow Statement'!I23</f>
        <v/>
      </c>
      <c r="H92" s="107">
        <f>'Cash Flow Statement'!J23</f>
        <v/>
      </c>
      <c r="I92" s="107">
        <f>'Cash Flow Statement'!K23</f>
        <v/>
      </c>
      <c r="J92" s="107">
        <f>'Cash Flow Statement'!L23</f>
        <v/>
      </c>
      <c r="K92" s="107">
        <f>'Cash Flow Statement'!M23</f>
        <v/>
      </c>
      <c r="L92" s="107">
        <f>'Cash Flow Statement'!N23</f>
        <v/>
      </c>
    </row>
    <row r="93">
      <c r="B93" t="inlineStr">
        <is>
          <t>Cash From Investing Activities</t>
        </is>
      </c>
      <c r="C93" s="107">
        <f>SUM(C83:C92)</f>
        <v/>
      </c>
      <c r="D93" s="107">
        <f>SUM(D83:D92)</f>
        <v/>
      </c>
      <c r="E93" s="107">
        <f>SUM(E83:E92)</f>
        <v/>
      </c>
      <c r="F93" s="107">
        <f>SUM(F83:F92)</f>
        <v/>
      </c>
      <c r="G93" s="107">
        <f>SUM(G83:G92)</f>
        <v/>
      </c>
      <c r="H93" s="107">
        <f>SUM(H83:H92)</f>
        <v/>
      </c>
      <c r="I93" s="107">
        <f>SUM(I83:I92)</f>
        <v/>
      </c>
      <c r="J93" s="107">
        <f>SUM(J83:J92)</f>
        <v/>
      </c>
      <c r="K93" s="107">
        <f>SUM(K83:K92)</f>
        <v/>
      </c>
      <c r="L93" s="107">
        <f>SUM(L83:L92)</f>
        <v/>
      </c>
    </row>
    <row r="95">
      <c r="B95" t="inlineStr">
        <is>
          <t>Financing Activities</t>
        </is>
      </c>
    </row>
    <row r="96">
      <c r="B96">
        <f>'Cash Flow Statement'!B25</f>
        <v/>
      </c>
      <c r="C96" s="107">
        <f>'Cash Flow Statement'!E25</f>
        <v/>
      </c>
      <c r="D96" s="107">
        <f>'Cash Flow Statement'!F25</f>
        <v/>
      </c>
      <c r="E96" s="107">
        <f>'Cash Flow Statement'!G25</f>
        <v/>
      </c>
      <c r="F96" s="107">
        <f>'Cash Flow Statement'!H25</f>
        <v/>
      </c>
      <c r="G96" s="107">
        <f>'Cash Flow Statement'!I25</f>
        <v/>
      </c>
      <c r="H96" s="107">
        <f>'Cash Flow Statement'!J25</f>
        <v/>
      </c>
      <c r="I96" s="107">
        <f>'Cash Flow Statement'!K25</f>
        <v/>
      </c>
      <c r="J96" s="107">
        <f>'Cash Flow Statement'!L25</f>
        <v/>
      </c>
      <c r="K96" s="107">
        <f>'Cash Flow Statement'!M25</f>
        <v/>
      </c>
      <c r="L96" s="107">
        <f>'Cash Flow Statement'!N25</f>
        <v/>
      </c>
    </row>
    <row r="97">
      <c r="B97">
        <f>'Cash Flow Statement'!B26</f>
        <v/>
      </c>
      <c r="C97" s="107">
        <f>'Cash Flow Statement'!E26</f>
        <v/>
      </c>
      <c r="D97" s="107">
        <f>'Cash Flow Statement'!F26</f>
        <v/>
      </c>
      <c r="E97" s="107">
        <f>'Cash Flow Statement'!G26</f>
        <v/>
      </c>
      <c r="F97" s="107">
        <f>'Cash Flow Statement'!H26</f>
        <v/>
      </c>
      <c r="G97" s="107">
        <f>'Cash Flow Statement'!I26</f>
        <v/>
      </c>
      <c r="H97" s="107">
        <f>'Cash Flow Statement'!J26</f>
        <v/>
      </c>
      <c r="I97" s="107">
        <f>'Cash Flow Statement'!K26</f>
        <v/>
      </c>
      <c r="J97" s="107">
        <f>'Cash Flow Statement'!L26</f>
        <v/>
      </c>
      <c r="K97" s="107">
        <f>'Cash Flow Statement'!M26</f>
        <v/>
      </c>
      <c r="L97" s="107">
        <f>'Cash Flow Statement'!N26</f>
        <v/>
      </c>
    </row>
    <row r="98">
      <c r="B98">
        <f>'Cash Flow Statement'!B27</f>
        <v/>
      </c>
      <c r="C98" s="107">
        <f>'Cash Flow Statement'!E27</f>
        <v/>
      </c>
      <c r="D98" s="107">
        <f>'Cash Flow Statement'!F27</f>
        <v/>
      </c>
      <c r="E98" s="107">
        <f>'Cash Flow Statement'!G27</f>
        <v/>
      </c>
      <c r="F98" s="107">
        <f>'Cash Flow Statement'!H27</f>
        <v/>
      </c>
      <c r="G98" s="107">
        <f>'Cash Flow Statement'!I27</f>
        <v/>
      </c>
      <c r="H98" s="107">
        <f>'Cash Flow Statement'!J27</f>
        <v/>
      </c>
      <c r="I98" s="107">
        <f>'Cash Flow Statement'!K27</f>
        <v/>
      </c>
      <c r="J98" s="107">
        <f>'Cash Flow Statement'!L27</f>
        <v/>
      </c>
      <c r="K98" s="107">
        <f>'Cash Flow Statement'!M27</f>
        <v/>
      </c>
      <c r="L98" s="107">
        <f>'Cash Flow Statement'!N27</f>
        <v/>
      </c>
    </row>
    <row r="99">
      <c r="B99">
        <f>'Cash Flow Statement'!B28</f>
        <v/>
      </c>
      <c r="C99" s="107">
        <f>'Cash Flow Statement'!E28</f>
        <v/>
      </c>
      <c r="D99" s="107">
        <f>'Cash Flow Statement'!F28</f>
        <v/>
      </c>
      <c r="E99" s="107">
        <f>'Cash Flow Statement'!G28</f>
        <v/>
      </c>
      <c r="F99" s="107">
        <f>'Cash Flow Statement'!H28</f>
        <v/>
      </c>
      <c r="G99" s="107">
        <f>'Cash Flow Statement'!I28</f>
        <v/>
      </c>
      <c r="H99" s="107">
        <f>'Cash Flow Statement'!J28</f>
        <v/>
      </c>
      <c r="I99" s="107">
        <f>'Cash Flow Statement'!K28</f>
        <v/>
      </c>
      <c r="J99" s="107">
        <f>'Cash Flow Statement'!L28</f>
        <v/>
      </c>
      <c r="K99" s="107">
        <f>'Cash Flow Statement'!M28</f>
        <v/>
      </c>
      <c r="L99" s="107">
        <f>'Cash Flow Statement'!N28</f>
        <v/>
      </c>
    </row>
    <row r="100">
      <c r="B100">
        <f>'Cash Flow Statement'!B29</f>
        <v/>
      </c>
      <c r="C100" s="107">
        <f>'Cash Flow Statement'!E29</f>
        <v/>
      </c>
      <c r="D100" s="107">
        <f>'Cash Flow Statement'!F29</f>
        <v/>
      </c>
      <c r="E100" s="107">
        <f>'Cash Flow Statement'!G29</f>
        <v/>
      </c>
      <c r="F100" s="107">
        <f>'Cash Flow Statement'!H29</f>
        <v/>
      </c>
      <c r="G100" s="107">
        <f>'Cash Flow Statement'!I29</f>
        <v/>
      </c>
      <c r="H100" s="107">
        <f>'Cash Flow Statement'!J29</f>
        <v/>
      </c>
      <c r="I100" s="107">
        <f>'Cash Flow Statement'!K29</f>
        <v/>
      </c>
      <c r="J100" s="107">
        <f>'Cash Flow Statement'!L29</f>
        <v/>
      </c>
      <c r="K100" s="107">
        <f>'Cash Flow Statement'!M29</f>
        <v/>
      </c>
      <c r="L100" s="107">
        <f>'Cash Flow Statement'!N29</f>
        <v/>
      </c>
    </row>
    <row r="101">
      <c r="B101">
        <f>'Cash Flow Statement'!B30</f>
        <v/>
      </c>
      <c r="C101" s="107">
        <f>'Cash Flow Statement'!E30</f>
        <v/>
      </c>
      <c r="D101" s="107">
        <f>'Cash Flow Statement'!F30</f>
        <v/>
      </c>
      <c r="E101" s="107">
        <f>'Cash Flow Statement'!G30</f>
        <v/>
      </c>
      <c r="F101" s="107">
        <f>'Cash Flow Statement'!H30</f>
        <v/>
      </c>
      <c r="G101" s="107">
        <f>'Cash Flow Statement'!I30</f>
        <v/>
      </c>
      <c r="H101" s="107">
        <f>'Cash Flow Statement'!J30</f>
        <v/>
      </c>
      <c r="I101" s="107">
        <f>'Cash Flow Statement'!K30</f>
        <v/>
      </c>
      <c r="J101" s="107">
        <f>'Cash Flow Statement'!L30</f>
        <v/>
      </c>
      <c r="K101" s="107">
        <f>'Cash Flow Statement'!M30</f>
        <v/>
      </c>
      <c r="L101" s="107">
        <f>'Cash Flow Statement'!N30</f>
        <v/>
      </c>
    </row>
    <row r="102">
      <c r="B102">
        <f>'Cash Flow Statement'!B31</f>
        <v/>
      </c>
      <c r="C102" s="107">
        <f>'Cash Flow Statement'!E31</f>
        <v/>
      </c>
      <c r="D102" s="107">
        <f>'Cash Flow Statement'!F31</f>
        <v/>
      </c>
      <c r="E102" s="107">
        <f>'Cash Flow Statement'!G31</f>
        <v/>
      </c>
      <c r="F102" s="107">
        <f>'Cash Flow Statement'!H31</f>
        <v/>
      </c>
      <c r="G102" s="107">
        <f>'Cash Flow Statement'!I31</f>
        <v/>
      </c>
      <c r="H102" s="107">
        <f>'Cash Flow Statement'!J31</f>
        <v/>
      </c>
      <c r="I102" s="107">
        <f>'Cash Flow Statement'!K31</f>
        <v/>
      </c>
      <c r="J102" s="107">
        <f>'Cash Flow Statement'!L31</f>
        <v/>
      </c>
      <c r="K102" s="107">
        <f>'Cash Flow Statement'!M31</f>
        <v/>
      </c>
      <c r="L102" s="107">
        <f>'Cash Flow Statement'!N31</f>
        <v/>
      </c>
    </row>
    <row r="103">
      <c r="B103" t="inlineStr">
        <is>
          <t>Cash From Financing Activities</t>
        </is>
      </c>
      <c r="C103" s="107">
        <f>SUM(C96:C102)</f>
        <v/>
      </c>
      <c r="D103" s="107">
        <f>SUM(D96:D102)</f>
        <v/>
      </c>
      <c r="E103" s="107">
        <f>SUM(E96:E102)</f>
        <v/>
      </c>
      <c r="F103" s="107">
        <f>SUM(F96:F102)</f>
        <v/>
      </c>
      <c r="G103" s="107">
        <f>SUM(G96:G102)</f>
        <v/>
      </c>
      <c r="H103" s="107">
        <f>SUM(H96:H102)</f>
        <v/>
      </c>
      <c r="I103" s="107">
        <f>SUM(I96:I102)</f>
        <v/>
      </c>
      <c r="J103" s="107">
        <f>SUM(J96:J102)</f>
        <v/>
      </c>
      <c r="K103" s="107">
        <f>SUM(K96:K102)</f>
        <v/>
      </c>
      <c r="L103" s="107">
        <f>SUM(L96:L102)</f>
        <v/>
      </c>
    </row>
    <row r="105">
      <c r="B105" t="inlineStr">
        <is>
          <t>Net Cash Flow</t>
        </is>
      </c>
      <c r="C105" s="107">
        <f>C80+C93+C103</f>
        <v/>
      </c>
      <c r="D105" s="107">
        <f>D80+D93+D103</f>
        <v/>
      </c>
      <c r="E105" s="107">
        <f>E80+E93+E103</f>
        <v/>
      </c>
      <c r="F105" s="107">
        <f>F80+F93+F103</f>
        <v/>
      </c>
      <c r="G105" s="107">
        <f>G80+G93+G103</f>
        <v/>
      </c>
      <c r="H105" s="107">
        <f>H80+H93+H103</f>
        <v/>
      </c>
      <c r="I105" s="107">
        <f>I80+I93+I103</f>
        <v/>
      </c>
      <c r="J105" s="107">
        <f>J80+J93+J103</f>
        <v/>
      </c>
      <c r="K105" s="107">
        <f>K80+K93+K103</f>
        <v/>
      </c>
      <c r="L105" s="107">
        <f>L80+L93+L103</f>
        <v/>
      </c>
    </row>
    <row r="106">
      <c r="D106" s="107" t="n"/>
    </row>
  </sheetData>
  <mergeCells count="1">
    <mergeCell ref="B2:M2"/>
  </mergeCell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B2:O41"/>
  <sheetViews>
    <sheetView showGridLines="0" topLeftCell="A3" workbookViewId="0">
      <selection activeCell="C22" sqref="C22"/>
    </sheetView>
  </sheetViews>
  <sheetFormatPr baseColWidth="8" defaultRowHeight="14.4"/>
  <cols>
    <col width="1.88671875" customWidth="1" style="109" min="1" max="1"/>
    <col width="28.6640625" customWidth="1" style="109" min="2" max="2"/>
    <col width="10" bestFit="1" customWidth="1" style="109" min="3" max="5"/>
    <col width="10" bestFit="1" customWidth="1" style="109" min="14" max="14"/>
  </cols>
  <sheetData>
    <row r="2">
      <c r="B2" s="160">
        <f>"Ratio Analysis - "&amp;'Data Sheet'!$B$1</f>
        <v/>
      </c>
      <c r="M2" s="84" t="n"/>
      <c r="N2" s="84" t="n"/>
      <c r="O2" s="84" t="n"/>
    </row>
    <row r="3">
      <c r="B3" s="84" t="inlineStr">
        <is>
          <t>Years</t>
        </is>
      </c>
      <c r="C3" s="40">
        <f>'Data Sheet'!B56</f>
        <v/>
      </c>
      <c r="D3" s="40">
        <f>'Data Sheet'!C56</f>
        <v/>
      </c>
      <c r="E3" s="40">
        <f>'Data Sheet'!D56</f>
        <v/>
      </c>
      <c r="F3" s="40">
        <f>'Data Sheet'!E56</f>
        <v/>
      </c>
      <c r="G3" s="40">
        <f>'Data Sheet'!F56</f>
        <v/>
      </c>
      <c r="H3" s="40">
        <f>'Data Sheet'!G56</f>
        <v/>
      </c>
      <c r="I3" s="40">
        <f>'Data Sheet'!H56</f>
        <v/>
      </c>
      <c r="J3" s="40">
        <f>'Data Sheet'!I56</f>
        <v/>
      </c>
      <c r="K3" s="40">
        <f>'Data Sheet'!J56</f>
        <v/>
      </c>
      <c r="L3" s="40">
        <f>'Data Sheet'!K56</f>
        <v/>
      </c>
      <c r="M3" s="84" t="inlineStr">
        <is>
          <t>Trend</t>
        </is>
      </c>
      <c r="N3" s="84" t="inlineStr">
        <is>
          <t>Mean</t>
        </is>
      </c>
      <c r="O3" s="84" t="inlineStr">
        <is>
          <t>Median</t>
        </is>
      </c>
    </row>
    <row r="5">
      <c r="B5" t="inlineStr">
        <is>
          <t>SalesGrowth</t>
        </is>
      </c>
      <c r="C5" s="36" t="n"/>
      <c r="D5" s="36">
        <f>IFERROR('Historical FS'!D8,0)</f>
        <v/>
      </c>
      <c r="E5" s="36">
        <f>IFERROR('Historical FS'!E8,0)</f>
        <v/>
      </c>
      <c r="F5" s="36">
        <f>IFERROR('Historical FS'!F8,0)</f>
        <v/>
      </c>
      <c r="G5" s="36">
        <f>IFERROR('Historical FS'!G8,0)</f>
        <v/>
      </c>
      <c r="H5" s="36">
        <f>IFERROR('Historical FS'!H8,0)</f>
        <v/>
      </c>
      <c r="I5" s="36">
        <f>IFERROR('Historical FS'!I8,0)</f>
        <v/>
      </c>
      <c r="J5" s="36">
        <f>IFERROR('Historical FS'!J8,0)</f>
        <v/>
      </c>
      <c r="K5" s="36">
        <f>IFERROR('Historical FS'!K8,0)</f>
        <v/>
      </c>
      <c r="L5" s="36">
        <f>IFERROR('Historical FS'!L8,0)</f>
        <v/>
      </c>
      <c r="N5" s="46">
        <f>IFERROR(AVERAGE(D5:L5),0)</f>
        <v/>
      </c>
      <c r="O5" s="46">
        <f>IFERROR(MEDIAN(D5:L5),0)</f>
        <v/>
      </c>
    </row>
    <row r="6">
      <c r="B6" t="inlineStr">
        <is>
          <t>EBITDA Growth</t>
        </is>
      </c>
      <c r="C6" s="36" t="n"/>
      <c r="D6" s="36">
        <f>IFERROR(('Historical FS'!D19/'Historical FS'!C19-1),0)</f>
        <v/>
      </c>
      <c r="E6" s="36">
        <f>IFERROR(('Historical FS'!E19/'Historical FS'!D19-1),0)</f>
        <v/>
      </c>
      <c r="F6" s="36">
        <f>IFERROR(('Historical FS'!F19/'Historical FS'!E19-1),0)</f>
        <v/>
      </c>
      <c r="G6" s="36">
        <f>IFERROR(('Historical FS'!G19/'Historical FS'!F19-1),0)</f>
        <v/>
      </c>
      <c r="H6" s="36">
        <f>IFERROR(('Historical FS'!H19/'Historical FS'!G19-1),0)</f>
        <v/>
      </c>
      <c r="I6" s="36">
        <f>IFERROR(('Historical FS'!I19/'Historical FS'!H19-1),0)</f>
        <v/>
      </c>
      <c r="J6" s="36">
        <f>IFERROR(('Historical FS'!J19/'Historical FS'!I19-1),0)</f>
        <v/>
      </c>
      <c r="K6" s="36">
        <f>IFERROR(('Historical FS'!K19/'Historical FS'!J19-1),0)</f>
        <v/>
      </c>
      <c r="L6" s="36">
        <f>IFERROR(('Historical FS'!L19/'Historical FS'!K19-1),0)</f>
        <v/>
      </c>
      <c r="N6" s="46">
        <f>IFERROR(AVERAGE(D6:L6),0)</f>
        <v/>
      </c>
      <c r="O6" s="46">
        <f>IFERROR(MEDIAN(D6:L6),0)</f>
        <v/>
      </c>
    </row>
    <row r="7">
      <c r="B7" t="inlineStr">
        <is>
          <t>EBIT Growth</t>
        </is>
      </c>
      <c r="C7" s="36" t="n"/>
      <c r="D7" s="36">
        <f>IFERROR(('Historical FS'!D25/'Historical FS'!C25-1),0)</f>
        <v/>
      </c>
      <c r="E7" s="36">
        <f>IFERROR(('Historical FS'!E25/'Historical FS'!D25-1),0)</f>
        <v/>
      </c>
      <c r="F7" s="36">
        <f>IFERROR(('Historical FS'!F25/'Historical FS'!E25-1),0)</f>
        <v/>
      </c>
      <c r="G7" s="36">
        <f>IFERROR(('Historical FS'!G25/'Historical FS'!F25-1),0)</f>
        <v/>
      </c>
      <c r="H7" s="36">
        <f>IFERROR(('Historical FS'!H25/'Historical FS'!G25-1),0)</f>
        <v/>
      </c>
      <c r="I7" s="36">
        <f>IFERROR(('Historical FS'!I25/'Historical FS'!H25-1),0)</f>
        <v/>
      </c>
      <c r="J7" s="36">
        <f>IFERROR(('Historical FS'!J25/'Historical FS'!I25-1),0)</f>
        <v/>
      </c>
      <c r="K7" s="36">
        <f>IFERROR(('Historical FS'!K25/'Historical FS'!J25-1),0)</f>
        <v/>
      </c>
      <c r="L7" s="36">
        <f>IFERROR(('Historical FS'!L25/'Historical FS'!K25-1),0)</f>
        <v/>
      </c>
      <c r="N7" s="46">
        <f>IFERROR(AVERAGE(D7:L7),0)</f>
        <v/>
      </c>
      <c r="O7" s="46">
        <f>IFERROR(MEDIAN(D7:L7),0)</f>
        <v/>
      </c>
    </row>
    <row r="8">
      <c r="B8" t="inlineStr">
        <is>
          <t>Net Profit Growth</t>
        </is>
      </c>
      <c r="C8" s="36" t="n"/>
      <c r="D8" s="36">
        <f>IFERROR(('Historical FS'!D37/'Historical FS'!C37-1),0)</f>
        <v/>
      </c>
      <c r="E8" s="36">
        <f>IFERROR(('Historical FS'!E37/'Historical FS'!D37-1),0)</f>
        <v/>
      </c>
      <c r="F8" s="36">
        <f>IFERROR(('Historical FS'!F37/'Historical FS'!E37-1),0)</f>
        <v/>
      </c>
      <c r="G8" s="36">
        <f>IFERROR(('Historical FS'!G37/'Historical FS'!F37-1),0)</f>
        <v/>
      </c>
      <c r="H8" s="36">
        <f>IFERROR(('Historical FS'!H37/'Historical FS'!G37-1),0)</f>
        <v/>
      </c>
      <c r="I8" s="36">
        <f>IFERROR(('Historical FS'!I37/'Historical FS'!H37-1),0)</f>
        <v/>
      </c>
      <c r="J8" s="36">
        <f>IFERROR(('Historical FS'!J37/'Historical FS'!I37-1),0)</f>
        <v/>
      </c>
      <c r="K8" s="36">
        <f>IFERROR(('Historical FS'!K37/'Historical FS'!J37-1),0)</f>
        <v/>
      </c>
      <c r="L8" s="36">
        <f>IFERROR(('Historical FS'!L37/'Historical FS'!K37-1),0)</f>
        <v/>
      </c>
      <c r="N8" s="46">
        <f>IFERROR(AVERAGE(D8:L8),0)</f>
        <v/>
      </c>
      <c r="O8" s="46">
        <f>IFERROR(MEDIAN(D8:L8),0)</f>
        <v/>
      </c>
    </row>
    <row r="9">
      <c r="B9" t="inlineStr">
        <is>
          <t>Dividend Growth</t>
        </is>
      </c>
      <c r="C9" s="36" t="n"/>
      <c r="D9" s="36">
        <f>IFERROR(('Historical FS'!D45/'Historical FS'!C45-1),0)</f>
        <v/>
      </c>
      <c r="E9" s="36">
        <f>IFERROR(('Historical FS'!E45/'Historical FS'!D45-1),0)</f>
        <v/>
      </c>
      <c r="F9" s="36">
        <f>IFERROR(('Historical FS'!F45/'Historical FS'!E45-1),0)</f>
        <v/>
      </c>
      <c r="G9" s="36">
        <f>IFERROR(('Historical FS'!G45/'Historical FS'!F45-1),0)</f>
        <v/>
      </c>
      <c r="H9" s="36">
        <f>IFERROR(('Historical FS'!H45/'Historical FS'!G45-1),0)</f>
        <v/>
      </c>
      <c r="I9" s="36">
        <f>IFERROR(('Historical FS'!I45/'Historical FS'!H45-1),0)</f>
        <v/>
      </c>
      <c r="J9" s="36">
        <f>IFERROR(('Historical FS'!J45/'Historical FS'!I45-1),0)</f>
        <v/>
      </c>
      <c r="K9" s="36">
        <f>IFERROR(('Historical FS'!K45/'Historical FS'!J45-1),0)</f>
        <v/>
      </c>
      <c r="L9" s="36">
        <f>IFERROR(('Historical FS'!L45/'Historical FS'!K45-1),0)</f>
        <v/>
      </c>
      <c r="N9" s="46">
        <f>IFERROR(AVERAGE(D9:L9),0)</f>
        <v/>
      </c>
      <c r="O9" s="46">
        <f>IFERROR(MEDIAN(D9:L9),0)</f>
        <v/>
      </c>
    </row>
    <row r="11">
      <c r="B11" t="inlineStr">
        <is>
          <t>Gross Margin</t>
        </is>
      </c>
      <c r="C11" s="36">
        <f>IFERROR('Historical FS'!C14,0)</f>
        <v/>
      </c>
      <c r="D11" s="36">
        <f>IFERROR('Historical FS'!D14,0)</f>
        <v/>
      </c>
      <c r="E11" s="36">
        <f>IFERROR('Historical FS'!E14,0)</f>
        <v/>
      </c>
      <c r="F11" s="36">
        <f>IFERROR('Historical FS'!F14,0)</f>
        <v/>
      </c>
      <c r="G11" s="36">
        <f>IFERROR('Historical FS'!G14,0)</f>
        <v/>
      </c>
      <c r="H11" s="36">
        <f>IFERROR('Historical FS'!H14,0)</f>
        <v/>
      </c>
      <c r="I11" s="36">
        <f>IFERROR('Historical FS'!I14,0)</f>
        <v/>
      </c>
      <c r="J11" s="36">
        <f>IFERROR('Historical FS'!J14,0)</f>
        <v/>
      </c>
      <c r="K11" s="36">
        <f>IFERROR('Historical FS'!K14,0)</f>
        <v/>
      </c>
      <c r="L11" s="36">
        <f>IFERROR('Historical FS'!L14,0)</f>
        <v/>
      </c>
      <c r="N11" s="46">
        <f>IFERROR(AVERAGE(C11:L11),0)</f>
        <v/>
      </c>
      <c r="O11" s="46">
        <f>IFERROR(MEDIAN(C11:L11),0)</f>
        <v/>
      </c>
    </row>
    <row r="12">
      <c r="B12" t="inlineStr">
        <is>
          <t>EBITDA Margin</t>
        </is>
      </c>
      <c r="C12" s="36">
        <f>IFERROR('Historical FS'!C20,0)</f>
        <v/>
      </c>
      <c r="D12" s="36">
        <f>IFERROR('Historical FS'!D20,0)</f>
        <v/>
      </c>
      <c r="E12" s="36">
        <f>IFERROR('Historical FS'!E20,0)</f>
        <v/>
      </c>
      <c r="F12" s="36">
        <f>IFERROR('Historical FS'!F20,0)</f>
        <v/>
      </c>
      <c r="G12" s="36">
        <f>IFERROR('Historical FS'!G20,0)</f>
        <v/>
      </c>
      <c r="H12" s="36">
        <f>IFERROR('Historical FS'!H20,0)</f>
        <v/>
      </c>
      <c r="I12" s="36">
        <f>IFERROR('Historical FS'!I20,0)</f>
        <v/>
      </c>
      <c r="J12" s="36">
        <f>IFERROR('Historical FS'!J20,0)</f>
        <v/>
      </c>
      <c r="K12" s="36">
        <f>IFERROR('Historical FS'!K20,0)</f>
        <v/>
      </c>
      <c r="L12" s="36">
        <f>IFERROR('Historical FS'!L20,0)</f>
        <v/>
      </c>
      <c r="N12" s="46">
        <f>IFERROR(AVERAGE(C12:L12),0)</f>
        <v/>
      </c>
      <c r="O12" s="46">
        <f>IFERROR(MEDIAN(C12:L12),0)</f>
        <v/>
      </c>
    </row>
    <row r="13">
      <c r="B13" t="inlineStr">
        <is>
          <t>EBIT Margin</t>
        </is>
      </c>
      <c r="C13" s="36">
        <f>IFERROR('Historical FS'!C26,0)</f>
        <v/>
      </c>
      <c r="D13" s="36">
        <f>IFERROR('Historical FS'!D26,0)</f>
        <v/>
      </c>
      <c r="E13" s="36">
        <f>IFERROR('Historical FS'!E26,0)</f>
        <v/>
      </c>
      <c r="F13" s="36">
        <f>IFERROR('Historical FS'!F26,0)</f>
        <v/>
      </c>
      <c r="G13" s="36">
        <f>IFERROR('Historical FS'!G26,0)</f>
        <v/>
      </c>
      <c r="H13" s="36">
        <f>IFERROR('Historical FS'!H26,0)</f>
        <v/>
      </c>
      <c r="I13" s="36">
        <f>IFERROR('Historical FS'!I26,0)</f>
        <v/>
      </c>
      <c r="J13" s="36">
        <f>IFERROR('Historical FS'!J26,0)</f>
        <v/>
      </c>
      <c r="K13" s="36">
        <f>IFERROR('Historical FS'!K26,0)</f>
        <v/>
      </c>
      <c r="L13" s="36">
        <f>IFERROR('Historical FS'!L26,0)</f>
        <v/>
      </c>
      <c r="N13" s="46">
        <f>IFERROR(AVERAGE(C13:L13),0)</f>
        <v/>
      </c>
      <c r="O13" s="46">
        <f>IFERROR(MEDIAN(C13:L13),0)</f>
        <v/>
      </c>
    </row>
    <row r="14">
      <c r="B14" t="inlineStr">
        <is>
          <t>EBT Margin</t>
        </is>
      </c>
      <c r="C14" s="36">
        <f>IFERROR('Historical FS'!C32,0)</f>
        <v/>
      </c>
      <c r="D14" s="36">
        <f>IFERROR('Historical FS'!D32,0)</f>
        <v/>
      </c>
      <c r="E14" s="36">
        <f>IFERROR('Historical FS'!E32,0)</f>
        <v/>
      </c>
      <c r="F14" s="36">
        <f>IFERROR('Historical FS'!F32,0)</f>
        <v/>
      </c>
      <c r="G14" s="36">
        <f>IFERROR('Historical FS'!G32,0)</f>
        <v/>
      </c>
      <c r="H14" s="36">
        <f>IFERROR('Historical FS'!H32,0)</f>
        <v/>
      </c>
      <c r="I14" s="36">
        <f>IFERROR('Historical FS'!I32,0)</f>
        <v/>
      </c>
      <c r="J14" s="36">
        <f>IFERROR('Historical FS'!J32,0)</f>
        <v/>
      </c>
      <c r="K14" s="36">
        <f>IFERROR('Historical FS'!K32,0)</f>
        <v/>
      </c>
      <c r="L14" s="36">
        <f>IFERROR('Historical FS'!L32,0)</f>
        <v/>
      </c>
      <c r="N14" s="46">
        <f>IFERROR(AVERAGE(C14:L14),0)</f>
        <v/>
      </c>
      <c r="O14" s="46">
        <f>IFERROR(MEDIAN(C14:L14),0)</f>
        <v/>
      </c>
    </row>
    <row r="15">
      <c r="B15" t="inlineStr">
        <is>
          <t>Net Profit Margin</t>
        </is>
      </c>
      <c r="C15" s="36">
        <f>IFERROR('Historical FS'!C38,0)</f>
        <v/>
      </c>
      <c r="D15" s="36">
        <f>IFERROR('Historical FS'!D38,0)</f>
        <v/>
      </c>
      <c r="E15" s="36">
        <f>IFERROR('Historical FS'!E38,0)</f>
        <v/>
      </c>
      <c r="F15" s="36">
        <f>IFERROR('Historical FS'!F38,0)</f>
        <v/>
      </c>
      <c r="G15" s="36">
        <f>IFERROR('Historical FS'!G38,0)</f>
        <v/>
      </c>
      <c r="H15" s="36">
        <f>IFERROR('Historical FS'!H38,0)</f>
        <v/>
      </c>
      <c r="I15" s="36">
        <f>IFERROR('Historical FS'!I38,0)</f>
        <v/>
      </c>
      <c r="J15" s="36">
        <f>IFERROR('Historical FS'!J38,0)</f>
        <v/>
      </c>
      <c r="K15" s="36">
        <f>IFERROR('Historical FS'!K38,0)</f>
        <v/>
      </c>
      <c r="L15" s="36">
        <f>IFERROR('Historical FS'!L38,0)</f>
        <v/>
      </c>
      <c r="N15" s="46">
        <f>IFERROR(AVERAGE(C15:L15),0)</f>
        <v/>
      </c>
      <c r="O15" s="46">
        <f>IFERROR(MEDIAN(C15:L15),0)</f>
        <v/>
      </c>
    </row>
    <row r="17">
      <c r="B17" t="inlineStr">
        <is>
          <t>SalesExpenses%sales</t>
        </is>
      </c>
      <c r="C17" s="36">
        <f>IFERROR('Historical FS'!C17,0)</f>
        <v/>
      </c>
      <c r="D17" s="36">
        <f>IFERROR('Historical FS'!D17,0)</f>
        <v/>
      </c>
      <c r="E17" s="36">
        <f>IFERROR('Historical FS'!E17,0)</f>
        <v/>
      </c>
      <c r="F17" s="36">
        <f>IFERROR('Historical FS'!F17,0)</f>
        <v/>
      </c>
      <c r="G17" s="36">
        <f>IFERROR('Historical FS'!G17,0)</f>
        <v/>
      </c>
      <c r="H17" s="36">
        <f>IFERROR('Historical FS'!H17,0)</f>
        <v/>
      </c>
      <c r="I17" s="36">
        <f>IFERROR('Historical FS'!I17,0)</f>
        <v/>
      </c>
      <c r="J17" s="36">
        <f>IFERROR('Historical FS'!J17,0)</f>
        <v/>
      </c>
      <c r="K17" s="36">
        <f>IFERROR('Historical FS'!K17,0)</f>
        <v/>
      </c>
      <c r="L17" s="36">
        <f>IFERROR('Historical FS'!L17,0)</f>
        <v/>
      </c>
      <c r="N17" s="46">
        <f>IFERROR(AVERAGE(C17:L17),0)</f>
        <v/>
      </c>
      <c r="O17" s="46">
        <f>IFERROR(MEDIAN(C17:L17),0)</f>
        <v/>
      </c>
    </row>
    <row r="18">
      <c r="B18" t="inlineStr">
        <is>
          <t>Depreciation%Sales</t>
        </is>
      </c>
      <c r="C18" s="36">
        <f>IFERROR('Historical FS'!C23,0)</f>
        <v/>
      </c>
      <c r="D18" s="36">
        <f>IFERROR('Historical FS'!D23,0)</f>
        <v/>
      </c>
      <c r="E18" s="36">
        <f>IFERROR('Historical FS'!E23,0)</f>
        <v/>
      </c>
      <c r="F18" s="36">
        <f>IFERROR('Historical FS'!F23,0)</f>
        <v/>
      </c>
      <c r="G18" s="36">
        <f>IFERROR('Historical FS'!G23,0)</f>
        <v/>
      </c>
      <c r="H18" s="36">
        <f>IFERROR('Historical FS'!H23,0)</f>
        <v/>
      </c>
      <c r="I18" s="36">
        <f>IFERROR('Historical FS'!I23,0)</f>
        <v/>
      </c>
      <c r="J18" s="36">
        <f>IFERROR('Historical FS'!J23,0)</f>
        <v/>
      </c>
      <c r="K18" s="36">
        <f>IFERROR('Historical FS'!K23,0)</f>
        <v/>
      </c>
      <c r="L18" s="36">
        <f>IFERROR('Historical FS'!L23,0)</f>
        <v/>
      </c>
      <c r="N18" s="46">
        <f>IFERROR(AVERAGE(C18:L18),0)</f>
        <v/>
      </c>
      <c r="O18" s="46">
        <f>IFERROR(MEDIAN(C18:L18),0)</f>
        <v/>
      </c>
    </row>
    <row r="19">
      <c r="B19" t="inlineStr">
        <is>
          <t>OperatingIncome%sales</t>
        </is>
      </c>
      <c r="C19" s="36">
        <f>C13</f>
        <v/>
      </c>
      <c r="D19" s="36">
        <f>D13</f>
        <v/>
      </c>
      <c r="E19" s="36">
        <f>E13</f>
        <v/>
      </c>
      <c r="F19" s="36">
        <f>F13</f>
        <v/>
      </c>
      <c r="G19" s="36">
        <f>G13</f>
        <v/>
      </c>
      <c r="H19" s="36">
        <f>H13</f>
        <v/>
      </c>
      <c r="I19" s="36">
        <f>I13</f>
        <v/>
      </c>
      <c r="J19" s="36">
        <f>J13</f>
        <v/>
      </c>
      <c r="K19" s="36">
        <f>K13</f>
        <v/>
      </c>
      <c r="L19" s="36">
        <f>L13</f>
        <v/>
      </c>
      <c r="N19" s="46">
        <f>IFERROR(AVERAGE(C19:L19),0)</f>
        <v/>
      </c>
      <c r="O19" s="46">
        <f>IFERROR(MEDIAN(C19:L19),0)</f>
        <v/>
      </c>
    </row>
    <row r="21">
      <c r="B21" t="inlineStr">
        <is>
          <t>Return on Capital Employed</t>
        </is>
      </c>
      <c r="C21" s="46">
        <f>IFERROR('Historical FS'!C25/SUM('Historical FS'!C51:'Historical FS'!C53),0)</f>
        <v/>
      </c>
      <c r="D21" s="46">
        <f>IFERROR('Historical FS'!D25/SUM('Historical FS'!D51:'Historical FS'!D53),0)</f>
        <v/>
      </c>
      <c r="E21" s="46">
        <f>IFERROR('Historical FS'!E25/SUM('Historical FS'!E51:'Historical FS'!E53),0)</f>
        <v/>
      </c>
      <c r="F21" s="46">
        <f>IFERROR('Historical FS'!F25/SUM('Historical FS'!F51:'Historical FS'!F53),0)</f>
        <v/>
      </c>
      <c r="G21" s="46">
        <f>IFERROR('Historical FS'!G25/SUM('Historical FS'!G51:'Historical FS'!G53),0)</f>
        <v/>
      </c>
      <c r="H21" s="46">
        <f>IFERROR('Historical FS'!H25/SUM('Historical FS'!H51:'Historical FS'!H53),0)</f>
        <v/>
      </c>
      <c r="I21" s="46">
        <f>IFERROR('Historical FS'!I25/SUM('Historical FS'!I51:'Historical FS'!I53),0)</f>
        <v/>
      </c>
      <c r="J21" s="46">
        <f>IFERROR('Historical FS'!J25/SUM('Historical FS'!J51:'Historical FS'!J53),0)</f>
        <v/>
      </c>
      <c r="K21" s="46">
        <f>IFERROR('Historical FS'!K25/SUM('Historical FS'!K51:'Historical FS'!K53),0)</f>
        <v/>
      </c>
      <c r="L21" s="46">
        <f>IFERROR('Historical FS'!L25/SUM('Historical FS'!L51:'Historical FS'!L53),0)</f>
        <v/>
      </c>
      <c r="N21" s="46">
        <f>IFERROR(AVERAGE(C21:L21),0)</f>
        <v/>
      </c>
      <c r="O21" s="46">
        <f>IFERROR(MEDIAN(C21:L21),0)</f>
        <v/>
      </c>
    </row>
    <row r="22">
      <c r="B22" t="inlineStr">
        <is>
          <t>Retained Earnings%</t>
        </is>
      </c>
      <c r="C22" s="46">
        <f>IFERROR('Historical FS'!C48,0)</f>
        <v/>
      </c>
      <c r="D22" s="46">
        <f>IFERROR('Historical FS'!D48,0)</f>
        <v/>
      </c>
      <c r="E22" s="46">
        <f>IFERROR('Historical FS'!E48,0)</f>
        <v/>
      </c>
      <c r="F22" s="46">
        <f>IFERROR('Historical FS'!F48,0)</f>
        <v/>
      </c>
      <c r="G22" s="46">
        <f>IFERROR('Historical FS'!G48,0)</f>
        <v/>
      </c>
      <c r="H22" s="46">
        <f>IFERROR('Historical FS'!H48,0)</f>
        <v/>
      </c>
      <c r="I22" s="46">
        <f>IFERROR('Historical FS'!I48,0)</f>
        <v/>
      </c>
      <c r="J22" s="46">
        <f>IFERROR('Historical FS'!J48,0)</f>
        <v/>
      </c>
      <c r="K22" s="46">
        <f>IFERROR('Historical FS'!K48,0)</f>
        <v/>
      </c>
      <c r="L22" s="46">
        <f>IFERROR('Historical FS'!L48,0)</f>
        <v/>
      </c>
      <c r="N22" s="46">
        <f>IFERROR(AVERAGE(C22:L22),0)</f>
        <v/>
      </c>
      <c r="O22" s="46">
        <f>IFERROR(MEDIAN(C22:L22),0)</f>
        <v/>
      </c>
    </row>
    <row r="23">
      <c r="B23" t="inlineStr">
        <is>
          <t>Return on Equity%</t>
        </is>
      </c>
      <c r="C23" s="46">
        <f>IFERROR('Historical FS'!C37/SUM('Historical FS'!C51:'Historical FS'!C52),0)</f>
        <v/>
      </c>
      <c r="D23" s="46">
        <f>IFERROR('Historical FS'!D37/SUM('Historical FS'!D51:'Historical FS'!D52),0)</f>
        <v/>
      </c>
      <c r="E23" s="46">
        <f>IFERROR('Historical FS'!E37/SUM('Historical FS'!E51:'Historical FS'!E52),0)</f>
        <v/>
      </c>
      <c r="F23" s="46">
        <f>IFERROR('Historical FS'!F37/SUM('Historical FS'!F51:'Historical FS'!F52),0)</f>
        <v/>
      </c>
      <c r="G23" s="46">
        <f>IFERROR('Historical FS'!G37/SUM('Historical FS'!G51:'Historical FS'!G52),0)</f>
        <v/>
      </c>
      <c r="H23" s="46">
        <f>IFERROR('Historical FS'!H37/SUM('Historical FS'!H51:'Historical FS'!H52),0)</f>
        <v/>
      </c>
      <c r="I23" s="46">
        <f>IFERROR('Historical FS'!I37/SUM('Historical FS'!I51:'Historical FS'!I52),0)</f>
        <v/>
      </c>
      <c r="J23" s="46">
        <f>IFERROR('Historical FS'!J37/SUM('Historical FS'!J51:'Historical FS'!J52),0)</f>
        <v/>
      </c>
      <c r="K23" s="46">
        <f>IFERROR('Historical FS'!K37/SUM('Historical FS'!K51:'Historical FS'!K52),0)</f>
        <v/>
      </c>
      <c r="L23" s="46">
        <f>IFERROR('Historical FS'!L37/SUM('Historical FS'!L51:'Historical FS'!L52),0)</f>
        <v/>
      </c>
      <c r="N23" s="46">
        <f>IFERROR(AVERAGE(C23:L23),0)</f>
        <v/>
      </c>
      <c r="O23" s="46">
        <f>IFERROR(MEDIAN(C23:L23),0)</f>
        <v/>
      </c>
    </row>
    <row r="24">
      <c r="B24" t="inlineStr">
        <is>
          <t>Self Sustained Growth Rate</t>
        </is>
      </c>
      <c r="C24" s="46">
        <f>IFERROR(C22*C23,0)</f>
        <v/>
      </c>
      <c r="D24" s="46">
        <f>IFERROR(D22*D23,0)</f>
        <v/>
      </c>
      <c r="E24" s="46">
        <f>IFERROR(E22*E23,0)</f>
        <v/>
      </c>
      <c r="F24" s="46">
        <f>IFERROR(F22*F23,0)</f>
        <v/>
      </c>
      <c r="G24" s="46">
        <f>IFERROR(G22*G23,0)</f>
        <v/>
      </c>
      <c r="H24" s="46">
        <f>IFERROR(H22*H23,0)</f>
        <v/>
      </c>
      <c r="I24" s="46">
        <f>IFERROR(I22*I23,0)</f>
        <v/>
      </c>
      <c r="J24" s="46">
        <f>IFERROR(J22*J23,0)</f>
        <v/>
      </c>
      <c r="K24" s="46">
        <f>IFERROR(K22*K23,0)</f>
        <v/>
      </c>
      <c r="L24" s="46">
        <f>IFERROR(L22*L23,0)</f>
        <v/>
      </c>
      <c r="N24" s="46">
        <f>IFERROR(AVERAGE(C24:L24),0)</f>
        <v/>
      </c>
      <c r="O24" s="46">
        <f>IFERROR(MEDIAN(C24:L24),0)</f>
        <v/>
      </c>
    </row>
    <row r="25">
      <c r="B25" t="inlineStr">
        <is>
          <t>Interest Coverage Ratio</t>
        </is>
      </c>
      <c r="C25" s="158">
        <f>IFERROR('Historical FS'!C25/'Historical FS'!C28,0)</f>
        <v/>
      </c>
      <c r="D25" s="158">
        <f>IFERROR('Historical FS'!D25/'Historical FS'!D28,0)</f>
        <v/>
      </c>
      <c r="E25" s="158">
        <f>IFERROR('Historical FS'!E25/'Historical FS'!E28,0)</f>
        <v/>
      </c>
      <c r="F25" s="158">
        <f>IFERROR('Historical FS'!F25/'Historical FS'!F28,0)</f>
        <v/>
      </c>
      <c r="G25" s="158">
        <f>IFERROR('Historical FS'!G25/'Historical FS'!G28,0)</f>
        <v/>
      </c>
      <c r="H25" s="158">
        <f>IFERROR('Historical FS'!H25/'Historical FS'!H28,0)</f>
        <v/>
      </c>
      <c r="I25" s="158">
        <f>IFERROR('Historical FS'!I25/'Historical FS'!I28,0)</f>
        <v/>
      </c>
      <c r="J25" s="158">
        <f>IFERROR('Historical FS'!J25/'Historical FS'!J28,0)</f>
        <v/>
      </c>
      <c r="K25" s="158">
        <f>IFERROR('Historical FS'!K25/'Historical FS'!K28,0)</f>
        <v/>
      </c>
      <c r="L25" s="158">
        <f>IFERROR('Historical FS'!L25/'Historical FS'!L28,0)</f>
        <v/>
      </c>
      <c r="N25" s="158">
        <f>IFERROR(AVERAGE(C25:L25),0)</f>
        <v/>
      </c>
      <c r="O25" s="158">
        <f>IFERROR(MEDIAN(C25:L25),0)</f>
        <v/>
      </c>
    </row>
    <row r="27">
      <c r="B27" t="inlineStr">
        <is>
          <t>Debtor Turnover Ratio</t>
        </is>
      </c>
      <c r="C27" s="158">
        <f>IFERROR('Historical FS'!C7/'Historical FS'!C63,0)</f>
        <v/>
      </c>
      <c r="D27" s="158">
        <f>IFERROR('Historical FS'!D7/'Historical FS'!D63,0)</f>
        <v/>
      </c>
      <c r="E27" s="158">
        <f>IFERROR('Historical FS'!E7/'Historical FS'!E63,0)</f>
        <v/>
      </c>
      <c r="F27" s="158">
        <f>IFERROR('Historical FS'!F7/'Historical FS'!F63,0)</f>
        <v/>
      </c>
      <c r="G27" s="158">
        <f>IFERROR('Historical FS'!G7/'Historical FS'!G63,0)</f>
        <v/>
      </c>
      <c r="H27" s="158">
        <f>IFERROR('Historical FS'!H7/'Historical FS'!H63,0)</f>
        <v/>
      </c>
      <c r="I27" s="158">
        <f>IFERROR('Historical FS'!I7/'Historical FS'!I63,0)</f>
        <v/>
      </c>
      <c r="J27" s="158">
        <f>IFERROR('Historical FS'!J7/'Historical FS'!J63,0)</f>
        <v/>
      </c>
      <c r="K27" s="158">
        <f>IFERROR('Historical FS'!K7/'Historical FS'!K63,0)</f>
        <v/>
      </c>
      <c r="L27" s="158">
        <f>IFERROR('Historical FS'!L7/'Historical FS'!L63,0)</f>
        <v/>
      </c>
      <c r="N27" s="158">
        <f>IFERROR(AVERAGE(C27:L27),0)</f>
        <v/>
      </c>
      <c r="O27" s="158">
        <f>IFERROR(MEDIAN(C27:L27),0)</f>
        <v/>
      </c>
    </row>
    <row r="28">
      <c r="B28" t="inlineStr">
        <is>
          <t>Creditor Turnover Ratio</t>
        </is>
      </c>
      <c r="C28" s="158">
        <f>IFERROR('Historical FS'!C7/'Historical FS'!C54,0)</f>
        <v/>
      </c>
      <c r="D28" s="158">
        <f>IFERROR('Historical FS'!D7/'Historical FS'!D54,0)</f>
        <v/>
      </c>
      <c r="E28" s="158">
        <f>IFERROR('Historical FS'!E7/'Historical FS'!E54,0)</f>
        <v/>
      </c>
      <c r="F28" s="158">
        <f>IFERROR('Historical FS'!F7/'Historical FS'!F54,0)</f>
        <v/>
      </c>
      <c r="G28" s="158">
        <f>IFERROR('Historical FS'!G7/'Historical FS'!G54,0)</f>
        <v/>
      </c>
      <c r="H28" s="158">
        <f>IFERROR('Historical FS'!H7/'Historical FS'!H54,0)</f>
        <v/>
      </c>
      <c r="I28" s="158">
        <f>IFERROR('Historical FS'!I7/'Historical FS'!I54,0)</f>
        <v/>
      </c>
      <c r="J28" s="158">
        <f>IFERROR('Historical FS'!J7/'Historical FS'!J54,0)</f>
        <v/>
      </c>
      <c r="K28" s="158">
        <f>IFERROR('Historical FS'!K7/'Historical FS'!K54,0)</f>
        <v/>
      </c>
      <c r="L28" s="158">
        <f>IFERROR('Historical FS'!L7/'Historical FS'!L54,0)</f>
        <v/>
      </c>
      <c r="N28" s="158">
        <f>IFERROR(AVERAGE(C28:L28),0)</f>
        <v/>
      </c>
      <c r="O28" s="158">
        <f>IFERROR(MEDIAN(C28:L28),0)</f>
        <v/>
      </c>
    </row>
    <row r="29">
      <c r="B29" t="inlineStr">
        <is>
          <t>Inventory Turnover</t>
        </is>
      </c>
      <c r="C29" s="158">
        <f>IFERROR('Historical FS'!C7/'Historical FS'!C64,0)</f>
        <v/>
      </c>
      <c r="D29" s="158">
        <f>IFERROR('Historical FS'!D7/'Historical FS'!D64,0)</f>
        <v/>
      </c>
      <c r="E29" s="158">
        <f>IFERROR('Historical FS'!E7/'Historical FS'!E64,0)</f>
        <v/>
      </c>
      <c r="F29" s="158">
        <f>IFERROR('Historical FS'!F7/'Historical FS'!F64,0)</f>
        <v/>
      </c>
      <c r="G29" s="158">
        <f>IFERROR('Historical FS'!G7/'Historical FS'!G64,0)</f>
        <v/>
      </c>
      <c r="H29" s="158">
        <f>IFERROR('Historical FS'!H7/'Historical FS'!H64,0)</f>
        <v/>
      </c>
      <c r="I29" s="158">
        <f>IFERROR('Historical FS'!I7/'Historical FS'!I64,0)</f>
        <v/>
      </c>
      <c r="J29" s="158">
        <f>IFERROR('Historical FS'!J7/'Historical FS'!J64,0)</f>
        <v/>
      </c>
      <c r="K29" s="158">
        <f>IFERROR('Historical FS'!K7/'Historical FS'!K64,0)</f>
        <v/>
      </c>
      <c r="L29" s="158">
        <f>IFERROR('Historical FS'!L7/'Historical FS'!L64,0)</f>
        <v/>
      </c>
      <c r="N29" s="158">
        <f>IFERROR(AVERAGE(C29:L29),0)</f>
        <v/>
      </c>
      <c r="O29" s="158">
        <f>IFERROR(MEDIAN(C29:L29),0)</f>
        <v/>
      </c>
    </row>
    <row r="30">
      <c r="B30" t="inlineStr">
        <is>
          <t>Fixed Assets Turnover</t>
        </is>
      </c>
      <c r="C30" s="158">
        <f>IFERROR('Historical FS'!C7/'Historical FS'!C57,0)</f>
        <v/>
      </c>
      <c r="D30" s="158">
        <f>IFERROR('Historical FS'!D7/'Historical FS'!D57,0)</f>
        <v/>
      </c>
      <c r="E30" s="158">
        <f>IFERROR('Historical FS'!E7/'Historical FS'!E57,0)</f>
        <v/>
      </c>
      <c r="F30" s="158">
        <f>IFERROR('Historical FS'!F7/'Historical FS'!F57,0)</f>
        <v/>
      </c>
      <c r="G30" s="158">
        <f>IFERROR('Historical FS'!G7/'Historical FS'!G57,0)</f>
        <v/>
      </c>
      <c r="H30" s="158">
        <f>IFERROR('Historical FS'!H7/'Historical FS'!H57,0)</f>
        <v/>
      </c>
      <c r="I30" s="158">
        <f>IFERROR('Historical FS'!I7/'Historical FS'!I57,0)</f>
        <v/>
      </c>
      <c r="J30" s="158">
        <f>IFERROR('Historical FS'!J7/'Historical FS'!J57,0)</f>
        <v/>
      </c>
      <c r="K30" s="158">
        <f>IFERROR('Historical FS'!K7/'Historical FS'!K57,0)</f>
        <v/>
      </c>
      <c r="L30" s="158">
        <f>IFERROR('Historical FS'!L7/'Historical FS'!L57,0)</f>
        <v/>
      </c>
      <c r="N30" s="158">
        <f>IFERROR(AVERAGE(C30:L30),0)</f>
        <v/>
      </c>
      <c r="O30" s="158">
        <f>IFERROR(MEDIAN(C30:L30),0)</f>
        <v/>
      </c>
    </row>
    <row r="31">
      <c r="B31" t="inlineStr">
        <is>
          <t>Capital Turnover Ratio</t>
        </is>
      </c>
      <c r="C31" s="158">
        <f>IFERROR('Historical FS'!C7/SUM('Historical FS'!C51:'Historical FS'!C52),0)</f>
        <v/>
      </c>
      <c r="D31" s="158">
        <f>IFERROR('Historical FS'!D7/SUM('Historical FS'!D51:'Historical FS'!D52),0)</f>
        <v/>
      </c>
      <c r="E31" s="158">
        <f>IFERROR('Historical FS'!E7/SUM('Historical FS'!E51:'Historical FS'!E52),0)</f>
        <v/>
      </c>
      <c r="F31" s="158">
        <f>IFERROR('Historical FS'!F7/SUM('Historical FS'!F51:'Historical FS'!F52),0)</f>
        <v/>
      </c>
      <c r="G31" s="158">
        <f>IFERROR('Historical FS'!G7/SUM('Historical FS'!G51:'Historical FS'!G52),0)</f>
        <v/>
      </c>
      <c r="H31" s="158">
        <f>IFERROR('Historical FS'!H7/SUM('Historical FS'!H51:'Historical FS'!H52),0)</f>
        <v/>
      </c>
      <c r="I31" s="158">
        <f>IFERROR('Historical FS'!I7/SUM('Historical FS'!I51:'Historical FS'!I52),0)</f>
        <v/>
      </c>
      <c r="J31" s="158">
        <f>IFERROR('Historical FS'!J7/SUM('Historical FS'!J51:'Historical FS'!J52),0)</f>
        <v/>
      </c>
      <c r="K31" s="158">
        <f>IFERROR('Historical FS'!K7/SUM('Historical FS'!K51:'Historical FS'!K52),0)</f>
        <v/>
      </c>
      <c r="L31" s="158">
        <f>IFERROR('Historical FS'!L7/SUM('Historical FS'!L51:'Historical FS'!L52),0)</f>
        <v/>
      </c>
      <c r="N31" s="158">
        <f>IFERROR(AVERAGE(C31:L31),0)</f>
        <v/>
      </c>
      <c r="O31" s="158">
        <f>IFERROR(MEDIAN(C31:L31),0)</f>
        <v/>
      </c>
    </row>
    <row r="33">
      <c r="B33" s="52" t="inlineStr">
        <is>
          <t>(in days)</t>
        </is>
      </c>
    </row>
    <row r="34">
      <c r="B34" t="inlineStr">
        <is>
          <t>Debtor Days</t>
        </is>
      </c>
      <c r="C34" s="159">
        <f>IFERROR(365/C27,0)</f>
        <v/>
      </c>
      <c r="D34" s="159">
        <f>IFERROR(365/D27,0)</f>
        <v/>
      </c>
      <c r="E34" s="159">
        <f>IFERROR(365/E27,0)</f>
        <v/>
      </c>
      <c r="F34" s="159">
        <f>IFERROR(365/F27,0)</f>
        <v/>
      </c>
      <c r="G34" s="159">
        <f>IFERROR(365/G27,0)</f>
        <v/>
      </c>
      <c r="H34" s="159">
        <f>IFERROR(365/H27,0)</f>
        <v/>
      </c>
      <c r="I34" s="159">
        <f>IFERROR(365/I27,0)</f>
        <v/>
      </c>
      <c r="J34" s="159">
        <f>IFERROR(365/J27,0)</f>
        <v/>
      </c>
      <c r="K34" s="159">
        <f>IFERROR(365/K27,0)</f>
        <v/>
      </c>
      <c r="L34" s="159">
        <f>IFERROR(365/L27,0)</f>
        <v/>
      </c>
      <c r="N34" s="159">
        <f>IFERROR(AVERAGE(C34:L34),0)</f>
        <v/>
      </c>
      <c r="O34" s="159">
        <f>IFERROR(MEDIAN(C34:L34),0)</f>
        <v/>
      </c>
    </row>
    <row r="35">
      <c r="B35" t="inlineStr">
        <is>
          <t>Payable Days</t>
        </is>
      </c>
      <c r="C35" s="159">
        <f>IFERROR(365/C28,0)</f>
        <v/>
      </c>
      <c r="D35" s="159">
        <f>IFERROR(365/D28,0)</f>
        <v/>
      </c>
      <c r="E35" s="159">
        <f>IFERROR(365/E28,0)</f>
        <v/>
      </c>
      <c r="F35" s="159">
        <f>IFERROR(365/F28,0)</f>
        <v/>
      </c>
      <c r="G35" s="159">
        <f>IFERROR(365/G28,0)</f>
        <v/>
      </c>
      <c r="H35" s="159">
        <f>IFERROR(365/H28,0)</f>
        <v/>
      </c>
      <c r="I35" s="159">
        <f>IFERROR(365/I28,0)</f>
        <v/>
      </c>
      <c r="J35" s="159">
        <f>IFERROR(365/J28,0)</f>
        <v/>
      </c>
      <c r="K35" s="159">
        <f>IFERROR(365/K28,0)</f>
        <v/>
      </c>
      <c r="L35" s="159">
        <f>IFERROR(365/L28,0)</f>
        <v/>
      </c>
      <c r="N35" s="159">
        <f>IFERROR(AVERAGE(C35:L35),0)</f>
        <v/>
      </c>
      <c r="O35" s="159">
        <f>IFERROR(MEDIAN(C35:L35),0)</f>
        <v/>
      </c>
    </row>
    <row r="36">
      <c r="B36" t="inlineStr">
        <is>
          <t>Inventory Days</t>
        </is>
      </c>
      <c r="C36" s="159">
        <f>IFERROR(365/C29,0)</f>
        <v/>
      </c>
      <c r="D36" s="159">
        <f>IFERROR(365/D29,0)</f>
        <v/>
      </c>
      <c r="E36" s="159">
        <f>IFERROR(365/E29,0)</f>
        <v/>
      </c>
      <c r="F36" s="159">
        <f>IFERROR(365/F29,0)</f>
        <v/>
      </c>
      <c r="G36" s="159">
        <f>IFERROR(365/G29,0)</f>
        <v/>
      </c>
      <c r="H36" s="159">
        <f>IFERROR(365/H29,0)</f>
        <v/>
      </c>
      <c r="I36" s="159">
        <f>IFERROR(365/I29,0)</f>
        <v/>
      </c>
      <c r="J36" s="159">
        <f>IFERROR(365/J29,0)</f>
        <v/>
      </c>
      <c r="K36" s="159">
        <f>IFERROR(365/K29,0)</f>
        <v/>
      </c>
      <c r="L36" s="159">
        <f>IFERROR(365/L29,0)</f>
        <v/>
      </c>
      <c r="N36" s="159">
        <f>IFERROR(AVERAGE(C36:L36),0)</f>
        <v/>
      </c>
      <c r="O36" s="159">
        <f>IFERROR(MEDIAN(C36:L36),0)</f>
        <v/>
      </c>
    </row>
    <row r="37">
      <c r="B37" t="inlineStr">
        <is>
          <t>Cash Conversion Cycle</t>
        </is>
      </c>
      <c r="C37" s="159">
        <f>SUM(C34,C36)-C35</f>
        <v/>
      </c>
      <c r="D37" s="159">
        <f>SUM(D34,D36)-D35</f>
        <v/>
      </c>
      <c r="E37" s="159">
        <f>SUM(E34,E36)-E35</f>
        <v/>
      </c>
      <c r="F37" s="159">
        <f>SUM(F34,F36)-F35</f>
        <v/>
      </c>
      <c r="G37" s="159">
        <f>SUM(G34,G36)-G35</f>
        <v/>
      </c>
      <c r="H37" s="159">
        <f>SUM(H34,H36)-H35</f>
        <v/>
      </c>
      <c r="I37" s="159">
        <f>SUM(I34,I36)-I35</f>
        <v/>
      </c>
      <c r="J37" s="159">
        <f>SUM(J34,J36)-J35</f>
        <v/>
      </c>
      <c r="K37" s="159">
        <f>SUM(K34,K36)-K35</f>
        <v/>
      </c>
      <c r="L37" s="159">
        <f>SUM(L34,L36)-L35</f>
        <v/>
      </c>
      <c r="N37" s="159">
        <f>IFERROR(AVERAGE(C37:L37),0)</f>
        <v/>
      </c>
      <c r="O37" s="159">
        <f>IFERROR(MEDIAN(C37:L37),0)</f>
        <v/>
      </c>
    </row>
    <row r="39">
      <c r="B39" t="inlineStr">
        <is>
          <t>CFO/Sales</t>
        </is>
      </c>
      <c r="C39" s="46">
        <f>IFERROR('Historical FS'!C80/'Historical FS'!C7,0)</f>
        <v/>
      </c>
      <c r="D39" s="46">
        <f>IFERROR('Historical FS'!D80/'Historical FS'!D7,0)</f>
        <v/>
      </c>
      <c r="E39" s="46">
        <f>IFERROR('Historical FS'!E80/'Historical FS'!E7,0)</f>
        <v/>
      </c>
      <c r="F39" s="46">
        <f>IFERROR('Historical FS'!F80/'Historical FS'!F7,0)</f>
        <v/>
      </c>
      <c r="G39" s="46">
        <f>IFERROR('Historical FS'!G80/'Historical FS'!G7,0)</f>
        <v/>
      </c>
      <c r="H39" s="46">
        <f>IFERROR('Historical FS'!H80/'Historical FS'!H7,0)</f>
        <v/>
      </c>
      <c r="I39" s="46">
        <f>IFERROR('Historical FS'!I80/'Historical FS'!I7,0)</f>
        <v/>
      </c>
      <c r="J39" s="46">
        <f>IFERROR('Historical FS'!J80/'Historical FS'!J7,0)</f>
        <v/>
      </c>
      <c r="K39" s="46">
        <f>IFERROR('Historical FS'!K80/'Historical FS'!K7,0)</f>
        <v/>
      </c>
      <c r="L39" s="46">
        <f>IFERROR('Historical FS'!L80/'Historical FS'!L7,0)</f>
        <v/>
      </c>
      <c r="N39" s="46">
        <f>IFERROR(AVERAGE(C39:L39),0)</f>
        <v/>
      </c>
      <c r="O39" s="46">
        <f>IFERROR(MEDIAN(C39:L39),0)</f>
        <v/>
      </c>
    </row>
    <row r="40">
      <c r="B40" t="inlineStr">
        <is>
          <t>CFO/Total Assets</t>
        </is>
      </c>
      <c r="C40" s="46">
        <f>IFERROR('Historical FS'!C80/'Historical FS'!C68,0)</f>
        <v/>
      </c>
      <c r="D40" s="46">
        <f>IFERROR('Historical FS'!D80/'Historical FS'!D68,0)</f>
        <v/>
      </c>
      <c r="E40" s="46">
        <f>IFERROR('Historical FS'!E80/'Historical FS'!E68,0)</f>
        <v/>
      </c>
      <c r="F40" s="46">
        <f>IFERROR('Historical FS'!F80/'Historical FS'!F68,0)</f>
        <v/>
      </c>
      <c r="G40" s="46">
        <f>IFERROR('Historical FS'!G80/'Historical FS'!G68,0)</f>
        <v/>
      </c>
      <c r="H40" s="46">
        <f>IFERROR('Historical FS'!H80/'Historical FS'!H68,0)</f>
        <v/>
      </c>
      <c r="I40" s="46">
        <f>IFERROR('Historical FS'!I80/'Historical FS'!I68,0)</f>
        <v/>
      </c>
      <c r="J40" s="46">
        <f>IFERROR('Historical FS'!J80/'Historical FS'!J68,0)</f>
        <v/>
      </c>
      <c r="K40" s="46">
        <f>IFERROR('Historical FS'!K80/'Historical FS'!K68,0)</f>
        <v/>
      </c>
      <c r="L40" s="46">
        <f>IFERROR('Historical FS'!L80/'Historical FS'!L68,0)</f>
        <v/>
      </c>
      <c r="N40" s="46">
        <f>IFERROR(AVERAGE(C40:L40),0)</f>
        <v/>
      </c>
      <c r="O40" s="46">
        <f>IFERROR(MEDIAN(C40:L40),0)</f>
        <v/>
      </c>
    </row>
    <row r="41">
      <c r="B41" t="inlineStr">
        <is>
          <t>CFO/Total Debt</t>
        </is>
      </c>
      <c r="C41" s="46">
        <f>IFERROR('Historical FS'!C80/'Historical FS'!C53,0)</f>
        <v/>
      </c>
      <c r="D41" s="46">
        <f>IFERROR('Historical FS'!D80/'Historical FS'!D53,0)</f>
        <v/>
      </c>
      <c r="E41" s="46">
        <f>IFERROR('Historical FS'!E80/'Historical FS'!E53,0)</f>
        <v/>
      </c>
      <c r="F41" s="46">
        <f>IFERROR('Historical FS'!F80/'Historical FS'!F53,0)</f>
        <v/>
      </c>
      <c r="G41" s="46">
        <f>IFERROR('Historical FS'!G80/'Historical FS'!G53,0)</f>
        <v/>
      </c>
      <c r="H41" s="46">
        <f>IFERROR('Historical FS'!H80/'Historical FS'!H53,0)</f>
        <v/>
      </c>
      <c r="I41" s="46">
        <f>IFERROR('Historical FS'!I80/'Historical FS'!I53,0)</f>
        <v/>
      </c>
      <c r="J41" s="46">
        <f>IFERROR('Historical FS'!J80/'Historical FS'!J53,0)</f>
        <v/>
      </c>
      <c r="K41" s="46">
        <f>IFERROR('Historical FS'!K80/'Historical FS'!K53,0)</f>
        <v/>
      </c>
      <c r="L41" s="46">
        <f>IFERROR('Historical FS'!L80/'Historical FS'!L53,0)</f>
        <v/>
      </c>
      <c r="N41" s="46">
        <f>IFERROR(AVERAGE(C41:L41),0)</f>
        <v/>
      </c>
      <c r="O41" s="46">
        <f>IFERROR(MEDIAN(C41:L41),0)</f>
        <v/>
      </c>
    </row>
  </sheetData>
  <mergeCells count="1">
    <mergeCell ref="B2:L2"/>
  </mergeCell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B2:O19"/>
  <sheetViews>
    <sheetView showGridLines="0" workbookViewId="0">
      <selection activeCell="I5" sqref="I5"/>
    </sheetView>
  </sheetViews>
  <sheetFormatPr baseColWidth="8" defaultRowHeight="14.4"/>
  <cols>
    <col width="1.88671875" customWidth="1" style="109" min="1" max="1"/>
    <col width="11.109375" bestFit="1" customWidth="1" style="109" min="2" max="2"/>
    <col width="9.6640625" bestFit="1" customWidth="1" style="109" min="3" max="3"/>
    <col width="12" customWidth="1" style="109" min="4" max="4"/>
    <col width="13.21875" customWidth="1" style="109" min="5" max="5"/>
    <col width="2" customWidth="1" style="109" min="6" max="6"/>
    <col width="11.21875" customWidth="1" style="109" min="7" max="7"/>
    <col width="12.109375" customWidth="1" style="109" min="9" max="9"/>
    <col width="12.44140625" customWidth="1" style="109" min="10" max="10"/>
    <col width="2" customWidth="1" style="109" min="11" max="11"/>
    <col width="12.33203125" customWidth="1" style="109" min="12" max="12"/>
    <col width="9.6640625" bestFit="1" customWidth="1" style="109" min="13" max="13"/>
    <col width="10.33203125" customWidth="1" style="109" min="14" max="14"/>
    <col width="15" customWidth="1" style="109" min="15" max="15"/>
  </cols>
  <sheetData>
    <row r="2">
      <c r="B2" s="163">
        <f>'Data Sheet'!$B$1&amp;" -"&amp;'Data Sheet'!A17&amp;" Forecasting"</f>
        <v/>
      </c>
      <c r="G2" s="163">
        <f>'Data Sheet'!$B$1&amp;" -"&amp;'Historical FS'!B19&amp;" Forecasting"</f>
        <v/>
      </c>
      <c r="L2" s="163">
        <f>'Data Sheet'!$B$1&amp;" -"&amp;'Historical FS'!B37&amp;" Forecasting"</f>
        <v/>
      </c>
    </row>
    <row r="3">
      <c r="B3" s="84" t="inlineStr">
        <is>
          <t>Year Weight</t>
        </is>
      </c>
      <c r="C3" s="84" t="inlineStr">
        <is>
          <t>Year</t>
        </is>
      </c>
      <c r="D3" s="84" t="inlineStr">
        <is>
          <t>Sales</t>
        </is>
      </c>
      <c r="E3" s="84" t="inlineStr">
        <is>
          <t>Sales Growth</t>
        </is>
      </c>
      <c r="G3" s="84" t="inlineStr">
        <is>
          <t>Year Weight</t>
        </is>
      </c>
      <c r="H3" s="84" t="inlineStr">
        <is>
          <t>Year</t>
        </is>
      </c>
      <c r="I3" s="84" t="inlineStr">
        <is>
          <t>EBITDA</t>
        </is>
      </c>
      <c r="J3" s="84" t="inlineStr">
        <is>
          <t>EBITDA Growth</t>
        </is>
      </c>
      <c r="L3" s="84" t="inlineStr">
        <is>
          <t>Year Weight</t>
        </is>
      </c>
      <c r="M3" s="84" t="inlineStr">
        <is>
          <t>Year</t>
        </is>
      </c>
      <c r="N3" s="84" t="inlineStr">
        <is>
          <t>Net Profit</t>
        </is>
      </c>
      <c r="O3" s="84" t="inlineStr">
        <is>
          <t>Net Profit Growth</t>
        </is>
      </c>
    </row>
    <row r="5">
      <c r="B5" t="n">
        <v>1</v>
      </c>
      <c r="C5" s="54">
        <f t="array" ref="C5:C14">TRANSPOSE('Data Sheet'!B16:K16)</f>
        <v/>
      </c>
      <c r="D5" s="107">
        <f t="array" ref="D5:D14">TRANSPOSE('Data Sheet'!B17:K17)</f>
        <v/>
      </c>
      <c r="E5" s="56" t="inlineStr">
        <is>
          <t>-</t>
        </is>
      </c>
      <c r="G5" t="n">
        <v>1</v>
      </c>
      <c r="H5" s="54">
        <f t="array" ref="H5:H14">TRANSPOSE('Data Sheet'!B16:K16)</f>
        <v/>
      </c>
      <c r="I5" s="107">
        <f t="array" ref="I5:I14">TRANSPOSE('Historical FS'!C19:L19)</f>
        <v/>
      </c>
      <c r="J5" s="163" t="inlineStr">
        <is>
          <t>-</t>
        </is>
      </c>
      <c r="L5" t="n">
        <v>1</v>
      </c>
      <c r="M5" s="54">
        <f t="array" ref="M5:M14">TRANSPOSE('Data Sheet'!B16:K16)</f>
        <v/>
      </c>
      <c r="N5" s="107">
        <f t="array" ref="N5:N14">TRANSPOSE('Historical FS'!C37:L37)</f>
        <v/>
      </c>
      <c r="O5" s="56" t="inlineStr">
        <is>
          <t>-</t>
        </is>
      </c>
    </row>
    <row r="6">
      <c r="B6">
        <f>B5+1</f>
        <v/>
      </c>
      <c r="C6" s="54" t="n">
        <v>43190</v>
      </c>
      <c r="D6" s="107" t="n">
        <v>43448.94</v>
      </c>
      <c r="E6" s="36">
        <f>D6/D5-1</f>
        <v/>
      </c>
      <c r="G6">
        <f>G5+1</f>
        <v/>
      </c>
      <c r="H6" s="54" t="n">
        <v>43190</v>
      </c>
      <c r="I6" s="107" t="n">
        <v>17526.57</v>
      </c>
      <c r="J6" s="36">
        <f>I6/I5-1</f>
        <v/>
      </c>
      <c r="L6">
        <f>L5+1</f>
        <v/>
      </c>
      <c r="M6" s="54" t="n">
        <v>43190</v>
      </c>
      <c r="N6" s="107" t="n">
        <v>10258.85</v>
      </c>
      <c r="O6" s="36">
        <f>N6/N5-1</f>
        <v/>
      </c>
    </row>
    <row r="7">
      <c r="B7">
        <f>B6+1</f>
        <v/>
      </c>
      <c r="C7" s="54" t="n">
        <v>43555</v>
      </c>
      <c r="D7" s="107" t="n">
        <v>48339.58</v>
      </c>
      <c r="E7" s="36">
        <f>D7/D6-1</f>
        <v/>
      </c>
      <c r="G7">
        <f>G6+1</f>
        <v/>
      </c>
      <c r="H7" s="54" t="n">
        <v>43555</v>
      </c>
      <c r="I7" s="107" t="n">
        <v>19577.24</v>
      </c>
      <c r="J7" s="36">
        <f>I7/I6-1</f>
        <v/>
      </c>
      <c r="L7">
        <f>L6+1</f>
        <v/>
      </c>
      <c r="M7" s="54" t="n">
        <v>43555</v>
      </c>
      <c r="N7" s="107" t="n">
        <v>11795.31</v>
      </c>
      <c r="O7" s="36">
        <f>N7/N6-1</f>
        <v/>
      </c>
    </row>
    <row r="8">
      <c r="B8">
        <f>B7+1</f>
        <v/>
      </c>
      <c r="C8" s="54" t="n">
        <v>43921</v>
      </c>
      <c r="D8" s="107" t="n">
        <v>49387.7</v>
      </c>
      <c r="E8" s="36">
        <f>D8/D7-1</f>
        <v/>
      </c>
      <c r="G8">
        <f>G7+1</f>
        <v/>
      </c>
      <c r="H8" s="54" t="n">
        <v>43921</v>
      </c>
      <c r="I8" s="107" t="n">
        <v>20568.67</v>
      </c>
      <c r="J8" s="36">
        <f>I8/I7-1</f>
        <v/>
      </c>
      <c r="L8">
        <f>L7+1</f>
        <v/>
      </c>
      <c r="M8" s="54" t="n">
        <v>43921</v>
      </c>
      <c r="N8" s="107" t="n">
        <v>14400.59</v>
      </c>
      <c r="O8" s="36">
        <f>N8/N7-1</f>
        <v/>
      </c>
    </row>
    <row r="9">
      <c r="B9">
        <f>B8+1</f>
        <v/>
      </c>
      <c r="C9" s="54" t="n">
        <v>44286</v>
      </c>
      <c r="D9" s="107" t="n">
        <v>49257.45</v>
      </c>
      <c r="E9" s="36">
        <f>D9/D8-1</f>
        <v/>
      </c>
      <c r="G9">
        <f>G8+1</f>
        <v/>
      </c>
      <c r="H9" s="54" t="n">
        <v>44286</v>
      </c>
      <c r="I9" s="107" t="n">
        <v>18139.17</v>
      </c>
      <c r="J9" s="36">
        <f>I9/I8-1</f>
        <v/>
      </c>
      <c r="L9">
        <f>L8+1</f>
        <v/>
      </c>
      <c r="M9" s="54" t="n">
        <v>44286</v>
      </c>
      <c r="N9" s="107" t="n">
        <v>11880.32</v>
      </c>
      <c r="O9" s="36">
        <f>N9/N8-1</f>
        <v/>
      </c>
    </row>
    <row r="10">
      <c r="B10">
        <f>B9+1</f>
        <v/>
      </c>
      <c r="C10" s="54" t="n">
        <v>44651</v>
      </c>
      <c r="D10" s="107" t="n">
        <v>60644.54</v>
      </c>
      <c r="E10" s="36">
        <f>D10/D9-1</f>
        <v/>
      </c>
      <c r="G10">
        <f>G9+1</f>
        <v/>
      </c>
      <c r="H10" s="54" t="n">
        <v>44651</v>
      </c>
      <c r="I10" s="107" t="n">
        <v>21733.09999999999</v>
      </c>
      <c r="J10" s="36">
        <f>I10/I9-1</f>
        <v/>
      </c>
      <c r="L10">
        <f>L9+1</f>
        <v/>
      </c>
      <c r="M10" s="54" t="n">
        <v>44651</v>
      </c>
      <c r="N10" s="107" t="n">
        <v>14703.35999999999</v>
      </c>
      <c r="O10" s="36">
        <f>N10/N9-1</f>
        <v/>
      </c>
    </row>
    <row r="11">
      <c r="B11">
        <f>B10+1</f>
        <v/>
      </c>
      <c r="C11" s="54" t="n">
        <v>45016</v>
      </c>
      <c r="D11" s="107" t="n">
        <v>70919.03</v>
      </c>
      <c r="E11" s="36">
        <f>D11/D10-1</f>
        <v/>
      </c>
      <c r="G11">
        <f>G10+1</f>
        <v/>
      </c>
      <c r="H11" s="54" t="n">
        <v>45016</v>
      </c>
      <c r="I11" s="107" t="n">
        <v>27012.81999999999</v>
      </c>
      <c r="J11" s="36">
        <f>I11/I10-1</f>
        <v/>
      </c>
      <c r="L11">
        <f>L10+1</f>
        <v/>
      </c>
      <c r="M11" s="54" t="n">
        <v>45016</v>
      </c>
      <c r="N11" s="107" t="n">
        <v>18687.63999999999</v>
      </c>
      <c r="O11" s="36">
        <f>N11/N10-1</f>
        <v/>
      </c>
    </row>
    <row r="12">
      <c r="B12">
        <f>B11+1</f>
        <v/>
      </c>
      <c r="C12" s="54" t="n">
        <v>45382</v>
      </c>
      <c r="D12" s="107" t="n">
        <v>67931.94</v>
      </c>
      <c r="E12" s="36">
        <f>D12/D11-1</f>
        <v/>
      </c>
      <c r="G12">
        <f>G11+1</f>
        <v/>
      </c>
      <c r="H12" s="54" t="n">
        <v>45382</v>
      </c>
      <c r="I12" s="107" t="n">
        <v>26953.5</v>
      </c>
      <c r="J12" s="36">
        <f>I12/I11-1</f>
        <v/>
      </c>
      <c r="L12">
        <f>L11+1</f>
        <v/>
      </c>
      <c r="M12" s="54" t="n">
        <v>45382</v>
      </c>
      <c r="N12" s="107" t="n">
        <v>19186.88</v>
      </c>
      <c r="O12" s="36">
        <f>N12/N11-1</f>
        <v/>
      </c>
    </row>
    <row r="13">
      <c r="B13">
        <f>B12+1</f>
        <v/>
      </c>
      <c r="C13" s="54" t="n">
        <v>45747</v>
      </c>
      <c r="D13" s="107" t="n">
        <v>75323.34</v>
      </c>
      <c r="E13" s="36">
        <f>D13/D12-1</f>
        <v/>
      </c>
      <c r="G13">
        <f>G12+1</f>
        <v/>
      </c>
      <c r="H13" s="54" t="n">
        <v>45747</v>
      </c>
      <c r="I13" s="107" t="n">
        <v>28060.84</v>
      </c>
      <c r="J13" s="36">
        <f>I13/I12-1</f>
        <v/>
      </c>
      <c r="L13">
        <f>L12+1</f>
        <v/>
      </c>
      <c r="M13" s="54" t="n">
        <v>45747</v>
      </c>
      <c r="N13" s="107" t="n">
        <v>19478.98999999999</v>
      </c>
      <c r="O13" s="36">
        <f>N13/N12-1</f>
        <v/>
      </c>
    </row>
    <row r="14">
      <c r="B14">
        <f>B13+1</f>
        <v/>
      </c>
      <c r="C14" s="54" t="n">
        <v>46112</v>
      </c>
      <c r="D14" s="107" t="n">
        <v>78868.39999999999</v>
      </c>
      <c r="E14" s="36">
        <f>D14/D13-1</f>
        <v/>
      </c>
      <c r="G14">
        <f>G13+1</f>
        <v/>
      </c>
      <c r="H14" s="54" t="n">
        <v>46112</v>
      </c>
      <c r="I14" s="107" t="n">
        <v>29630.87999999999</v>
      </c>
      <c r="J14" s="36">
        <f>I14/I13-1</f>
        <v/>
      </c>
      <c r="L14">
        <f>L13+1</f>
        <v/>
      </c>
      <c r="M14" s="54" t="n">
        <v>46112</v>
      </c>
      <c r="N14" s="107" t="n">
        <v>20819.94</v>
      </c>
      <c r="O14" s="36">
        <f>N14/N13-1</f>
        <v/>
      </c>
    </row>
    <row r="15">
      <c r="B15">
        <f>B14+1</f>
        <v/>
      </c>
      <c r="C15" s="55">
        <f>C14+365</f>
        <v/>
      </c>
      <c r="D15" s="107">
        <f>FORECAST(B15,$D$5:$D$14,$B$5:$B$14)</f>
        <v/>
      </c>
      <c r="E15" s="36">
        <f>D15/D14-1</f>
        <v/>
      </c>
      <c r="G15">
        <f>G14+1</f>
        <v/>
      </c>
      <c r="H15" s="55">
        <f>H14+365</f>
        <v/>
      </c>
      <c r="I15" s="107">
        <f>FORECAST(G15,$I$5:$I$14,$G$5:$G$14)</f>
        <v/>
      </c>
      <c r="J15" s="36">
        <f>I15/I14-1</f>
        <v/>
      </c>
      <c r="L15">
        <f>L14+1</f>
        <v/>
      </c>
      <c r="M15" s="55">
        <f>M14+365</f>
        <v/>
      </c>
      <c r="N15" s="107">
        <f>FORECAST(L15,$N$5:$N$14,$L$5:$L$14)</f>
        <v/>
      </c>
      <c r="O15" s="36">
        <f>N15/N14-1</f>
        <v/>
      </c>
    </row>
    <row r="16">
      <c r="B16">
        <f>B15+1</f>
        <v/>
      </c>
      <c r="C16" s="55">
        <f>C15+365</f>
        <v/>
      </c>
      <c r="D16" s="107">
        <f>FORECAST(B16,$D$5:$D$14,$B$5:$B$14)</f>
        <v/>
      </c>
      <c r="E16" s="36">
        <f>D16/D15-1</f>
        <v/>
      </c>
      <c r="G16">
        <f>G15+1</f>
        <v/>
      </c>
      <c r="H16" s="55">
        <f>H15+365</f>
        <v/>
      </c>
      <c r="I16" s="107">
        <f>FORECAST(G16,$I$5:$I$14,$G$5:$G$14)</f>
        <v/>
      </c>
      <c r="J16" s="36">
        <f>I16/I15-1</f>
        <v/>
      </c>
      <c r="L16">
        <f>L15+1</f>
        <v/>
      </c>
      <c r="M16" s="55">
        <f>M15+365</f>
        <v/>
      </c>
      <c r="N16" s="107">
        <f>FORECAST(L16,$N$5:$N$14,$L$5:$L$14)</f>
        <v/>
      </c>
      <c r="O16" s="36">
        <f>N16/N15-1</f>
        <v/>
      </c>
    </row>
    <row r="17">
      <c r="B17">
        <f>B16+1</f>
        <v/>
      </c>
      <c r="C17" s="55">
        <f>C16+365</f>
        <v/>
      </c>
      <c r="D17" s="107">
        <f>FORECAST(B17,$D$5:$D$14,$B$5:$B$14)</f>
        <v/>
      </c>
      <c r="E17" s="36">
        <f>D17/D16-1</f>
        <v/>
      </c>
      <c r="G17">
        <f>G16+1</f>
        <v/>
      </c>
      <c r="H17" s="55">
        <f>H16+365</f>
        <v/>
      </c>
      <c r="I17" s="107">
        <f>FORECAST(G17,$I$5:$I$14,$G$5:$G$14)</f>
        <v/>
      </c>
      <c r="J17" s="36">
        <f>I17/I16-1</f>
        <v/>
      </c>
      <c r="L17">
        <f>L16+1</f>
        <v/>
      </c>
      <c r="M17" s="55">
        <f>M16+365</f>
        <v/>
      </c>
      <c r="N17" s="107">
        <f>FORECAST(L17,$N$5:$N$14,$L$5:$L$14)</f>
        <v/>
      </c>
      <c r="O17" s="36">
        <f>N17/N16-1</f>
        <v/>
      </c>
    </row>
    <row r="18">
      <c r="B18">
        <f>B17+1</f>
        <v/>
      </c>
      <c r="C18" s="55">
        <f>C17+365</f>
        <v/>
      </c>
      <c r="D18" s="107">
        <f>FORECAST(B18,$D$5:$D$14,$B$5:$B$14)</f>
        <v/>
      </c>
      <c r="E18" s="36">
        <f>D18/D17-1</f>
        <v/>
      </c>
      <c r="G18">
        <f>G17+1</f>
        <v/>
      </c>
      <c r="H18" s="55">
        <f>H17+365</f>
        <v/>
      </c>
      <c r="I18" s="107">
        <f>FORECAST(G18,$I$5:$I$14,$G$5:$G$14)</f>
        <v/>
      </c>
      <c r="J18" s="36">
        <f>I18/I17-1</f>
        <v/>
      </c>
      <c r="L18">
        <f>L17+1</f>
        <v/>
      </c>
      <c r="M18" s="55">
        <f>M17+365</f>
        <v/>
      </c>
      <c r="N18" s="107">
        <f>FORECAST(L18,$N$5:$N$14,$L$5:$L$14)</f>
        <v/>
      </c>
      <c r="O18" s="36">
        <f>N18/N17-1</f>
        <v/>
      </c>
    </row>
    <row r="19">
      <c r="B19">
        <f>B18+1</f>
        <v/>
      </c>
      <c r="C19" s="55">
        <f>C18+365</f>
        <v/>
      </c>
      <c r="D19" s="107">
        <f>FORECAST(B19,$D$5:$D$14,$B$5:$B$14)</f>
        <v/>
      </c>
      <c r="E19" s="36">
        <f>D19/D18-1</f>
        <v/>
      </c>
      <c r="G19">
        <f>G18+1</f>
        <v/>
      </c>
      <c r="H19" s="55">
        <f>H18+365</f>
        <v/>
      </c>
      <c r="I19" s="107">
        <f>FORECAST(G19,$I$5:$I$14,$G$5:$G$14)</f>
        <v/>
      </c>
      <c r="J19" s="36">
        <f>I19/I18-1</f>
        <v/>
      </c>
      <c r="L19">
        <f>L18+1</f>
        <v/>
      </c>
      <c r="M19" s="55">
        <f>M18+365</f>
        <v/>
      </c>
      <c r="N19" s="107">
        <f>FORECAST(L19,$N$5:$N$14,$L$5:$L$14)</f>
        <v/>
      </c>
      <c r="O19" s="36">
        <f>N19/N18-1</f>
        <v/>
      </c>
    </row>
  </sheetData>
  <mergeCells count="3">
    <mergeCell ref="L2:O2"/>
    <mergeCell ref="G2:J2"/>
    <mergeCell ref="B2:E2"/>
  </mergeCell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K32"/>
  <sheetViews>
    <sheetView showGridLines="0" topLeftCell="A5" workbookViewId="0">
      <selection activeCell="G14" sqref="E14:G14"/>
    </sheetView>
  </sheetViews>
  <sheetFormatPr baseColWidth="8" defaultRowHeight="14.4"/>
  <cols>
    <col width="1.88671875" customWidth="1" style="109" min="1" max="1"/>
  </cols>
  <sheetData>
    <row r="1">
      <c r="A1" s="39" t="n"/>
      <c r="B1" s="39" t="n"/>
      <c r="C1" s="39" t="n"/>
      <c r="D1" s="39" t="n"/>
      <c r="E1" s="39" t="n"/>
      <c r="F1" s="39" t="n"/>
      <c r="G1" s="39" t="n"/>
      <c r="H1" s="39" t="n"/>
      <c r="I1" s="39" t="n"/>
      <c r="J1" s="39" t="n"/>
      <c r="K1" s="39" t="n"/>
    </row>
    <row r="2">
      <c r="A2" s="39" t="n"/>
      <c r="B2" s="39" t="n"/>
      <c r="C2" s="39" t="n"/>
      <c r="D2" s="39" t="n"/>
      <c r="E2" s="39" t="n"/>
      <c r="F2" s="39" t="n"/>
      <c r="G2" s="39" t="n"/>
      <c r="H2" s="39" t="n"/>
      <c r="I2" s="39" t="n"/>
      <c r="J2" s="39" t="n"/>
      <c r="K2" s="39" t="n"/>
    </row>
    <row r="3">
      <c r="A3" s="39" t="n"/>
      <c r="B3" s="39" t="n"/>
      <c r="C3" s="39" t="n"/>
      <c r="D3" s="39" t="n"/>
      <c r="E3" s="39" t="n"/>
      <c r="F3" s="39" t="n"/>
      <c r="G3" s="39" t="n"/>
      <c r="H3" s="39" t="n"/>
      <c r="I3" s="39" t="n"/>
      <c r="J3" s="39" t="n"/>
      <c r="K3" s="39" t="n"/>
    </row>
    <row r="4">
      <c r="A4" s="39" t="n"/>
      <c r="B4" s="39" t="n"/>
      <c r="C4" s="39" t="n"/>
      <c r="D4" s="39" t="n"/>
      <c r="E4" s="39" t="n"/>
      <c r="F4" s="39" t="n"/>
      <c r="G4" s="39" t="n"/>
      <c r="H4" s="39" t="n"/>
      <c r="I4" s="39" t="n"/>
      <c r="J4" s="39" t="n"/>
      <c r="K4" s="39" t="n"/>
    </row>
    <row r="6">
      <c r="B6" s="84" t="inlineStr">
        <is>
          <t>Return on Markets</t>
        </is>
      </c>
      <c r="C6" s="84" t="n"/>
      <c r="D6" s="84" t="n"/>
      <c r="E6" s="84" t="n"/>
      <c r="F6" s="84" t="n"/>
      <c r="G6" s="84" t="n"/>
      <c r="H6" s="39" t="n"/>
      <c r="I6" s="39" t="n"/>
    </row>
    <row r="8">
      <c r="B8" s="61" t="inlineStr">
        <is>
          <t>Date</t>
        </is>
      </c>
      <c r="C8" s="61" t="inlineStr">
        <is>
          <t>Annual</t>
        </is>
      </c>
    </row>
    <row r="9">
      <c r="B9">
        <f>'Raw Data'!B6</f>
        <v/>
      </c>
      <c r="C9" s="36">
        <f>'Raw Data'!C6</f>
        <v/>
      </c>
    </row>
    <row r="10">
      <c r="B10">
        <f>'Raw Data'!B7</f>
        <v/>
      </c>
      <c r="C10" s="36">
        <f>'Raw Data'!C7</f>
        <v/>
      </c>
    </row>
    <row r="11">
      <c r="B11">
        <f>'Raw Data'!B8</f>
        <v/>
      </c>
      <c r="C11" s="36">
        <f>'Raw Data'!C8</f>
        <v/>
      </c>
    </row>
    <row r="12">
      <c r="B12">
        <f>'Raw Data'!B9</f>
        <v/>
      </c>
      <c r="C12" s="36">
        <f>'Raw Data'!C9</f>
        <v/>
      </c>
      <c r="E12" t="inlineStr">
        <is>
          <t>Average Market Returns</t>
        </is>
      </c>
      <c r="H12" s="46">
        <f>AVERAGE(C9:C32)</f>
        <v/>
      </c>
    </row>
    <row r="13">
      <c r="B13">
        <f>'Raw Data'!B10</f>
        <v/>
      </c>
      <c r="C13" s="36">
        <f>'Raw Data'!C10</f>
        <v/>
      </c>
      <c r="E13" t="inlineStr">
        <is>
          <t>Dividend Yield</t>
        </is>
      </c>
      <c r="H13" s="46" t="n">
        <v>0.0128</v>
      </c>
    </row>
    <row r="14">
      <c r="B14">
        <f>'Raw Data'!B11</f>
        <v/>
      </c>
      <c r="C14" s="36">
        <f>'Raw Data'!C11</f>
        <v/>
      </c>
      <c r="E14" s="116" t="inlineStr">
        <is>
          <t>Total Market Returns</t>
        </is>
      </c>
      <c r="F14" s="116" t="n"/>
      <c r="G14" s="116" t="n"/>
      <c r="H14" s="115">
        <f>SUM(H12:H13)</f>
        <v/>
      </c>
    </row>
    <row r="15">
      <c r="B15">
        <f>'Raw Data'!B12</f>
        <v/>
      </c>
      <c r="C15" s="36">
        <f>'Raw Data'!C12</f>
        <v/>
      </c>
    </row>
    <row r="16">
      <c r="B16">
        <f>'Raw Data'!B13</f>
        <v/>
      </c>
      <c r="C16" s="36">
        <f>'Raw Data'!C13</f>
        <v/>
      </c>
    </row>
    <row r="17">
      <c r="B17">
        <f>'Raw Data'!B14</f>
        <v/>
      </c>
      <c r="C17" s="36">
        <f>'Raw Data'!C14</f>
        <v/>
      </c>
    </row>
    <row r="18">
      <c r="B18">
        <f>'Raw Data'!B15</f>
        <v/>
      </c>
      <c r="C18" s="36">
        <f>'Raw Data'!C15</f>
        <v/>
      </c>
    </row>
    <row r="19">
      <c r="B19">
        <f>'Raw Data'!B16</f>
        <v/>
      </c>
      <c r="C19" s="36">
        <f>'Raw Data'!C16</f>
        <v/>
      </c>
    </row>
    <row r="20">
      <c r="B20">
        <f>'Raw Data'!B17</f>
        <v/>
      </c>
      <c r="C20" s="36">
        <f>'Raw Data'!C17</f>
        <v/>
      </c>
    </row>
    <row r="21">
      <c r="B21">
        <f>'Raw Data'!B18</f>
        <v/>
      </c>
      <c r="C21" s="36">
        <f>'Raw Data'!C18</f>
        <v/>
      </c>
    </row>
    <row r="22">
      <c r="B22">
        <f>'Raw Data'!B19</f>
        <v/>
      </c>
      <c r="C22" s="36">
        <f>'Raw Data'!C19</f>
        <v/>
      </c>
    </row>
    <row r="23">
      <c r="B23">
        <f>'Raw Data'!B20</f>
        <v/>
      </c>
      <c r="C23" s="36">
        <f>'Raw Data'!C20</f>
        <v/>
      </c>
    </row>
    <row r="24">
      <c r="B24">
        <f>'Raw Data'!B21</f>
        <v/>
      </c>
      <c r="C24" s="36">
        <f>'Raw Data'!C21</f>
        <v/>
      </c>
    </row>
    <row r="25">
      <c r="B25">
        <f>'Raw Data'!B22</f>
        <v/>
      </c>
      <c r="C25" s="36">
        <f>'Raw Data'!C22</f>
        <v/>
      </c>
    </row>
    <row r="26">
      <c r="B26">
        <f>'Raw Data'!B23</f>
        <v/>
      </c>
      <c r="C26" s="36">
        <f>'Raw Data'!C23</f>
        <v/>
      </c>
    </row>
    <row r="27">
      <c r="B27">
        <f>'Raw Data'!B24</f>
        <v/>
      </c>
      <c r="C27" s="36">
        <f>'Raw Data'!C24</f>
        <v/>
      </c>
    </row>
    <row r="28">
      <c r="B28">
        <f>'Raw Data'!B25</f>
        <v/>
      </c>
      <c r="C28" s="36">
        <f>'Raw Data'!C25</f>
        <v/>
      </c>
    </row>
    <row r="29">
      <c r="B29">
        <f>'Raw Data'!B26</f>
        <v/>
      </c>
      <c r="C29" s="36">
        <f>'Raw Data'!C26</f>
        <v/>
      </c>
    </row>
    <row r="30">
      <c r="B30">
        <f>'Raw Data'!B27</f>
        <v/>
      </c>
      <c r="C30" s="36">
        <f>'Raw Data'!C27</f>
        <v/>
      </c>
    </row>
    <row r="31">
      <c r="B31">
        <f>'Raw Data'!B28</f>
        <v/>
      </c>
      <c r="C31" s="36">
        <f>'Raw Data'!C28</f>
        <v/>
      </c>
    </row>
    <row r="32">
      <c r="B32">
        <f>'Raw Data'!B29</f>
        <v/>
      </c>
      <c r="C32" s="36">
        <f>'Raw Data'!C29</f>
        <v/>
      </c>
    </row>
  </sheetData>
  <pageMargins left="0.7" right="0.7" top="0.75" bottom="0.75" header="0.3" footer="0.3"/>
  <drawing xmlns:r="http://schemas.openxmlformats.org/officeDocument/2006/relationships" r:id="rId1"/>
</worksheet>
</file>

<file path=xl/worksheets/sheet13.xml><?xml version="1.0" encoding="utf-8"?>
<worksheet xmlns="http://schemas.openxmlformats.org/spreadsheetml/2006/main">
  <sheetPr>
    <outlinePr summaryBelow="1" summaryRight="1"/>
    <pageSetUpPr/>
  </sheetPr>
  <dimension ref="A1:O302"/>
  <sheetViews>
    <sheetView showGridLines="0" topLeftCell="A4" workbookViewId="0">
      <selection activeCell="H11" sqref="H11:H252"/>
    </sheetView>
  </sheetViews>
  <sheetFormatPr baseColWidth="8" defaultRowHeight="14.4"/>
  <cols>
    <col width="1.88671875" customWidth="1" style="109" min="1" max="1"/>
    <col width="11.5546875" customWidth="1" style="109" min="2" max="2"/>
    <col width="11.6640625" bestFit="1" customWidth="1" style="109" min="3" max="3"/>
    <col width="14.21875" customWidth="1" style="109" min="4" max="4"/>
    <col width="11.33203125" customWidth="1" style="109" min="6" max="6"/>
    <col width="12.33203125" customWidth="1" style="109" min="7" max="7"/>
    <col width="13.44140625" customWidth="1" style="109" min="8" max="8"/>
    <col width="13.6640625" customWidth="1" style="109" min="12" max="12"/>
  </cols>
  <sheetData>
    <row r="1">
      <c r="A1" s="39" t="n"/>
      <c r="B1" s="39" t="n"/>
      <c r="C1" s="39" t="n"/>
      <c r="D1" s="39" t="n"/>
      <c r="E1" s="39" t="n"/>
      <c r="F1" s="39" t="n"/>
      <c r="G1" s="39" t="n"/>
      <c r="H1" s="39" t="n"/>
      <c r="I1" s="39" t="n"/>
      <c r="J1" s="39" t="n"/>
      <c r="K1" s="39" t="n"/>
      <c r="L1" s="39" t="n"/>
      <c r="M1" s="39" t="n"/>
      <c r="N1" s="39" t="n"/>
      <c r="O1" s="39" t="n"/>
    </row>
    <row r="2">
      <c r="A2" s="39" t="n"/>
      <c r="B2" s="39" t="n"/>
      <c r="C2" s="39" t="n"/>
      <c r="D2" s="39" t="n"/>
      <c r="E2" s="39" t="n"/>
      <c r="F2" s="39" t="n"/>
      <c r="G2" s="39" t="n"/>
      <c r="H2" s="39" t="n"/>
      <c r="I2" s="39" t="n"/>
      <c r="J2" s="39" t="n"/>
      <c r="K2" s="39" t="n"/>
      <c r="L2" s="39" t="n"/>
      <c r="M2" s="39" t="n"/>
      <c r="N2" s="39" t="n"/>
      <c r="O2" s="39" t="n"/>
    </row>
    <row r="3">
      <c r="A3" s="39" t="n"/>
      <c r="B3" s="39" t="n"/>
      <c r="C3" s="39" t="n"/>
      <c r="D3" s="39" t="n"/>
      <c r="E3" s="39" t="n"/>
      <c r="F3" s="39" t="n"/>
      <c r="G3" s="39" t="n"/>
      <c r="H3" s="39" t="n"/>
      <c r="I3" s="39" t="n"/>
      <c r="J3" s="39" t="n"/>
      <c r="K3" s="39" t="n"/>
      <c r="L3" s="39" t="n"/>
      <c r="M3" s="39" t="n"/>
      <c r="N3" s="39" t="n"/>
      <c r="O3" s="39" t="n"/>
    </row>
    <row r="4">
      <c r="A4" s="39" t="n"/>
      <c r="B4" s="39" t="n"/>
      <c r="C4" s="39" t="n"/>
      <c r="D4" s="39" t="n"/>
      <c r="E4" s="39" t="n"/>
      <c r="F4" s="39" t="n"/>
      <c r="G4" s="39" t="n"/>
      <c r="H4" s="39" t="n"/>
      <c r="I4" s="39" t="n"/>
      <c r="J4" s="39" t="n"/>
      <c r="K4" s="39" t="n"/>
      <c r="L4" s="39" t="n"/>
      <c r="M4" s="39" t="n"/>
      <c r="N4" s="39" t="n"/>
      <c r="O4" s="39" t="n"/>
    </row>
    <row r="6">
      <c r="B6" s="52" t="inlineStr">
        <is>
          <t>Beta Regression</t>
        </is>
      </c>
    </row>
    <row r="7">
      <c r="B7" s="84">
        <f>'Data Sheet'!B1&amp;" Daily Returns"</f>
        <v/>
      </c>
      <c r="C7" s="84" t="n"/>
      <c r="D7" s="84" t="n"/>
      <c r="F7" s="160" t="inlineStr">
        <is>
          <t>Nifty 50 Daily Returns</t>
        </is>
      </c>
      <c r="J7" s="160" t="inlineStr">
        <is>
          <t>Beta Drifting</t>
        </is>
      </c>
    </row>
    <row r="9">
      <c r="B9" s="58" t="inlineStr">
        <is>
          <t>Date</t>
        </is>
      </c>
      <c r="C9" s="58" t="inlineStr">
        <is>
          <t xml:space="preserve">Closing Price </t>
        </is>
      </c>
      <c r="D9" s="58" t="inlineStr">
        <is>
          <t>Daily Returns</t>
        </is>
      </c>
      <c r="F9" s="58" t="inlineStr">
        <is>
          <t>Date</t>
        </is>
      </c>
      <c r="G9" s="58" t="inlineStr">
        <is>
          <t xml:space="preserve">Closing Price </t>
        </is>
      </c>
      <c r="H9" s="58" t="inlineStr">
        <is>
          <t>Daily Returns</t>
        </is>
      </c>
      <c r="J9" t="inlineStr">
        <is>
          <t>Levered Raw Beta</t>
        </is>
      </c>
      <c r="L9">
        <f>O11</f>
        <v/>
      </c>
    </row>
    <row r="10">
      <c r="B10" s="34">
        <f>'Raw Data'!G6</f>
        <v/>
      </c>
      <c r="C10">
        <f>'Raw Data'!H6</f>
        <v/>
      </c>
      <c r="D10" s="163" t="inlineStr">
        <is>
          <t>-</t>
        </is>
      </c>
      <c r="F10" s="34">
        <f>'Raw Data'!G6</f>
        <v/>
      </c>
      <c r="G10">
        <f>'Raw Data'!J6</f>
        <v/>
      </c>
      <c r="H10" s="163" t="inlineStr">
        <is>
          <t>-</t>
        </is>
      </c>
      <c r="J10" t="inlineStr">
        <is>
          <t>Raw Beta Weight</t>
        </is>
      </c>
      <c r="L10" s="46" t="n">
        <v>0.75</v>
      </c>
    </row>
    <row r="11">
      <c r="B11" s="34">
        <f>'Raw Data'!G7</f>
        <v/>
      </c>
      <c r="C11">
        <f>'Raw Data'!H7</f>
        <v/>
      </c>
      <c r="D11" s="36">
        <f>C10/C11-1</f>
        <v/>
      </c>
      <c r="F11" s="34">
        <f>'Raw Data'!G7</f>
        <v/>
      </c>
      <c r="G11">
        <f>'Raw Data'!J7</f>
        <v/>
      </c>
      <c r="H11" s="36">
        <f>G10/G11-1</f>
        <v/>
      </c>
      <c r="N11" t="inlineStr">
        <is>
          <t>Beta 1</t>
        </is>
      </c>
      <c r="O11">
        <f>SLOPE(D10:D256, H10:H256)</f>
        <v/>
      </c>
    </row>
    <row r="12">
      <c r="B12" s="34">
        <f>'Raw Data'!G8</f>
        <v/>
      </c>
      <c r="C12">
        <f>'Raw Data'!H8</f>
        <v/>
      </c>
      <c r="D12" s="36">
        <f>C11/C12-1</f>
        <v/>
      </c>
      <c r="F12" s="34">
        <f>'Raw Data'!G8</f>
        <v/>
      </c>
      <c r="G12">
        <f>'Raw Data'!J8</f>
        <v/>
      </c>
      <c r="H12" s="36">
        <f>G11/G12-1</f>
        <v/>
      </c>
      <c r="J12" t="inlineStr">
        <is>
          <t>Market Beta</t>
        </is>
      </c>
      <c r="L12" s="47" t="n">
        <v>1</v>
      </c>
      <c r="N12" t="inlineStr">
        <is>
          <t>Beta 2</t>
        </is>
      </c>
      <c r="O12">
        <f>_xlfn.COVARIANCE.S(D10:D256, H10:H256)/_xlfn.VAR.S(H10:H256)</f>
        <v/>
      </c>
    </row>
    <row r="13">
      <c r="B13" s="34">
        <f>'Raw Data'!G9</f>
        <v/>
      </c>
      <c r="C13">
        <f>'Raw Data'!H9</f>
        <v/>
      </c>
      <c r="D13" s="36">
        <f>C12/C13-1</f>
        <v/>
      </c>
      <c r="F13" s="34">
        <f>'Raw Data'!G9</f>
        <v/>
      </c>
      <c r="G13">
        <f>'Raw Data'!J9</f>
        <v/>
      </c>
      <c r="H13" s="36">
        <f>G12/G13-1</f>
        <v/>
      </c>
      <c r="J13" t="inlineStr">
        <is>
          <t>Market Beta Weight</t>
        </is>
      </c>
      <c r="L13" s="46" t="n">
        <v>0.25</v>
      </c>
    </row>
    <row r="14">
      <c r="B14" s="34">
        <f>'Raw Data'!G10</f>
        <v/>
      </c>
      <c r="C14">
        <f>'Raw Data'!H10</f>
        <v/>
      </c>
      <c r="D14" s="36">
        <f>C13/C14-1</f>
        <v/>
      </c>
      <c r="F14" s="34">
        <f>'Raw Data'!G10</f>
        <v/>
      </c>
      <c r="G14">
        <f>'Raw Data'!J10</f>
        <v/>
      </c>
      <c r="H14" s="36">
        <f>G13/G14-1</f>
        <v/>
      </c>
    </row>
    <row r="15">
      <c r="B15" s="34">
        <f>'Raw Data'!G11</f>
        <v/>
      </c>
      <c r="C15">
        <f>'Raw Data'!H11</f>
        <v/>
      </c>
      <c r="D15" s="36">
        <f>C14/C15-1</f>
        <v/>
      </c>
      <c r="F15" s="34">
        <f>'Raw Data'!G11</f>
        <v/>
      </c>
      <c r="G15">
        <f>'Raw Data'!J11</f>
        <v/>
      </c>
      <c r="H15" s="36">
        <f>G14/G15-1</f>
        <v/>
      </c>
      <c r="J15" s="79" t="inlineStr">
        <is>
          <t>Adjusted Beta</t>
        </is>
      </c>
      <c r="K15" s="79" t="n"/>
      <c r="L15" s="79">
        <f>(L9*L10)+(L12*L13)</f>
        <v/>
      </c>
    </row>
    <row r="16">
      <c r="B16" s="34">
        <f>'Raw Data'!G12</f>
        <v/>
      </c>
      <c r="C16">
        <f>'Raw Data'!H12</f>
        <v/>
      </c>
      <c r="D16" s="36">
        <f>C15/C16-1</f>
        <v/>
      </c>
      <c r="F16" s="34">
        <f>'Raw Data'!G12</f>
        <v/>
      </c>
      <c r="G16">
        <f>'Raw Data'!J12</f>
        <v/>
      </c>
      <c r="H16" s="36">
        <f>G15/G16-1</f>
        <v/>
      </c>
    </row>
    <row r="17">
      <c r="B17" s="34">
        <f>'Raw Data'!G13</f>
        <v/>
      </c>
      <c r="C17">
        <f>'Raw Data'!H13</f>
        <v/>
      </c>
      <c r="D17" s="36">
        <f>C16/C17-1</f>
        <v/>
      </c>
      <c r="F17" s="34">
        <f>'Raw Data'!G13</f>
        <v/>
      </c>
      <c r="G17">
        <f>'Raw Data'!J13</f>
        <v/>
      </c>
      <c r="H17" s="36">
        <f>G16/G17-1</f>
        <v/>
      </c>
    </row>
    <row r="18">
      <c r="B18" s="34">
        <f>'Raw Data'!G14</f>
        <v/>
      </c>
      <c r="C18">
        <f>'Raw Data'!H14</f>
        <v/>
      </c>
      <c r="D18" s="36">
        <f>C17/C18-1</f>
        <v/>
      </c>
      <c r="F18" s="34">
        <f>'Raw Data'!G14</f>
        <v/>
      </c>
      <c r="G18">
        <f>'Raw Data'!J14</f>
        <v/>
      </c>
      <c r="H18" s="36">
        <f>G17/G18-1</f>
        <v/>
      </c>
    </row>
    <row r="19">
      <c r="B19" s="34">
        <f>'Raw Data'!G15</f>
        <v/>
      </c>
      <c r="C19">
        <f>'Raw Data'!H15</f>
        <v/>
      </c>
      <c r="D19" s="36">
        <f>C18/C19-1</f>
        <v/>
      </c>
      <c r="F19" s="34">
        <f>'Raw Data'!G15</f>
        <v/>
      </c>
      <c r="G19">
        <f>'Raw Data'!J15</f>
        <v/>
      </c>
      <c r="H19" s="36">
        <f>G18/G19-1</f>
        <v/>
      </c>
    </row>
    <row r="20">
      <c r="B20" s="34">
        <f>'Raw Data'!G16</f>
        <v/>
      </c>
      <c r="C20">
        <f>'Raw Data'!H16</f>
        <v/>
      </c>
      <c r="D20" s="36">
        <f>C19/C20-1</f>
        <v/>
      </c>
      <c r="F20" s="34">
        <f>'Raw Data'!G16</f>
        <v/>
      </c>
      <c r="G20">
        <f>'Raw Data'!J16</f>
        <v/>
      </c>
      <c r="H20" s="36">
        <f>G19/G20-1</f>
        <v/>
      </c>
    </row>
    <row r="21">
      <c r="B21" s="34">
        <f>'Raw Data'!G17</f>
        <v/>
      </c>
      <c r="C21">
        <f>'Raw Data'!H17</f>
        <v/>
      </c>
      <c r="D21" s="36">
        <f>C20/C21-1</f>
        <v/>
      </c>
      <c r="F21" s="34">
        <f>'Raw Data'!G17</f>
        <v/>
      </c>
      <c r="G21">
        <f>'Raw Data'!J17</f>
        <v/>
      </c>
      <c r="H21" s="36">
        <f>G20/G21-1</f>
        <v/>
      </c>
    </row>
    <row r="22">
      <c r="B22" s="34">
        <f>'Raw Data'!G18</f>
        <v/>
      </c>
      <c r="C22">
        <f>'Raw Data'!H18</f>
        <v/>
      </c>
      <c r="D22" s="36">
        <f>C21/C22-1</f>
        <v/>
      </c>
      <c r="F22" s="34">
        <f>'Raw Data'!G18</f>
        <v/>
      </c>
      <c r="G22">
        <f>'Raw Data'!J18</f>
        <v/>
      </c>
      <c r="H22" s="36">
        <f>G21/G22-1</f>
        <v/>
      </c>
    </row>
    <row r="23">
      <c r="B23" s="34">
        <f>'Raw Data'!G19</f>
        <v/>
      </c>
      <c r="C23">
        <f>'Raw Data'!H19</f>
        <v/>
      </c>
      <c r="D23" s="36">
        <f>C22/C23-1</f>
        <v/>
      </c>
      <c r="F23" s="34">
        <f>'Raw Data'!G19</f>
        <v/>
      </c>
      <c r="G23">
        <f>'Raw Data'!J19</f>
        <v/>
      </c>
      <c r="H23" s="36">
        <f>G22/G23-1</f>
        <v/>
      </c>
    </row>
    <row r="24">
      <c r="B24" s="34">
        <f>'Raw Data'!G20</f>
        <v/>
      </c>
      <c r="C24">
        <f>'Raw Data'!H20</f>
        <v/>
      </c>
      <c r="D24" s="36">
        <f>C23/C24-1</f>
        <v/>
      </c>
      <c r="F24" s="34">
        <f>'Raw Data'!G20</f>
        <v/>
      </c>
      <c r="G24">
        <f>'Raw Data'!J20</f>
        <v/>
      </c>
      <c r="H24" s="36">
        <f>G23/G24-1</f>
        <v/>
      </c>
    </row>
    <row r="25">
      <c r="B25" s="34">
        <f>'Raw Data'!G21</f>
        <v/>
      </c>
      <c r="C25">
        <f>'Raw Data'!H21</f>
        <v/>
      </c>
      <c r="D25" s="36">
        <f>C24/C25-1</f>
        <v/>
      </c>
      <c r="F25" s="34">
        <f>'Raw Data'!G21</f>
        <v/>
      </c>
      <c r="G25">
        <f>'Raw Data'!J21</f>
        <v/>
      </c>
      <c r="H25" s="36">
        <f>G24/G25-1</f>
        <v/>
      </c>
    </row>
    <row r="26">
      <c r="B26" s="34">
        <f>'Raw Data'!G22</f>
        <v/>
      </c>
      <c r="C26">
        <f>'Raw Data'!H22</f>
        <v/>
      </c>
      <c r="D26" s="36">
        <f>C25/C26-1</f>
        <v/>
      </c>
      <c r="F26" s="34">
        <f>'Raw Data'!G22</f>
        <v/>
      </c>
      <c r="G26">
        <f>'Raw Data'!J22</f>
        <v/>
      </c>
      <c r="H26" s="36">
        <f>G25/G26-1</f>
        <v/>
      </c>
    </row>
    <row r="27">
      <c r="B27" s="34">
        <f>'Raw Data'!G23</f>
        <v/>
      </c>
      <c r="C27">
        <f>'Raw Data'!H23</f>
        <v/>
      </c>
      <c r="D27" s="36">
        <f>C26/C27-1</f>
        <v/>
      </c>
      <c r="F27" s="34">
        <f>'Raw Data'!G23</f>
        <v/>
      </c>
      <c r="G27">
        <f>'Raw Data'!J23</f>
        <v/>
      </c>
      <c r="H27" s="36">
        <f>G26/G27-1</f>
        <v/>
      </c>
    </row>
    <row r="28">
      <c r="B28" s="34">
        <f>'Raw Data'!G24</f>
        <v/>
      </c>
      <c r="C28">
        <f>'Raw Data'!H24</f>
        <v/>
      </c>
      <c r="D28" s="36">
        <f>C27/C28-1</f>
        <v/>
      </c>
      <c r="F28" s="34">
        <f>'Raw Data'!G24</f>
        <v/>
      </c>
      <c r="G28">
        <f>'Raw Data'!J24</f>
        <v/>
      </c>
      <c r="H28" s="36">
        <f>G27/G28-1</f>
        <v/>
      </c>
    </row>
    <row r="29">
      <c r="B29" s="34">
        <f>'Raw Data'!G25</f>
        <v/>
      </c>
      <c r="C29">
        <f>'Raw Data'!H25</f>
        <v/>
      </c>
      <c r="D29" s="36">
        <f>C28/C29-1</f>
        <v/>
      </c>
      <c r="F29" s="34">
        <f>'Raw Data'!G25</f>
        <v/>
      </c>
      <c r="G29">
        <f>'Raw Data'!J25</f>
        <v/>
      </c>
      <c r="H29" s="36">
        <f>G28/G29-1</f>
        <v/>
      </c>
    </row>
    <row r="30">
      <c r="B30" s="34">
        <f>'Raw Data'!G26</f>
        <v/>
      </c>
      <c r="C30">
        <f>'Raw Data'!H26</f>
        <v/>
      </c>
      <c r="D30" s="36">
        <f>C29/C30-1</f>
        <v/>
      </c>
      <c r="F30" s="34">
        <f>'Raw Data'!G26</f>
        <v/>
      </c>
      <c r="G30">
        <f>'Raw Data'!J26</f>
        <v/>
      </c>
      <c r="H30" s="36">
        <f>G29/G30-1</f>
        <v/>
      </c>
    </row>
    <row r="31">
      <c r="B31" s="34">
        <f>'Raw Data'!G27</f>
        <v/>
      </c>
      <c r="C31">
        <f>'Raw Data'!H27</f>
        <v/>
      </c>
      <c r="D31" s="36">
        <f>C30/C31-1</f>
        <v/>
      </c>
      <c r="F31" s="34">
        <f>'Raw Data'!G27</f>
        <v/>
      </c>
      <c r="G31">
        <f>'Raw Data'!J27</f>
        <v/>
      </c>
      <c r="H31" s="36">
        <f>G30/G31-1</f>
        <v/>
      </c>
    </row>
    <row r="32">
      <c r="B32" s="34">
        <f>'Raw Data'!G28</f>
        <v/>
      </c>
      <c r="C32">
        <f>'Raw Data'!H28</f>
        <v/>
      </c>
      <c r="D32" s="36">
        <f>C31/C32-1</f>
        <v/>
      </c>
      <c r="F32" s="34">
        <f>'Raw Data'!G28</f>
        <v/>
      </c>
      <c r="G32">
        <f>'Raw Data'!J28</f>
        <v/>
      </c>
      <c r="H32" s="36">
        <f>G31/G32-1</f>
        <v/>
      </c>
    </row>
    <row r="33">
      <c r="B33" s="34">
        <f>'Raw Data'!G29</f>
        <v/>
      </c>
      <c r="C33">
        <f>'Raw Data'!H29</f>
        <v/>
      </c>
      <c r="D33" s="36">
        <f>C32/C33-1</f>
        <v/>
      </c>
      <c r="F33" s="34">
        <f>'Raw Data'!G29</f>
        <v/>
      </c>
      <c r="G33">
        <f>'Raw Data'!J29</f>
        <v/>
      </c>
      <c r="H33" s="36">
        <f>G32/G33-1</f>
        <v/>
      </c>
    </row>
    <row r="34">
      <c r="B34" s="34">
        <f>'Raw Data'!G30</f>
        <v/>
      </c>
      <c r="C34">
        <f>'Raw Data'!H30</f>
        <v/>
      </c>
      <c r="D34" s="36">
        <f>C33/C34-1</f>
        <v/>
      </c>
      <c r="F34" s="34">
        <f>'Raw Data'!G30</f>
        <v/>
      </c>
      <c r="G34">
        <f>'Raw Data'!J30</f>
        <v/>
      </c>
      <c r="H34" s="36">
        <f>G33/G34-1</f>
        <v/>
      </c>
    </row>
    <row r="35">
      <c r="B35" s="34">
        <f>'Raw Data'!G31</f>
        <v/>
      </c>
      <c r="C35">
        <f>'Raw Data'!H31</f>
        <v/>
      </c>
      <c r="D35" s="36">
        <f>C34/C35-1</f>
        <v/>
      </c>
      <c r="F35" s="34">
        <f>'Raw Data'!G31</f>
        <v/>
      </c>
      <c r="G35">
        <f>'Raw Data'!J31</f>
        <v/>
      </c>
      <c r="H35" s="36">
        <f>G34/G35-1</f>
        <v/>
      </c>
    </row>
    <row r="36">
      <c r="B36" s="34">
        <f>'Raw Data'!G32</f>
        <v/>
      </c>
      <c r="C36">
        <f>'Raw Data'!H32</f>
        <v/>
      </c>
      <c r="D36" s="36">
        <f>C35/C36-1</f>
        <v/>
      </c>
      <c r="F36" s="34">
        <f>'Raw Data'!G32</f>
        <v/>
      </c>
      <c r="G36">
        <f>'Raw Data'!J32</f>
        <v/>
      </c>
      <c r="H36" s="36">
        <f>G35/G36-1</f>
        <v/>
      </c>
    </row>
    <row r="37">
      <c r="B37" s="34">
        <f>'Raw Data'!G33</f>
        <v/>
      </c>
      <c r="C37">
        <f>'Raw Data'!H33</f>
        <v/>
      </c>
      <c r="D37" s="36">
        <f>C36/C37-1</f>
        <v/>
      </c>
      <c r="F37" s="34">
        <f>'Raw Data'!G33</f>
        <v/>
      </c>
      <c r="G37">
        <f>'Raw Data'!J33</f>
        <v/>
      </c>
      <c r="H37" s="36">
        <f>G36/G37-1</f>
        <v/>
      </c>
    </row>
    <row r="38">
      <c r="B38" s="34">
        <f>'Raw Data'!G34</f>
        <v/>
      </c>
      <c r="C38">
        <f>'Raw Data'!H34</f>
        <v/>
      </c>
      <c r="D38" s="36">
        <f>C37/C38-1</f>
        <v/>
      </c>
      <c r="F38" s="34">
        <f>'Raw Data'!G34</f>
        <v/>
      </c>
      <c r="G38">
        <f>'Raw Data'!J34</f>
        <v/>
      </c>
      <c r="H38" s="36">
        <f>G37/G38-1</f>
        <v/>
      </c>
    </row>
    <row r="39">
      <c r="B39" s="34">
        <f>'Raw Data'!G35</f>
        <v/>
      </c>
      <c r="C39">
        <f>'Raw Data'!H35</f>
        <v/>
      </c>
      <c r="D39" s="36">
        <f>C38/C39-1</f>
        <v/>
      </c>
      <c r="F39" s="34">
        <f>'Raw Data'!G35</f>
        <v/>
      </c>
      <c r="G39">
        <f>'Raw Data'!J35</f>
        <v/>
      </c>
      <c r="H39" s="36">
        <f>G38/G39-1</f>
        <v/>
      </c>
    </row>
    <row r="40">
      <c r="B40" s="34">
        <f>'Raw Data'!G36</f>
        <v/>
      </c>
      <c r="C40">
        <f>'Raw Data'!H36</f>
        <v/>
      </c>
      <c r="D40" s="36">
        <f>C39/C40-1</f>
        <v/>
      </c>
      <c r="F40" s="34">
        <f>'Raw Data'!G36</f>
        <v/>
      </c>
      <c r="G40">
        <f>'Raw Data'!J36</f>
        <v/>
      </c>
      <c r="H40" s="36">
        <f>G39/G40-1</f>
        <v/>
      </c>
    </row>
    <row r="41">
      <c r="B41" s="34">
        <f>'Raw Data'!G37</f>
        <v/>
      </c>
      <c r="C41">
        <f>'Raw Data'!H37</f>
        <v/>
      </c>
      <c r="D41" s="36">
        <f>C40/C41-1</f>
        <v/>
      </c>
      <c r="F41" s="34">
        <f>'Raw Data'!G37</f>
        <v/>
      </c>
      <c r="G41">
        <f>'Raw Data'!J37</f>
        <v/>
      </c>
      <c r="H41" s="36">
        <f>G40/G41-1</f>
        <v/>
      </c>
    </row>
    <row r="42">
      <c r="B42" s="34">
        <f>'Raw Data'!G38</f>
        <v/>
      </c>
      <c r="C42">
        <f>'Raw Data'!H38</f>
        <v/>
      </c>
      <c r="D42" s="36">
        <f>C41/C42-1</f>
        <v/>
      </c>
      <c r="F42" s="34">
        <f>'Raw Data'!G38</f>
        <v/>
      </c>
      <c r="G42">
        <f>'Raw Data'!J38</f>
        <v/>
      </c>
      <c r="H42" s="36">
        <f>G41/G42-1</f>
        <v/>
      </c>
    </row>
    <row r="43">
      <c r="B43" s="34">
        <f>'Raw Data'!G39</f>
        <v/>
      </c>
      <c r="C43">
        <f>'Raw Data'!H39</f>
        <v/>
      </c>
      <c r="D43" s="36">
        <f>C42/C43-1</f>
        <v/>
      </c>
      <c r="F43" s="34">
        <f>'Raw Data'!G39</f>
        <v/>
      </c>
      <c r="G43">
        <f>'Raw Data'!J39</f>
        <v/>
      </c>
      <c r="H43" s="36">
        <f>G42/G43-1</f>
        <v/>
      </c>
    </row>
    <row r="44">
      <c r="B44" s="34">
        <f>'Raw Data'!G40</f>
        <v/>
      </c>
      <c r="C44">
        <f>'Raw Data'!H40</f>
        <v/>
      </c>
      <c r="D44" s="36">
        <f>C43/C44-1</f>
        <v/>
      </c>
      <c r="F44" s="34">
        <f>'Raw Data'!G40</f>
        <v/>
      </c>
      <c r="G44">
        <f>'Raw Data'!J40</f>
        <v/>
      </c>
      <c r="H44" s="36">
        <f>G43/G44-1</f>
        <v/>
      </c>
    </row>
    <row r="45">
      <c r="B45" s="34">
        <f>'Raw Data'!G41</f>
        <v/>
      </c>
      <c r="C45">
        <f>'Raw Data'!H41</f>
        <v/>
      </c>
      <c r="D45" s="36">
        <f>C44/C45-1</f>
        <v/>
      </c>
      <c r="F45" s="34">
        <f>'Raw Data'!G41</f>
        <v/>
      </c>
      <c r="G45">
        <f>'Raw Data'!J41</f>
        <v/>
      </c>
      <c r="H45" s="36">
        <f>G44/G45-1</f>
        <v/>
      </c>
    </row>
    <row r="46">
      <c r="B46" s="34">
        <f>'Raw Data'!G42</f>
        <v/>
      </c>
      <c r="C46">
        <f>'Raw Data'!H42</f>
        <v/>
      </c>
      <c r="D46" s="36">
        <f>C45/C46-1</f>
        <v/>
      </c>
      <c r="F46" s="34">
        <f>'Raw Data'!G42</f>
        <v/>
      </c>
      <c r="G46">
        <f>'Raw Data'!J42</f>
        <v/>
      </c>
      <c r="H46" s="36">
        <f>G45/G46-1</f>
        <v/>
      </c>
    </row>
    <row r="47">
      <c r="B47" s="34">
        <f>'Raw Data'!G43</f>
        <v/>
      </c>
      <c r="C47">
        <f>'Raw Data'!H43</f>
        <v/>
      </c>
      <c r="D47" s="36">
        <f>C46/C47-1</f>
        <v/>
      </c>
      <c r="F47" s="34">
        <f>'Raw Data'!G43</f>
        <v/>
      </c>
      <c r="G47">
        <f>'Raw Data'!J43</f>
        <v/>
      </c>
      <c r="H47" s="36">
        <f>G46/G47-1</f>
        <v/>
      </c>
    </row>
    <row r="48">
      <c r="B48" s="34">
        <f>'Raw Data'!G44</f>
        <v/>
      </c>
      <c r="C48">
        <f>'Raw Data'!H44</f>
        <v/>
      </c>
      <c r="D48" s="36">
        <f>C47/C48-1</f>
        <v/>
      </c>
      <c r="F48" s="34">
        <f>'Raw Data'!G44</f>
        <v/>
      </c>
      <c r="G48">
        <f>'Raw Data'!J44</f>
        <v/>
      </c>
      <c r="H48" s="36">
        <f>G47/G48-1</f>
        <v/>
      </c>
    </row>
    <row r="49">
      <c r="B49" s="34">
        <f>'Raw Data'!G45</f>
        <v/>
      </c>
      <c r="C49">
        <f>'Raw Data'!H45</f>
        <v/>
      </c>
      <c r="D49" s="36">
        <f>C48/C49-1</f>
        <v/>
      </c>
      <c r="F49" s="34">
        <f>'Raw Data'!G45</f>
        <v/>
      </c>
      <c r="G49">
        <f>'Raw Data'!J45</f>
        <v/>
      </c>
      <c r="H49" s="36">
        <f>G48/G49-1</f>
        <v/>
      </c>
    </row>
    <row r="50">
      <c r="B50" s="34">
        <f>'Raw Data'!G46</f>
        <v/>
      </c>
      <c r="C50">
        <f>'Raw Data'!H46</f>
        <v/>
      </c>
      <c r="D50" s="36">
        <f>C49/C50-1</f>
        <v/>
      </c>
      <c r="F50" s="34">
        <f>'Raw Data'!G46</f>
        <v/>
      </c>
      <c r="G50">
        <f>'Raw Data'!J46</f>
        <v/>
      </c>
      <c r="H50" s="36">
        <f>G49/G50-1</f>
        <v/>
      </c>
    </row>
    <row r="51">
      <c r="B51" s="34">
        <f>'Raw Data'!G47</f>
        <v/>
      </c>
      <c r="C51">
        <f>'Raw Data'!H47</f>
        <v/>
      </c>
      <c r="D51" s="36">
        <f>C50/C51-1</f>
        <v/>
      </c>
      <c r="F51" s="34">
        <f>'Raw Data'!G47</f>
        <v/>
      </c>
      <c r="G51">
        <f>'Raw Data'!J47</f>
        <v/>
      </c>
      <c r="H51" s="36">
        <f>G50/G51-1</f>
        <v/>
      </c>
    </row>
    <row r="52">
      <c r="B52" s="34">
        <f>'Raw Data'!G48</f>
        <v/>
      </c>
      <c r="C52">
        <f>'Raw Data'!H48</f>
        <v/>
      </c>
      <c r="D52" s="36">
        <f>C51/C52-1</f>
        <v/>
      </c>
      <c r="F52" s="34">
        <f>'Raw Data'!G48</f>
        <v/>
      </c>
      <c r="G52">
        <f>'Raw Data'!J48</f>
        <v/>
      </c>
      <c r="H52" s="36">
        <f>G51/G52-1</f>
        <v/>
      </c>
    </row>
    <row r="53">
      <c r="B53" s="34">
        <f>'Raw Data'!G49</f>
        <v/>
      </c>
      <c r="C53">
        <f>'Raw Data'!H49</f>
        <v/>
      </c>
      <c r="D53" s="36">
        <f>C52/C53-1</f>
        <v/>
      </c>
      <c r="F53" s="34">
        <f>'Raw Data'!G49</f>
        <v/>
      </c>
      <c r="G53">
        <f>'Raw Data'!J49</f>
        <v/>
      </c>
      <c r="H53" s="36">
        <f>G52/G53-1</f>
        <v/>
      </c>
    </row>
    <row r="54">
      <c r="B54" s="34">
        <f>'Raw Data'!G50</f>
        <v/>
      </c>
      <c r="C54">
        <f>'Raw Data'!H50</f>
        <v/>
      </c>
      <c r="D54" s="36">
        <f>C53/C54-1</f>
        <v/>
      </c>
      <c r="F54" s="34">
        <f>'Raw Data'!G50</f>
        <v/>
      </c>
      <c r="G54">
        <f>'Raw Data'!J50</f>
        <v/>
      </c>
      <c r="H54" s="36">
        <f>G53/G54-1</f>
        <v/>
      </c>
    </row>
    <row r="55">
      <c r="B55" s="34">
        <f>'Raw Data'!G51</f>
        <v/>
      </c>
      <c r="C55">
        <f>'Raw Data'!H51</f>
        <v/>
      </c>
      <c r="D55" s="36">
        <f>C54/C55-1</f>
        <v/>
      </c>
      <c r="F55" s="34">
        <f>'Raw Data'!G51</f>
        <v/>
      </c>
      <c r="G55">
        <f>'Raw Data'!J51</f>
        <v/>
      </c>
      <c r="H55" s="36">
        <f>G54/G55-1</f>
        <v/>
      </c>
    </row>
    <row r="56">
      <c r="B56" s="34">
        <f>'Raw Data'!G52</f>
        <v/>
      </c>
      <c r="C56">
        <f>'Raw Data'!H52</f>
        <v/>
      </c>
      <c r="D56" s="36">
        <f>C55/C56-1</f>
        <v/>
      </c>
      <c r="F56" s="34">
        <f>'Raw Data'!G52</f>
        <v/>
      </c>
      <c r="G56">
        <f>'Raw Data'!J52</f>
        <v/>
      </c>
      <c r="H56" s="36">
        <f>G55/G56-1</f>
        <v/>
      </c>
    </row>
    <row r="57">
      <c r="B57" s="34">
        <f>'Raw Data'!G53</f>
        <v/>
      </c>
      <c r="C57">
        <f>'Raw Data'!H53</f>
        <v/>
      </c>
      <c r="D57" s="36">
        <f>C56/C57-1</f>
        <v/>
      </c>
      <c r="F57" s="34">
        <f>'Raw Data'!G53</f>
        <v/>
      </c>
      <c r="G57">
        <f>'Raw Data'!J53</f>
        <v/>
      </c>
      <c r="H57" s="36">
        <f>G56/G57-1</f>
        <v/>
      </c>
    </row>
    <row r="58">
      <c r="B58" s="34">
        <f>'Raw Data'!G54</f>
        <v/>
      </c>
      <c r="C58">
        <f>'Raw Data'!H54</f>
        <v/>
      </c>
      <c r="D58" s="36">
        <f>C57/C58-1</f>
        <v/>
      </c>
      <c r="F58" s="34">
        <f>'Raw Data'!G54</f>
        <v/>
      </c>
      <c r="G58">
        <f>'Raw Data'!J54</f>
        <v/>
      </c>
      <c r="H58" s="36">
        <f>G57/G58-1</f>
        <v/>
      </c>
    </row>
    <row r="59">
      <c r="B59" s="34">
        <f>'Raw Data'!G55</f>
        <v/>
      </c>
      <c r="C59">
        <f>'Raw Data'!H55</f>
        <v/>
      </c>
      <c r="D59" s="36">
        <f>C58/C59-1</f>
        <v/>
      </c>
      <c r="F59" s="34">
        <f>'Raw Data'!G55</f>
        <v/>
      </c>
      <c r="G59">
        <f>'Raw Data'!J55</f>
        <v/>
      </c>
      <c r="H59" s="36">
        <f>G58/G59-1</f>
        <v/>
      </c>
    </row>
    <row r="60">
      <c r="B60" s="34">
        <f>'Raw Data'!G56</f>
        <v/>
      </c>
      <c r="C60">
        <f>'Raw Data'!H56</f>
        <v/>
      </c>
      <c r="D60" s="36">
        <f>C59/C60-1</f>
        <v/>
      </c>
      <c r="F60" s="34">
        <f>'Raw Data'!G56</f>
        <v/>
      </c>
      <c r="G60">
        <f>'Raw Data'!J56</f>
        <v/>
      </c>
      <c r="H60" s="36">
        <f>G59/G60-1</f>
        <v/>
      </c>
    </row>
    <row r="61">
      <c r="B61" s="34">
        <f>'Raw Data'!G57</f>
        <v/>
      </c>
      <c r="C61">
        <f>'Raw Data'!H57</f>
        <v/>
      </c>
      <c r="D61" s="36">
        <f>C60/C61-1</f>
        <v/>
      </c>
      <c r="F61" s="34">
        <f>'Raw Data'!G57</f>
        <v/>
      </c>
      <c r="G61">
        <f>'Raw Data'!J57</f>
        <v/>
      </c>
      <c r="H61" s="36">
        <f>G60/G61-1</f>
        <v/>
      </c>
    </row>
    <row r="62">
      <c r="B62" s="34">
        <f>'Raw Data'!G58</f>
        <v/>
      </c>
      <c r="C62">
        <f>'Raw Data'!H58</f>
        <v/>
      </c>
      <c r="D62" s="36">
        <f>C61/C62-1</f>
        <v/>
      </c>
      <c r="F62" s="34">
        <f>'Raw Data'!G58</f>
        <v/>
      </c>
      <c r="G62">
        <f>'Raw Data'!J58</f>
        <v/>
      </c>
      <c r="H62" s="36">
        <f>G61/G62-1</f>
        <v/>
      </c>
    </row>
    <row r="63">
      <c r="B63" s="34">
        <f>'Raw Data'!G59</f>
        <v/>
      </c>
      <c r="C63">
        <f>'Raw Data'!H59</f>
        <v/>
      </c>
      <c r="D63" s="36">
        <f>C62/C63-1</f>
        <v/>
      </c>
      <c r="F63" s="34">
        <f>'Raw Data'!G59</f>
        <v/>
      </c>
      <c r="G63">
        <f>'Raw Data'!J59</f>
        <v/>
      </c>
      <c r="H63" s="36">
        <f>G62/G63-1</f>
        <v/>
      </c>
    </row>
    <row r="64">
      <c r="B64" s="34">
        <f>'Raw Data'!G60</f>
        <v/>
      </c>
      <c r="C64">
        <f>'Raw Data'!H60</f>
        <v/>
      </c>
      <c r="D64" s="36">
        <f>C63/C64-1</f>
        <v/>
      </c>
      <c r="F64" s="34">
        <f>'Raw Data'!G60</f>
        <v/>
      </c>
      <c r="G64">
        <f>'Raw Data'!J60</f>
        <v/>
      </c>
      <c r="H64" s="36">
        <f>G63/G64-1</f>
        <v/>
      </c>
    </row>
    <row r="65">
      <c r="B65" s="34">
        <f>'Raw Data'!G61</f>
        <v/>
      </c>
      <c r="C65">
        <f>'Raw Data'!H61</f>
        <v/>
      </c>
      <c r="D65" s="36">
        <f>C64/C65-1</f>
        <v/>
      </c>
      <c r="F65" s="34">
        <f>'Raw Data'!G61</f>
        <v/>
      </c>
      <c r="G65">
        <f>'Raw Data'!J61</f>
        <v/>
      </c>
      <c r="H65" s="36">
        <f>G64/G65-1</f>
        <v/>
      </c>
    </row>
    <row r="66">
      <c r="B66" s="34">
        <f>'Raw Data'!G62</f>
        <v/>
      </c>
      <c r="C66">
        <f>'Raw Data'!H62</f>
        <v/>
      </c>
      <c r="D66" s="36">
        <f>C65/C66-1</f>
        <v/>
      </c>
      <c r="F66" s="34">
        <f>'Raw Data'!G62</f>
        <v/>
      </c>
      <c r="G66">
        <f>'Raw Data'!J62</f>
        <v/>
      </c>
      <c r="H66" s="36">
        <f>G65/G66-1</f>
        <v/>
      </c>
    </row>
    <row r="67">
      <c r="B67" s="34">
        <f>'Raw Data'!G63</f>
        <v/>
      </c>
      <c r="C67">
        <f>'Raw Data'!H63</f>
        <v/>
      </c>
      <c r="D67" s="36">
        <f>C66/C67-1</f>
        <v/>
      </c>
      <c r="F67" s="34">
        <f>'Raw Data'!G63</f>
        <v/>
      </c>
      <c r="G67">
        <f>'Raw Data'!J63</f>
        <v/>
      </c>
      <c r="H67" s="36">
        <f>G66/G67-1</f>
        <v/>
      </c>
    </row>
    <row r="68">
      <c r="B68" s="34">
        <f>'Raw Data'!G64</f>
        <v/>
      </c>
      <c r="C68">
        <f>'Raw Data'!H64</f>
        <v/>
      </c>
      <c r="D68" s="36">
        <f>C67/C68-1</f>
        <v/>
      </c>
      <c r="F68" s="34">
        <f>'Raw Data'!G64</f>
        <v/>
      </c>
      <c r="G68">
        <f>'Raw Data'!J64</f>
        <v/>
      </c>
      <c r="H68" s="36">
        <f>G67/G68-1</f>
        <v/>
      </c>
    </row>
    <row r="69">
      <c r="B69" s="34">
        <f>'Raw Data'!G65</f>
        <v/>
      </c>
      <c r="C69">
        <f>'Raw Data'!H65</f>
        <v/>
      </c>
      <c r="D69" s="36">
        <f>C68/C69-1</f>
        <v/>
      </c>
      <c r="F69" s="34">
        <f>'Raw Data'!G65</f>
        <v/>
      </c>
      <c r="G69">
        <f>'Raw Data'!J65</f>
        <v/>
      </c>
      <c r="H69" s="36">
        <f>G68/G69-1</f>
        <v/>
      </c>
    </row>
    <row r="70">
      <c r="B70" s="34">
        <f>'Raw Data'!G66</f>
        <v/>
      </c>
      <c r="C70">
        <f>'Raw Data'!H66</f>
        <v/>
      </c>
      <c r="D70" s="36">
        <f>C69/C70-1</f>
        <v/>
      </c>
      <c r="F70" s="34">
        <f>'Raw Data'!G66</f>
        <v/>
      </c>
      <c r="G70">
        <f>'Raw Data'!J66</f>
        <v/>
      </c>
      <c r="H70" s="36">
        <f>G69/G70-1</f>
        <v/>
      </c>
    </row>
    <row r="71">
      <c r="B71" s="34">
        <f>'Raw Data'!G67</f>
        <v/>
      </c>
      <c r="C71">
        <f>'Raw Data'!H67</f>
        <v/>
      </c>
      <c r="D71" s="36">
        <f>C70/C71-1</f>
        <v/>
      </c>
      <c r="F71" s="34">
        <f>'Raw Data'!G67</f>
        <v/>
      </c>
      <c r="G71">
        <f>'Raw Data'!J67</f>
        <v/>
      </c>
      <c r="H71" s="36">
        <f>G70/G71-1</f>
        <v/>
      </c>
    </row>
    <row r="72">
      <c r="B72" s="34">
        <f>'Raw Data'!G68</f>
        <v/>
      </c>
      <c r="C72">
        <f>'Raw Data'!H68</f>
        <v/>
      </c>
      <c r="D72" s="36">
        <f>C71/C72-1</f>
        <v/>
      </c>
      <c r="F72" s="34">
        <f>'Raw Data'!G68</f>
        <v/>
      </c>
      <c r="G72">
        <f>'Raw Data'!J68</f>
        <v/>
      </c>
      <c r="H72" s="36">
        <f>G71/G72-1</f>
        <v/>
      </c>
    </row>
    <row r="73">
      <c r="B73" s="34">
        <f>'Raw Data'!G69</f>
        <v/>
      </c>
      <c r="C73">
        <f>'Raw Data'!H69</f>
        <v/>
      </c>
      <c r="D73" s="36">
        <f>C72/C73-1</f>
        <v/>
      </c>
      <c r="F73" s="34">
        <f>'Raw Data'!G69</f>
        <v/>
      </c>
      <c r="G73">
        <f>'Raw Data'!J69</f>
        <v/>
      </c>
      <c r="H73" s="36">
        <f>G72/G73-1</f>
        <v/>
      </c>
    </row>
    <row r="74">
      <c r="B74" s="34">
        <f>'Raw Data'!G70</f>
        <v/>
      </c>
      <c r="C74">
        <f>'Raw Data'!H70</f>
        <v/>
      </c>
      <c r="D74" s="36">
        <f>C73/C74-1</f>
        <v/>
      </c>
      <c r="F74" s="34">
        <f>'Raw Data'!G70</f>
        <v/>
      </c>
      <c r="G74">
        <f>'Raw Data'!J70</f>
        <v/>
      </c>
      <c r="H74" s="36">
        <f>G73/G74-1</f>
        <v/>
      </c>
    </row>
    <row r="75">
      <c r="B75" s="34">
        <f>'Raw Data'!G71</f>
        <v/>
      </c>
      <c r="C75">
        <f>'Raw Data'!H71</f>
        <v/>
      </c>
      <c r="D75" s="36">
        <f>C74/C75-1</f>
        <v/>
      </c>
      <c r="F75" s="34">
        <f>'Raw Data'!G71</f>
        <v/>
      </c>
      <c r="G75">
        <f>'Raw Data'!J71</f>
        <v/>
      </c>
      <c r="H75" s="36">
        <f>G74/G75-1</f>
        <v/>
      </c>
    </row>
    <row r="76">
      <c r="B76" s="34">
        <f>'Raw Data'!G72</f>
        <v/>
      </c>
      <c r="C76">
        <f>'Raw Data'!H72</f>
        <v/>
      </c>
      <c r="D76" s="36">
        <f>C75/C76-1</f>
        <v/>
      </c>
      <c r="F76" s="34">
        <f>'Raw Data'!G72</f>
        <v/>
      </c>
      <c r="G76">
        <f>'Raw Data'!J72</f>
        <v/>
      </c>
      <c r="H76" s="36">
        <f>G75/G76-1</f>
        <v/>
      </c>
    </row>
    <row r="77">
      <c r="B77" s="34">
        <f>'Raw Data'!G73</f>
        <v/>
      </c>
      <c r="C77">
        <f>'Raw Data'!H73</f>
        <v/>
      </c>
      <c r="D77" s="36">
        <f>C76/C77-1</f>
        <v/>
      </c>
      <c r="F77" s="34">
        <f>'Raw Data'!G73</f>
        <v/>
      </c>
      <c r="G77">
        <f>'Raw Data'!J73</f>
        <v/>
      </c>
      <c r="H77" s="36">
        <f>G76/G77-1</f>
        <v/>
      </c>
    </row>
    <row r="78">
      <c r="B78" s="34">
        <f>'Raw Data'!G74</f>
        <v/>
      </c>
      <c r="C78">
        <f>'Raw Data'!H74</f>
        <v/>
      </c>
      <c r="D78" s="36">
        <f>C77/C78-1</f>
        <v/>
      </c>
      <c r="F78" s="34">
        <f>'Raw Data'!G74</f>
        <v/>
      </c>
      <c r="G78">
        <f>'Raw Data'!J74</f>
        <v/>
      </c>
      <c r="H78" s="36">
        <f>G77/G78-1</f>
        <v/>
      </c>
    </row>
    <row r="79">
      <c r="B79" s="34">
        <f>'Raw Data'!G75</f>
        <v/>
      </c>
      <c r="C79">
        <f>'Raw Data'!H75</f>
        <v/>
      </c>
      <c r="D79" s="36">
        <f>C78/C79-1</f>
        <v/>
      </c>
      <c r="F79" s="34">
        <f>'Raw Data'!G75</f>
        <v/>
      </c>
      <c r="G79">
        <f>'Raw Data'!J75</f>
        <v/>
      </c>
      <c r="H79" s="36">
        <f>G78/G79-1</f>
        <v/>
      </c>
    </row>
    <row r="80">
      <c r="B80" s="34">
        <f>'Raw Data'!G76</f>
        <v/>
      </c>
      <c r="C80">
        <f>'Raw Data'!H76</f>
        <v/>
      </c>
      <c r="D80" s="36">
        <f>C79/C80-1</f>
        <v/>
      </c>
      <c r="F80" s="34">
        <f>'Raw Data'!G76</f>
        <v/>
      </c>
      <c r="G80">
        <f>'Raw Data'!J76</f>
        <v/>
      </c>
      <c r="H80" s="36">
        <f>G79/G80-1</f>
        <v/>
      </c>
    </row>
    <row r="81">
      <c r="B81" s="34">
        <f>'Raw Data'!G77</f>
        <v/>
      </c>
      <c r="C81">
        <f>'Raw Data'!H77</f>
        <v/>
      </c>
      <c r="D81" s="36">
        <f>C80/C81-1</f>
        <v/>
      </c>
      <c r="F81" s="34">
        <f>'Raw Data'!G77</f>
        <v/>
      </c>
      <c r="G81">
        <f>'Raw Data'!J77</f>
        <v/>
      </c>
      <c r="H81" s="36">
        <f>G80/G81-1</f>
        <v/>
      </c>
    </row>
    <row r="82">
      <c r="B82" s="34">
        <f>'Raw Data'!G78</f>
        <v/>
      </c>
      <c r="C82">
        <f>'Raw Data'!H78</f>
        <v/>
      </c>
      <c r="D82" s="36">
        <f>C81/C82-1</f>
        <v/>
      </c>
      <c r="F82" s="34">
        <f>'Raw Data'!G78</f>
        <v/>
      </c>
      <c r="G82">
        <f>'Raw Data'!J78</f>
        <v/>
      </c>
      <c r="H82" s="36">
        <f>G81/G82-1</f>
        <v/>
      </c>
    </row>
    <row r="83">
      <c r="B83" s="34">
        <f>'Raw Data'!G79</f>
        <v/>
      </c>
      <c r="C83">
        <f>'Raw Data'!H79</f>
        <v/>
      </c>
      <c r="D83" s="36">
        <f>C82/C83-1</f>
        <v/>
      </c>
      <c r="F83" s="34">
        <f>'Raw Data'!G79</f>
        <v/>
      </c>
      <c r="G83">
        <f>'Raw Data'!J79</f>
        <v/>
      </c>
      <c r="H83" s="36">
        <f>G82/G83-1</f>
        <v/>
      </c>
    </row>
    <row r="84">
      <c r="B84" s="34">
        <f>'Raw Data'!G80</f>
        <v/>
      </c>
      <c r="C84">
        <f>'Raw Data'!H80</f>
        <v/>
      </c>
      <c r="D84" s="36">
        <f>C83/C84-1</f>
        <v/>
      </c>
      <c r="F84" s="34">
        <f>'Raw Data'!G80</f>
        <v/>
      </c>
      <c r="G84">
        <f>'Raw Data'!J80</f>
        <v/>
      </c>
      <c r="H84" s="36">
        <f>G83/G84-1</f>
        <v/>
      </c>
    </row>
    <row r="85">
      <c r="B85" s="34">
        <f>'Raw Data'!G81</f>
        <v/>
      </c>
      <c r="C85">
        <f>'Raw Data'!H81</f>
        <v/>
      </c>
      <c r="D85" s="36">
        <f>C84/C85-1</f>
        <v/>
      </c>
      <c r="F85" s="34">
        <f>'Raw Data'!G81</f>
        <v/>
      </c>
      <c r="G85">
        <f>'Raw Data'!J81</f>
        <v/>
      </c>
      <c r="H85" s="36">
        <f>G84/G85-1</f>
        <v/>
      </c>
    </row>
    <row r="86">
      <c r="B86" s="34">
        <f>'Raw Data'!G82</f>
        <v/>
      </c>
      <c r="C86">
        <f>'Raw Data'!H82</f>
        <v/>
      </c>
      <c r="D86" s="36">
        <f>C85/C86-1</f>
        <v/>
      </c>
      <c r="F86" s="34">
        <f>'Raw Data'!G82</f>
        <v/>
      </c>
      <c r="G86">
        <f>'Raw Data'!J82</f>
        <v/>
      </c>
      <c r="H86" s="36">
        <f>G85/G86-1</f>
        <v/>
      </c>
    </row>
    <row r="87">
      <c r="B87" s="34">
        <f>'Raw Data'!G83</f>
        <v/>
      </c>
      <c r="C87">
        <f>'Raw Data'!H83</f>
        <v/>
      </c>
      <c r="D87" s="36">
        <f>C86/C87-1</f>
        <v/>
      </c>
      <c r="F87" s="34">
        <f>'Raw Data'!G83</f>
        <v/>
      </c>
      <c r="G87">
        <f>'Raw Data'!J83</f>
        <v/>
      </c>
      <c r="H87" s="36">
        <f>G86/G87-1</f>
        <v/>
      </c>
    </row>
    <row r="88">
      <c r="B88" s="34">
        <f>'Raw Data'!G84</f>
        <v/>
      </c>
      <c r="C88">
        <f>'Raw Data'!H84</f>
        <v/>
      </c>
      <c r="D88" s="36">
        <f>C87/C88-1</f>
        <v/>
      </c>
      <c r="F88" s="34">
        <f>'Raw Data'!G84</f>
        <v/>
      </c>
      <c r="G88">
        <f>'Raw Data'!J84</f>
        <v/>
      </c>
      <c r="H88" s="36">
        <f>G87/G88-1</f>
        <v/>
      </c>
    </row>
    <row r="89">
      <c r="B89" s="34">
        <f>'Raw Data'!G85</f>
        <v/>
      </c>
      <c r="C89">
        <f>'Raw Data'!H85</f>
        <v/>
      </c>
      <c r="D89" s="36">
        <f>C88/C89-1</f>
        <v/>
      </c>
      <c r="F89" s="34">
        <f>'Raw Data'!G85</f>
        <v/>
      </c>
      <c r="G89">
        <f>'Raw Data'!J85</f>
        <v/>
      </c>
      <c r="H89" s="36">
        <f>G88/G89-1</f>
        <v/>
      </c>
    </row>
    <row r="90">
      <c r="B90" s="34">
        <f>'Raw Data'!G86</f>
        <v/>
      </c>
      <c r="C90">
        <f>'Raw Data'!H86</f>
        <v/>
      </c>
      <c r="D90" s="36">
        <f>C89/C90-1</f>
        <v/>
      </c>
      <c r="F90" s="34">
        <f>'Raw Data'!G86</f>
        <v/>
      </c>
      <c r="G90">
        <f>'Raw Data'!J86</f>
        <v/>
      </c>
      <c r="H90" s="36">
        <f>G89/G90-1</f>
        <v/>
      </c>
    </row>
    <row r="91">
      <c r="B91" s="34">
        <f>'Raw Data'!G87</f>
        <v/>
      </c>
      <c r="C91">
        <f>'Raw Data'!H87</f>
        <v/>
      </c>
      <c r="D91" s="36">
        <f>C90/C91-1</f>
        <v/>
      </c>
      <c r="F91" s="34">
        <f>'Raw Data'!G87</f>
        <v/>
      </c>
      <c r="G91">
        <f>'Raw Data'!J87</f>
        <v/>
      </c>
      <c r="H91" s="36">
        <f>G90/G91-1</f>
        <v/>
      </c>
    </row>
    <row r="92">
      <c r="B92" s="34">
        <f>'Raw Data'!G88</f>
        <v/>
      </c>
      <c r="C92">
        <f>'Raw Data'!H88</f>
        <v/>
      </c>
      <c r="D92" s="36">
        <f>C91/C92-1</f>
        <v/>
      </c>
      <c r="F92" s="34">
        <f>'Raw Data'!G88</f>
        <v/>
      </c>
      <c r="G92">
        <f>'Raw Data'!J88</f>
        <v/>
      </c>
      <c r="H92" s="36">
        <f>G91/G92-1</f>
        <v/>
      </c>
    </row>
    <row r="93">
      <c r="B93" s="34">
        <f>'Raw Data'!G89</f>
        <v/>
      </c>
      <c r="C93">
        <f>'Raw Data'!H89</f>
        <v/>
      </c>
      <c r="D93" s="36">
        <f>C92/C93-1</f>
        <v/>
      </c>
      <c r="F93" s="34">
        <f>'Raw Data'!G89</f>
        <v/>
      </c>
      <c r="G93">
        <f>'Raw Data'!J89</f>
        <v/>
      </c>
      <c r="H93" s="36">
        <f>G92/G93-1</f>
        <v/>
      </c>
    </row>
    <row r="94">
      <c r="B94" s="34">
        <f>'Raw Data'!G90</f>
        <v/>
      </c>
      <c r="C94">
        <f>'Raw Data'!H90</f>
        <v/>
      </c>
      <c r="D94" s="36">
        <f>C93/C94-1</f>
        <v/>
      </c>
      <c r="F94" s="34">
        <f>'Raw Data'!G90</f>
        <v/>
      </c>
      <c r="G94">
        <f>'Raw Data'!J90</f>
        <v/>
      </c>
      <c r="H94" s="36">
        <f>G93/G94-1</f>
        <v/>
      </c>
    </row>
    <row r="95">
      <c r="B95" s="34">
        <f>'Raw Data'!G91</f>
        <v/>
      </c>
      <c r="C95">
        <f>'Raw Data'!H91</f>
        <v/>
      </c>
      <c r="D95" s="36">
        <f>C94/C95-1</f>
        <v/>
      </c>
      <c r="F95" s="34">
        <f>'Raw Data'!G91</f>
        <v/>
      </c>
      <c r="G95">
        <f>'Raw Data'!J91</f>
        <v/>
      </c>
      <c r="H95" s="36">
        <f>G94/G95-1</f>
        <v/>
      </c>
    </row>
    <row r="96">
      <c r="B96" s="34">
        <f>'Raw Data'!G92</f>
        <v/>
      </c>
      <c r="C96">
        <f>'Raw Data'!H92</f>
        <v/>
      </c>
      <c r="D96" s="36">
        <f>C95/C96-1</f>
        <v/>
      </c>
      <c r="F96" s="34">
        <f>'Raw Data'!G92</f>
        <v/>
      </c>
      <c r="G96">
        <f>'Raw Data'!J92</f>
        <v/>
      </c>
      <c r="H96" s="36">
        <f>G95/G96-1</f>
        <v/>
      </c>
    </row>
    <row r="97">
      <c r="B97" s="34">
        <f>'Raw Data'!G93</f>
        <v/>
      </c>
      <c r="C97">
        <f>'Raw Data'!H93</f>
        <v/>
      </c>
      <c r="D97" s="36">
        <f>C96/C97-1</f>
        <v/>
      </c>
      <c r="F97" s="34">
        <f>'Raw Data'!G93</f>
        <v/>
      </c>
      <c r="G97">
        <f>'Raw Data'!J93</f>
        <v/>
      </c>
      <c r="H97" s="36">
        <f>G96/G97-1</f>
        <v/>
      </c>
    </row>
    <row r="98">
      <c r="B98" s="34">
        <f>'Raw Data'!G94</f>
        <v/>
      </c>
      <c r="C98">
        <f>'Raw Data'!H94</f>
        <v/>
      </c>
      <c r="D98" s="36">
        <f>C97/C98-1</f>
        <v/>
      </c>
      <c r="F98" s="34">
        <f>'Raw Data'!G94</f>
        <v/>
      </c>
      <c r="G98">
        <f>'Raw Data'!J94</f>
        <v/>
      </c>
      <c r="H98" s="36">
        <f>G97/G98-1</f>
        <v/>
      </c>
    </row>
    <row r="99">
      <c r="B99" s="34">
        <f>'Raw Data'!G95</f>
        <v/>
      </c>
      <c r="C99">
        <f>'Raw Data'!H95</f>
        <v/>
      </c>
      <c r="D99" s="36">
        <f>C98/C99-1</f>
        <v/>
      </c>
      <c r="F99" s="34">
        <f>'Raw Data'!G95</f>
        <v/>
      </c>
      <c r="G99">
        <f>'Raw Data'!J95</f>
        <v/>
      </c>
      <c r="H99" s="36">
        <f>G98/G99-1</f>
        <v/>
      </c>
    </row>
    <row r="100">
      <c r="B100" s="34">
        <f>'Raw Data'!G96</f>
        <v/>
      </c>
      <c r="C100">
        <f>'Raw Data'!H96</f>
        <v/>
      </c>
      <c r="D100" s="36">
        <f>C99/C100-1</f>
        <v/>
      </c>
      <c r="F100" s="34">
        <f>'Raw Data'!G96</f>
        <v/>
      </c>
      <c r="G100">
        <f>'Raw Data'!J96</f>
        <v/>
      </c>
      <c r="H100" s="36">
        <f>G99/G100-1</f>
        <v/>
      </c>
    </row>
    <row r="101">
      <c r="B101" s="34">
        <f>'Raw Data'!G97</f>
        <v/>
      </c>
      <c r="C101">
        <f>'Raw Data'!H97</f>
        <v/>
      </c>
      <c r="D101" s="36">
        <f>C100/C101-1</f>
        <v/>
      </c>
      <c r="F101" s="34">
        <f>'Raw Data'!G97</f>
        <v/>
      </c>
      <c r="G101">
        <f>'Raw Data'!J97</f>
        <v/>
      </c>
      <c r="H101" s="36">
        <f>G100/G101-1</f>
        <v/>
      </c>
    </row>
    <row r="102">
      <c r="B102" s="34">
        <f>'Raw Data'!G98</f>
        <v/>
      </c>
      <c r="C102">
        <f>'Raw Data'!H98</f>
        <v/>
      </c>
      <c r="D102" s="36">
        <f>C101/C102-1</f>
        <v/>
      </c>
      <c r="F102" s="34">
        <f>'Raw Data'!G98</f>
        <v/>
      </c>
      <c r="G102">
        <f>'Raw Data'!J98</f>
        <v/>
      </c>
      <c r="H102" s="36">
        <f>G101/G102-1</f>
        <v/>
      </c>
    </row>
    <row r="103">
      <c r="B103" s="34">
        <f>'Raw Data'!G99</f>
        <v/>
      </c>
      <c r="C103">
        <f>'Raw Data'!H99</f>
        <v/>
      </c>
      <c r="D103" s="36">
        <f>C102/C103-1</f>
        <v/>
      </c>
      <c r="F103" s="34">
        <f>'Raw Data'!G99</f>
        <v/>
      </c>
      <c r="G103">
        <f>'Raw Data'!J99</f>
        <v/>
      </c>
      <c r="H103" s="36">
        <f>G102/G103-1</f>
        <v/>
      </c>
    </row>
    <row r="104">
      <c r="B104" s="34">
        <f>'Raw Data'!G100</f>
        <v/>
      </c>
      <c r="C104">
        <f>'Raw Data'!H100</f>
        <v/>
      </c>
      <c r="D104" s="36">
        <f>C103/C104-1</f>
        <v/>
      </c>
      <c r="F104" s="34">
        <f>'Raw Data'!G100</f>
        <v/>
      </c>
      <c r="G104">
        <f>'Raw Data'!J100</f>
        <v/>
      </c>
      <c r="H104" s="36">
        <f>G103/G104-1</f>
        <v/>
      </c>
    </row>
    <row r="105">
      <c r="B105" s="34">
        <f>'Raw Data'!G101</f>
        <v/>
      </c>
      <c r="C105">
        <f>'Raw Data'!H101</f>
        <v/>
      </c>
      <c r="D105" s="36">
        <f>C104/C105-1</f>
        <v/>
      </c>
      <c r="F105" s="34">
        <f>'Raw Data'!G101</f>
        <v/>
      </c>
      <c r="G105">
        <f>'Raw Data'!J101</f>
        <v/>
      </c>
      <c r="H105" s="36">
        <f>G104/G105-1</f>
        <v/>
      </c>
    </row>
    <row r="106">
      <c r="B106" s="34">
        <f>'Raw Data'!G102</f>
        <v/>
      </c>
      <c r="C106">
        <f>'Raw Data'!H102</f>
        <v/>
      </c>
      <c r="D106" s="36">
        <f>C105/C106-1</f>
        <v/>
      </c>
      <c r="F106" s="34">
        <f>'Raw Data'!G102</f>
        <v/>
      </c>
      <c r="G106">
        <f>'Raw Data'!J102</f>
        <v/>
      </c>
      <c r="H106" s="36">
        <f>G105/G106-1</f>
        <v/>
      </c>
    </row>
    <row r="107">
      <c r="B107" s="34">
        <f>'Raw Data'!G103</f>
        <v/>
      </c>
      <c r="C107">
        <f>'Raw Data'!H103</f>
        <v/>
      </c>
      <c r="D107" s="36">
        <f>C106/C107-1</f>
        <v/>
      </c>
      <c r="F107" s="34">
        <f>'Raw Data'!G103</f>
        <v/>
      </c>
      <c r="G107">
        <f>'Raw Data'!J103</f>
        <v/>
      </c>
      <c r="H107" s="36">
        <f>G106/G107-1</f>
        <v/>
      </c>
    </row>
    <row r="108">
      <c r="B108" s="34">
        <f>'Raw Data'!G104</f>
        <v/>
      </c>
      <c r="C108">
        <f>'Raw Data'!H104</f>
        <v/>
      </c>
      <c r="D108" s="36">
        <f>C107/C108-1</f>
        <v/>
      </c>
      <c r="F108" s="34">
        <f>'Raw Data'!G104</f>
        <v/>
      </c>
      <c r="G108">
        <f>'Raw Data'!J104</f>
        <v/>
      </c>
      <c r="H108" s="36">
        <f>G107/G108-1</f>
        <v/>
      </c>
    </row>
    <row r="109">
      <c r="B109" s="34">
        <f>'Raw Data'!G105</f>
        <v/>
      </c>
      <c r="C109">
        <f>'Raw Data'!H105</f>
        <v/>
      </c>
      <c r="D109" s="36">
        <f>C108/C109-1</f>
        <v/>
      </c>
      <c r="F109" s="34">
        <f>'Raw Data'!G105</f>
        <v/>
      </c>
      <c r="G109">
        <f>'Raw Data'!J105</f>
        <v/>
      </c>
      <c r="H109" s="36">
        <f>G108/G109-1</f>
        <v/>
      </c>
    </row>
    <row r="110">
      <c r="B110" s="34">
        <f>'Raw Data'!G106</f>
        <v/>
      </c>
      <c r="C110">
        <f>'Raw Data'!H106</f>
        <v/>
      </c>
      <c r="D110" s="36">
        <f>C109/C110-1</f>
        <v/>
      </c>
      <c r="F110" s="34">
        <f>'Raw Data'!G106</f>
        <v/>
      </c>
      <c r="G110">
        <f>'Raw Data'!J106</f>
        <v/>
      </c>
      <c r="H110" s="36">
        <f>G109/G110-1</f>
        <v/>
      </c>
    </row>
    <row r="111">
      <c r="B111" s="34">
        <f>'Raw Data'!G107</f>
        <v/>
      </c>
      <c r="C111">
        <f>'Raw Data'!H107</f>
        <v/>
      </c>
      <c r="D111" s="36">
        <f>C110/C111-1</f>
        <v/>
      </c>
      <c r="F111" s="34">
        <f>'Raw Data'!G107</f>
        <v/>
      </c>
      <c r="G111">
        <f>'Raw Data'!J107</f>
        <v/>
      </c>
      <c r="H111" s="36">
        <f>G110/G111-1</f>
        <v/>
      </c>
    </row>
    <row r="112">
      <c r="B112" s="34">
        <f>'Raw Data'!G108</f>
        <v/>
      </c>
      <c r="C112">
        <f>'Raw Data'!H108</f>
        <v/>
      </c>
      <c r="D112" s="36">
        <f>C111/C112-1</f>
        <v/>
      </c>
      <c r="F112" s="34">
        <f>'Raw Data'!G108</f>
        <v/>
      </c>
      <c r="G112">
        <f>'Raw Data'!J108</f>
        <v/>
      </c>
      <c r="H112" s="36">
        <f>G111/G112-1</f>
        <v/>
      </c>
    </row>
    <row r="113">
      <c r="B113" s="34">
        <f>'Raw Data'!G109</f>
        <v/>
      </c>
      <c r="C113">
        <f>'Raw Data'!H109</f>
        <v/>
      </c>
      <c r="D113" s="36">
        <f>C112/C113-1</f>
        <v/>
      </c>
      <c r="F113" s="34">
        <f>'Raw Data'!G109</f>
        <v/>
      </c>
      <c r="G113">
        <f>'Raw Data'!J109</f>
        <v/>
      </c>
      <c r="H113" s="36">
        <f>G112/G113-1</f>
        <v/>
      </c>
    </row>
    <row r="114">
      <c r="B114" s="34">
        <f>'Raw Data'!G110</f>
        <v/>
      </c>
      <c r="C114">
        <f>'Raw Data'!H110</f>
        <v/>
      </c>
      <c r="D114" s="36">
        <f>C113/C114-1</f>
        <v/>
      </c>
      <c r="F114" s="34">
        <f>'Raw Data'!G110</f>
        <v/>
      </c>
      <c r="G114">
        <f>'Raw Data'!J110</f>
        <v/>
      </c>
      <c r="H114" s="36">
        <f>G113/G114-1</f>
        <v/>
      </c>
    </row>
    <row r="115">
      <c r="B115" s="34">
        <f>'Raw Data'!G111</f>
        <v/>
      </c>
      <c r="C115">
        <f>'Raw Data'!H111</f>
        <v/>
      </c>
      <c r="D115" s="36">
        <f>C114/C115-1</f>
        <v/>
      </c>
      <c r="F115" s="34">
        <f>'Raw Data'!G111</f>
        <v/>
      </c>
      <c r="G115">
        <f>'Raw Data'!J111</f>
        <v/>
      </c>
      <c r="H115" s="36">
        <f>G114/G115-1</f>
        <v/>
      </c>
    </row>
    <row r="116">
      <c r="B116" s="34">
        <f>'Raw Data'!G112</f>
        <v/>
      </c>
      <c r="C116">
        <f>'Raw Data'!H112</f>
        <v/>
      </c>
      <c r="D116" s="36">
        <f>C115/C116-1</f>
        <v/>
      </c>
      <c r="F116" s="34">
        <f>'Raw Data'!G112</f>
        <v/>
      </c>
      <c r="G116">
        <f>'Raw Data'!J112</f>
        <v/>
      </c>
      <c r="H116" s="36">
        <f>G115/G116-1</f>
        <v/>
      </c>
    </row>
    <row r="117">
      <c r="B117" s="34">
        <f>'Raw Data'!G113</f>
        <v/>
      </c>
      <c r="C117">
        <f>'Raw Data'!H113</f>
        <v/>
      </c>
      <c r="D117" s="36">
        <f>C116/C117-1</f>
        <v/>
      </c>
      <c r="F117" s="34">
        <f>'Raw Data'!G113</f>
        <v/>
      </c>
      <c r="G117">
        <f>'Raw Data'!J113</f>
        <v/>
      </c>
      <c r="H117" s="36">
        <f>G116/G117-1</f>
        <v/>
      </c>
    </row>
    <row r="118">
      <c r="B118" s="34">
        <f>'Raw Data'!G114</f>
        <v/>
      </c>
      <c r="C118">
        <f>'Raw Data'!H114</f>
        <v/>
      </c>
      <c r="D118" s="36">
        <f>C117/C118-1</f>
        <v/>
      </c>
      <c r="F118" s="34">
        <f>'Raw Data'!G114</f>
        <v/>
      </c>
      <c r="G118">
        <f>'Raw Data'!J114</f>
        <v/>
      </c>
      <c r="H118" s="36">
        <f>G117/G118-1</f>
        <v/>
      </c>
    </row>
    <row r="119">
      <c r="B119" s="34">
        <f>'Raw Data'!G115</f>
        <v/>
      </c>
      <c r="C119">
        <f>'Raw Data'!H115</f>
        <v/>
      </c>
      <c r="D119" s="36">
        <f>C118/C119-1</f>
        <v/>
      </c>
      <c r="F119" s="34">
        <f>'Raw Data'!G115</f>
        <v/>
      </c>
      <c r="G119">
        <f>'Raw Data'!J115</f>
        <v/>
      </c>
      <c r="H119" s="36">
        <f>G118/G119-1</f>
        <v/>
      </c>
    </row>
    <row r="120">
      <c r="B120" s="34">
        <f>'Raw Data'!G116</f>
        <v/>
      </c>
      <c r="C120">
        <f>'Raw Data'!H116</f>
        <v/>
      </c>
      <c r="D120" s="36">
        <f>C119/C120-1</f>
        <v/>
      </c>
      <c r="F120" s="34">
        <f>'Raw Data'!G116</f>
        <v/>
      </c>
      <c r="G120">
        <f>'Raw Data'!J116</f>
        <v/>
      </c>
      <c r="H120" s="36">
        <f>G119/G120-1</f>
        <v/>
      </c>
    </row>
    <row r="121">
      <c r="B121" s="34">
        <f>'Raw Data'!G117</f>
        <v/>
      </c>
      <c r="C121">
        <f>'Raw Data'!H117</f>
        <v/>
      </c>
      <c r="D121" s="36">
        <f>C120/C121-1</f>
        <v/>
      </c>
      <c r="F121" s="34">
        <f>'Raw Data'!G117</f>
        <v/>
      </c>
      <c r="G121">
        <f>'Raw Data'!J117</f>
        <v/>
      </c>
      <c r="H121" s="36">
        <f>G120/G121-1</f>
        <v/>
      </c>
    </row>
    <row r="122">
      <c r="B122" s="34">
        <f>'Raw Data'!G118</f>
        <v/>
      </c>
      <c r="C122">
        <f>'Raw Data'!H118</f>
        <v/>
      </c>
      <c r="D122" s="36">
        <f>C121/C122-1</f>
        <v/>
      </c>
      <c r="F122" s="34">
        <f>'Raw Data'!G118</f>
        <v/>
      </c>
      <c r="G122">
        <f>'Raw Data'!J118</f>
        <v/>
      </c>
      <c r="H122" s="36">
        <f>G121/G122-1</f>
        <v/>
      </c>
    </row>
    <row r="123">
      <c r="B123" s="34">
        <f>'Raw Data'!G119</f>
        <v/>
      </c>
      <c r="C123">
        <f>'Raw Data'!H119</f>
        <v/>
      </c>
      <c r="D123" s="36">
        <f>C122/C123-1</f>
        <v/>
      </c>
      <c r="F123" s="34">
        <f>'Raw Data'!G119</f>
        <v/>
      </c>
      <c r="G123">
        <f>'Raw Data'!J119</f>
        <v/>
      </c>
      <c r="H123" s="36">
        <f>G122/G123-1</f>
        <v/>
      </c>
    </row>
    <row r="124">
      <c r="B124" s="34">
        <f>'Raw Data'!G120</f>
        <v/>
      </c>
      <c r="C124">
        <f>'Raw Data'!H120</f>
        <v/>
      </c>
      <c r="D124" s="36">
        <f>C123/C124-1</f>
        <v/>
      </c>
      <c r="F124" s="34">
        <f>'Raw Data'!G120</f>
        <v/>
      </c>
      <c r="G124">
        <f>'Raw Data'!J120</f>
        <v/>
      </c>
      <c r="H124" s="36">
        <f>G123/G124-1</f>
        <v/>
      </c>
    </row>
    <row r="125">
      <c r="B125" s="34">
        <f>'Raw Data'!G121</f>
        <v/>
      </c>
      <c r="C125">
        <f>'Raw Data'!H121</f>
        <v/>
      </c>
      <c r="D125" s="36">
        <f>C124/C125-1</f>
        <v/>
      </c>
      <c r="F125" s="34">
        <f>'Raw Data'!G121</f>
        <v/>
      </c>
      <c r="G125">
        <f>'Raw Data'!J121</f>
        <v/>
      </c>
      <c r="H125" s="36">
        <f>G124/G125-1</f>
        <v/>
      </c>
    </row>
    <row r="126">
      <c r="B126" s="34">
        <f>'Raw Data'!G122</f>
        <v/>
      </c>
      <c r="C126">
        <f>'Raw Data'!H122</f>
        <v/>
      </c>
      <c r="D126" s="36">
        <f>C125/C126-1</f>
        <v/>
      </c>
      <c r="F126" s="34">
        <f>'Raw Data'!G122</f>
        <v/>
      </c>
      <c r="G126">
        <f>'Raw Data'!J122</f>
        <v/>
      </c>
      <c r="H126" s="36">
        <f>G125/G126-1</f>
        <v/>
      </c>
    </row>
    <row r="127">
      <c r="B127" s="34">
        <f>'Raw Data'!G123</f>
        <v/>
      </c>
      <c r="C127">
        <f>'Raw Data'!H123</f>
        <v/>
      </c>
      <c r="D127" s="36">
        <f>C126/C127-1</f>
        <v/>
      </c>
      <c r="F127" s="34">
        <f>'Raw Data'!G123</f>
        <v/>
      </c>
      <c r="G127">
        <f>'Raw Data'!J123</f>
        <v/>
      </c>
      <c r="H127" s="36">
        <f>G126/G127-1</f>
        <v/>
      </c>
    </row>
    <row r="128">
      <c r="B128" s="34">
        <f>'Raw Data'!G124</f>
        <v/>
      </c>
      <c r="C128">
        <f>'Raw Data'!H124</f>
        <v/>
      </c>
      <c r="D128" s="36">
        <f>C127/C128-1</f>
        <v/>
      </c>
      <c r="F128" s="34">
        <f>'Raw Data'!G124</f>
        <v/>
      </c>
      <c r="G128">
        <f>'Raw Data'!J124</f>
        <v/>
      </c>
      <c r="H128" s="36">
        <f>G127/G128-1</f>
        <v/>
      </c>
    </row>
    <row r="129">
      <c r="B129" s="34">
        <f>'Raw Data'!G125</f>
        <v/>
      </c>
      <c r="C129">
        <f>'Raw Data'!H125</f>
        <v/>
      </c>
      <c r="D129" s="36">
        <f>C128/C129-1</f>
        <v/>
      </c>
      <c r="F129" s="34">
        <f>'Raw Data'!G125</f>
        <v/>
      </c>
      <c r="G129">
        <f>'Raw Data'!J125</f>
        <v/>
      </c>
      <c r="H129" s="36">
        <f>G128/G129-1</f>
        <v/>
      </c>
    </row>
    <row r="130">
      <c r="B130" s="34">
        <f>'Raw Data'!G126</f>
        <v/>
      </c>
      <c r="C130">
        <f>'Raw Data'!H126</f>
        <v/>
      </c>
      <c r="D130" s="36">
        <f>C129/C130-1</f>
        <v/>
      </c>
      <c r="F130" s="34">
        <f>'Raw Data'!G126</f>
        <v/>
      </c>
      <c r="G130">
        <f>'Raw Data'!J126</f>
        <v/>
      </c>
      <c r="H130" s="36">
        <f>G129/G130-1</f>
        <v/>
      </c>
    </row>
    <row r="131">
      <c r="B131" s="34">
        <f>'Raw Data'!G127</f>
        <v/>
      </c>
      <c r="C131">
        <f>'Raw Data'!H127</f>
        <v/>
      </c>
      <c r="D131" s="36">
        <f>C130/C131-1</f>
        <v/>
      </c>
      <c r="F131" s="34">
        <f>'Raw Data'!G127</f>
        <v/>
      </c>
      <c r="G131">
        <f>'Raw Data'!J127</f>
        <v/>
      </c>
      <c r="H131" s="36">
        <f>G130/G131-1</f>
        <v/>
      </c>
    </row>
    <row r="132">
      <c r="B132" s="34">
        <f>'Raw Data'!G128</f>
        <v/>
      </c>
      <c r="C132">
        <f>'Raw Data'!H128</f>
        <v/>
      </c>
      <c r="D132" s="36">
        <f>C131/C132-1</f>
        <v/>
      </c>
      <c r="F132" s="34">
        <f>'Raw Data'!G128</f>
        <v/>
      </c>
      <c r="G132">
        <f>'Raw Data'!J128</f>
        <v/>
      </c>
      <c r="H132" s="36">
        <f>G131/G132-1</f>
        <v/>
      </c>
    </row>
    <row r="133">
      <c r="B133" s="34">
        <f>'Raw Data'!G129</f>
        <v/>
      </c>
      <c r="C133">
        <f>'Raw Data'!H129</f>
        <v/>
      </c>
      <c r="D133" s="36">
        <f>C132/C133-1</f>
        <v/>
      </c>
      <c r="F133" s="34">
        <f>'Raw Data'!G129</f>
        <v/>
      </c>
      <c r="G133">
        <f>'Raw Data'!J129</f>
        <v/>
      </c>
      <c r="H133" s="36">
        <f>G132/G133-1</f>
        <v/>
      </c>
    </row>
    <row r="134">
      <c r="B134" s="34">
        <f>'Raw Data'!G130</f>
        <v/>
      </c>
      <c r="C134">
        <f>'Raw Data'!H130</f>
        <v/>
      </c>
      <c r="D134" s="36">
        <f>C133/C134-1</f>
        <v/>
      </c>
      <c r="F134" s="34">
        <f>'Raw Data'!G130</f>
        <v/>
      </c>
      <c r="G134">
        <f>'Raw Data'!J130</f>
        <v/>
      </c>
      <c r="H134" s="36">
        <f>G133/G134-1</f>
        <v/>
      </c>
    </row>
    <row r="135">
      <c r="B135" s="34">
        <f>'Raw Data'!G131</f>
        <v/>
      </c>
      <c r="C135">
        <f>'Raw Data'!H131</f>
        <v/>
      </c>
      <c r="D135" s="36">
        <f>C134/C135-1</f>
        <v/>
      </c>
      <c r="F135" s="34">
        <f>'Raw Data'!G131</f>
        <v/>
      </c>
      <c r="G135">
        <f>'Raw Data'!J131</f>
        <v/>
      </c>
      <c r="H135" s="36">
        <f>G134/G135-1</f>
        <v/>
      </c>
    </row>
    <row r="136">
      <c r="B136" s="34">
        <f>'Raw Data'!G132</f>
        <v/>
      </c>
      <c r="C136">
        <f>'Raw Data'!H132</f>
        <v/>
      </c>
      <c r="D136" s="36">
        <f>C135/C136-1</f>
        <v/>
      </c>
      <c r="F136" s="34">
        <f>'Raw Data'!G132</f>
        <v/>
      </c>
      <c r="G136">
        <f>'Raw Data'!J132</f>
        <v/>
      </c>
      <c r="H136" s="36">
        <f>G135/G136-1</f>
        <v/>
      </c>
    </row>
    <row r="137">
      <c r="B137" s="34">
        <f>'Raw Data'!G133</f>
        <v/>
      </c>
      <c r="C137">
        <f>'Raw Data'!H133</f>
        <v/>
      </c>
      <c r="D137" s="36">
        <f>C136/C137-1</f>
        <v/>
      </c>
      <c r="F137" s="34">
        <f>'Raw Data'!G133</f>
        <v/>
      </c>
      <c r="G137">
        <f>'Raw Data'!J133</f>
        <v/>
      </c>
      <c r="H137" s="36">
        <f>G136/G137-1</f>
        <v/>
      </c>
    </row>
    <row r="138">
      <c r="B138" s="34">
        <f>'Raw Data'!G134</f>
        <v/>
      </c>
      <c r="C138">
        <f>'Raw Data'!H134</f>
        <v/>
      </c>
      <c r="D138" s="36">
        <f>C137/C138-1</f>
        <v/>
      </c>
      <c r="F138" s="34">
        <f>'Raw Data'!G134</f>
        <v/>
      </c>
      <c r="G138">
        <f>'Raw Data'!J134</f>
        <v/>
      </c>
      <c r="H138" s="36">
        <f>G137/G138-1</f>
        <v/>
      </c>
    </row>
    <row r="139">
      <c r="B139" s="34">
        <f>'Raw Data'!G135</f>
        <v/>
      </c>
      <c r="C139">
        <f>'Raw Data'!H135</f>
        <v/>
      </c>
      <c r="D139" s="36">
        <f>C138/C139-1</f>
        <v/>
      </c>
      <c r="F139" s="34">
        <f>'Raw Data'!G135</f>
        <v/>
      </c>
      <c r="G139">
        <f>'Raw Data'!J135</f>
        <v/>
      </c>
      <c r="H139" s="36">
        <f>G138/G139-1</f>
        <v/>
      </c>
    </row>
    <row r="140">
      <c r="B140" s="34">
        <f>'Raw Data'!G136</f>
        <v/>
      </c>
      <c r="C140">
        <f>'Raw Data'!H136</f>
        <v/>
      </c>
      <c r="D140" s="36">
        <f>C139/C140-1</f>
        <v/>
      </c>
      <c r="F140" s="34">
        <f>'Raw Data'!G136</f>
        <v/>
      </c>
      <c r="G140">
        <f>'Raw Data'!J136</f>
        <v/>
      </c>
      <c r="H140" s="36">
        <f>G139/G140-1</f>
        <v/>
      </c>
    </row>
    <row r="141">
      <c r="B141" s="34">
        <f>'Raw Data'!G137</f>
        <v/>
      </c>
      <c r="C141">
        <f>'Raw Data'!H137</f>
        <v/>
      </c>
      <c r="D141" s="36">
        <f>C140/C141-1</f>
        <v/>
      </c>
      <c r="F141" s="34">
        <f>'Raw Data'!G137</f>
        <v/>
      </c>
      <c r="G141">
        <f>'Raw Data'!J137</f>
        <v/>
      </c>
      <c r="H141" s="36">
        <f>G140/G141-1</f>
        <v/>
      </c>
    </row>
    <row r="142">
      <c r="B142" s="34">
        <f>'Raw Data'!G138</f>
        <v/>
      </c>
      <c r="C142">
        <f>'Raw Data'!H138</f>
        <v/>
      </c>
      <c r="D142" s="36">
        <f>C141/C142-1</f>
        <v/>
      </c>
      <c r="F142" s="34">
        <f>'Raw Data'!G138</f>
        <v/>
      </c>
      <c r="G142">
        <f>'Raw Data'!J138</f>
        <v/>
      </c>
      <c r="H142" s="36">
        <f>G141/G142-1</f>
        <v/>
      </c>
    </row>
    <row r="143">
      <c r="B143" s="34">
        <f>'Raw Data'!G139</f>
        <v/>
      </c>
      <c r="C143">
        <f>'Raw Data'!H139</f>
        <v/>
      </c>
      <c r="D143" s="36">
        <f>C142/C143-1</f>
        <v/>
      </c>
      <c r="F143" s="34">
        <f>'Raw Data'!G139</f>
        <v/>
      </c>
      <c r="G143">
        <f>'Raw Data'!J139</f>
        <v/>
      </c>
      <c r="H143" s="36">
        <f>G142/G143-1</f>
        <v/>
      </c>
    </row>
    <row r="144">
      <c r="B144" s="34">
        <f>'Raw Data'!G140</f>
        <v/>
      </c>
      <c r="C144">
        <f>'Raw Data'!H140</f>
        <v/>
      </c>
      <c r="D144" s="36">
        <f>C143/C144-1</f>
        <v/>
      </c>
      <c r="F144" s="34">
        <f>'Raw Data'!G140</f>
        <v/>
      </c>
      <c r="G144">
        <f>'Raw Data'!J140</f>
        <v/>
      </c>
      <c r="H144" s="36">
        <f>G143/G144-1</f>
        <v/>
      </c>
    </row>
    <row r="145">
      <c r="B145" s="34">
        <f>'Raw Data'!G141</f>
        <v/>
      </c>
      <c r="C145">
        <f>'Raw Data'!H141</f>
        <v/>
      </c>
      <c r="D145" s="36">
        <f>C144/C145-1</f>
        <v/>
      </c>
      <c r="F145" s="34">
        <f>'Raw Data'!G141</f>
        <v/>
      </c>
      <c r="G145">
        <f>'Raw Data'!J141</f>
        <v/>
      </c>
      <c r="H145" s="36">
        <f>G144/G145-1</f>
        <v/>
      </c>
    </row>
    <row r="146">
      <c r="B146" s="34">
        <f>'Raw Data'!G142</f>
        <v/>
      </c>
      <c r="C146">
        <f>'Raw Data'!H142</f>
        <v/>
      </c>
      <c r="D146" s="36">
        <f>C145/C146-1</f>
        <v/>
      </c>
      <c r="F146" s="34">
        <f>'Raw Data'!G142</f>
        <v/>
      </c>
      <c r="G146">
        <f>'Raw Data'!J142</f>
        <v/>
      </c>
      <c r="H146" s="36">
        <f>G145/G146-1</f>
        <v/>
      </c>
    </row>
    <row r="147">
      <c r="B147" s="34">
        <f>'Raw Data'!G143</f>
        <v/>
      </c>
      <c r="C147">
        <f>'Raw Data'!H143</f>
        <v/>
      </c>
      <c r="D147" s="36">
        <f>C146/C147-1</f>
        <v/>
      </c>
      <c r="F147" s="34">
        <f>'Raw Data'!G143</f>
        <v/>
      </c>
      <c r="G147">
        <f>'Raw Data'!J143</f>
        <v/>
      </c>
      <c r="H147" s="36">
        <f>G146/G147-1</f>
        <v/>
      </c>
    </row>
    <row r="148">
      <c r="B148" s="34">
        <f>'Raw Data'!G144</f>
        <v/>
      </c>
      <c r="C148">
        <f>'Raw Data'!H144</f>
        <v/>
      </c>
      <c r="D148" s="36">
        <f>C147/C148-1</f>
        <v/>
      </c>
      <c r="F148" s="34">
        <f>'Raw Data'!G144</f>
        <v/>
      </c>
      <c r="G148">
        <f>'Raw Data'!J144</f>
        <v/>
      </c>
      <c r="H148" s="36">
        <f>G147/G148-1</f>
        <v/>
      </c>
    </row>
    <row r="149">
      <c r="B149" s="34">
        <f>'Raw Data'!G145</f>
        <v/>
      </c>
      <c r="C149">
        <f>'Raw Data'!H145</f>
        <v/>
      </c>
      <c r="D149" s="36">
        <f>C148/C149-1</f>
        <v/>
      </c>
      <c r="F149" s="34">
        <f>'Raw Data'!G145</f>
        <v/>
      </c>
      <c r="G149">
        <f>'Raw Data'!J145</f>
        <v/>
      </c>
      <c r="H149" s="36">
        <f>G148/G149-1</f>
        <v/>
      </c>
    </row>
    <row r="150">
      <c r="B150" s="34">
        <f>'Raw Data'!G146</f>
        <v/>
      </c>
      <c r="C150">
        <f>'Raw Data'!H146</f>
        <v/>
      </c>
      <c r="D150" s="36">
        <f>C149/C150-1</f>
        <v/>
      </c>
      <c r="F150" s="34">
        <f>'Raw Data'!G146</f>
        <v/>
      </c>
      <c r="G150">
        <f>'Raw Data'!J146</f>
        <v/>
      </c>
      <c r="H150" s="36">
        <f>G149/G150-1</f>
        <v/>
      </c>
    </row>
    <row r="151">
      <c r="B151" s="34">
        <f>'Raw Data'!G147</f>
        <v/>
      </c>
      <c r="C151">
        <f>'Raw Data'!H147</f>
        <v/>
      </c>
      <c r="D151" s="36">
        <f>C150/C151-1</f>
        <v/>
      </c>
      <c r="F151" s="34">
        <f>'Raw Data'!G147</f>
        <v/>
      </c>
      <c r="G151">
        <f>'Raw Data'!J147</f>
        <v/>
      </c>
      <c r="H151" s="36">
        <f>G150/G151-1</f>
        <v/>
      </c>
    </row>
    <row r="152">
      <c r="B152" s="34">
        <f>'Raw Data'!G148</f>
        <v/>
      </c>
      <c r="C152">
        <f>'Raw Data'!H148</f>
        <v/>
      </c>
      <c r="D152" s="36">
        <f>C151/C152-1</f>
        <v/>
      </c>
      <c r="F152" s="34">
        <f>'Raw Data'!G148</f>
        <v/>
      </c>
      <c r="G152">
        <f>'Raw Data'!J148</f>
        <v/>
      </c>
      <c r="H152" s="36">
        <f>G151/G152-1</f>
        <v/>
      </c>
    </row>
    <row r="153">
      <c r="B153" s="34">
        <f>'Raw Data'!G149</f>
        <v/>
      </c>
      <c r="C153">
        <f>'Raw Data'!H149</f>
        <v/>
      </c>
      <c r="D153" s="36">
        <f>C152/C153-1</f>
        <v/>
      </c>
      <c r="F153" s="34">
        <f>'Raw Data'!G149</f>
        <v/>
      </c>
      <c r="G153">
        <f>'Raw Data'!J149</f>
        <v/>
      </c>
      <c r="H153" s="36">
        <f>G152/G153-1</f>
        <v/>
      </c>
    </row>
    <row r="154">
      <c r="B154" s="34">
        <f>'Raw Data'!G150</f>
        <v/>
      </c>
      <c r="C154">
        <f>'Raw Data'!H150</f>
        <v/>
      </c>
      <c r="D154" s="36">
        <f>C153/C154-1</f>
        <v/>
      </c>
      <c r="F154" s="34">
        <f>'Raw Data'!G150</f>
        <v/>
      </c>
      <c r="G154">
        <f>'Raw Data'!J150</f>
        <v/>
      </c>
      <c r="H154" s="36">
        <f>G153/G154-1</f>
        <v/>
      </c>
    </row>
    <row r="155">
      <c r="B155" s="34">
        <f>'Raw Data'!G151</f>
        <v/>
      </c>
      <c r="C155">
        <f>'Raw Data'!H151</f>
        <v/>
      </c>
      <c r="D155" s="36">
        <f>C154/C155-1</f>
        <v/>
      </c>
      <c r="F155" s="34">
        <f>'Raw Data'!G151</f>
        <v/>
      </c>
      <c r="G155">
        <f>'Raw Data'!J151</f>
        <v/>
      </c>
      <c r="H155" s="36">
        <f>G154/G155-1</f>
        <v/>
      </c>
    </row>
    <row r="156">
      <c r="B156" s="34">
        <f>'Raw Data'!G152</f>
        <v/>
      </c>
      <c r="C156">
        <f>'Raw Data'!H152</f>
        <v/>
      </c>
      <c r="D156" s="36">
        <f>C155/C156-1</f>
        <v/>
      </c>
      <c r="F156" s="34">
        <f>'Raw Data'!G152</f>
        <v/>
      </c>
      <c r="G156">
        <f>'Raw Data'!J152</f>
        <v/>
      </c>
      <c r="H156" s="36">
        <f>G155/G156-1</f>
        <v/>
      </c>
    </row>
    <row r="157">
      <c r="B157" s="34">
        <f>'Raw Data'!G153</f>
        <v/>
      </c>
      <c r="C157">
        <f>'Raw Data'!H153</f>
        <v/>
      </c>
      <c r="D157" s="36">
        <f>C156/C157-1</f>
        <v/>
      </c>
      <c r="F157" s="34">
        <f>'Raw Data'!G153</f>
        <v/>
      </c>
      <c r="G157">
        <f>'Raw Data'!J153</f>
        <v/>
      </c>
      <c r="H157" s="36">
        <f>G156/G157-1</f>
        <v/>
      </c>
    </row>
    <row r="158">
      <c r="B158" s="34">
        <f>'Raw Data'!G154</f>
        <v/>
      </c>
      <c r="C158">
        <f>'Raw Data'!H154</f>
        <v/>
      </c>
      <c r="D158" s="36">
        <f>C157/C158-1</f>
        <v/>
      </c>
      <c r="F158" s="34">
        <f>'Raw Data'!G154</f>
        <v/>
      </c>
      <c r="G158">
        <f>'Raw Data'!J154</f>
        <v/>
      </c>
      <c r="H158" s="36">
        <f>G157/G158-1</f>
        <v/>
      </c>
    </row>
    <row r="159">
      <c r="B159" s="34">
        <f>'Raw Data'!G155</f>
        <v/>
      </c>
      <c r="C159">
        <f>'Raw Data'!H155</f>
        <v/>
      </c>
      <c r="D159" s="36">
        <f>C158/C159-1</f>
        <v/>
      </c>
      <c r="F159" s="34">
        <f>'Raw Data'!G155</f>
        <v/>
      </c>
      <c r="G159">
        <f>'Raw Data'!J155</f>
        <v/>
      </c>
      <c r="H159" s="36">
        <f>G158/G159-1</f>
        <v/>
      </c>
    </row>
    <row r="160">
      <c r="B160" s="34">
        <f>'Raw Data'!G156</f>
        <v/>
      </c>
      <c r="C160">
        <f>'Raw Data'!H156</f>
        <v/>
      </c>
      <c r="D160" s="36">
        <f>C159/C160-1</f>
        <v/>
      </c>
      <c r="F160" s="34">
        <f>'Raw Data'!G156</f>
        <v/>
      </c>
      <c r="G160">
        <f>'Raw Data'!J156</f>
        <v/>
      </c>
      <c r="H160" s="36">
        <f>G159/G160-1</f>
        <v/>
      </c>
    </row>
    <row r="161">
      <c r="B161" s="34">
        <f>'Raw Data'!G157</f>
        <v/>
      </c>
      <c r="C161">
        <f>'Raw Data'!H157</f>
        <v/>
      </c>
      <c r="D161" s="36">
        <f>C160/C161-1</f>
        <v/>
      </c>
      <c r="F161" s="34">
        <f>'Raw Data'!G157</f>
        <v/>
      </c>
      <c r="G161">
        <f>'Raw Data'!J157</f>
        <v/>
      </c>
      <c r="H161" s="36">
        <f>G160/G161-1</f>
        <v/>
      </c>
    </row>
    <row r="162">
      <c r="B162" s="34">
        <f>'Raw Data'!G158</f>
        <v/>
      </c>
      <c r="C162">
        <f>'Raw Data'!H158</f>
        <v/>
      </c>
      <c r="D162" s="36">
        <f>C161/C162-1</f>
        <v/>
      </c>
      <c r="F162" s="34">
        <f>'Raw Data'!G158</f>
        <v/>
      </c>
      <c r="G162">
        <f>'Raw Data'!J158</f>
        <v/>
      </c>
      <c r="H162" s="36">
        <f>G161/G162-1</f>
        <v/>
      </c>
    </row>
    <row r="163">
      <c r="B163" s="34">
        <f>'Raw Data'!G159</f>
        <v/>
      </c>
      <c r="C163">
        <f>'Raw Data'!H159</f>
        <v/>
      </c>
      <c r="D163" s="36">
        <f>C162/C163-1</f>
        <v/>
      </c>
      <c r="F163" s="34">
        <f>'Raw Data'!G159</f>
        <v/>
      </c>
      <c r="G163">
        <f>'Raw Data'!J159</f>
        <v/>
      </c>
      <c r="H163" s="36">
        <f>G162/G163-1</f>
        <v/>
      </c>
    </row>
    <row r="164">
      <c r="B164" s="34">
        <f>'Raw Data'!G160</f>
        <v/>
      </c>
      <c r="C164">
        <f>'Raw Data'!H160</f>
        <v/>
      </c>
      <c r="D164" s="36">
        <f>C163/C164-1</f>
        <v/>
      </c>
      <c r="F164" s="34">
        <f>'Raw Data'!G160</f>
        <v/>
      </c>
      <c r="G164">
        <f>'Raw Data'!J160</f>
        <v/>
      </c>
      <c r="H164" s="36">
        <f>G163/G164-1</f>
        <v/>
      </c>
    </row>
    <row r="165">
      <c r="B165" s="34">
        <f>'Raw Data'!G161</f>
        <v/>
      </c>
      <c r="C165">
        <f>'Raw Data'!H161</f>
        <v/>
      </c>
      <c r="D165" s="36">
        <f>C164/C165-1</f>
        <v/>
      </c>
      <c r="F165" s="34">
        <f>'Raw Data'!G161</f>
        <v/>
      </c>
      <c r="G165">
        <f>'Raw Data'!J161</f>
        <v/>
      </c>
      <c r="H165" s="36">
        <f>G164/G165-1</f>
        <v/>
      </c>
    </row>
    <row r="166">
      <c r="B166" s="34">
        <f>'Raw Data'!G162</f>
        <v/>
      </c>
      <c r="C166">
        <f>'Raw Data'!H162</f>
        <v/>
      </c>
      <c r="D166" s="36">
        <f>C165/C166-1</f>
        <v/>
      </c>
      <c r="F166" s="34">
        <f>'Raw Data'!G162</f>
        <v/>
      </c>
      <c r="G166">
        <f>'Raw Data'!J162</f>
        <v/>
      </c>
      <c r="H166" s="36">
        <f>G165/G166-1</f>
        <v/>
      </c>
    </row>
    <row r="167">
      <c r="B167" s="34">
        <f>'Raw Data'!G163</f>
        <v/>
      </c>
      <c r="C167">
        <f>'Raw Data'!H163</f>
        <v/>
      </c>
      <c r="D167" s="36">
        <f>C166/C167-1</f>
        <v/>
      </c>
      <c r="F167" s="34">
        <f>'Raw Data'!G163</f>
        <v/>
      </c>
      <c r="G167">
        <f>'Raw Data'!J163</f>
        <v/>
      </c>
      <c r="H167" s="36">
        <f>G166/G167-1</f>
        <v/>
      </c>
    </row>
    <row r="168">
      <c r="B168" s="34">
        <f>'Raw Data'!G164</f>
        <v/>
      </c>
      <c r="C168">
        <f>'Raw Data'!H164</f>
        <v/>
      </c>
      <c r="D168" s="36">
        <f>C167/C168-1</f>
        <v/>
      </c>
      <c r="F168" s="34">
        <f>'Raw Data'!G164</f>
        <v/>
      </c>
      <c r="G168">
        <f>'Raw Data'!J164</f>
        <v/>
      </c>
      <c r="H168" s="36">
        <f>G167/G168-1</f>
        <v/>
      </c>
    </row>
    <row r="169">
      <c r="B169" s="34">
        <f>'Raw Data'!G165</f>
        <v/>
      </c>
      <c r="C169">
        <f>'Raw Data'!H165</f>
        <v/>
      </c>
      <c r="D169" s="36">
        <f>C168/C169-1</f>
        <v/>
      </c>
      <c r="F169" s="34">
        <f>'Raw Data'!G165</f>
        <v/>
      </c>
      <c r="G169">
        <f>'Raw Data'!J165</f>
        <v/>
      </c>
      <c r="H169" s="36">
        <f>G168/G169-1</f>
        <v/>
      </c>
    </row>
    <row r="170">
      <c r="B170" s="34">
        <f>'Raw Data'!G166</f>
        <v/>
      </c>
      <c r="C170">
        <f>'Raw Data'!H166</f>
        <v/>
      </c>
      <c r="D170" s="36">
        <f>C169/C170-1</f>
        <v/>
      </c>
      <c r="F170" s="34">
        <f>'Raw Data'!G166</f>
        <v/>
      </c>
      <c r="G170">
        <f>'Raw Data'!J166</f>
        <v/>
      </c>
      <c r="H170" s="36">
        <f>G169/G170-1</f>
        <v/>
      </c>
    </row>
    <row r="171">
      <c r="B171" s="34">
        <f>'Raw Data'!G167</f>
        <v/>
      </c>
      <c r="C171">
        <f>'Raw Data'!H167</f>
        <v/>
      </c>
      <c r="D171" s="36">
        <f>C170/C171-1</f>
        <v/>
      </c>
      <c r="F171" s="34">
        <f>'Raw Data'!G167</f>
        <v/>
      </c>
      <c r="G171">
        <f>'Raw Data'!J167</f>
        <v/>
      </c>
      <c r="H171" s="36">
        <f>G170/G171-1</f>
        <v/>
      </c>
    </row>
    <row r="172">
      <c r="B172" s="34">
        <f>'Raw Data'!G168</f>
        <v/>
      </c>
      <c r="C172">
        <f>'Raw Data'!H168</f>
        <v/>
      </c>
      <c r="D172" s="36">
        <f>C171/C172-1</f>
        <v/>
      </c>
      <c r="F172" s="34">
        <f>'Raw Data'!G168</f>
        <v/>
      </c>
      <c r="G172">
        <f>'Raw Data'!J168</f>
        <v/>
      </c>
      <c r="H172" s="36">
        <f>G171/G172-1</f>
        <v/>
      </c>
    </row>
    <row r="173">
      <c r="B173" s="34">
        <f>'Raw Data'!G169</f>
        <v/>
      </c>
      <c r="C173">
        <f>'Raw Data'!H169</f>
        <v/>
      </c>
      <c r="D173" s="36">
        <f>C172/C173-1</f>
        <v/>
      </c>
      <c r="F173" s="34">
        <f>'Raw Data'!G169</f>
        <v/>
      </c>
      <c r="G173">
        <f>'Raw Data'!J169</f>
        <v/>
      </c>
      <c r="H173" s="36">
        <f>G172/G173-1</f>
        <v/>
      </c>
    </row>
    <row r="174">
      <c r="B174" s="34">
        <f>'Raw Data'!G170</f>
        <v/>
      </c>
      <c r="C174">
        <f>'Raw Data'!H170</f>
        <v/>
      </c>
      <c r="D174" s="36">
        <f>C173/C174-1</f>
        <v/>
      </c>
      <c r="F174" s="34">
        <f>'Raw Data'!G170</f>
        <v/>
      </c>
      <c r="G174">
        <f>'Raw Data'!J170</f>
        <v/>
      </c>
      <c r="H174" s="36">
        <f>G173/G174-1</f>
        <v/>
      </c>
    </row>
    <row r="175">
      <c r="B175" s="34">
        <f>'Raw Data'!G171</f>
        <v/>
      </c>
      <c r="C175">
        <f>'Raw Data'!H171</f>
        <v/>
      </c>
      <c r="D175" s="36">
        <f>C174/C175-1</f>
        <v/>
      </c>
      <c r="F175" s="34">
        <f>'Raw Data'!G171</f>
        <v/>
      </c>
      <c r="G175">
        <f>'Raw Data'!J171</f>
        <v/>
      </c>
      <c r="H175" s="36">
        <f>G174/G175-1</f>
        <v/>
      </c>
    </row>
    <row r="176">
      <c r="B176" s="34">
        <f>'Raw Data'!G172</f>
        <v/>
      </c>
      <c r="C176">
        <f>'Raw Data'!H172</f>
        <v/>
      </c>
      <c r="D176" s="36">
        <f>C175/C176-1</f>
        <v/>
      </c>
      <c r="F176" s="34">
        <f>'Raw Data'!G172</f>
        <v/>
      </c>
      <c r="G176">
        <f>'Raw Data'!J172</f>
        <v/>
      </c>
      <c r="H176" s="36">
        <f>G175/G176-1</f>
        <v/>
      </c>
    </row>
    <row r="177">
      <c r="B177" s="34">
        <f>'Raw Data'!G173</f>
        <v/>
      </c>
      <c r="C177">
        <f>'Raw Data'!H173</f>
        <v/>
      </c>
      <c r="D177" s="36">
        <f>C176/C177-1</f>
        <v/>
      </c>
      <c r="F177" s="34">
        <f>'Raw Data'!G173</f>
        <v/>
      </c>
      <c r="G177">
        <f>'Raw Data'!J173</f>
        <v/>
      </c>
      <c r="H177" s="36">
        <f>G176/G177-1</f>
        <v/>
      </c>
    </row>
    <row r="178">
      <c r="B178" s="34">
        <f>'Raw Data'!G174</f>
        <v/>
      </c>
      <c r="C178">
        <f>'Raw Data'!H174</f>
        <v/>
      </c>
      <c r="D178" s="36">
        <f>C177/C178-1</f>
        <v/>
      </c>
      <c r="F178" s="34">
        <f>'Raw Data'!G174</f>
        <v/>
      </c>
      <c r="G178">
        <f>'Raw Data'!J174</f>
        <v/>
      </c>
      <c r="H178" s="36">
        <f>G177/G178-1</f>
        <v/>
      </c>
    </row>
    <row r="179">
      <c r="B179" s="34">
        <f>'Raw Data'!G175</f>
        <v/>
      </c>
      <c r="C179">
        <f>'Raw Data'!H175</f>
        <v/>
      </c>
      <c r="D179" s="36">
        <f>C178/C179-1</f>
        <v/>
      </c>
      <c r="F179" s="34">
        <f>'Raw Data'!G175</f>
        <v/>
      </c>
      <c r="G179">
        <f>'Raw Data'!J175</f>
        <v/>
      </c>
      <c r="H179" s="36">
        <f>G178/G179-1</f>
        <v/>
      </c>
    </row>
    <row r="180">
      <c r="B180" s="34">
        <f>'Raw Data'!G176</f>
        <v/>
      </c>
      <c r="C180">
        <f>'Raw Data'!H176</f>
        <v/>
      </c>
      <c r="D180" s="36">
        <f>C179/C180-1</f>
        <v/>
      </c>
      <c r="F180" s="34">
        <f>'Raw Data'!G176</f>
        <v/>
      </c>
      <c r="G180">
        <f>'Raw Data'!J176</f>
        <v/>
      </c>
      <c r="H180" s="36">
        <f>G179/G180-1</f>
        <v/>
      </c>
    </row>
    <row r="181">
      <c r="B181" s="34">
        <f>'Raw Data'!G177</f>
        <v/>
      </c>
      <c r="C181">
        <f>'Raw Data'!H177</f>
        <v/>
      </c>
      <c r="D181" s="36">
        <f>C180/C181-1</f>
        <v/>
      </c>
      <c r="F181" s="34">
        <f>'Raw Data'!G177</f>
        <v/>
      </c>
      <c r="G181">
        <f>'Raw Data'!J177</f>
        <v/>
      </c>
      <c r="H181" s="36">
        <f>G180/G181-1</f>
        <v/>
      </c>
    </row>
    <row r="182">
      <c r="B182" s="34">
        <f>'Raw Data'!G178</f>
        <v/>
      </c>
      <c r="C182">
        <f>'Raw Data'!H178</f>
        <v/>
      </c>
      <c r="D182" s="36">
        <f>C181/C182-1</f>
        <v/>
      </c>
      <c r="F182" s="34">
        <f>'Raw Data'!G178</f>
        <v/>
      </c>
      <c r="G182">
        <f>'Raw Data'!J178</f>
        <v/>
      </c>
      <c r="H182" s="36">
        <f>G181/G182-1</f>
        <v/>
      </c>
    </row>
    <row r="183">
      <c r="B183" s="34">
        <f>'Raw Data'!G179</f>
        <v/>
      </c>
      <c r="C183">
        <f>'Raw Data'!H179</f>
        <v/>
      </c>
      <c r="D183" s="36">
        <f>C182/C183-1</f>
        <v/>
      </c>
      <c r="F183" s="34">
        <f>'Raw Data'!G179</f>
        <v/>
      </c>
      <c r="G183">
        <f>'Raw Data'!J179</f>
        <v/>
      </c>
      <c r="H183" s="36">
        <f>G182/G183-1</f>
        <v/>
      </c>
    </row>
    <row r="184">
      <c r="B184" s="34">
        <f>'Raw Data'!G180</f>
        <v/>
      </c>
      <c r="C184">
        <f>'Raw Data'!H180</f>
        <v/>
      </c>
      <c r="D184" s="36">
        <f>C183/C184-1</f>
        <v/>
      </c>
      <c r="F184" s="34">
        <f>'Raw Data'!G180</f>
        <v/>
      </c>
      <c r="G184">
        <f>'Raw Data'!J180</f>
        <v/>
      </c>
      <c r="H184" s="36">
        <f>G183/G184-1</f>
        <v/>
      </c>
    </row>
    <row r="185">
      <c r="B185" s="34">
        <f>'Raw Data'!G181</f>
        <v/>
      </c>
      <c r="C185">
        <f>'Raw Data'!H181</f>
        <v/>
      </c>
      <c r="D185" s="36">
        <f>C184/C185-1</f>
        <v/>
      </c>
      <c r="F185" s="34">
        <f>'Raw Data'!G181</f>
        <v/>
      </c>
      <c r="G185">
        <f>'Raw Data'!J181</f>
        <v/>
      </c>
      <c r="H185" s="36">
        <f>G184/G185-1</f>
        <v/>
      </c>
    </row>
    <row r="186">
      <c r="B186" s="34">
        <f>'Raw Data'!G182</f>
        <v/>
      </c>
      <c r="C186">
        <f>'Raw Data'!H182</f>
        <v/>
      </c>
      <c r="D186" s="36">
        <f>C185/C186-1</f>
        <v/>
      </c>
      <c r="F186" s="34">
        <f>'Raw Data'!G182</f>
        <v/>
      </c>
      <c r="G186">
        <f>'Raw Data'!J182</f>
        <v/>
      </c>
      <c r="H186" s="36">
        <f>G185/G186-1</f>
        <v/>
      </c>
    </row>
    <row r="187">
      <c r="B187" s="34">
        <f>'Raw Data'!G183</f>
        <v/>
      </c>
      <c r="C187">
        <f>'Raw Data'!H183</f>
        <v/>
      </c>
      <c r="D187" s="36">
        <f>C186/C187-1</f>
        <v/>
      </c>
      <c r="F187" s="34">
        <f>'Raw Data'!G183</f>
        <v/>
      </c>
      <c r="G187">
        <f>'Raw Data'!J183</f>
        <v/>
      </c>
      <c r="H187" s="36">
        <f>G186/G187-1</f>
        <v/>
      </c>
    </row>
    <row r="188">
      <c r="B188" s="34">
        <f>'Raw Data'!G184</f>
        <v/>
      </c>
      <c r="C188">
        <f>'Raw Data'!H184</f>
        <v/>
      </c>
      <c r="D188" s="36">
        <f>C187/C188-1</f>
        <v/>
      </c>
      <c r="F188" s="34">
        <f>'Raw Data'!G184</f>
        <v/>
      </c>
      <c r="G188">
        <f>'Raw Data'!J184</f>
        <v/>
      </c>
      <c r="H188" s="36">
        <f>G187/G188-1</f>
        <v/>
      </c>
    </row>
    <row r="189">
      <c r="B189" s="34">
        <f>'Raw Data'!G185</f>
        <v/>
      </c>
      <c r="C189">
        <f>'Raw Data'!H185</f>
        <v/>
      </c>
      <c r="D189" s="36">
        <f>C188/C189-1</f>
        <v/>
      </c>
      <c r="F189" s="34">
        <f>'Raw Data'!G185</f>
        <v/>
      </c>
      <c r="G189">
        <f>'Raw Data'!J185</f>
        <v/>
      </c>
      <c r="H189" s="36">
        <f>G188/G189-1</f>
        <v/>
      </c>
    </row>
    <row r="190">
      <c r="B190" s="34">
        <f>'Raw Data'!G186</f>
        <v/>
      </c>
      <c r="C190">
        <f>'Raw Data'!H186</f>
        <v/>
      </c>
      <c r="D190" s="36">
        <f>C189/C190-1</f>
        <v/>
      </c>
      <c r="F190" s="34">
        <f>'Raw Data'!G186</f>
        <v/>
      </c>
      <c r="G190">
        <f>'Raw Data'!J186</f>
        <v/>
      </c>
      <c r="H190" s="36">
        <f>G189/G190-1</f>
        <v/>
      </c>
    </row>
    <row r="191">
      <c r="B191" s="34">
        <f>'Raw Data'!G187</f>
        <v/>
      </c>
      <c r="C191">
        <f>'Raw Data'!H187</f>
        <v/>
      </c>
      <c r="D191" s="36">
        <f>C190/C191-1</f>
        <v/>
      </c>
      <c r="F191" s="34">
        <f>'Raw Data'!G187</f>
        <v/>
      </c>
      <c r="G191">
        <f>'Raw Data'!J187</f>
        <v/>
      </c>
      <c r="H191" s="36">
        <f>G190/G191-1</f>
        <v/>
      </c>
    </row>
    <row r="192">
      <c r="B192" s="34">
        <f>'Raw Data'!G188</f>
        <v/>
      </c>
      <c r="C192">
        <f>'Raw Data'!H188</f>
        <v/>
      </c>
      <c r="D192" s="36">
        <f>C191/C192-1</f>
        <v/>
      </c>
      <c r="F192" s="34">
        <f>'Raw Data'!G188</f>
        <v/>
      </c>
      <c r="G192">
        <f>'Raw Data'!J188</f>
        <v/>
      </c>
      <c r="H192" s="36">
        <f>G191/G192-1</f>
        <v/>
      </c>
    </row>
    <row r="193">
      <c r="B193" s="34">
        <f>'Raw Data'!G189</f>
        <v/>
      </c>
      <c r="C193">
        <f>'Raw Data'!H189</f>
        <v/>
      </c>
      <c r="D193" s="36">
        <f>C192/C193-1</f>
        <v/>
      </c>
      <c r="F193" s="34">
        <f>'Raw Data'!G189</f>
        <v/>
      </c>
      <c r="G193">
        <f>'Raw Data'!J189</f>
        <v/>
      </c>
      <c r="H193" s="36">
        <f>G192/G193-1</f>
        <v/>
      </c>
    </row>
    <row r="194">
      <c r="B194" s="34">
        <f>'Raw Data'!G190</f>
        <v/>
      </c>
      <c r="C194">
        <f>'Raw Data'!H190</f>
        <v/>
      </c>
      <c r="D194" s="36">
        <f>C193/C194-1</f>
        <v/>
      </c>
      <c r="F194" s="34">
        <f>'Raw Data'!G190</f>
        <v/>
      </c>
      <c r="G194">
        <f>'Raw Data'!J190</f>
        <v/>
      </c>
      <c r="H194" s="36">
        <f>G193/G194-1</f>
        <v/>
      </c>
    </row>
    <row r="195">
      <c r="B195" s="34">
        <f>'Raw Data'!G191</f>
        <v/>
      </c>
      <c r="C195">
        <f>'Raw Data'!H191</f>
        <v/>
      </c>
      <c r="D195" s="36">
        <f>C194/C195-1</f>
        <v/>
      </c>
      <c r="F195" s="34">
        <f>'Raw Data'!G191</f>
        <v/>
      </c>
      <c r="G195">
        <f>'Raw Data'!J191</f>
        <v/>
      </c>
      <c r="H195" s="36">
        <f>G194/G195-1</f>
        <v/>
      </c>
    </row>
    <row r="196">
      <c r="B196" s="34">
        <f>'Raw Data'!G192</f>
        <v/>
      </c>
      <c r="C196">
        <f>'Raw Data'!H192</f>
        <v/>
      </c>
      <c r="D196" s="36">
        <f>C195/C196-1</f>
        <v/>
      </c>
      <c r="F196" s="34">
        <f>'Raw Data'!G192</f>
        <v/>
      </c>
      <c r="G196">
        <f>'Raw Data'!J192</f>
        <v/>
      </c>
      <c r="H196" s="36">
        <f>G195/G196-1</f>
        <v/>
      </c>
    </row>
    <row r="197">
      <c r="B197" s="34">
        <f>'Raw Data'!G193</f>
        <v/>
      </c>
      <c r="C197">
        <f>'Raw Data'!H193</f>
        <v/>
      </c>
      <c r="D197" s="36">
        <f>C196/C197-1</f>
        <v/>
      </c>
      <c r="F197" s="34">
        <f>'Raw Data'!G193</f>
        <v/>
      </c>
      <c r="G197">
        <f>'Raw Data'!J193</f>
        <v/>
      </c>
      <c r="H197" s="36">
        <f>G196/G197-1</f>
        <v/>
      </c>
    </row>
    <row r="198">
      <c r="B198" s="34">
        <f>'Raw Data'!G194</f>
        <v/>
      </c>
      <c r="C198">
        <f>'Raw Data'!H194</f>
        <v/>
      </c>
      <c r="D198" s="36">
        <f>C197/C198-1</f>
        <v/>
      </c>
      <c r="F198" s="34">
        <f>'Raw Data'!G194</f>
        <v/>
      </c>
      <c r="G198">
        <f>'Raw Data'!J194</f>
        <v/>
      </c>
      <c r="H198" s="36">
        <f>G197/G198-1</f>
        <v/>
      </c>
    </row>
    <row r="199">
      <c r="B199" s="34">
        <f>'Raw Data'!G195</f>
        <v/>
      </c>
      <c r="C199">
        <f>'Raw Data'!H195</f>
        <v/>
      </c>
      <c r="D199" s="36">
        <f>C198/C199-1</f>
        <v/>
      </c>
      <c r="F199" s="34">
        <f>'Raw Data'!G195</f>
        <v/>
      </c>
      <c r="G199">
        <f>'Raw Data'!J195</f>
        <v/>
      </c>
      <c r="H199" s="36">
        <f>G198/G199-1</f>
        <v/>
      </c>
    </row>
    <row r="200">
      <c r="B200" s="34">
        <f>'Raw Data'!G196</f>
        <v/>
      </c>
      <c r="C200">
        <f>'Raw Data'!H196</f>
        <v/>
      </c>
      <c r="D200" s="36">
        <f>C199/C200-1</f>
        <v/>
      </c>
      <c r="F200" s="34">
        <f>'Raw Data'!G196</f>
        <v/>
      </c>
      <c r="G200">
        <f>'Raw Data'!J196</f>
        <v/>
      </c>
      <c r="H200" s="36">
        <f>G199/G200-1</f>
        <v/>
      </c>
    </row>
    <row r="201">
      <c r="B201" s="34">
        <f>'Raw Data'!G197</f>
        <v/>
      </c>
      <c r="C201">
        <f>'Raw Data'!H197</f>
        <v/>
      </c>
      <c r="D201" s="36">
        <f>C200/C201-1</f>
        <v/>
      </c>
      <c r="F201" s="34">
        <f>'Raw Data'!G197</f>
        <v/>
      </c>
      <c r="G201">
        <f>'Raw Data'!J197</f>
        <v/>
      </c>
      <c r="H201" s="36">
        <f>G200/G201-1</f>
        <v/>
      </c>
    </row>
    <row r="202">
      <c r="B202" s="34">
        <f>'Raw Data'!G198</f>
        <v/>
      </c>
      <c r="C202">
        <f>'Raw Data'!H198</f>
        <v/>
      </c>
      <c r="D202" s="36">
        <f>C201/C202-1</f>
        <v/>
      </c>
      <c r="F202" s="34">
        <f>'Raw Data'!G198</f>
        <v/>
      </c>
      <c r="G202">
        <f>'Raw Data'!J198</f>
        <v/>
      </c>
      <c r="H202" s="36">
        <f>G201/G202-1</f>
        <v/>
      </c>
    </row>
    <row r="203">
      <c r="B203" s="34">
        <f>'Raw Data'!G199</f>
        <v/>
      </c>
      <c r="C203">
        <f>'Raw Data'!H199</f>
        <v/>
      </c>
      <c r="D203" s="36">
        <f>C202/C203-1</f>
        <v/>
      </c>
      <c r="F203" s="34">
        <f>'Raw Data'!G199</f>
        <v/>
      </c>
      <c r="G203">
        <f>'Raw Data'!J199</f>
        <v/>
      </c>
      <c r="H203" s="36">
        <f>G202/G203-1</f>
        <v/>
      </c>
    </row>
    <row r="204">
      <c r="B204" s="34">
        <f>'Raw Data'!G200</f>
        <v/>
      </c>
      <c r="C204">
        <f>'Raw Data'!H200</f>
        <v/>
      </c>
      <c r="D204" s="36">
        <f>C203/C204-1</f>
        <v/>
      </c>
      <c r="F204" s="34">
        <f>'Raw Data'!G200</f>
        <v/>
      </c>
      <c r="G204">
        <f>'Raw Data'!J200</f>
        <v/>
      </c>
      <c r="H204" s="36">
        <f>G203/G204-1</f>
        <v/>
      </c>
    </row>
    <row r="205">
      <c r="B205" s="34">
        <f>'Raw Data'!G201</f>
        <v/>
      </c>
      <c r="C205">
        <f>'Raw Data'!H201</f>
        <v/>
      </c>
      <c r="D205" s="36">
        <f>C204/C205-1</f>
        <v/>
      </c>
      <c r="F205" s="34">
        <f>'Raw Data'!G201</f>
        <v/>
      </c>
      <c r="G205">
        <f>'Raw Data'!J201</f>
        <v/>
      </c>
      <c r="H205" s="36">
        <f>G204/G205-1</f>
        <v/>
      </c>
    </row>
    <row r="206">
      <c r="B206" s="34">
        <f>'Raw Data'!G202</f>
        <v/>
      </c>
      <c r="C206">
        <f>'Raw Data'!H202</f>
        <v/>
      </c>
      <c r="D206" s="36">
        <f>C205/C206-1</f>
        <v/>
      </c>
      <c r="F206" s="34">
        <f>'Raw Data'!G202</f>
        <v/>
      </c>
      <c r="G206">
        <f>'Raw Data'!J202</f>
        <v/>
      </c>
      <c r="H206" s="36">
        <f>G205/G206-1</f>
        <v/>
      </c>
    </row>
    <row r="207">
      <c r="B207" s="34">
        <f>'Raw Data'!G203</f>
        <v/>
      </c>
      <c r="C207">
        <f>'Raw Data'!H203</f>
        <v/>
      </c>
      <c r="D207" s="36">
        <f>C206/C207-1</f>
        <v/>
      </c>
      <c r="F207" s="34">
        <f>'Raw Data'!G203</f>
        <v/>
      </c>
      <c r="G207">
        <f>'Raw Data'!J203</f>
        <v/>
      </c>
      <c r="H207" s="36">
        <f>G206/G207-1</f>
        <v/>
      </c>
    </row>
    <row r="208">
      <c r="B208" s="34">
        <f>'Raw Data'!G204</f>
        <v/>
      </c>
      <c r="C208">
        <f>'Raw Data'!H204</f>
        <v/>
      </c>
      <c r="D208" s="36">
        <f>C207/C208-1</f>
        <v/>
      </c>
      <c r="F208" s="34">
        <f>'Raw Data'!G204</f>
        <v/>
      </c>
      <c r="G208">
        <f>'Raw Data'!J204</f>
        <v/>
      </c>
      <c r="H208" s="36">
        <f>G207/G208-1</f>
        <v/>
      </c>
    </row>
    <row r="209">
      <c r="B209" s="34">
        <f>'Raw Data'!G205</f>
        <v/>
      </c>
      <c r="C209">
        <f>'Raw Data'!H205</f>
        <v/>
      </c>
      <c r="D209" s="36">
        <f>C208/C209-1</f>
        <v/>
      </c>
      <c r="F209" s="34">
        <f>'Raw Data'!G205</f>
        <v/>
      </c>
      <c r="G209">
        <f>'Raw Data'!J205</f>
        <v/>
      </c>
      <c r="H209" s="36">
        <f>G208/G209-1</f>
        <v/>
      </c>
    </row>
    <row r="210">
      <c r="B210" s="34">
        <f>'Raw Data'!G206</f>
        <v/>
      </c>
      <c r="C210">
        <f>'Raw Data'!H206</f>
        <v/>
      </c>
      <c r="D210" s="36">
        <f>C209/C210-1</f>
        <v/>
      </c>
      <c r="F210" s="34">
        <f>'Raw Data'!G206</f>
        <v/>
      </c>
      <c r="G210">
        <f>'Raw Data'!J206</f>
        <v/>
      </c>
      <c r="H210" s="36">
        <f>G209/G210-1</f>
        <v/>
      </c>
    </row>
    <row r="211">
      <c r="B211" s="34">
        <f>'Raw Data'!G207</f>
        <v/>
      </c>
      <c r="C211">
        <f>'Raw Data'!H207</f>
        <v/>
      </c>
      <c r="D211" s="36">
        <f>C210/C211-1</f>
        <v/>
      </c>
      <c r="F211" s="34">
        <f>'Raw Data'!G207</f>
        <v/>
      </c>
      <c r="G211">
        <f>'Raw Data'!J207</f>
        <v/>
      </c>
      <c r="H211" s="36">
        <f>G210/G211-1</f>
        <v/>
      </c>
    </row>
    <row r="212">
      <c r="B212" s="34">
        <f>'Raw Data'!G208</f>
        <v/>
      </c>
      <c r="C212">
        <f>'Raw Data'!H208</f>
        <v/>
      </c>
      <c r="D212" s="36">
        <f>C211/C212-1</f>
        <v/>
      </c>
      <c r="F212" s="34">
        <f>'Raw Data'!G208</f>
        <v/>
      </c>
      <c r="G212">
        <f>'Raw Data'!J208</f>
        <v/>
      </c>
      <c r="H212" s="36">
        <f>G211/G212-1</f>
        <v/>
      </c>
    </row>
    <row r="213">
      <c r="B213" s="34">
        <f>'Raw Data'!G209</f>
        <v/>
      </c>
      <c r="C213">
        <f>'Raw Data'!H209</f>
        <v/>
      </c>
      <c r="D213" s="36">
        <f>C212/C213-1</f>
        <v/>
      </c>
      <c r="F213" s="34">
        <f>'Raw Data'!G209</f>
        <v/>
      </c>
      <c r="G213">
        <f>'Raw Data'!J209</f>
        <v/>
      </c>
      <c r="H213" s="36">
        <f>G212/G213-1</f>
        <v/>
      </c>
    </row>
    <row r="214">
      <c r="B214" s="34">
        <f>'Raw Data'!G210</f>
        <v/>
      </c>
      <c r="C214">
        <f>'Raw Data'!H210</f>
        <v/>
      </c>
      <c r="D214" s="36">
        <f>C213/C214-1</f>
        <v/>
      </c>
      <c r="F214" s="34">
        <f>'Raw Data'!G210</f>
        <v/>
      </c>
      <c r="G214">
        <f>'Raw Data'!J210</f>
        <v/>
      </c>
      <c r="H214" s="36">
        <f>G213/G214-1</f>
        <v/>
      </c>
    </row>
    <row r="215">
      <c r="B215" s="34">
        <f>'Raw Data'!G211</f>
        <v/>
      </c>
      <c r="C215">
        <f>'Raw Data'!H211</f>
        <v/>
      </c>
      <c r="D215" s="36">
        <f>C214/C215-1</f>
        <v/>
      </c>
      <c r="F215" s="34">
        <f>'Raw Data'!G211</f>
        <v/>
      </c>
      <c r="G215">
        <f>'Raw Data'!J211</f>
        <v/>
      </c>
      <c r="H215" s="36">
        <f>G214/G215-1</f>
        <v/>
      </c>
    </row>
    <row r="216">
      <c r="B216" s="34">
        <f>'Raw Data'!G212</f>
        <v/>
      </c>
      <c r="C216">
        <f>'Raw Data'!H212</f>
        <v/>
      </c>
      <c r="D216" s="36">
        <f>C215/C216-1</f>
        <v/>
      </c>
      <c r="F216" s="34">
        <f>'Raw Data'!G212</f>
        <v/>
      </c>
      <c r="G216">
        <f>'Raw Data'!J212</f>
        <v/>
      </c>
      <c r="H216" s="36">
        <f>G215/G216-1</f>
        <v/>
      </c>
    </row>
    <row r="217">
      <c r="B217" s="34">
        <f>'Raw Data'!G213</f>
        <v/>
      </c>
      <c r="C217">
        <f>'Raw Data'!H213</f>
        <v/>
      </c>
      <c r="D217" s="36">
        <f>C216/C217-1</f>
        <v/>
      </c>
      <c r="F217" s="34">
        <f>'Raw Data'!G213</f>
        <v/>
      </c>
      <c r="G217">
        <f>'Raw Data'!J213</f>
        <v/>
      </c>
      <c r="H217" s="36">
        <f>G216/G217-1</f>
        <v/>
      </c>
    </row>
    <row r="218">
      <c r="B218" s="34">
        <f>'Raw Data'!G214</f>
        <v/>
      </c>
      <c r="C218">
        <f>'Raw Data'!H214</f>
        <v/>
      </c>
      <c r="D218" s="36">
        <f>C217/C218-1</f>
        <v/>
      </c>
      <c r="F218" s="34">
        <f>'Raw Data'!G214</f>
        <v/>
      </c>
      <c r="G218">
        <f>'Raw Data'!J214</f>
        <v/>
      </c>
      <c r="H218" s="36">
        <f>G217/G218-1</f>
        <v/>
      </c>
    </row>
    <row r="219">
      <c r="B219" s="34">
        <f>'Raw Data'!G215</f>
        <v/>
      </c>
      <c r="C219">
        <f>'Raw Data'!H215</f>
        <v/>
      </c>
      <c r="D219" s="36">
        <f>C218/C219-1</f>
        <v/>
      </c>
      <c r="F219" s="34">
        <f>'Raw Data'!G215</f>
        <v/>
      </c>
      <c r="G219">
        <f>'Raw Data'!J215</f>
        <v/>
      </c>
      <c r="H219" s="36">
        <f>G218/G219-1</f>
        <v/>
      </c>
    </row>
    <row r="220">
      <c r="B220" s="34">
        <f>'Raw Data'!G216</f>
        <v/>
      </c>
      <c r="C220">
        <f>'Raw Data'!H216</f>
        <v/>
      </c>
      <c r="D220" s="36">
        <f>C219/C220-1</f>
        <v/>
      </c>
      <c r="F220" s="34">
        <f>'Raw Data'!G216</f>
        <v/>
      </c>
      <c r="G220">
        <f>'Raw Data'!J216</f>
        <v/>
      </c>
      <c r="H220" s="36">
        <f>G219/G220-1</f>
        <v/>
      </c>
    </row>
    <row r="221">
      <c r="B221" s="34">
        <f>'Raw Data'!G217</f>
        <v/>
      </c>
      <c r="C221">
        <f>'Raw Data'!H217</f>
        <v/>
      </c>
      <c r="D221" s="36">
        <f>C220/C221-1</f>
        <v/>
      </c>
      <c r="F221" s="34">
        <f>'Raw Data'!G217</f>
        <v/>
      </c>
      <c r="G221">
        <f>'Raw Data'!J217</f>
        <v/>
      </c>
      <c r="H221" s="36">
        <f>G220/G221-1</f>
        <v/>
      </c>
    </row>
    <row r="222">
      <c r="B222" s="34">
        <f>'Raw Data'!G218</f>
        <v/>
      </c>
      <c r="C222">
        <f>'Raw Data'!H218</f>
        <v/>
      </c>
      <c r="D222" s="36">
        <f>C221/C222-1</f>
        <v/>
      </c>
      <c r="F222" s="34">
        <f>'Raw Data'!G218</f>
        <v/>
      </c>
      <c r="G222">
        <f>'Raw Data'!J218</f>
        <v/>
      </c>
      <c r="H222" s="36">
        <f>G221/G222-1</f>
        <v/>
      </c>
    </row>
    <row r="223">
      <c r="B223" s="34">
        <f>'Raw Data'!G219</f>
        <v/>
      </c>
      <c r="C223">
        <f>'Raw Data'!H219</f>
        <v/>
      </c>
      <c r="D223" s="36">
        <f>C222/C223-1</f>
        <v/>
      </c>
      <c r="F223" s="34">
        <f>'Raw Data'!G219</f>
        <v/>
      </c>
      <c r="G223">
        <f>'Raw Data'!J219</f>
        <v/>
      </c>
      <c r="H223" s="36">
        <f>G222/G223-1</f>
        <v/>
      </c>
    </row>
    <row r="224">
      <c r="B224" s="34">
        <f>'Raw Data'!G220</f>
        <v/>
      </c>
      <c r="C224">
        <f>'Raw Data'!H220</f>
        <v/>
      </c>
      <c r="D224" s="36">
        <f>C223/C224-1</f>
        <v/>
      </c>
      <c r="F224" s="34">
        <f>'Raw Data'!G220</f>
        <v/>
      </c>
      <c r="G224">
        <f>'Raw Data'!J220</f>
        <v/>
      </c>
      <c r="H224" s="36">
        <f>G223/G224-1</f>
        <v/>
      </c>
    </row>
    <row r="225">
      <c r="B225" s="34">
        <f>'Raw Data'!G221</f>
        <v/>
      </c>
      <c r="C225">
        <f>'Raw Data'!H221</f>
        <v/>
      </c>
      <c r="D225" s="36">
        <f>C224/C225-1</f>
        <v/>
      </c>
      <c r="F225" s="34">
        <f>'Raw Data'!G221</f>
        <v/>
      </c>
      <c r="G225">
        <f>'Raw Data'!J221</f>
        <v/>
      </c>
      <c r="H225" s="36">
        <f>G224/G225-1</f>
        <v/>
      </c>
    </row>
    <row r="226">
      <c r="B226" s="34">
        <f>'Raw Data'!G222</f>
        <v/>
      </c>
      <c r="C226">
        <f>'Raw Data'!H222</f>
        <v/>
      </c>
      <c r="D226" s="36">
        <f>C225/C226-1</f>
        <v/>
      </c>
      <c r="F226" s="34">
        <f>'Raw Data'!G222</f>
        <v/>
      </c>
      <c r="G226">
        <f>'Raw Data'!J222</f>
        <v/>
      </c>
      <c r="H226" s="36">
        <f>G225/G226-1</f>
        <v/>
      </c>
    </row>
    <row r="227">
      <c r="B227" s="34">
        <f>'Raw Data'!G223</f>
        <v/>
      </c>
      <c r="C227">
        <f>'Raw Data'!H223</f>
        <v/>
      </c>
      <c r="D227" s="36">
        <f>C226/C227-1</f>
        <v/>
      </c>
      <c r="F227" s="34">
        <f>'Raw Data'!G223</f>
        <v/>
      </c>
      <c r="G227">
        <f>'Raw Data'!J223</f>
        <v/>
      </c>
      <c r="H227" s="36">
        <f>G226/G227-1</f>
        <v/>
      </c>
    </row>
    <row r="228">
      <c r="B228" s="34">
        <f>'Raw Data'!G224</f>
        <v/>
      </c>
      <c r="C228">
        <f>'Raw Data'!H224</f>
        <v/>
      </c>
      <c r="D228" s="36">
        <f>C227/C228-1</f>
        <v/>
      </c>
      <c r="F228" s="34">
        <f>'Raw Data'!G224</f>
        <v/>
      </c>
      <c r="G228">
        <f>'Raw Data'!J224</f>
        <v/>
      </c>
      <c r="H228" s="36">
        <f>G227/G228-1</f>
        <v/>
      </c>
    </row>
    <row r="229">
      <c r="B229" s="34">
        <f>'Raw Data'!G225</f>
        <v/>
      </c>
      <c r="C229">
        <f>'Raw Data'!H225</f>
        <v/>
      </c>
      <c r="D229" s="36">
        <f>C228/C229-1</f>
        <v/>
      </c>
      <c r="F229" s="34">
        <f>'Raw Data'!G225</f>
        <v/>
      </c>
      <c r="G229">
        <f>'Raw Data'!J225</f>
        <v/>
      </c>
      <c r="H229" s="36">
        <f>G228/G229-1</f>
        <v/>
      </c>
    </row>
    <row r="230">
      <c r="B230" s="34">
        <f>'Raw Data'!G226</f>
        <v/>
      </c>
      <c r="C230">
        <f>'Raw Data'!H226</f>
        <v/>
      </c>
      <c r="D230" s="36">
        <f>C229/C230-1</f>
        <v/>
      </c>
      <c r="F230" s="34">
        <f>'Raw Data'!G226</f>
        <v/>
      </c>
      <c r="G230">
        <f>'Raw Data'!J226</f>
        <v/>
      </c>
      <c r="H230" s="36">
        <f>G229/G230-1</f>
        <v/>
      </c>
    </row>
    <row r="231">
      <c r="B231" s="34">
        <f>'Raw Data'!G227</f>
        <v/>
      </c>
      <c r="C231">
        <f>'Raw Data'!H227</f>
        <v/>
      </c>
      <c r="D231" s="36">
        <f>C230/C231-1</f>
        <v/>
      </c>
      <c r="F231" s="34">
        <f>'Raw Data'!G227</f>
        <v/>
      </c>
      <c r="G231">
        <f>'Raw Data'!J227</f>
        <v/>
      </c>
      <c r="H231" s="36">
        <f>G230/G231-1</f>
        <v/>
      </c>
    </row>
    <row r="232">
      <c r="B232" s="34">
        <f>'Raw Data'!G228</f>
        <v/>
      </c>
      <c r="C232">
        <f>'Raw Data'!H228</f>
        <v/>
      </c>
      <c r="D232" s="36">
        <f>C231/C232-1</f>
        <v/>
      </c>
      <c r="F232" s="34">
        <f>'Raw Data'!G228</f>
        <v/>
      </c>
      <c r="G232">
        <f>'Raw Data'!J228</f>
        <v/>
      </c>
      <c r="H232" s="36">
        <f>G231/G232-1</f>
        <v/>
      </c>
    </row>
    <row r="233">
      <c r="B233" s="34">
        <f>'Raw Data'!G229</f>
        <v/>
      </c>
      <c r="C233">
        <f>'Raw Data'!H229</f>
        <v/>
      </c>
      <c r="D233" s="36">
        <f>C232/C233-1</f>
        <v/>
      </c>
      <c r="F233" s="34">
        <f>'Raw Data'!G229</f>
        <v/>
      </c>
      <c r="G233">
        <f>'Raw Data'!J229</f>
        <v/>
      </c>
      <c r="H233" s="36">
        <f>G232/G233-1</f>
        <v/>
      </c>
    </row>
    <row r="234">
      <c r="B234" s="34">
        <f>'Raw Data'!G230</f>
        <v/>
      </c>
      <c r="C234">
        <f>'Raw Data'!H230</f>
        <v/>
      </c>
      <c r="D234" s="36">
        <f>C233/C234-1</f>
        <v/>
      </c>
      <c r="F234" s="34">
        <f>'Raw Data'!G230</f>
        <v/>
      </c>
      <c r="G234">
        <f>'Raw Data'!J230</f>
        <v/>
      </c>
      <c r="H234" s="36">
        <f>G233/G234-1</f>
        <v/>
      </c>
    </row>
    <row r="235">
      <c r="B235" s="34">
        <f>'Raw Data'!G231</f>
        <v/>
      </c>
      <c r="C235">
        <f>'Raw Data'!H231</f>
        <v/>
      </c>
      <c r="D235" s="36">
        <f>C234/C235-1</f>
        <v/>
      </c>
      <c r="F235" s="34">
        <f>'Raw Data'!G231</f>
        <v/>
      </c>
      <c r="G235">
        <f>'Raw Data'!J231</f>
        <v/>
      </c>
      <c r="H235" s="36">
        <f>G234/G235-1</f>
        <v/>
      </c>
    </row>
    <row r="236">
      <c r="B236" s="34">
        <f>'Raw Data'!G232</f>
        <v/>
      </c>
      <c r="C236">
        <f>'Raw Data'!H232</f>
        <v/>
      </c>
      <c r="D236" s="36">
        <f>C235/C236-1</f>
        <v/>
      </c>
      <c r="F236" s="34">
        <f>'Raw Data'!G232</f>
        <v/>
      </c>
      <c r="G236">
        <f>'Raw Data'!J232</f>
        <v/>
      </c>
      <c r="H236" s="36">
        <f>G235/G236-1</f>
        <v/>
      </c>
    </row>
    <row r="237">
      <c r="B237" s="34">
        <f>'Raw Data'!G233</f>
        <v/>
      </c>
      <c r="C237">
        <f>'Raw Data'!H233</f>
        <v/>
      </c>
      <c r="D237" s="36">
        <f>C236/C237-1</f>
        <v/>
      </c>
      <c r="F237" s="34">
        <f>'Raw Data'!G233</f>
        <v/>
      </c>
      <c r="G237">
        <f>'Raw Data'!J233</f>
        <v/>
      </c>
      <c r="H237" s="36">
        <f>G236/G237-1</f>
        <v/>
      </c>
    </row>
    <row r="238">
      <c r="B238" s="34">
        <f>'Raw Data'!G234</f>
        <v/>
      </c>
      <c r="C238">
        <f>'Raw Data'!H234</f>
        <v/>
      </c>
      <c r="D238" s="36">
        <f>C237/C238-1</f>
        <v/>
      </c>
      <c r="F238" s="34">
        <f>'Raw Data'!G234</f>
        <v/>
      </c>
      <c r="G238">
        <f>'Raw Data'!J234</f>
        <v/>
      </c>
      <c r="H238" s="36">
        <f>G237/G238-1</f>
        <v/>
      </c>
    </row>
    <row r="239">
      <c r="B239" s="34">
        <f>'Raw Data'!G235</f>
        <v/>
      </c>
      <c r="C239">
        <f>'Raw Data'!H235</f>
        <v/>
      </c>
      <c r="D239" s="36">
        <f>C238/C239-1</f>
        <v/>
      </c>
      <c r="F239" s="34">
        <f>'Raw Data'!G235</f>
        <v/>
      </c>
      <c r="G239">
        <f>'Raw Data'!J235</f>
        <v/>
      </c>
      <c r="H239" s="36">
        <f>G238/G239-1</f>
        <v/>
      </c>
    </row>
    <row r="240">
      <c r="B240" s="34">
        <f>'Raw Data'!G236</f>
        <v/>
      </c>
      <c r="C240">
        <f>'Raw Data'!H236</f>
        <v/>
      </c>
      <c r="D240" s="36">
        <f>C239/C240-1</f>
        <v/>
      </c>
      <c r="F240" s="34">
        <f>'Raw Data'!G236</f>
        <v/>
      </c>
      <c r="G240">
        <f>'Raw Data'!J236</f>
        <v/>
      </c>
      <c r="H240" s="36">
        <f>G239/G240-1</f>
        <v/>
      </c>
    </row>
    <row r="241">
      <c r="B241" s="34">
        <f>'Raw Data'!G237</f>
        <v/>
      </c>
      <c r="C241">
        <f>'Raw Data'!H237</f>
        <v/>
      </c>
      <c r="D241" s="36">
        <f>C240/C241-1</f>
        <v/>
      </c>
      <c r="F241" s="34">
        <f>'Raw Data'!G237</f>
        <v/>
      </c>
      <c r="G241">
        <f>'Raw Data'!J237</f>
        <v/>
      </c>
      <c r="H241" s="36">
        <f>G240/G241-1</f>
        <v/>
      </c>
    </row>
    <row r="242">
      <c r="B242" s="34">
        <f>'Raw Data'!G238</f>
        <v/>
      </c>
      <c r="C242">
        <f>'Raw Data'!H238</f>
        <v/>
      </c>
      <c r="D242" s="36">
        <f>C241/C242-1</f>
        <v/>
      </c>
      <c r="F242" s="34">
        <f>'Raw Data'!G238</f>
        <v/>
      </c>
      <c r="G242">
        <f>'Raw Data'!J238</f>
        <v/>
      </c>
      <c r="H242" s="36">
        <f>G241/G242-1</f>
        <v/>
      </c>
    </row>
    <row r="243">
      <c r="B243" s="34">
        <f>'Raw Data'!G239</f>
        <v/>
      </c>
      <c r="C243">
        <f>'Raw Data'!H239</f>
        <v/>
      </c>
      <c r="D243" s="36">
        <f>C242/C243-1</f>
        <v/>
      </c>
      <c r="F243" s="34">
        <f>'Raw Data'!G239</f>
        <v/>
      </c>
      <c r="G243">
        <f>'Raw Data'!J239</f>
        <v/>
      </c>
      <c r="H243" s="36">
        <f>G242/G243-1</f>
        <v/>
      </c>
    </row>
    <row r="244">
      <c r="B244" s="34">
        <f>'Raw Data'!G240</f>
        <v/>
      </c>
      <c r="C244">
        <f>'Raw Data'!H240</f>
        <v/>
      </c>
      <c r="D244" s="36">
        <f>C243/C244-1</f>
        <v/>
      </c>
      <c r="F244" s="34">
        <f>'Raw Data'!G240</f>
        <v/>
      </c>
      <c r="G244">
        <f>'Raw Data'!J240</f>
        <v/>
      </c>
      <c r="H244" s="36">
        <f>G243/G244-1</f>
        <v/>
      </c>
    </row>
    <row r="245">
      <c r="B245" s="34">
        <f>'Raw Data'!G241</f>
        <v/>
      </c>
      <c r="C245">
        <f>'Raw Data'!H241</f>
        <v/>
      </c>
      <c r="D245" s="36">
        <f>C244/C245-1</f>
        <v/>
      </c>
      <c r="F245" s="34">
        <f>'Raw Data'!G241</f>
        <v/>
      </c>
      <c r="G245">
        <f>'Raw Data'!J241</f>
        <v/>
      </c>
      <c r="H245" s="36">
        <f>G244/G245-1</f>
        <v/>
      </c>
    </row>
    <row r="246">
      <c r="B246" s="34">
        <f>'Raw Data'!G242</f>
        <v/>
      </c>
      <c r="C246">
        <f>'Raw Data'!H242</f>
        <v/>
      </c>
      <c r="D246" s="36">
        <f>C245/C246-1</f>
        <v/>
      </c>
      <c r="F246" s="34">
        <f>'Raw Data'!G242</f>
        <v/>
      </c>
      <c r="G246">
        <f>'Raw Data'!J242</f>
        <v/>
      </c>
      <c r="H246" s="36">
        <f>G245/G246-1</f>
        <v/>
      </c>
    </row>
    <row r="247">
      <c r="B247" s="34">
        <f>'Raw Data'!G243</f>
        <v/>
      </c>
      <c r="C247">
        <f>'Raw Data'!H243</f>
        <v/>
      </c>
      <c r="D247" s="36">
        <f>C246/C247-1</f>
        <v/>
      </c>
      <c r="F247" s="34">
        <f>'Raw Data'!G243</f>
        <v/>
      </c>
      <c r="G247">
        <f>'Raw Data'!J243</f>
        <v/>
      </c>
      <c r="H247" s="36">
        <f>G246/G247-1</f>
        <v/>
      </c>
    </row>
    <row r="248">
      <c r="B248" s="34">
        <f>'Raw Data'!G244</f>
        <v/>
      </c>
      <c r="C248">
        <f>'Raw Data'!H244</f>
        <v/>
      </c>
      <c r="D248" s="36">
        <f>C247/C248-1</f>
        <v/>
      </c>
      <c r="F248" s="34">
        <f>'Raw Data'!G244</f>
        <v/>
      </c>
      <c r="G248">
        <f>'Raw Data'!J244</f>
        <v/>
      </c>
      <c r="H248" s="36">
        <f>G247/G248-1</f>
        <v/>
      </c>
    </row>
    <row r="249">
      <c r="B249" s="34">
        <f>'Raw Data'!G245</f>
        <v/>
      </c>
      <c r="C249">
        <f>'Raw Data'!H245</f>
        <v/>
      </c>
      <c r="D249" s="36">
        <f>C248/C249-1</f>
        <v/>
      </c>
      <c r="F249" s="34">
        <f>'Raw Data'!G245</f>
        <v/>
      </c>
      <c r="G249">
        <f>'Raw Data'!J245</f>
        <v/>
      </c>
      <c r="H249" s="36">
        <f>G248/G249-1</f>
        <v/>
      </c>
    </row>
    <row r="250">
      <c r="B250" s="34">
        <f>'Raw Data'!G246</f>
        <v/>
      </c>
      <c r="C250">
        <f>'Raw Data'!H246</f>
        <v/>
      </c>
      <c r="D250" s="36">
        <f>C249/C250-1</f>
        <v/>
      </c>
      <c r="F250" s="34">
        <f>'Raw Data'!G246</f>
        <v/>
      </c>
      <c r="G250">
        <f>'Raw Data'!J246</f>
        <v/>
      </c>
      <c r="H250" s="36">
        <f>G249/G250-1</f>
        <v/>
      </c>
    </row>
    <row r="251">
      <c r="B251" s="34">
        <f>'Raw Data'!G247</f>
        <v/>
      </c>
      <c r="C251">
        <f>'Raw Data'!H247</f>
        <v/>
      </c>
      <c r="D251" s="36">
        <f>C250/C251-1</f>
        <v/>
      </c>
      <c r="F251" s="34">
        <f>'Raw Data'!G247</f>
        <v/>
      </c>
      <c r="G251">
        <f>'Raw Data'!J247</f>
        <v/>
      </c>
      <c r="H251" s="36">
        <f>G250/G251-1</f>
        <v/>
      </c>
    </row>
    <row r="252">
      <c r="B252" s="34">
        <f>'Raw Data'!G248</f>
        <v/>
      </c>
      <c r="C252">
        <f>'Raw Data'!H248</f>
        <v/>
      </c>
      <c r="D252" s="36">
        <f>C251/C252-1</f>
        <v/>
      </c>
      <c r="F252" s="34">
        <f>'Raw Data'!G248</f>
        <v/>
      </c>
      <c r="G252">
        <f>'Raw Data'!J248</f>
        <v/>
      </c>
      <c r="H252" s="36">
        <f>G251/G252-1</f>
        <v/>
      </c>
    </row>
    <row r="253">
      <c r="B253" s="34">
        <f>'Raw Data'!G249</f>
        <v/>
      </c>
      <c r="C253">
        <f>'Raw Data'!H249</f>
        <v/>
      </c>
      <c r="D253">
        <f>C252/C253-1</f>
        <v/>
      </c>
      <c r="F253">
        <f>'Raw Data'!G249</f>
        <v/>
      </c>
      <c r="G253">
        <f>'Raw Data'!J249</f>
        <v/>
      </c>
      <c r="H253">
        <f>G252/G253-1</f>
        <v/>
      </c>
    </row>
    <row r="254">
      <c r="B254" s="34">
        <f>'Raw Data'!G250</f>
        <v/>
      </c>
      <c r="C254">
        <f>'Raw Data'!H250</f>
        <v/>
      </c>
      <c r="D254">
        <f>C253/C254-1</f>
        <v/>
      </c>
      <c r="F254">
        <f>'Raw Data'!G250</f>
        <v/>
      </c>
      <c r="G254">
        <f>'Raw Data'!J250</f>
        <v/>
      </c>
      <c r="H254">
        <f>G253/G254-1</f>
        <v/>
      </c>
    </row>
    <row r="255">
      <c r="B255" s="34">
        <f>'Raw Data'!G251</f>
        <v/>
      </c>
      <c r="C255">
        <f>'Raw Data'!H251</f>
        <v/>
      </c>
      <c r="D255">
        <f>C254/C255-1</f>
        <v/>
      </c>
      <c r="F255">
        <f>'Raw Data'!G251</f>
        <v/>
      </c>
      <c r="G255">
        <f>'Raw Data'!J251</f>
        <v/>
      </c>
      <c r="H255">
        <f>G254/G255-1</f>
        <v/>
      </c>
    </row>
    <row r="256">
      <c r="B256" s="34">
        <f>'Raw Data'!G252</f>
        <v/>
      </c>
      <c r="C256">
        <f>'Raw Data'!H252</f>
        <v/>
      </c>
      <c r="D256">
        <f>C255/C256-1</f>
        <v/>
      </c>
      <c r="F256">
        <f>'Raw Data'!G252</f>
        <v/>
      </c>
      <c r="G256">
        <f>'Raw Data'!J252</f>
        <v/>
      </c>
      <c r="H256">
        <f>G255/G256-1</f>
        <v/>
      </c>
    </row>
    <row r="257">
      <c r="B257" s="34" t="n"/>
    </row>
    <row r="258">
      <c r="B258" s="34" t="n"/>
    </row>
    <row r="259">
      <c r="B259" s="34" t="n"/>
    </row>
    <row r="260">
      <c r="B260" s="34" t="n"/>
    </row>
    <row r="261">
      <c r="B261" s="34" t="n"/>
    </row>
    <row r="262">
      <c r="B262" s="34" t="n"/>
    </row>
    <row r="263">
      <c r="B263" s="34" t="n"/>
    </row>
    <row r="264">
      <c r="B264" s="34" t="n"/>
    </row>
    <row r="265">
      <c r="B265" s="34" t="n"/>
    </row>
    <row r="266">
      <c r="B266" s="34" t="n"/>
    </row>
    <row r="267">
      <c r="B267" s="34" t="n"/>
    </row>
    <row r="268">
      <c r="B268" s="34" t="n"/>
    </row>
    <row r="269">
      <c r="B269" s="34" t="n"/>
    </row>
    <row r="270">
      <c r="B270" s="34" t="n"/>
    </row>
    <row r="271">
      <c r="B271" s="34" t="n"/>
    </row>
    <row r="272">
      <c r="B272" s="34" t="n"/>
    </row>
    <row r="273">
      <c r="B273" s="34" t="n"/>
    </row>
    <row r="274">
      <c r="B274" s="34" t="n"/>
    </row>
    <row r="275">
      <c r="B275" s="34" t="n"/>
    </row>
    <row r="276">
      <c r="B276" s="34" t="n"/>
    </row>
    <row r="277">
      <c r="B277" s="34" t="n"/>
    </row>
    <row r="278">
      <c r="B278" s="34" t="n"/>
    </row>
    <row r="279">
      <c r="B279" s="34" t="n"/>
    </row>
    <row r="280">
      <c r="B280" s="34" t="n"/>
    </row>
    <row r="281">
      <c r="B281" s="34" t="n"/>
    </row>
    <row r="282">
      <c r="B282" s="34" t="n"/>
    </row>
    <row r="283">
      <c r="B283" s="34" t="n"/>
    </row>
    <row r="284">
      <c r="B284" s="34" t="n"/>
    </row>
    <row r="285">
      <c r="B285" s="34" t="n"/>
    </row>
    <row r="286">
      <c r="B286" s="34" t="n"/>
    </row>
    <row r="287">
      <c r="B287" s="34" t="n"/>
    </row>
    <row r="288">
      <c r="B288" s="34" t="n"/>
    </row>
    <row r="289">
      <c r="B289" s="34" t="n"/>
    </row>
    <row r="290">
      <c r="B290" s="34" t="n"/>
    </row>
    <row r="291">
      <c r="B291" s="34" t="n"/>
    </row>
    <row r="292">
      <c r="B292" s="34" t="n"/>
    </row>
    <row r="293">
      <c r="B293" s="34" t="n"/>
    </row>
    <row r="294">
      <c r="B294" s="34" t="n"/>
    </row>
    <row r="295">
      <c r="B295" s="34" t="n"/>
    </row>
    <row r="296">
      <c r="B296" s="34" t="n"/>
    </row>
    <row r="297">
      <c r="B297" s="34" t="n"/>
    </row>
    <row r="298">
      <c r="B298" s="34" t="n"/>
    </row>
    <row r="299">
      <c r="B299" s="34" t="n"/>
    </row>
    <row r="300">
      <c r="B300" s="34" t="n"/>
    </row>
    <row r="301">
      <c r="B301" s="34" t="n"/>
    </row>
    <row r="302">
      <c r="B302" s="34" t="n"/>
    </row>
  </sheetData>
  <mergeCells count="2">
    <mergeCell ref="J7:L7"/>
    <mergeCell ref="F7:H7"/>
  </mergeCells>
  <pageMargins left="0.7" right="0.7" top="0.75" bottom="0.75" header="0.3" footer="0.3"/>
  <drawing xmlns:r="http://schemas.openxmlformats.org/officeDocument/2006/relationships" r:id="rId1"/>
</worksheet>
</file>

<file path=xl/worksheets/sheet14.xml><?xml version="1.0" encoding="utf-8"?>
<worksheet xmlns="http://schemas.openxmlformats.org/spreadsheetml/2006/main">
  <sheetPr>
    <outlinePr summaryBelow="1" summaryRight="1"/>
    <pageSetUpPr/>
  </sheetPr>
  <dimension ref="A1:L46"/>
  <sheetViews>
    <sheetView showGridLines="0" topLeftCell="A23" workbookViewId="0">
      <selection activeCell="K27" sqref="K27"/>
    </sheetView>
  </sheetViews>
  <sheetFormatPr baseColWidth="8" defaultRowHeight="14.4"/>
  <cols>
    <col width="1.88671875" customWidth="1" style="109" min="1" max="1"/>
    <col width="19.33203125" customWidth="1" style="109" min="2" max="2"/>
    <col width="12.44140625" customWidth="1" style="109" min="3" max="3"/>
    <col width="10.77734375" customWidth="1" style="109" min="4" max="4"/>
    <col width="10.109375" bestFit="1" customWidth="1" style="109" min="5" max="5"/>
    <col width="11.88671875" bestFit="1" customWidth="1" style="109" min="6" max="6"/>
    <col width="10" customWidth="1" style="109" min="10" max="10"/>
    <col width="10.88671875" customWidth="1" style="109" min="11" max="11"/>
  </cols>
  <sheetData>
    <row r="1">
      <c r="A1" s="39" t="n"/>
      <c r="B1" s="39" t="n"/>
      <c r="C1" s="39" t="n"/>
      <c r="D1" s="39" t="n"/>
      <c r="E1" s="39" t="n"/>
      <c r="F1" s="39" t="n"/>
      <c r="G1" s="39" t="n"/>
      <c r="H1" s="39" t="n"/>
      <c r="I1" s="39" t="n"/>
      <c r="J1" s="39" t="n"/>
      <c r="K1" s="39" t="n"/>
    </row>
    <row r="2">
      <c r="A2" s="39" t="n"/>
      <c r="B2" s="39" t="n"/>
      <c r="C2" s="39" t="n"/>
      <c r="D2" s="39" t="n"/>
      <c r="E2" s="39" t="n"/>
      <c r="F2" s="39" t="n"/>
      <c r="G2" s="39" t="n"/>
      <c r="H2" s="39" t="n"/>
      <c r="I2" s="39" t="n"/>
      <c r="J2" s="39" t="n"/>
      <c r="K2" s="39" t="n"/>
    </row>
    <row r="3">
      <c r="A3" s="39" t="n"/>
      <c r="B3" s="39" t="n"/>
      <c r="C3" s="39" t="n"/>
      <c r="D3" s="39" t="n"/>
      <c r="E3" s="39" t="n"/>
      <c r="F3" s="39" t="n"/>
      <c r="G3" s="39" t="n"/>
      <c r="H3" s="39" t="n"/>
      <c r="I3" s="39" t="n"/>
      <c r="J3" s="39" t="n"/>
      <c r="K3" s="39" t="n"/>
    </row>
    <row r="4">
      <c r="A4" s="39" t="n"/>
      <c r="B4" s="39" t="n"/>
      <c r="C4" s="39" t="n"/>
      <c r="D4" s="39" t="n"/>
      <c r="E4" s="39" t="n"/>
      <c r="F4" s="39" t="n"/>
      <c r="G4" s="39" t="n"/>
      <c r="H4" s="39" t="n"/>
      <c r="I4" s="39" t="n"/>
      <c r="J4" s="39" t="n"/>
      <c r="K4" s="39" t="n"/>
    </row>
    <row r="6">
      <c r="B6" s="117" t="inlineStr">
        <is>
          <t>Weighted Average Cost of Capital</t>
        </is>
      </c>
      <c r="C6" s="118" t="n"/>
      <c r="D6" s="118" t="n"/>
      <c r="E6" s="118" t="n"/>
      <c r="F6" s="118" t="n"/>
      <c r="G6" s="118" t="n"/>
      <c r="H6" s="118" t="n"/>
      <c r="I6" s="118" t="n"/>
      <c r="J6" s="118" t="n"/>
      <c r="K6" s="118" t="n"/>
    </row>
    <row r="8">
      <c r="B8" t="inlineStr">
        <is>
          <t>All figures are in INR unless stated otherwise</t>
        </is>
      </c>
    </row>
    <row r="9" ht="6.6" customHeight="1" s="109"/>
    <row r="10">
      <c r="B10" t="inlineStr">
        <is>
          <t>Peer Comps</t>
        </is>
      </c>
    </row>
    <row r="11">
      <c r="B11" s="57" t="n"/>
      <c r="C11" s="57" t="n"/>
      <c r="D11" s="57" t="n"/>
      <c r="E11" s="182" t="inlineStr">
        <is>
          <t>Total Debt</t>
        </is>
      </c>
      <c r="F11" s="182" t="inlineStr">
        <is>
          <t>Total Equity</t>
        </is>
      </c>
      <c r="G11" s="57" t="n"/>
      <c r="H11" s="182" t="inlineStr">
        <is>
          <t>Debt /Equity</t>
        </is>
      </c>
      <c r="I11" s="182" t="inlineStr">
        <is>
          <t>Debt /Capital</t>
        </is>
      </c>
      <c r="J11" s="182" t="inlineStr">
        <is>
          <t>Levered Beta</t>
        </is>
      </c>
      <c r="K11" s="182" t="inlineStr">
        <is>
          <t>Unlevered Beta</t>
        </is>
      </c>
    </row>
    <row r="12">
      <c r="B12" s="58" t="inlineStr">
        <is>
          <t>Name of the Comp</t>
        </is>
      </c>
      <c r="C12" s="58" t="n"/>
      <c r="D12" s="58" t="inlineStr">
        <is>
          <t>Country</t>
        </is>
      </c>
      <c r="E12" s="58" t="n"/>
      <c r="F12" s="58" t="n"/>
      <c r="G12" s="165" t="inlineStr">
        <is>
          <t>Tax Rate</t>
        </is>
      </c>
      <c r="H12" s="58" t="n"/>
      <c r="I12" s="58" t="n"/>
      <c r="J12" s="58" t="n"/>
      <c r="K12" s="58" t="n"/>
    </row>
    <row r="14">
      <c r="B14" s="119">
        <f>'Raw Data'!O24</f>
        <v/>
      </c>
      <c r="C14" s="119" t="n"/>
      <c r="D14" s="119">
        <f>'Raw Data'!Q24</f>
        <v/>
      </c>
      <c r="E14" s="124">
        <f>'Raw Data'!R24</f>
        <v/>
      </c>
      <c r="F14" s="124">
        <f>'Raw Data'!S24</f>
        <v/>
      </c>
      <c r="G14" s="120">
        <f>'Raw Data'!T24</f>
        <v/>
      </c>
      <c r="H14" s="36">
        <f>E14/F14</f>
        <v/>
      </c>
      <c r="I14" s="36">
        <f>E14/SUM(E14:F14)</f>
        <v/>
      </c>
      <c r="J14" s="47" t="n">
        <v>1</v>
      </c>
      <c r="K14" s="47">
        <f>J14/(1+(1-G14)*H14)</f>
        <v/>
      </c>
    </row>
    <row r="15">
      <c r="B15" s="119">
        <f>'Raw Data'!O25</f>
        <v/>
      </c>
      <c r="C15" s="119" t="n"/>
      <c r="D15" s="119">
        <f>'Raw Data'!Q25</f>
        <v/>
      </c>
      <c r="E15" s="124">
        <f>'Raw Data'!R25</f>
        <v/>
      </c>
      <c r="F15" s="124">
        <f>'Raw Data'!S25</f>
        <v/>
      </c>
      <c r="G15" s="120">
        <f>'Raw Data'!T25</f>
        <v/>
      </c>
      <c r="H15" s="36">
        <f>E15/F15</f>
        <v/>
      </c>
      <c r="I15" s="36">
        <f>E15/SUM(E15:F15)</f>
        <v/>
      </c>
      <c r="J15" s="47">
        <f>'Beta-Regression'!L15</f>
        <v/>
      </c>
      <c r="K15" s="47">
        <f>J15/(1+(1-G15)*H15)</f>
        <v/>
      </c>
    </row>
    <row r="16">
      <c r="B16" s="119">
        <f>'Raw Data'!O26</f>
        <v/>
      </c>
      <c r="C16" s="119" t="n"/>
      <c r="D16" s="119">
        <f>'Raw Data'!Q26</f>
        <v/>
      </c>
      <c r="E16" s="124">
        <f>'Raw Data'!R26</f>
        <v/>
      </c>
      <c r="F16" s="124">
        <f>'Raw Data'!S26</f>
        <v/>
      </c>
      <c r="G16" s="120">
        <f>'Raw Data'!T26</f>
        <v/>
      </c>
      <c r="H16" s="36">
        <f>E16/F16</f>
        <v/>
      </c>
      <c r="I16" s="36">
        <f>E16/SUM(E16:F16)</f>
        <v/>
      </c>
      <c r="J16" t="n">
        <v>1</v>
      </c>
      <c r="K16" s="47">
        <f>J16/(1+(1-G16)*H16)</f>
        <v/>
      </c>
    </row>
    <row r="17">
      <c r="B17" s="119">
        <f>'Raw Data'!O27</f>
        <v/>
      </c>
      <c r="C17" s="119" t="n"/>
      <c r="D17" s="119">
        <f>'Raw Data'!Q27</f>
        <v/>
      </c>
      <c r="E17" s="124">
        <f>'Raw Data'!R27</f>
        <v/>
      </c>
      <c r="F17" s="124">
        <f>'Raw Data'!S27</f>
        <v/>
      </c>
      <c r="G17" s="120">
        <f>'Raw Data'!T27</f>
        <v/>
      </c>
      <c r="H17" s="36">
        <f>E17/F17</f>
        <v/>
      </c>
      <c r="I17" s="36">
        <f>E17/SUM(E17:F17)</f>
        <v/>
      </c>
      <c r="J17" s="47" t="n">
        <v>1</v>
      </c>
      <c r="K17" s="47">
        <f>J17/(1+(1-G17)*H17)</f>
        <v/>
      </c>
    </row>
    <row r="18">
      <c r="B18" s="119">
        <f>'Raw Data'!O28</f>
        <v/>
      </c>
      <c r="C18" s="119" t="n"/>
      <c r="D18" s="119">
        <f>'Raw Data'!Q28</f>
        <v/>
      </c>
      <c r="E18" s="124">
        <f>'Raw Data'!R28</f>
        <v/>
      </c>
      <c r="F18" s="124">
        <f>'Raw Data'!S28</f>
        <v/>
      </c>
      <c r="G18" s="120">
        <f>'Raw Data'!T28</f>
        <v/>
      </c>
      <c r="H18" s="36">
        <f>E18/F18</f>
        <v/>
      </c>
      <c r="I18" s="36">
        <f>E18/SUM(E18:F18)</f>
        <v/>
      </c>
      <c r="J18" t="n">
        <v>1</v>
      </c>
      <c r="K18" s="47">
        <f>J18/(1+(1-G18)*H18)</f>
        <v/>
      </c>
    </row>
    <row r="20">
      <c r="F20" s="122" t="inlineStr">
        <is>
          <t>Average</t>
        </is>
      </c>
      <c r="G20" s="69">
        <f>AVERAGE(G14:G18)</f>
        <v/>
      </c>
      <c r="H20" s="69">
        <f>AVERAGE(H14:H18)</f>
        <v/>
      </c>
      <c r="I20" s="69">
        <f>AVERAGE(I14:I18)</f>
        <v/>
      </c>
      <c r="J20" s="69">
        <f>AVERAGE(J14:J18)</f>
        <v/>
      </c>
      <c r="K20" s="69">
        <f>AVERAGE(K14:K18)</f>
        <v/>
      </c>
    </row>
    <row r="21">
      <c r="F21" s="68" t="inlineStr">
        <is>
          <t>Median</t>
        </is>
      </c>
      <c r="G21" s="70">
        <f>MEDIAN(G14:G18)</f>
        <v/>
      </c>
      <c r="H21" s="70">
        <f>MEDIAN(H14:H18)</f>
        <v/>
      </c>
      <c r="I21" s="70">
        <f>MEDIAN(I14:I18)</f>
        <v/>
      </c>
      <c r="J21" s="70">
        <f>MEDIAN(J14:J18)</f>
        <v/>
      </c>
      <c r="K21" s="70">
        <f>MEDIAN(K14:K18)</f>
        <v/>
      </c>
    </row>
    <row r="24">
      <c r="B24" s="49" t="inlineStr">
        <is>
          <t>Cost of Debt</t>
        </is>
      </c>
      <c r="G24" s="49" t="inlineStr">
        <is>
          <t>Cost of Capital</t>
        </is>
      </c>
      <c r="H24" s="61" t="n"/>
      <c r="I24" s="61" t="n"/>
      <c r="J24" s="61" t="n"/>
      <c r="K24" s="61" t="n"/>
    </row>
    <row r="25">
      <c r="C25" s="60" t="n"/>
      <c r="D25" s="60" t="n"/>
      <c r="E25" s="60" t="n"/>
    </row>
    <row r="26">
      <c r="B26" t="inlineStr">
        <is>
          <t>Pre-Tax Cost of Debt</t>
        </is>
      </c>
      <c r="E26" s="121" t="n">
        <v>0.0805</v>
      </c>
      <c r="G26" t="inlineStr">
        <is>
          <t>Risk Free Rate</t>
        </is>
      </c>
      <c r="K26" s="121" t="n">
        <v>0.07000000000000001</v>
      </c>
    </row>
    <row r="27">
      <c r="B27" t="inlineStr">
        <is>
          <t>Tax Rate</t>
        </is>
      </c>
      <c r="E27" s="46">
        <f>G15</f>
        <v/>
      </c>
      <c r="G27" t="inlineStr">
        <is>
          <t>Equity Risk Premium</t>
        </is>
      </c>
      <c r="K27" s="121" t="n">
        <v>0.065</v>
      </c>
    </row>
    <row r="28">
      <c r="B28" s="67" t="inlineStr">
        <is>
          <t>Post-Tax Cost of Debt</t>
        </is>
      </c>
      <c r="C28" s="64" t="n"/>
      <c r="D28" s="64" t="n"/>
      <c r="E28" s="66">
        <f>E26*(1-E27)</f>
        <v/>
      </c>
      <c r="G28" t="inlineStr">
        <is>
          <t>Levered Beta</t>
        </is>
      </c>
      <c r="K28" s="47">
        <f>K36</f>
        <v/>
      </c>
    </row>
    <row r="29">
      <c r="G29" s="67" t="inlineStr">
        <is>
          <t>Cost of Capital</t>
        </is>
      </c>
      <c r="H29" s="64" t="n"/>
      <c r="I29" s="64" t="n"/>
      <c r="J29" s="64" t="n"/>
      <c r="K29" s="66">
        <f>K26+K27*K28</f>
        <v/>
      </c>
    </row>
    <row r="31">
      <c r="B31" s="68" t="inlineStr">
        <is>
          <t>Capital Structure</t>
        </is>
      </c>
      <c r="C31" s="58" t="n"/>
      <c r="D31" s="58" t="n"/>
      <c r="E31" s="58" t="n"/>
      <c r="G31" s="49" t="inlineStr">
        <is>
          <t>Levered Beta</t>
        </is>
      </c>
      <c r="H31" s="61" t="n"/>
      <c r="I31" s="61" t="n"/>
      <c r="J31" s="61" t="n"/>
      <c r="K31" s="61" t="n"/>
    </row>
    <row r="33">
      <c r="D33" s="123" t="inlineStr">
        <is>
          <t>Current</t>
        </is>
      </c>
      <c r="E33" s="123" t="inlineStr">
        <is>
          <t>Target</t>
        </is>
      </c>
      <c r="G33" t="inlineStr">
        <is>
          <t>Comps Median Unlevered Beta</t>
        </is>
      </c>
      <c r="K33" s="47">
        <f>K21</f>
        <v/>
      </c>
    </row>
    <row r="34">
      <c r="B34" t="inlineStr">
        <is>
          <t>Total Debt</t>
        </is>
      </c>
      <c r="C34" s="107">
        <f>E15</f>
        <v/>
      </c>
      <c r="D34" s="36">
        <f>C34/C$36</f>
        <v/>
      </c>
      <c r="E34" s="46">
        <f>I20</f>
        <v/>
      </c>
      <c r="G34" t="inlineStr">
        <is>
          <t>Target Debt/Equity</t>
        </is>
      </c>
      <c r="K34" s="46">
        <f>E38</f>
        <v/>
      </c>
    </row>
    <row r="35">
      <c r="B35" t="inlineStr">
        <is>
          <t>Market Capitalization</t>
        </is>
      </c>
      <c r="C35" s="107">
        <f>F15</f>
        <v/>
      </c>
      <c r="D35" s="36">
        <f>C35/C$36</f>
        <v/>
      </c>
      <c r="E35" s="46">
        <f>E36-E34</f>
        <v/>
      </c>
      <c r="G35" t="inlineStr">
        <is>
          <t>Tax Rate</t>
        </is>
      </c>
      <c r="K35" s="46">
        <f>E27</f>
        <v/>
      </c>
    </row>
    <row r="36">
      <c r="B36" t="inlineStr">
        <is>
          <t>Total Capital</t>
        </is>
      </c>
      <c r="C36" s="125">
        <f>SUM(C34:C35)</f>
        <v/>
      </c>
      <c r="D36" s="63">
        <f>C36/C$36</f>
        <v/>
      </c>
      <c r="E36" s="62">
        <f>D36</f>
        <v/>
      </c>
      <c r="G36" s="67" t="inlineStr">
        <is>
          <t>Levered Beta</t>
        </is>
      </c>
      <c r="H36" s="64" t="n"/>
      <c r="I36" s="64" t="n"/>
      <c r="J36" s="64" t="n"/>
      <c r="K36" s="126">
        <f>K33*(1+(1-K35)*K34)</f>
        <v/>
      </c>
    </row>
    <row r="38">
      <c r="B38" t="inlineStr">
        <is>
          <t>Debt /Equity</t>
        </is>
      </c>
      <c r="D38" s="65">
        <f>D34/D35</f>
        <v/>
      </c>
      <c r="E38" s="65">
        <f>E34/E35</f>
        <v/>
      </c>
      <c r="G38" s="37" t="inlineStr">
        <is>
          <t>WACC</t>
        </is>
      </c>
    </row>
    <row r="39">
      <c r="G39" s="60" t="n"/>
      <c r="H39" s="60" t="n"/>
      <c r="I39" s="60" t="n"/>
      <c r="J39" s="60" t="n"/>
      <c r="K39" s="60" t="n"/>
    </row>
    <row r="40">
      <c r="G40" t="inlineStr">
        <is>
          <t>Cost of Equity</t>
        </is>
      </c>
      <c r="K40" s="46">
        <f>K29</f>
        <v/>
      </c>
    </row>
    <row r="41">
      <c r="G41" t="inlineStr">
        <is>
          <t>Equity Weight</t>
        </is>
      </c>
      <c r="K41" s="46">
        <f>E35</f>
        <v/>
      </c>
    </row>
    <row r="43">
      <c r="G43" t="inlineStr">
        <is>
          <t>Cost of Debt</t>
        </is>
      </c>
      <c r="K43" s="46">
        <f>E28</f>
        <v/>
      </c>
    </row>
    <row r="44">
      <c r="G44" t="inlineStr">
        <is>
          <t>Debt Weight</t>
        </is>
      </c>
      <c r="K44" s="46">
        <f>E34</f>
        <v/>
      </c>
    </row>
    <row r="45" ht="3.6" customHeight="1" s="109"/>
    <row r="46">
      <c r="G46" s="67" t="inlineStr">
        <is>
          <t>WACC</t>
        </is>
      </c>
      <c r="H46" s="64" t="n"/>
      <c r="I46" s="64" t="n"/>
      <c r="J46" s="64" t="n"/>
      <c r="K46" s="66">
        <f>(K40*K41)+(K43*K44)</f>
        <v/>
      </c>
    </row>
  </sheetData>
  <mergeCells count="6">
    <mergeCell ref="H11:H12"/>
    <mergeCell ref="K11:K12"/>
    <mergeCell ref="E11:E12"/>
    <mergeCell ref="I11:I12"/>
    <mergeCell ref="F11:F12"/>
    <mergeCell ref="J11:J12"/>
  </mergeCells>
  <pageMargins left="0.7" right="0.7" top="0.75" bottom="0.75" header="0.3" footer="0.3"/>
  <drawing xmlns:r="http://schemas.openxmlformats.org/officeDocument/2006/relationships" r:id="rId1"/>
</worksheet>
</file>

<file path=xl/worksheets/sheet15.xml><?xml version="1.0" encoding="utf-8"?>
<worksheet xmlns="http://schemas.openxmlformats.org/spreadsheetml/2006/main">
  <sheetPr>
    <outlinePr summaryBelow="1" summaryRight="1"/>
    <pageSetUpPr/>
  </sheetPr>
  <dimension ref="A1:L65"/>
  <sheetViews>
    <sheetView showGridLines="0" workbookViewId="0">
      <selection activeCell="H49" sqref="H49"/>
    </sheetView>
  </sheetViews>
  <sheetFormatPr baseColWidth="8" defaultRowHeight="14.4"/>
  <cols>
    <col width="1.88671875" customWidth="1" style="109" min="1" max="1"/>
    <col width="14" customWidth="1" style="109" min="2" max="2"/>
    <col width="10.44140625" bestFit="1" customWidth="1" style="109" min="8" max="8"/>
    <col width="11.44140625" customWidth="1" style="109" min="9" max="9"/>
    <col width="10.44140625" bestFit="1" customWidth="1" style="109" min="10" max="12"/>
  </cols>
  <sheetData>
    <row r="1">
      <c r="A1" s="39" t="n"/>
      <c r="B1" s="39" t="n"/>
      <c r="C1" s="39" t="n"/>
      <c r="D1" s="39" t="n"/>
      <c r="E1" s="39" t="n"/>
      <c r="F1" s="39" t="n"/>
      <c r="G1" s="39" t="n"/>
      <c r="H1" s="39" t="n"/>
      <c r="I1" s="39" t="n"/>
      <c r="J1" s="39" t="n"/>
      <c r="K1" s="39" t="n"/>
      <c r="L1" s="39" t="n"/>
    </row>
    <row r="2">
      <c r="A2" s="39" t="n"/>
      <c r="B2" s="39" t="n"/>
      <c r="C2" s="39" t="n"/>
      <c r="D2" s="39" t="n"/>
      <c r="E2" s="39" t="n"/>
      <c r="F2" s="39" t="n"/>
      <c r="G2" s="39" t="n"/>
      <c r="H2" s="39" t="n"/>
      <c r="I2" s="39" t="n"/>
      <c r="J2" s="39" t="n"/>
      <c r="K2" s="39" t="n"/>
      <c r="L2" s="39" t="n"/>
    </row>
    <row r="3">
      <c r="A3" s="39" t="n"/>
      <c r="B3" s="39" t="n"/>
      <c r="C3" s="39" t="n"/>
      <c r="D3" s="39" t="n"/>
      <c r="E3" s="39" t="n"/>
      <c r="F3" s="39" t="n"/>
      <c r="G3" s="39" t="n"/>
      <c r="H3" s="39" t="n"/>
      <c r="I3" s="39" t="n"/>
      <c r="J3" s="39" t="n"/>
      <c r="K3" s="39" t="n"/>
      <c r="L3" s="39" t="n"/>
    </row>
    <row r="4">
      <c r="A4" s="39" t="n"/>
      <c r="B4" s="39" t="n"/>
      <c r="C4" s="39" t="n"/>
      <c r="D4" s="39" t="n"/>
      <c r="E4" s="39" t="n"/>
      <c r="F4" s="39" t="n"/>
      <c r="G4" s="39" t="n"/>
      <c r="H4" s="39" t="n"/>
      <c r="I4" s="39" t="n"/>
      <c r="J4" s="39" t="n"/>
      <c r="K4" s="39" t="n"/>
      <c r="L4" s="39" t="n"/>
    </row>
    <row r="6">
      <c r="B6" s="84" t="inlineStr">
        <is>
          <t>Calculation of ROIC</t>
        </is>
      </c>
      <c r="C6" s="84" t="n"/>
      <c r="D6" s="84" t="n"/>
      <c r="E6" s="84" t="n"/>
      <c r="F6" s="84" t="n"/>
      <c r="G6" s="84" t="n"/>
      <c r="H6" s="40">
        <f>'Raw FS'!J$3</f>
        <v/>
      </c>
      <c r="I6" s="40">
        <f>'Raw FS'!K$3</f>
        <v/>
      </c>
      <c r="J6" s="40">
        <f>'Raw FS'!L$3</f>
        <v/>
      </c>
      <c r="K6" s="40">
        <f>'Raw FS'!M$3</f>
        <v/>
      </c>
      <c r="L6" s="40">
        <f>'Raw FS'!N$3</f>
        <v/>
      </c>
    </row>
    <row r="8">
      <c r="B8" s="37" t="inlineStr">
        <is>
          <t>Current Assets</t>
        </is>
      </c>
    </row>
    <row r="9">
      <c r="B9" s="72">
        <f>'Raw FS'!B39</f>
        <v/>
      </c>
      <c r="C9" s="72" t="n"/>
      <c r="D9" s="72" t="n"/>
      <c r="E9" s="72" t="n"/>
      <c r="F9" s="72" t="n"/>
      <c r="G9" s="72" t="n"/>
      <c r="H9" s="130">
        <f>'Raw FS'!J39</f>
        <v/>
      </c>
      <c r="I9" s="130">
        <f>'Raw FS'!K39</f>
        <v/>
      </c>
      <c r="J9" s="130">
        <f>'Raw FS'!L39</f>
        <v/>
      </c>
      <c r="K9" s="130">
        <f>'Raw FS'!M39</f>
        <v/>
      </c>
      <c r="L9" s="130">
        <f>'Raw FS'!N39</f>
        <v/>
      </c>
    </row>
    <row r="10">
      <c r="B10" s="72" t="inlineStr">
        <is>
          <t>Trade Receivables</t>
        </is>
      </c>
      <c r="C10" s="72" t="n"/>
      <c r="D10" s="72" t="n"/>
      <c r="E10" s="72" t="n"/>
      <c r="F10" s="72" t="n"/>
      <c r="G10" s="72" t="n"/>
      <c r="H10" s="130">
        <f>'Raw FS'!J40</f>
        <v/>
      </c>
      <c r="I10" s="130">
        <f>'Raw FS'!K40</f>
        <v/>
      </c>
      <c r="J10" s="130">
        <f>'Raw FS'!L40</f>
        <v/>
      </c>
      <c r="K10" s="130">
        <f>'Raw FS'!M40</f>
        <v/>
      </c>
      <c r="L10" s="130">
        <f>'Raw FS'!N40</f>
        <v/>
      </c>
    </row>
    <row r="11">
      <c r="B11" s="72">
        <f>'Raw FS'!B42</f>
        <v/>
      </c>
      <c r="C11" s="72" t="n"/>
      <c r="D11" s="72" t="n"/>
      <c r="E11" s="72" t="n"/>
      <c r="F11" s="72" t="n"/>
      <c r="G11" s="72" t="n"/>
      <c r="H11" s="130">
        <f>'Raw FS'!J42</f>
        <v/>
      </c>
      <c r="I11" s="130">
        <f>'Raw FS'!K42</f>
        <v/>
      </c>
      <c r="J11" s="130">
        <f>'Raw FS'!L42</f>
        <v/>
      </c>
      <c r="K11" s="130">
        <f>'Raw FS'!M42</f>
        <v/>
      </c>
      <c r="L11" s="130">
        <f>'Raw FS'!N42</f>
        <v/>
      </c>
    </row>
    <row r="12" ht="15" customHeight="1" s="109" thickBot="1">
      <c r="B12">
        <f>'Raw FS'!B43</f>
        <v/>
      </c>
      <c r="H12" s="107">
        <f>'Raw FS'!J43</f>
        <v/>
      </c>
      <c r="I12" s="107">
        <f>'Raw FS'!K43</f>
        <v/>
      </c>
      <c r="J12" s="107">
        <f>'Raw FS'!L43</f>
        <v/>
      </c>
      <c r="K12" s="107">
        <f>'Raw FS'!M43</f>
        <v/>
      </c>
      <c r="L12" s="107">
        <f>'Raw FS'!N43</f>
        <v/>
      </c>
    </row>
    <row r="13">
      <c r="B13" s="137" t="inlineStr">
        <is>
          <t>Total Current Assets</t>
        </is>
      </c>
      <c r="C13" s="137" t="n"/>
      <c r="D13" s="137" t="n"/>
      <c r="E13" s="137" t="n"/>
      <c r="F13" s="137" t="n"/>
      <c r="G13" s="137" t="n"/>
      <c r="H13" s="138">
        <f>SUM(H9:H12)</f>
        <v/>
      </c>
      <c r="I13" s="138">
        <f>SUM(I9:I12)</f>
        <v/>
      </c>
      <c r="J13" s="138">
        <f>SUM(J9:J12)</f>
        <v/>
      </c>
      <c r="K13" s="138">
        <f>SUM(K9:K12)</f>
        <v/>
      </c>
      <c r="L13" s="138">
        <f>SUM(L9:L12)</f>
        <v/>
      </c>
    </row>
    <row r="15">
      <c r="B15" s="37" t="inlineStr">
        <is>
          <t>Current Liabilities</t>
        </is>
      </c>
    </row>
    <row r="16">
      <c r="B16" s="72">
        <f>'Raw FS'!B14</f>
        <v/>
      </c>
      <c r="C16" s="72" t="n"/>
      <c r="D16" s="72" t="n"/>
      <c r="E16" s="72" t="n"/>
      <c r="F16" s="72" t="n"/>
      <c r="G16" s="72" t="n"/>
      <c r="H16" s="130">
        <f>'Raw FS'!J14</f>
        <v/>
      </c>
      <c r="I16" s="130">
        <f>'Raw FS'!K14</f>
        <v/>
      </c>
      <c r="J16" s="130">
        <f>'Raw FS'!L14</f>
        <v/>
      </c>
      <c r="K16" s="130">
        <f>'Raw FS'!M14</f>
        <v/>
      </c>
      <c r="L16" s="130">
        <f>'Raw FS'!N14</f>
        <v/>
      </c>
    </row>
    <row r="17">
      <c r="B17" s="72">
        <f>'Raw FS'!B15</f>
        <v/>
      </c>
      <c r="C17" s="72" t="n"/>
      <c r="D17" s="72" t="n"/>
      <c r="E17" s="72" t="n"/>
      <c r="F17" s="72" t="n"/>
      <c r="G17" s="72" t="n"/>
      <c r="H17" s="130">
        <f>'Raw FS'!J15</f>
        <v/>
      </c>
      <c r="I17" s="130">
        <f>'Raw FS'!K15</f>
        <v/>
      </c>
      <c r="J17" s="130">
        <f>'Raw FS'!L15</f>
        <v/>
      </c>
      <c r="K17" s="130">
        <f>'Raw FS'!M15</f>
        <v/>
      </c>
      <c r="L17" s="130">
        <f>'Raw FS'!N15</f>
        <v/>
      </c>
    </row>
    <row r="18" ht="15" customHeight="1" s="109" thickBot="1">
      <c r="B18">
        <f>'Raw FS'!B16</f>
        <v/>
      </c>
      <c r="H18" s="107">
        <f>'Raw FS'!J16</f>
        <v/>
      </c>
      <c r="I18" s="107">
        <f>'Raw FS'!K16</f>
        <v/>
      </c>
      <c r="J18" s="107">
        <f>'Raw FS'!L16</f>
        <v/>
      </c>
      <c r="K18" s="107">
        <f>'Raw FS'!M16</f>
        <v/>
      </c>
      <c r="L18" s="107">
        <f>'Raw FS'!N16</f>
        <v/>
      </c>
    </row>
    <row r="19" ht="15" customHeight="1" s="109" thickTop="1">
      <c r="B19" s="139" t="inlineStr">
        <is>
          <t>Total Current Liabilities</t>
        </is>
      </c>
      <c r="C19" s="139" t="n"/>
      <c r="D19" s="139" t="n"/>
      <c r="E19" s="139" t="n"/>
      <c r="F19" s="139" t="n"/>
      <c r="G19" s="139" t="n"/>
      <c r="H19" s="140">
        <f>SUM(H16:H18)</f>
        <v/>
      </c>
      <c r="I19" s="140">
        <f>SUM(I16:I18)</f>
        <v/>
      </c>
      <c r="J19" s="140">
        <f>SUM(J16:J18)</f>
        <v/>
      </c>
      <c r="K19" s="140">
        <f>SUM(K16:K18)</f>
        <v/>
      </c>
      <c r="L19" s="140">
        <f>SUM(L16:L18)</f>
        <v/>
      </c>
    </row>
    <row r="20" ht="15" customHeight="1" s="109" thickBot="1"/>
    <row r="21" ht="15" customHeight="1" s="109" thickBot="1">
      <c r="A21" t="inlineStr">
        <is>
          <t>#</t>
        </is>
      </c>
      <c r="B21" s="141" t="inlineStr">
        <is>
          <t>Net Working Capital</t>
        </is>
      </c>
      <c r="C21" s="141" t="n"/>
      <c r="D21" s="141" t="n"/>
      <c r="E21" s="141" t="n"/>
      <c r="F21" s="141" t="n"/>
      <c r="G21" s="141" t="n"/>
      <c r="H21" s="142">
        <f>H13-H19</f>
        <v/>
      </c>
      <c r="I21" s="142">
        <f>I13-I19</f>
        <v/>
      </c>
      <c r="J21" s="142">
        <f>J13-J19</f>
        <v/>
      </c>
      <c r="K21" s="142">
        <f>K13-K19</f>
        <v/>
      </c>
      <c r="L21" s="142">
        <f>L13-L19</f>
        <v/>
      </c>
    </row>
    <row r="23">
      <c r="B23" s="37" t="inlineStr">
        <is>
          <t>Non Current Assets</t>
        </is>
      </c>
    </row>
    <row r="24">
      <c r="B24" s="72">
        <f>'Raw FS'!B22</f>
        <v/>
      </c>
      <c r="C24" s="72" t="n"/>
      <c r="D24" s="72" t="n"/>
      <c r="E24" s="72" t="n"/>
      <c r="F24" s="72" t="n"/>
      <c r="G24" s="72" t="n"/>
      <c r="H24" s="130">
        <f>'Raw FS'!J22</f>
        <v/>
      </c>
      <c r="I24" s="130">
        <f>'Raw FS'!K22</f>
        <v/>
      </c>
      <c r="J24" s="130">
        <f>'Raw FS'!L22</f>
        <v/>
      </c>
      <c r="K24" s="130">
        <f>'Raw FS'!M22</f>
        <v/>
      </c>
      <c r="L24" s="130">
        <f>'Raw FS'!N22</f>
        <v/>
      </c>
    </row>
    <row r="25">
      <c r="B25" s="72">
        <f>'Raw FS'!B23</f>
        <v/>
      </c>
      <c r="C25" s="72" t="n"/>
      <c r="D25" s="72" t="n"/>
      <c r="E25" s="72" t="n"/>
      <c r="F25" s="72" t="n"/>
      <c r="G25" s="72" t="n"/>
      <c r="H25" s="130">
        <f>'Raw FS'!J23</f>
        <v/>
      </c>
      <c r="I25" s="130">
        <f>'Raw FS'!K23</f>
        <v/>
      </c>
      <c r="J25" s="130">
        <f>'Raw FS'!L23</f>
        <v/>
      </c>
      <c r="K25" s="130">
        <f>'Raw FS'!M23</f>
        <v/>
      </c>
      <c r="L25" s="130">
        <f>'Raw FS'!N23</f>
        <v/>
      </c>
    </row>
    <row r="26">
      <c r="B26" s="72">
        <f>'Raw FS'!B24</f>
        <v/>
      </c>
      <c r="C26" s="72" t="n"/>
      <c r="D26" s="72" t="n"/>
      <c r="E26" s="72" t="n"/>
      <c r="F26" s="72" t="n"/>
      <c r="G26" s="72" t="n"/>
      <c r="H26" s="130">
        <f>'Raw FS'!J24</f>
        <v/>
      </c>
      <c r="I26" s="130">
        <f>'Raw FS'!K24</f>
        <v/>
      </c>
      <c r="J26" s="130">
        <f>'Raw FS'!L24</f>
        <v/>
      </c>
      <c r="K26" s="130">
        <f>'Raw FS'!M24</f>
        <v/>
      </c>
      <c r="L26" s="130">
        <f>'Raw FS'!N24</f>
        <v/>
      </c>
    </row>
    <row r="27">
      <c r="B27" s="72">
        <f>'Raw FS'!B25</f>
        <v/>
      </c>
      <c r="C27" s="72" t="n"/>
      <c r="D27" s="72" t="n"/>
      <c r="E27" s="72" t="n"/>
      <c r="F27" s="72" t="n"/>
      <c r="G27" s="72" t="n"/>
      <c r="H27" s="130">
        <f>'Raw FS'!J25</f>
        <v/>
      </c>
      <c r="I27" s="130">
        <f>'Raw FS'!K25</f>
        <v/>
      </c>
      <c r="J27" s="130">
        <f>'Raw FS'!L25</f>
        <v/>
      </c>
      <c r="K27" s="130">
        <f>'Raw FS'!M25</f>
        <v/>
      </c>
      <c r="L27" s="130">
        <f>'Raw FS'!N25</f>
        <v/>
      </c>
    </row>
    <row r="28">
      <c r="B28" s="72">
        <f>'Raw FS'!B26</f>
        <v/>
      </c>
      <c r="C28" s="72" t="n"/>
      <c r="D28" s="72" t="n"/>
      <c r="E28" s="72" t="n"/>
      <c r="F28" s="72" t="n"/>
      <c r="G28" s="72" t="n"/>
      <c r="H28" s="130">
        <f>'Raw FS'!J26</f>
        <v/>
      </c>
      <c r="I28" s="130">
        <f>'Raw FS'!K26</f>
        <v/>
      </c>
      <c r="J28" s="130">
        <f>'Raw FS'!L26</f>
        <v/>
      </c>
      <c r="K28" s="130">
        <f>'Raw FS'!M26</f>
        <v/>
      </c>
      <c r="L28" s="130">
        <f>'Raw FS'!N26</f>
        <v/>
      </c>
    </row>
    <row r="29">
      <c r="B29" s="72">
        <f>'Raw FS'!B27</f>
        <v/>
      </c>
      <c r="C29" s="72" t="n"/>
      <c r="D29" s="72" t="n"/>
      <c r="E29" s="72" t="n"/>
      <c r="F29" s="72" t="n"/>
      <c r="G29" s="72" t="n"/>
      <c r="H29" s="130">
        <f>'Raw FS'!J27</f>
        <v/>
      </c>
      <c r="I29" s="130">
        <f>'Raw FS'!K27</f>
        <v/>
      </c>
      <c r="J29" s="130">
        <f>'Raw FS'!L27</f>
        <v/>
      </c>
      <c r="K29" s="130">
        <f>'Raw FS'!M27</f>
        <v/>
      </c>
      <c r="L29" s="130">
        <f>'Raw FS'!N27</f>
        <v/>
      </c>
    </row>
    <row r="30">
      <c r="B30" s="72">
        <f>'Raw FS'!B28</f>
        <v/>
      </c>
      <c r="C30" s="72" t="n"/>
      <c r="D30" s="72" t="n"/>
      <c r="E30" s="72" t="n"/>
      <c r="F30" s="72" t="n"/>
      <c r="G30" s="72" t="n"/>
      <c r="H30" s="130">
        <f>'Raw FS'!J28</f>
        <v/>
      </c>
      <c r="I30" s="130">
        <f>'Raw FS'!K28</f>
        <v/>
      </c>
      <c r="J30" s="130">
        <f>'Raw FS'!L28</f>
        <v/>
      </c>
      <c r="K30" s="130">
        <f>'Raw FS'!M28</f>
        <v/>
      </c>
      <c r="L30" s="130">
        <f>'Raw FS'!N28</f>
        <v/>
      </c>
    </row>
    <row r="31">
      <c r="B31" s="72">
        <f>'Raw FS'!B29</f>
        <v/>
      </c>
      <c r="C31" s="72" t="n"/>
      <c r="D31" s="72" t="n"/>
      <c r="E31" s="72" t="n"/>
      <c r="F31" s="72" t="n"/>
      <c r="G31" s="72" t="n"/>
      <c r="H31" s="130">
        <f>'Raw FS'!J29</f>
        <v/>
      </c>
      <c r="I31" s="130">
        <f>'Raw FS'!K29</f>
        <v/>
      </c>
      <c r="J31" s="130">
        <f>'Raw FS'!L29</f>
        <v/>
      </c>
      <c r="K31" s="130">
        <f>'Raw FS'!M29</f>
        <v/>
      </c>
      <c r="L31" s="130">
        <f>'Raw FS'!N29</f>
        <v/>
      </c>
    </row>
    <row r="32">
      <c r="B32" s="72">
        <f>'Raw FS'!B30</f>
        <v/>
      </c>
      <c r="C32" s="72" t="n"/>
      <c r="D32" s="72" t="n"/>
      <c r="E32" s="72" t="n"/>
      <c r="F32" s="72" t="n"/>
      <c r="G32" s="72" t="n"/>
      <c r="H32" s="130">
        <f>'Raw FS'!J30</f>
        <v/>
      </c>
      <c r="I32" s="130">
        <f>'Raw FS'!K30</f>
        <v/>
      </c>
      <c r="J32" s="130">
        <f>'Raw FS'!L30</f>
        <v/>
      </c>
      <c r="K32" s="130">
        <f>'Raw FS'!M30</f>
        <v/>
      </c>
      <c r="L32" s="130">
        <f>'Raw FS'!N30</f>
        <v/>
      </c>
    </row>
    <row r="33">
      <c r="B33" s="122">
        <f>'Raw FS'!B31</f>
        <v/>
      </c>
      <c r="C33" s="122" t="n"/>
      <c r="D33" s="122" t="n"/>
      <c r="E33" s="122" t="n"/>
      <c r="F33" s="122" t="n"/>
      <c r="G33" s="122" t="n"/>
      <c r="H33" s="136">
        <f>'Raw FS'!J31</f>
        <v/>
      </c>
      <c r="I33" s="136">
        <f>'Raw FS'!K31</f>
        <v/>
      </c>
      <c r="J33" s="136">
        <f>'Raw FS'!L31</f>
        <v/>
      </c>
      <c r="K33" s="136">
        <f>'Raw FS'!M31</f>
        <v/>
      </c>
      <c r="L33" s="136">
        <f>'Raw FS'!N31</f>
        <v/>
      </c>
    </row>
    <row r="34" ht="15" customHeight="1" s="109" thickBot="1">
      <c r="B34">
        <f>'Raw FS'!B32</f>
        <v/>
      </c>
      <c r="H34" s="107">
        <f>'Raw FS'!J32</f>
        <v/>
      </c>
      <c r="I34" s="107">
        <f>'Raw FS'!K32</f>
        <v/>
      </c>
      <c r="J34" s="107">
        <f>'Raw FS'!L32</f>
        <v/>
      </c>
      <c r="K34" s="107">
        <f>'Raw FS'!M32</f>
        <v/>
      </c>
      <c r="L34" s="107">
        <f>'Raw FS'!N32</f>
        <v/>
      </c>
    </row>
    <row r="35" ht="15" customHeight="1" s="109" thickBot="1">
      <c r="B35" s="141" t="inlineStr">
        <is>
          <t>Net Non Current Assets</t>
        </is>
      </c>
      <c r="C35" s="141" t="n"/>
      <c r="D35" s="141" t="n"/>
      <c r="E35" s="141" t="n"/>
      <c r="F35" s="141" t="n"/>
      <c r="G35" s="141" t="n"/>
      <c r="H35" s="142">
        <f>'Raw FS'!J33</f>
        <v/>
      </c>
      <c r="I35" s="142">
        <f>'Raw FS'!K33</f>
        <v/>
      </c>
      <c r="J35" s="142">
        <f>'Raw FS'!L33</f>
        <v/>
      </c>
      <c r="K35" s="142">
        <f>'Raw FS'!M33</f>
        <v/>
      </c>
      <c r="L35" s="142">
        <f>'Raw FS'!N33</f>
        <v/>
      </c>
    </row>
    <row r="37">
      <c r="B37" s="145" t="inlineStr">
        <is>
          <t>Invested Capital</t>
        </is>
      </c>
      <c r="C37" s="145" t="n"/>
      <c r="D37" s="145" t="n"/>
      <c r="E37" s="145" t="n"/>
      <c r="F37" s="145" t="n"/>
      <c r="G37" s="145" t="n"/>
      <c r="H37" s="146">
        <f>H35+H21</f>
        <v/>
      </c>
      <c r="I37" s="146">
        <f>I35+I21</f>
        <v/>
      </c>
      <c r="J37" s="146">
        <f>J35+J21</f>
        <v/>
      </c>
      <c r="K37" s="146">
        <f>K35+K21</f>
        <v/>
      </c>
      <c r="L37" s="146">
        <f>L35+L21</f>
        <v/>
      </c>
    </row>
    <row r="38">
      <c r="B38" s="145" t="inlineStr">
        <is>
          <t>EBIT</t>
        </is>
      </c>
      <c r="C38" s="145" t="n"/>
      <c r="D38" s="145" t="n"/>
      <c r="E38" s="145" t="n"/>
      <c r="F38" s="145" t="n"/>
      <c r="G38" s="145" t="n"/>
      <c r="H38" s="146">
        <f>'Raw FS'!Z11+'Raw FS'!Z9</f>
        <v/>
      </c>
      <c r="I38" s="146">
        <f>'Raw FS'!AA11+'Raw FS'!AA9</f>
        <v/>
      </c>
      <c r="J38" s="146">
        <f>'Raw FS'!AB11+'Raw FS'!AB9</f>
        <v/>
      </c>
      <c r="K38" s="146">
        <f>'Raw FS'!AC11+'Raw FS'!AC9</f>
        <v/>
      </c>
      <c r="L38" s="146">
        <f>'Raw FS'!AD11+'Raw FS'!AD9</f>
        <v/>
      </c>
    </row>
    <row r="39" ht="7.8" customHeight="1" s="109" thickBot="1"/>
    <row r="40" ht="15" customHeight="1" s="109" thickBot="1">
      <c r="B40" s="141" t="inlineStr">
        <is>
          <t>ROIC</t>
        </is>
      </c>
      <c r="C40" s="141" t="n"/>
      <c r="D40" s="141" t="n"/>
      <c r="E40" s="141" t="n"/>
      <c r="F40" s="141" t="n"/>
      <c r="G40" s="141" t="n"/>
      <c r="H40" s="144">
        <f>H38/H37</f>
        <v/>
      </c>
      <c r="I40" s="144">
        <f>I38/I37</f>
        <v/>
      </c>
      <c r="J40" s="144">
        <f>J38/J37</f>
        <v/>
      </c>
      <c r="K40" s="144">
        <f>K38/K37</f>
        <v/>
      </c>
      <c r="L40" s="144">
        <f>L38/L37</f>
        <v/>
      </c>
    </row>
    <row r="42">
      <c r="B42" s="84" t="inlineStr">
        <is>
          <t>Calculation of Reinvestment Rate</t>
        </is>
      </c>
      <c r="C42" s="84" t="n"/>
      <c r="D42" s="84" t="n"/>
      <c r="E42" s="84" t="n"/>
      <c r="F42" s="84" t="n"/>
      <c r="G42" s="84" t="n"/>
      <c r="H42" s="40">
        <f>'Raw FS'!J$3</f>
        <v/>
      </c>
      <c r="I42" s="40">
        <f>'Raw FS'!K$3</f>
        <v/>
      </c>
      <c r="J42" s="40">
        <f>'Raw FS'!L$3</f>
        <v/>
      </c>
      <c r="K42" s="40">
        <f>'Raw FS'!M$3</f>
        <v/>
      </c>
      <c r="L42" s="40">
        <f>'Raw FS'!N$3</f>
        <v/>
      </c>
    </row>
    <row r="44">
      <c r="B44" s="72" t="inlineStr">
        <is>
          <t>Net Capex</t>
        </is>
      </c>
      <c r="C44" s="72" t="n"/>
      <c r="D44" s="72" t="n"/>
      <c r="E44" s="72" t="n"/>
      <c r="F44" s="72" t="n"/>
      <c r="G44" s="72" t="n"/>
      <c r="H44" s="130">
        <f>-SUM('Raw FS'!Z27:Z28)</f>
        <v/>
      </c>
      <c r="I44" s="130">
        <f>-SUM('Raw FS'!AA27:AA28)</f>
        <v/>
      </c>
      <c r="J44" s="130">
        <f>-SUM('Raw FS'!AB27:AB28)</f>
        <v/>
      </c>
      <c r="K44" s="130">
        <f>-SUM('Raw FS'!AC27:AC28)</f>
        <v/>
      </c>
      <c r="L44" s="130">
        <f>-SUM('Raw FS'!AD27:AD28)</f>
        <v/>
      </c>
    </row>
    <row r="45">
      <c r="B45" s="72" t="inlineStr">
        <is>
          <t>Change in Work Cap</t>
        </is>
      </c>
      <c r="C45" s="72" t="n"/>
      <c r="D45" s="72" t="n"/>
      <c r="E45" s="72" t="n"/>
      <c r="F45" s="72" t="n"/>
      <c r="G45" s="72" t="n"/>
      <c r="H45" s="132" t="inlineStr">
        <is>
          <t>-</t>
        </is>
      </c>
      <c r="I45" s="133">
        <f>I21-H21</f>
        <v/>
      </c>
      <c r="J45" s="133">
        <f>J21-I21</f>
        <v/>
      </c>
      <c r="K45" s="133">
        <f>K21-J21</f>
        <v/>
      </c>
      <c r="L45" s="133">
        <f>L21-K21</f>
        <v/>
      </c>
    </row>
    <row r="47">
      <c r="B47" s="72" t="inlineStr">
        <is>
          <t>EBIT</t>
        </is>
      </c>
      <c r="C47" s="72" t="n"/>
      <c r="D47" s="72" t="n"/>
      <c r="E47" s="72" t="n"/>
      <c r="F47" s="72" t="n"/>
      <c r="G47" s="72" t="n"/>
      <c r="H47" s="130">
        <f>H38</f>
        <v/>
      </c>
      <c r="I47" s="130">
        <f>I38</f>
        <v/>
      </c>
      <c r="J47" s="130">
        <f>J38</f>
        <v/>
      </c>
      <c r="K47" s="130">
        <f>K38</f>
        <v/>
      </c>
      <c r="L47" s="130">
        <f>L38</f>
        <v/>
      </c>
    </row>
    <row r="48">
      <c r="B48" s="72" t="inlineStr">
        <is>
          <t>Tax Rate</t>
        </is>
      </c>
      <c r="C48" s="72" t="n"/>
      <c r="D48" s="72" t="n"/>
      <c r="E48" s="72" t="n"/>
      <c r="F48" s="72" t="n"/>
      <c r="G48" s="72" t="n"/>
      <c r="H48" s="81">
        <f>WACC!E27</f>
        <v/>
      </c>
      <c r="I48" s="81">
        <f>H48</f>
        <v/>
      </c>
      <c r="J48" s="81">
        <f>I48</f>
        <v/>
      </c>
      <c r="K48" s="81">
        <f>J48</f>
        <v/>
      </c>
      <c r="L48" s="81">
        <f>K48</f>
        <v/>
      </c>
    </row>
    <row r="49">
      <c r="B49" s="72" t="inlineStr">
        <is>
          <t>EBIT(1-T)</t>
        </is>
      </c>
      <c r="C49" s="72" t="n"/>
      <c r="D49" s="72" t="n"/>
      <c r="E49" s="72" t="n"/>
      <c r="F49" s="72" t="n"/>
      <c r="G49" s="72" t="n"/>
      <c r="H49" s="130">
        <f>H47*(1-H48)</f>
        <v/>
      </c>
      <c r="I49" s="130">
        <f>I47*(1-I48)</f>
        <v/>
      </c>
      <c r="J49" s="130">
        <f>J47*(1-J48)</f>
        <v/>
      </c>
      <c r="K49" s="130">
        <f>K47*(1-K48)</f>
        <v/>
      </c>
      <c r="L49" s="130">
        <f>L47*(1-L48)</f>
        <v/>
      </c>
    </row>
    <row r="51">
      <c r="B51" t="inlineStr">
        <is>
          <t>Reinvestment</t>
        </is>
      </c>
      <c r="H51" s="163" t="inlineStr">
        <is>
          <t>-</t>
        </is>
      </c>
      <c r="I51" s="107">
        <f>SUM(I44:I45)</f>
        <v/>
      </c>
      <c r="J51" s="107">
        <f>SUM(J44:J45)</f>
        <v/>
      </c>
      <c r="K51" s="107">
        <f>SUM(K44:K45)</f>
        <v/>
      </c>
      <c r="L51" s="107">
        <f>SUM(L44:L45)</f>
        <v/>
      </c>
    </row>
    <row r="52" ht="15" customHeight="1" s="109" thickBot="1">
      <c r="B52" s="127" t="inlineStr">
        <is>
          <t>Reinvestment Rate</t>
        </is>
      </c>
      <c r="C52" s="127" t="n"/>
      <c r="D52" s="127" t="n"/>
      <c r="E52" s="127" t="n"/>
      <c r="F52" s="127" t="n"/>
      <c r="G52" s="127" t="n"/>
      <c r="H52" s="147" t="inlineStr">
        <is>
          <t>-</t>
        </is>
      </c>
      <c r="I52" s="143">
        <f>I51/I49</f>
        <v/>
      </c>
      <c r="J52" s="143">
        <f>J51/J49</f>
        <v/>
      </c>
      <c r="K52" s="143">
        <f>K51/K49</f>
        <v/>
      </c>
      <c r="L52" s="143">
        <f>L51/L49</f>
        <v/>
      </c>
    </row>
    <row r="54">
      <c r="J54" s="37" t="inlineStr">
        <is>
          <t>4 Year Average</t>
        </is>
      </c>
      <c r="K54" s="37" t="n"/>
      <c r="L54" s="114">
        <f>AVERAGE(I52:L52)</f>
        <v/>
      </c>
    </row>
    <row r="55">
      <c r="J55" s="37" t="inlineStr">
        <is>
          <t>4 Year Median</t>
        </is>
      </c>
      <c r="K55" s="37" t="n"/>
      <c r="L55" s="114">
        <f>MEDIAN(I52:L52)</f>
        <v/>
      </c>
    </row>
    <row r="57">
      <c r="B57" s="84" t="inlineStr">
        <is>
          <t>Calculation of Growth Rate</t>
        </is>
      </c>
      <c r="C57" s="84" t="n"/>
      <c r="D57" s="84" t="n"/>
      <c r="E57" s="84" t="n"/>
      <c r="F57" s="84" t="n"/>
      <c r="G57" s="84" t="n"/>
      <c r="H57" s="40">
        <f>'Raw FS'!J$3</f>
        <v/>
      </c>
      <c r="I57" s="40">
        <f>'Raw FS'!K$3</f>
        <v/>
      </c>
      <c r="J57" s="40">
        <f>'Raw FS'!L$3</f>
        <v/>
      </c>
      <c r="K57" s="40">
        <f>'Raw FS'!M$3</f>
        <v/>
      </c>
      <c r="L57" s="40">
        <f>'Raw FS'!N$3</f>
        <v/>
      </c>
    </row>
    <row r="59">
      <c r="B59" s="72" t="inlineStr">
        <is>
          <t>ROIC</t>
        </is>
      </c>
      <c r="C59" s="72" t="n"/>
      <c r="D59" s="72" t="n"/>
      <c r="E59" s="72" t="n"/>
      <c r="F59" s="72" t="n"/>
      <c r="G59" s="72" t="n"/>
      <c r="H59" s="81">
        <f>H40</f>
        <v/>
      </c>
      <c r="I59" s="81">
        <f>I40</f>
        <v/>
      </c>
      <c r="J59" s="81">
        <f>J40</f>
        <v/>
      </c>
      <c r="K59" s="81">
        <f>K40</f>
        <v/>
      </c>
      <c r="L59" s="81">
        <f>L40</f>
        <v/>
      </c>
    </row>
    <row r="60">
      <c r="B60" s="72" t="inlineStr">
        <is>
          <t>Reinvestment Rate</t>
        </is>
      </c>
      <c r="C60" s="72" t="n"/>
      <c r="D60" s="72" t="n"/>
      <c r="E60" s="72" t="n"/>
      <c r="F60" s="72" t="n"/>
      <c r="G60" s="72" t="n"/>
      <c r="H60" s="82" t="inlineStr">
        <is>
          <t>-</t>
        </is>
      </c>
      <c r="I60" s="134">
        <f>I52</f>
        <v/>
      </c>
      <c r="J60" s="134">
        <f>J52</f>
        <v/>
      </c>
      <c r="K60" s="134">
        <f>K52</f>
        <v/>
      </c>
      <c r="L60" s="134">
        <f>L52</f>
        <v/>
      </c>
    </row>
    <row r="61" ht="4.2" customHeight="1" s="109"/>
    <row r="62" ht="15" customHeight="1" s="109" thickBot="1">
      <c r="B62" s="74" t="inlineStr">
        <is>
          <t>Intrinsic Growth</t>
        </is>
      </c>
      <c r="C62" s="74" t="n"/>
      <c r="D62" s="74" t="n"/>
      <c r="E62" s="74" t="n"/>
      <c r="F62" s="74" t="n"/>
      <c r="G62" s="74" t="n"/>
      <c r="H62" s="74" t="n"/>
      <c r="I62" s="135">
        <f>I59*I60</f>
        <v/>
      </c>
      <c r="J62" s="135">
        <f>J59*J60</f>
        <v/>
      </c>
      <c r="K62" s="135">
        <f>K59*K60</f>
        <v/>
      </c>
      <c r="L62" s="135">
        <f>L59*L60</f>
        <v/>
      </c>
    </row>
    <row r="64">
      <c r="J64" s="37" t="inlineStr">
        <is>
          <t>4 Year Average</t>
        </is>
      </c>
      <c r="K64" s="37" t="n"/>
      <c r="L64" s="114">
        <f>AVERAGE(I62:L62)</f>
        <v/>
      </c>
    </row>
    <row r="65">
      <c r="J65" s="37" t="inlineStr">
        <is>
          <t>4 Year Median</t>
        </is>
      </c>
      <c r="K65" s="37" t="n"/>
      <c r="L65" s="114">
        <f>MEDIAN(I62:L62)</f>
        <v/>
      </c>
    </row>
  </sheetData>
  <pageMargins left="0.7" right="0.7" top="0.75" bottom="0.75" header="0.3" footer="0.3"/>
  <drawing xmlns:r="http://schemas.openxmlformats.org/officeDocument/2006/relationships" r:id="rId1"/>
</worksheet>
</file>

<file path=xl/worksheets/sheet16.xml><?xml version="1.0" encoding="utf-8"?>
<worksheet xmlns="http://schemas.openxmlformats.org/spreadsheetml/2006/main">
  <sheetPr>
    <outlinePr summaryBelow="1" summaryRight="1"/>
    <pageSetUpPr/>
  </sheetPr>
  <dimension ref="A1:N45"/>
  <sheetViews>
    <sheetView showGridLines="0" topLeftCell="A21" workbookViewId="0">
      <selection activeCell="D35" sqref="D35"/>
    </sheetView>
  </sheetViews>
  <sheetFormatPr baseColWidth="8" defaultRowHeight="14.4"/>
  <cols>
    <col width="1.88671875" customWidth="1" style="109" min="1" max="1"/>
    <col width="21.109375" customWidth="1" style="109" min="2" max="2"/>
    <col width="13.21875" customWidth="1" style="109" min="4" max="4"/>
    <col width="10.44140625" bestFit="1" customWidth="1" style="109" min="8" max="13"/>
  </cols>
  <sheetData>
    <row r="1">
      <c r="A1" s="39" t="n"/>
      <c r="B1" s="39" t="n"/>
      <c r="C1" s="39" t="n"/>
      <c r="D1" s="39" t="n"/>
      <c r="E1" s="39" t="n"/>
      <c r="F1" s="39" t="n"/>
      <c r="G1" s="39" t="n"/>
      <c r="H1" s="39" t="n"/>
      <c r="I1" s="39" t="n"/>
      <c r="J1" s="39" t="n"/>
      <c r="K1" s="39" t="n"/>
      <c r="L1" s="39" t="n"/>
      <c r="M1" s="39" t="n"/>
    </row>
    <row r="2">
      <c r="A2" s="39" t="n"/>
      <c r="B2" s="39" t="n"/>
      <c r="C2" s="39" t="n"/>
      <c r="D2" s="39" t="n"/>
      <c r="E2" s="39" t="n"/>
      <c r="F2" s="39" t="n"/>
      <c r="G2" s="39" t="n"/>
      <c r="H2" s="39" t="n"/>
      <c r="I2" s="39" t="n"/>
      <c r="J2" s="39" t="n"/>
      <c r="K2" s="39" t="n"/>
      <c r="L2" s="39" t="n"/>
      <c r="M2" s="39" t="n"/>
    </row>
    <row r="3">
      <c r="A3" s="39" t="n"/>
      <c r="B3" s="39" t="n"/>
      <c r="C3" s="39" t="n"/>
      <c r="D3" s="39" t="n"/>
      <c r="E3" s="39" t="n"/>
      <c r="F3" s="39" t="n"/>
      <c r="G3" s="39" t="n"/>
      <c r="H3" s="39" t="n"/>
      <c r="I3" s="39" t="n"/>
      <c r="J3" s="39" t="n"/>
      <c r="K3" s="39" t="n"/>
      <c r="L3" s="39" t="n"/>
      <c r="M3" s="39" t="n"/>
    </row>
    <row r="4">
      <c r="A4" s="39" t="n"/>
      <c r="B4" s="39" t="n"/>
      <c r="C4" s="39" t="n"/>
      <c r="D4" s="39" t="n"/>
      <c r="E4" s="39" t="n"/>
      <c r="F4" s="39" t="n"/>
      <c r="G4" s="39" t="n"/>
      <c r="H4" s="39" t="n"/>
      <c r="I4" s="39" t="n"/>
      <c r="J4" s="39" t="n"/>
      <c r="K4" s="39" t="n"/>
      <c r="L4" s="39" t="n"/>
      <c r="M4" s="39" t="n"/>
    </row>
    <row r="6">
      <c r="B6" s="84" t="inlineStr">
        <is>
          <t>Calculation of PV of FCFF</t>
        </is>
      </c>
      <c r="C6" s="84" t="n"/>
      <c r="D6" s="84" t="n"/>
      <c r="E6" s="84" t="n"/>
      <c r="F6" s="84" t="n"/>
      <c r="G6" s="84" t="n"/>
      <c r="H6" s="77">
        <f>'Data Sheet'!K56</f>
        <v/>
      </c>
      <c r="I6" s="78">
        <f>H6+365</f>
        <v/>
      </c>
      <c r="J6" s="78">
        <f>I6+365</f>
        <v/>
      </c>
      <c r="K6" s="78">
        <f>J6+365</f>
        <v/>
      </c>
      <c r="L6" s="78">
        <f>K6+365</f>
        <v/>
      </c>
      <c r="M6" s="78">
        <f>L6+365</f>
        <v/>
      </c>
    </row>
    <row r="7" ht="6.6" customHeight="1" s="109"/>
    <row r="8">
      <c r="B8" s="72" t="inlineStr">
        <is>
          <t>EBIT</t>
        </is>
      </c>
      <c r="C8" s="72" t="n"/>
      <c r="D8" s="72" t="n"/>
      <c r="E8" s="72" t="n"/>
      <c r="F8" s="72" t="n"/>
      <c r="G8" s="72" t="n"/>
      <c r="H8" s="130">
        <f>'Intrinsic Valuation'!L38</f>
        <v/>
      </c>
      <c r="I8" s="130">
        <f>H8*(1+$D$18)</f>
        <v/>
      </c>
      <c r="J8" s="130">
        <f>I8*(1+$D$18)</f>
        <v/>
      </c>
      <c r="K8" s="130">
        <f>J8*(1+$D$18)</f>
        <v/>
      </c>
      <c r="L8" s="130">
        <f>K8*(1+$D$18)</f>
        <v/>
      </c>
      <c r="M8" s="130">
        <f>L8*(1+$D$18)</f>
        <v/>
      </c>
    </row>
    <row r="9">
      <c r="B9" s="72" t="inlineStr">
        <is>
          <t>Tax Rate</t>
        </is>
      </c>
      <c r="C9" s="72" t="n"/>
      <c r="D9" s="72" t="n"/>
      <c r="E9" s="72" t="n"/>
      <c r="F9" s="72" t="n"/>
      <c r="G9" s="72" t="n"/>
      <c r="H9" s="81">
        <f>WACC!G14</f>
        <v/>
      </c>
      <c r="I9" s="81">
        <f>H9</f>
        <v/>
      </c>
      <c r="J9" s="81">
        <f>I9</f>
        <v/>
      </c>
      <c r="K9" s="81">
        <f>J9</f>
        <v/>
      </c>
      <c r="L9" s="81">
        <f>K9</f>
        <v/>
      </c>
      <c r="M9" s="81">
        <f>L9</f>
        <v/>
      </c>
    </row>
    <row r="10">
      <c r="B10" s="72" t="inlineStr">
        <is>
          <t>EBIT(1-T)</t>
        </is>
      </c>
      <c r="C10" s="72" t="n"/>
      <c r="D10" s="72" t="n"/>
      <c r="E10" s="72" t="n"/>
      <c r="F10" s="72" t="n"/>
      <c r="G10" s="72" t="n"/>
      <c r="H10" s="130">
        <f>H8*(1-H9)</f>
        <v/>
      </c>
      <c r="I10" s="130">
        <f>I8*(1-I9)</f>
        <v/>
      </c>
      <c r="J10" s="130">
        <f>J8*(1-J9)</f>
        <v/>
      </c>
      <c r="K10" s="130">
        <f>K8*(1-K9)</f>
        <v/>
      </c>
      <c r="L10" s="130">
        <f>L8*(1-L9)</f>
        <v/>
      </c>
      <c r="M10" s="130">
        <f>M8*(1-M9)</f>
        <v/>
      </c>
    </row>
    <row r="11">
      <c r="B11" s="72" t="inlineStr">
        <is>
          <t>Less: Reinvestment Rate</t>
        </is>
      </c>
      <c r="C11" s="72" t="n"/>
      <c r="D11" s="72" t="n"/>
      <c r="E11" s="72" t="n"/>
      <c r="F11" s="72" t="n"/>
      <c r="G11" s="72" t="n"/>
      <c r="H11" s="81">
        <f>'Intrinsic Valuation'!$L$55</f>
        <v/>
      </c>
      <c r="I11" s="81">
        <f>MIN(0.85, MAX(0.15, 'Intrinsic Valuation'!$L$55))</f>
        <v/>
      </c>
      <c r="J11" s="81">
        <f>$I$11+($M$11-$I$11)/4*1</f>
        <v/>
      </c>
      <c r="K11" s="81">
        <f>$I$11+($M$11-$I$11)/4*2</f>
        <v/>
      </c>
      <c r="L11" s="81">
        <f>$I$11+($M$11-$I$11)/4*3</f>
        <v/>
      </c>
      <c r="M11" s="81">
        <f>D21</f>
        <v/>
      </c>
      <c r="N11" t="n">
        <v>0</v>
      </c>
    </row>
    <row r="12">
      <c r="B12" s="72" t="inlineStr">
        <is>
          <t>Free Cash Flow to Firm</t>
        </is>
      </c>
      <c r="C12" s="72" t="n"/>
      <c r="D12" s="72" t="n"/>
      <c r="E12" s="72" t="n"/>
      <c r="F12" s="72" t="n"/>
      <c r="G12" s="72" t="n"/>
      <c r="H12" s="130">
        <f>H10*(1-H11)</f>
        <v/>
      </c>
      <c r="I12" s="130">
        <f>I10*(1-MIN(0.85, I11))</f>
        <v/>
      </c>
      <c r="J12" s="130">
        <f>J10*(1-MIN(0.85, J11))</f>
        <v/>
      </c>
      <c r="K12" s="130">
        <f>K10*(1-MIN(0.85, K11))</f>
        <v/>
      </c>
      <c r="L12" s="130">
        <f>L10*(1-MIN(0.85, L11))</f>
        <v/>
      </c>
      <c r="M12" s="130">
        <f>M10*(1-MIN(0.85, M11))</f>
        <v/>
      </c>
    </row>
    <row r="13">
      <c r="B13" s="72" t="inlineStr">
        <is>
          <t>Mid Year Convention</t>
        </is>
      </c>
      <c r="C13" s="72" t="n"/>
      <c r="D13" s="72" t="n"/>
      <c r="E13" s="72" t="n"/>
      <c r="F13" s="72" t="n"/>
      <c r="G13" s="72" t="n"/>
      <c r="H13" s="82" t="inlineStr">
        <is>
          <t>-</t>
        </is>
      </c>
      <c r="I13" s="72" t="n">
        <v>0.5</v>
      </c>
      <c r="J13" s="72">
        <f>I13+1</f>
        <v/>
      </c>
      <c r="K13" s="72">
        <f>J13+1</f>
        <v/>
      </c>
      <c r="L13" s="72">
        <f>K13+1</f>
        <v/>
      </c>
      <c r="M13" s="72">
        <f>L13+1</f>
        <v/>
      </c>
    </row>
    <row r="14">
      <c r="B14" s="72" t="inlineStr">
        <is>
          <t>Discounting Factor</t>
        </is>
      </c>
      <c r="C14" s="72" t="n"/>
      <c r="D14" s="72" t="n"/>
      <c r="E14" s="72" t="n"/>
      <c r="F14" s="72" t="n"/>
      <c r="G14" s="72" t="n"/>
      <c r="H14" s="72" t="n"/>
      <c r="I14" s="72">
        <f>1/(1+$D$20)^I13</f>
        <v/>
      </c>
      <c r="J14" s="72">
        <f>1/(1+$D$20)^J13</f>
        <v/>
      </c>
      <c r="K14" s="72">
        <f>1/(1+$D$20)^K13</f>
        <v/>
      </c>
      <c r="L14" s="72">
        <f>1/(1+$D$20)^L13</f>
        <v/>
      </c>
      <c r="M14" s="72">
        <f>1/(1+$D$20)^M13</f>
        <v/>
      </c>
    </row>
    <row r="15" ht="4.8" customHeight="1" s="109"/>
    <row r="16" ht="15" customHeight="1" s="109" thickBot="1">
      <c r="B16" s="74" t="inlineStr">
        <is>
          <t>PV of FCFF</t>
        </is>
      </c>
      <c r="C16" s="74" t="n"/>
      <c r="D16" s="74" t="n"/>
      <c r="E16" s="74" t="n"/>
      <c r="F16" s="74" t="n"/>
      <c r="G16" s="74" t="n"/>
      <c r="H16" s="74" t="n"/>
      <c r="I16" s="131">
        <f>I12*I14</f>
        <v/>
      </c>
      <c r="J16" s="131">
        <f>J12*J14</f>
        <v/>
      </c>
      <c r="K16" s="131">
        <f>K12*K14</f>
        <v/>
      </c>
      <c r="L16" s="131">
        <f>L12*L14</f>
        <v/>
      </c>
      <c r="M16" s="131">
        <f>M12*M14</f>
        <v/>
      </c>
    </row>
    <row r="18">
      <c r="B18" s="79" t="inlineStr">
        <is>
          <t>Expected Growth Rate</t>
        </is>
      </c>
      <c r="C18" s="79" t="n"/>
      <c r="D18" s="80" t="n">
        <v>0.052</v>
      </c>
    </row>
    <row r="19">
      <c r="B19" s="79" t="inlineStr">
        <is>
          <t>Terminal Growth Rate</t>
        </is>
      </c>
      <c r="C19" s="79" t="n"/>
      <c r="D19" s="80" t="n">
        <v>0.04</v>
      </c>
    </row>
    <row r="20">
      <c r="B20" s="79" t="inlineStr">
        <is>
          <t>WACC</t>
        </is>
      </c>
      <c r="C20" s="79" t="n"/>
      <c r="D20" s="80">
        <f>WACC!K46</f>
        <v/>
      </c>
    </row>
    <row r="21">
      <c r="B21" s="79" t="inlineStr">
        <is>
          <t>Terminal Reinvestment Rate</t>
        </is>
      </c>
      <c r="C21" s="79" t="n"/>
      <c r="D21" s="80">
        <f>D19/D20</f>
        <v/>
      </c>
    </row>
    <row r="23">
      <c r="B23" s="84" t="inlineStr">
        <is>
          <t>Calculation of Terminal Value</t>
        </is>
      </c>
      <c r="C23" s="84" t="n"/>
      <c r="D23" s="84" t="n"/>
    </row>
    <row r="25">
      <c r="B25" t="inlineStr">
        <is>
          <t>FCFF(n+1)</t>
        </is>
      </c>
      <c r="D25" s="107">
        <f>M12*(1+D19)</f>
        <v/>
      </c>
    </row>
    <row r="26">
      <c r="B26" t="inlineStr">
        <is>
          <t>WACC</t>
        </is>
      </c>
      <c r="D26" s="46">
        <f>D20</f>
        <v/>
      </c>
    </row>
    <row r="27">
      <c r="B27" t="inlineStr">
        <is>
          <t>Terminal Growth Rate</t>
        </is>
      </c>
      <c r="D27" s="46">
        <f>D19</f>
        <v/>
      </c>
    </row>
    <row r="28">
      <c r="D28" s="46" t="n"/>
    </row>
    <row r="29" ht="15" customHeight="1" s="109" thickBot="1">
      <c r="B29" s="127" t="inlineStr">
        <is>
          <t>Terminal value</t>
        </is>
      </c>
      <c r="C29" s="127" t="n"/>
      <c r="D29" s="128">
        <f>D25/(D26-D27)</f>
        <v/>
      </c>
    </row>
    <row r="31">
      <c r="B31" s="84" t="inlineStr">
        <is>
          <t>Calculation of Equity Value</t>
        </is>
      </c>
      <c r="C31" s="84" t="n"/>
      <c r="D31" s="84" t="n"/>
    </row>
    <row r="33">
      <c r="B33" t="inlineStr">
        <is>
          <t>PV of FCFF</t>
        </is>
      </c>
      <c r="D33" s="107">
        <f>SUM(I16:M16)</f>
        <v/>
      </c>
    </row>
    <row r="34">
      <c r="B34" t="inlineStr">
        <is>
          <t>Terminal value</t>
        </is>
      </c>
      <c r="D34" s="107">
        <f>D29*M14</f>
        <v/>
      </c>
    </row>
    <row r="35">
      <c r="B35" s="37" t="inlineStr">
        <is>
          <t>Value of Operating Assets</t>
        </is>
      </c>
      <c r="C35" s="37" t="n"/>
      <c r="D35" s="129">
        <f>SUM(D33:D34)</f>
        <v/>
      </c>
    </row>
    <row r="37">
      <c r="B37" t="inlineStr">
        <is>
          <t>Add: Cash</t>
        </is>
      </c>
      <c r="D37" s="107">
        <f>'Data Sheet'!K69</f>
        <v/>
      </c>
    </row>
    <row r="38">
      <c r="B38" t="inlineStr">
        <is>
          <t>Less: Debt</t>
        </is>
      </c>
      <c r="D38" s="107">
        <f>'Data Sheet'!K59</f>
        <v/>
      </c>
    </row>
    <row r="39">
      <c r="B39" s="37" t="inlineStr">
        <is>
          <t>Equity Value</t>
        </is>
      </c>
      <c r="C39" s="37" t="n"/>
      <c r="D39" s="129">
        <f>D35+D37-D38</f>
        <v/>
      </c>
    </row>
    <row r="40">
      <c r="B40" t="inlineStr">
        <is>
          <t>No. of Shares</t>
        </is>
      </c>
      <c r="D40">
        <f>'Data Sheet'!K70/10000000</f>
        <v/>
      </c>
    </row>
    <row r="42" ht="15" customHeight="1" s="109" thickBot="1">
      <c r="B42" s="127" t="inlineStr">
        <is>
          <t>Equity Value per Share</t>
        </is>
      </c>
      <c r="C42" s="127" t="n"/>
      <c r="D42" s="128">
        <f>D39/D40</f>
        <v/>
      </c>
    </row>
    <row r="44">
      <c r="B44" t="inlineStr">
        <is>
          <t>Share Price</t>
        </is>
      </c>
      <c r="D44" s="107" t="n">
        <v>1051</v>
      </c>
    </row>
    <row r="45">
      <c r="B45" t="inlineStr">
        <is>
          <t>Discount /Premium</t>
        </is>
      </c>
      <c r="D45" s="83">
        <f>D44/D42</f>
        <v/>
      </c>
    </row>
  </sheetData>
  <pageMargins left="0.7" right="0.7" top="0.75" bottom="0.75" header="0.3" footer="0.3"/>
  <drawing xmlns:r="http://schemas.openxmlformats.org/officeDocument/2006/relationships" r:id="rId1"/>
</worksheet>
</file>

<file path=xl/worksheets/sheet17.xml><?xml version="1.0" encoding="utf-8"?>
<worksheet xmlns="http://schemas.openxmlformats.org/spreadsheetml/2006/main">
  <sheetPr>
    <outlinePr summaryBelow="1" summaryRight="1"/>
    <pageSetUpPr/>
  </sheetPr>
  <dimension ref="B6:X252"/>
  <sheetViews>
    <sheetView topLeftCell="E8" workbookViewId="0">
      <selection activeCell="O24" sqref="O24:T28"/>
    </sheetView>
  </sheetViews>
  <sheetFormatPr baseColWidth="8" defaultRowHeight="14.4"/>
  <cols>
    <col width="1.88671875" customWidth="1" style="109" min="1" max="1"/>
    <col width="9.88671875" bestFit="1" customWidth="1" style="109" min="7" max="7"/>
    <col width="12.33203125" bestFit="1" customWidth="1" style="109" min="14" max="14"/>
    <col width="14.6640625" bestFit="1" customWidth="1" style="109" min="15" max="15"/>
    <col width="13.21875" bestFit="1" customWidth="1" style="109" min="18" max="18"/>
    <col width="13.6640625" bestFit="1" customWidth="1" style="109" min="20" max="20"/>
    <col width="10.77734375" bestFit="1" customWidth="1" style="109" min="23" max="23"/>
    <col width="12.6640625" bestFit="1" customWidth="1" style="109" min="24" max="24"/>
  </cols>
  <sheetData>
    <row r="6">
      <c r="B6" t="n">
        <v>2025</v>
      </c>
      <c r="C6" s="46" t="n">
        <v>0.1051</v>
      </c>
      <c r="G6" s="34" t="inlineStr">
        <is>
          <t>2026-09-18</t>
        </is>
      </c>
      <c r="H6" t="n">
        <v>1051.4</v>
      </c>
      <c r="J6" t="n">
        <v>23346.4</v>
      </c>
    </row>
    <row r="7">
      <c r="B7" t="n">
        <v>2024</v>
      </c>
      <c r="C7" s="46" t="n">
        <v>0.08749999999999999</v>
      </c>
      <c r="G7" s="34" t="inlineStr">
        <is>
          <t>2026-09-17</t>
        </is>
      </c>
      <c r="H7" t="n">
        <v>1058.6</v>
      </c>
      <c r="J7" t="n">
        <v>23270.6</v>
      </c>
    </row>
    <row r="8">
      <c r="B8" t="n">
        <v>2023</v>
      </c>
      <c r="C8" s="46" t="n">
        <v>0.1942</v>
      </c>
      <c r="G8" s="34" t="inlineStr">
        <is>
          <t>2026-09-16</t>
        </is>
      </c>
      <c r="H8" t="n">
        <v>1060</v>
      </c>
      <c r="J8" t="n">
        <v>23217.6</v>
      </c>
    </row>
    <row r="9">
      <c r="B9" t="n">
        <v>2022</v>
      </c>
      <c r="C9" s="46" t="n">
        <v>0.0432</v>
      </c>
      <c r="G9" s="34" t="inlineStr">
        <is>
          <t>2026-09-15</t>
        </is>
      </c>
      <c r="H9" t="n">
        <v>1077</v>
      </c>
      <c r="J9" t="n">
        <v>23118.6</v>
      </c>
    </row>
    <row r="10">
      <c r="B10" t="n">
        <v>2021</v>
      </c>
      <c r="C10" s="46" t="n">
        <v>0.2412</v>
      </c>
      <c r="G10" s="34" t="inlineStr">
        <is>
          <t>2026-09-11</t>
        </is>
      </c>
      <c r="H10" t="n">
        <v>1037.7</v>
      </c>
      <c r="J10" t="n">
        <v>23398.1</v>
      </c>
    </row>
    <row r="11">
      <c r="B11" t="n">
        <v>2020</v>
      </c>
      <c r="C11" s="46" t="n">
        <v>0.149</v>
      </c>
      <c r="G11" s="34" t="inlineStr">
        <is>
          <t>2026-09-10</t>
        </is>
      </c>
      <c r="H11" t="n">
        <v>1036.5</v>
      </c>
      <c r="J11" t="n">
        <v>23477.8</v>
      </c>
      <c r="N11" t="inlineStr">
        <is>
          <t>S.No.</t>
        </is>
      </c>
      <c r="O11" t="inlineStr">
        <is>
          <t>Name</t>
        </is>
      </c>
      <c r="P11" t="inlineStr">
        <is>
          <t>CMP Rs.</t>
        </is>
      </c>
      <c r="Q11" t="inlineStr">
        <is>
          <t>No. Eq. Shares Cr.</t>
        </is>
      </c>
      <c r="R11" t="inlineStr">
        <is>
          <t>Mar Cap Rs.Cr.</t>
        </is>
      </c>
      <c r="S11" t="inlineStr">
        <is>
          <t>Debt Rs.Cr.</t>
        </is>
      </c>
      <c r="T11" t="inlineStr">
        <is>
          <t>Cash End Rs.Cr.</t>
        </is>
      </c>
      <c r="U11" t="inlineStr">
        <is>
          <t>EV Rs.Cr.</t>
        </is>
      </c>
      <c r="V11" t="inlineStr">
        <is>
          <t>Sales Rs.Cr.</t>
        </is>
      </c>
      <c r="W11" t="inlineStr">
        <is>
          <t>EV / EBITDA</t>
        </is>
      </c>
      <c r="X11" t="inlineStr">
        <is>
          <t>NP 12M Rs.Cr.</t>
        </is>
      </c>
    </row>
    <row r="12">
      <c r="B12" t="n">
        <v>2019</v>
      </c>
      <c r="C12" s="46" t="n">
        <v>0.1202</v>
      </c>
      <c r="G12" s="34" t="inlineStr">
        <is>
          <t>2026-09-09</t>
        </is>
      </c>
      <c r="H12" t="n">
        <v>1035</v>
      </c>
      <c r="J12" t="n">
        <v>23431.5</v>
      </c>
      <c r="N12" t="n">
        <v>1</v>
      </c>
      <c r="O12" t="inlineStr">
        <is>
          <t>Hind. Unilever</t>
        </is>
      </c>
      <c r="P12" t="n">
        <v>2087.2</v>
      </c>
      <c r="Q12" t="n">
        <v>234.96</v>
      </c>
      <c r="R12" t="n">
        <v>494084.03</v>
      </c>
      <c r="S12" t="n">
        <v>1478</v>
      </c>
      <c r="T12" t="n">
        <v>3248</v>
      </c>
      <c r="U12" t="n">
        <v>492314.03</v>
      </c>
      <c r="V12" t="n">
        <v>66052</v>
      </c>
      <c r="W12" t="n">
        <v>30.61</v>
      </c>
      <c r="X12" t="n">
        <v>14971</v>
      </c>
    </row>
    <row r="13">
      <c r="B13" t="n">
        <v>2018</v>
      </c>
      <c r="C13" s="46" t="n">
        <v>0.0315</v>
      </c>
      <c r="G13" s="34" t="inlineStr">
        <is>
          <t>2026-09-08</t>
        </is>
      </c>
      <c r="H13" t="n">
        <v>1082</v>
      </c>
      <c r="J13" t="n">
        <v>23635.1</v>
      </c>
      <c r="N13" t="n">
        <v>2</v>
      </c>
      <c r="O13" t="inlineStr">
        <is>
          <t>ITC</t>
        </is>
      </c>
      <c r="P13" t="n">
        <v>282.65</v>
      </c>
      <c r="Q13" t="n">
        <v>1252.95</v>
      </c>
      <c r="R13" t="n">
        <v>354889.69</v>
      </c>
      <c r="S13" t="n">
        <v>2399.06</v>
      </c>
      <c r="T13" t="n">
        <v>3008.79</v>
      </c>
      <c r="U13" t="n">
        <v>354279.96</v>
      </c>
      <c r="V13" t="n">
        <v>76487.98</v>
      </c>
      <c r="W13" t="n">
        <v>12.44</v>
      </c>
      <c r="X13" t="n">
        <v>20183.53</v>
      </c>
    </row>
    <row r="14">
      <c r="B14" t="n">
        <v>2017</v>
      </c>
      <c r="C14" s="46" t="n">
        <v>0.2865</v>
      </c>
      <c r="G14" s="34" t="inlineStr">
        <is>
          <t>2026-09-07</t>
        </is>
      </c>
      <c r="H14" t="n">
        <v>1087.5</v>
      </c>
      <c r="J14" t="n">
        <v>23779.15</v>
      </c>
      <c r="N14" t="n">
        <v>3</v>
      </c>
      <c r="O14" t="inlineStr">
        <is>
          <t>Hindustan Foods</t>
        </is>
      </c>
      <c r="P14" t="n">
        <v>585.6</v>
      </c>
      <c r="Q14" t="n">
        <v>12.12</v>
      </c>
      <c r="R14" t="n">
        <v>7105.77</v>
      </c>
      <c r="S14" t="n">
        <v>1088.26</v>
      </c>
      <c r="T14" t="n">
        <v>51.71</v>
      </c>
      <c r="U14" t="n">
        <v>8142.32</v>
      </c>
      <c r="V14" t="n">
        <v>4400.19</v>
      </c>
      <c r="W14" t="n">
        <v>20.53</v>
      </c>
      <c r="X14" t="n">
        <v>158.3</v>
      </c>
    </row>
    <row r="15">
      <c r="B15" t="n">
        <v>2016</v>
      </c>
      <c r="C15" s="46" t="n">
        <v>0.0301</v>
      </c>
      <c r="G15" s="34" t="inlineStr">
        <is>
          <t>2026-09-04</t>
        </is>
      </c>
      <c r="H15" t="n">
        <v>1130</v>
      </c>
      <c r="J15" t="n">
        <v>23897.7</v>
      </c>
      <c r="N15" t="n">
        <v>4</v>
      </c>
      <c r="O15" t="inlineStr">
        <is>
          <t>Godavari Bioref.</t>
        </is>
      </c>
      <c r="P15" t="n">
        <v>240.1</v>
      </c>
      <c r="Q15" t="n">
        <v>5.12</v>
      </c>
      <c r="R15" t="n">
        <v>1227</v>
      </c>
      <c r="S15" t="n">
        <v>530.76</v>
      </c>
      <c r="T15" t="n">
        <v>32.15</v>
      </c>
      <c r="U15" t="n">
        <v>1725.61</v>
      </c>
      <c r="V15" t="n">
        <v>2012.58</v>
      </c>
      <c r="W15" t="n">
        <v>12.74</v>
      </c>
      <c r="X15" t="n">
        <v>0.22</v>
      </c>
    </row>
    <row r="16">
      <c r="B16" t="n">
        <v>2015</v>
      </c>
      <c r="C16" s="46" t="n">
        <v>-0.0406</v>
      </c>
      <c r="G16" s="34" t="inlineStr">
        <is>
          <t>2026-09-03</t>
        </is>
      </c>
      <c r="H16" t="n">
        <v>1130.3</v>
      </c>
      <c r="J16" t="n">
        <v>23873.45</v>
      </c>
      <c r="N16" t="n">
        <v>5</v>
      </c>
      <c r="O16" t="inlineStr">
        <is>
          <t>Davangere Sugar</t>
        </is>
      </c>
      <c r="P16" t="n">
        <v>3.08</v>
      </c>
      <c r="Q16" t="n">
        <v>143</v>
      </c>
      <c r="R16" t="n">
        <v>440.44</v>
      </c>
      <c r="S16" t="n">
        <v>250.05</v>
      </c>
      <c r="T16" t="n">
        <v>6.57</v>
      </c>
      <c r="U16" t="n">
        <v>683.92</v>
      </c>
      <c r="V16" t="n">
        <v>238.77</v>
      </c>
      <c r="W16" t="n">
        <v>13.43</v>
      </c>
      <c r="X16" t="n">
        <v>8.51</v>
      </c>
    </row>
    <row r="17">
      <c r="B17" t="n">
        <v>2014</v>
      </c>
      <c r="C17" s="46" t="n">
        <v>0.3139</v>
      </c>
      <c r="G17" s="34" t="inlineStr">
        <is>
          <t>2026-09-02</t>
        </is>
      </c>
      <c r="H17" t="n">
        <v>1140</v>
      </c>
      <c r="J17" t="n">
        <v>23914.45</v>
      </c>
    </row>
    <row r="18">
      <c r="B18" t="n">
        <v>2013</v>
      </c>
      <c r="C18" s="46" t="n">
        <v>0.06759999999999999</v>
      </c>
      <c r="G18" s="34" t="inlineStr">
        <is>
          <t>2026-09-01</t>
        </is>
      </c>
      <c r="H18" t="n">
        <v>1156</v>
      </c>
      <c r="J18" t="n">
        <v>24055.8</v>
      </c>
    </row>
    <row r="19">
      <c r="B19" t="n">
        <v>2012</v>
      </c>
      <c r="C19" s="46" t="n">
        <v>0.277</v>
      </c>
      <c r="G19" s="34" t="inlineStr">
        <is>
          <t>2026-08-31</t>
        </is>
      </c>
      <c r="H19" t="n">
        <v>1133.8</v>
      </c>
      <c r="J19" t="n">
        <v>24080.4</v>
      </c>
    </row>
    <row r="20">
      <c r="B20" t="n">
        <v>2011</v>
      </c>
      <c r="C20" s="46" t="n">
        <v>-0.2462</v>
      </c>
      <c r="G20" s="34" t="inlineStr">
        <is>
          <t>2026-08-28</t>
        </is>
      </c>
      <c r="H20" t="n">
        <v>1144</v>
      </c>
      <c r="J20" t="n">
        <v>24175.65</v>
      </c>
    </row>
    <row r="21">
      <c r="B21" t="n">
        <v>2010</v>
      </c>
      <c r="C21" s="46" t="n">
        <v>0.1795</v>
      </c>
      <c r="G21" s="34" t="inlineStr">
        <is>
          <t>2026-08-27</t>
        </is>
      </c>
      <c r="H21" t="n">
        <v>1110.8</v>
      </c>
      <c r="J21" t="n">
        <v>24090.85</v>
      </c>
    </row>
    <row r="22">
      <c r="B22" t="n">
        <v>2009</v>
      </c>
      <c r="C22" s="46" t="n">
        <v>0.7576000000000001</v>
      </c>
      <c r="G22" s="34" t="inlineStr">
        <is>
          <t>2026-08-26</t>
        </is>
      </c>
      <c r="H22" t="n">
        <v>1120</v>
      </c>
      <c r="J22" t="n">
        <v>24207.75</v>
      </c>
    </row>
    <row r="23">
      <c r="B23" t="n">
        <v>2008</v>
      </c>
      <c r="C23" s="46" t="n">
        <v>-0.5179</v>
      </c>
      <c r="G23" s="34" t="inlineStr">
        <is>
          <t>2026-08-25</t>
        </is>
      </c>
      <c r="H23" t="n">
        <v>1144</v>
      </c>
      <c r="J23" t="n">
        <v>24334.55</v>
      </c>
    </row>
    <row r="24">
      <c r="B24" t="n">
        <v>2007</v>
      </c>
      <c r="C24" s="46" t="n">
        <v>0.5477</v>
      </c>
      <c r="G24" s="34" t="inlineStr">
        <is>
          <t>2026-08-24</t>
        </is>
      </c>
      <c r="H24" t="n">
        <v>1130</v>
      </c>
      <c r="J24" t="n">
        <v>24219.05</v>
      </c>
      <c r="O24" t="inlineStr">
        <is>
          <t>TCS</t>
        </is>
      </c>
      <c r="Q24" t="inlineStr">
        <is>
          <t>India</t>
        </is>
      </c>
      <c r="R24" t="n">
        <v>190401.9</v>
      </c>
      <c r="S24" t="n">
        <v>761607.42</v>
      </c>
      <c r="T24" s="46" t="n">
        <v>0.3</v>
      </c>
    </row>
    <row r="25">
      <c r="B25" t="n">
        <v>2006</v>
      </c>
      <c r="C25" s="46" t="n">
        <v>0.3983</v>
      </c>
      <c r="G25" s="34" t="inlineStr">
        <is>
          <t>2026-08-21</t>
        </is>
      </c>
      <c r="H25" t="n">
        <v>1121</v>
      </c>
      <c r="J25" t="n">
        <v>24252</v>
      </c>
      <c r="O25" t="inlineStr">
        <is>
          <t>Infosys Ltd</t>
        </is>
      </c>
      <c r="Q25">
        <f>Q24</f>
        <v/>
      </c>
      <c r="R25" t="n">
        <v>9176</v>
      </c>
      <c r="S25" t="n">
        <v>426683</v>
      </c>
      <c r="T25" s="46">
        <f>T24</f>
        <v/>
      </c>
    </row>
    <row r="26">
      <c r="B26" t="n">
        <v>2005</v>
      </c>
      <c r="C26" s="46" t="n">
        <v>0.3634</v>
      </c>
      <c r="G26" s="34" t="inlineStr">
        <is>
          <t>2026-08-20</t>
        </is>
      </c>
      <c r="H26" t="n">
        <v>1130</v>
      </c>
      <c r="J26" t="n">
        <v>24231.85</v>
      </c>
      <c r="O26" t="inlineStr">
        <is>
          <t>HCL Technologies</t>
        </is>
      </c>
      <c r="Q26">
        <f>Q25</f>
        <v/>
      </c>
      <c r="R26" t="n">
        <v>84754.5</v>
      </c>
      <c r="S26" t="n">
        <v>339018.18</v>
      </c>
      <c r="T26" s="46">
        <f>T25</f>
        <v/>
      </c>
    </row>
    <row r="27">
      <c r="B27" t="n">
        <v>2004</v>
      </c>
      <c r="C27" s="46" t="n">
        <v>0.1068</v>
      </c>
      <c r="G27" s="34" t="inlineStr">
        <is>
          <t>2026-08-19</t>
        </is>
      </c>
      <c r="H27" t="n">
        <v>1119.8</v>
      </c>
      <c r="J27" t="n">
        <v>24078.3</v>
      </c>
      <c r="O27" t="inlineStr">
        <is>
          <t>Wipro</t>
        </is>
      </c>
      <c r="Q27">
        <f>Q26</f>
        <v/>
      </c>
      <c r="R27" t="n">
        <v>41311</v>
      </c>
      <c r="S27" t="n">
        <v>165244.04</v>
      </c>
      <c r="T27" s="46">
        <f>T26</f>
        <v/>
      </c>
    </row>
    <row r="28">
      <c r="B28" t="n">
        <v>2003</v>
      </c>
      <c r="C28" s="46" t="n">
        <v>0.719</v>
      </c>
      <c r="G28" s="34" t="inlineStr">
        <is>
          <t>2026-08-18</t>
        </is>
      </c>
      <c r="H28" t="n">
        <v>1115</v>
      </c>
      <c r="J28" t="n">
        <v>24154.9</v>
      </c>
      <c r="O28" t="inlineStr">
        <is>
          <t>Tech Mahindra</t>
        </is>
      </c>
      <c r="Q28">
        <f>Q27</f>
        <v/>
      </c>
      <c r="R28" t="n">
        <v>37664.1</v>
      </c>
      <c r="S28" t="n">
        <v>150656.36</v>
      </c>
      <c r="T28" s="46">
        <f>T27</f>
        <v/>
      </c>
    </row>
    <row r="29">
      <c r="B29" t="n">
        <v>2002</v>
      </c>
      <c r="C29" s="46" t="n">
        <v>0.0325</v>
      </c>
      <c r="G29" s="34" t="inlineStr">
        <is>
          <t>2026-08-17</t>
        </is>
      </c>
      <c r="H29" t="n">
        <v>1139.9</v>
      </c>
      <c r="J29" t="n">
        <v>24287.65</v>
      </c>
    </row>
    <row r="30">
      <c r="G30" s="34" t="inlineStr">
        <is>
          <t>2026-08-14</t>
        </is>
      </c>
      <c r="H30" t="n">
        <v>1169.2</v>
      </c>
      <c r="J30" t="n">
        <v>24366</v>
      </c>
    </row>
    <row r="31">
      <c r="G31" s="34" t="inlineStr">
        <is>
          <t>2026-08-13</t>
        </is>
      </c>
      <c r="H31" t="n">
        <v>1175</v>
      </c>
      <c r="J31" t="n">
        <v>24395.85</v>
      </c>
    </row>
    <row r="32">
      <c r="G32" s="34" t="inlineStr">
        <is>
          <t>2026-08-12</t>
        </is>
      </c>
      <c r="H32" t="n">
        <v>1176.1</v>
      </c>
      <c r="J32" t="n">
        <v>24435.95</v>
      </c>
    </row>
    <row r="33">
      <c r="G33" s="34" t="inlineStr">
        <is>
          <t>2026-08-11</t>
        </is>
      </c>
      <c r="H33" t="n">
        <v>1190.7</v>
      </c>
      <c r="J33" t="n">
        <v>24471.7</v>
      </c>
    </row>
    <row r="34">
      <c r="G34" s="34" t="inlineStr">
        <is>
          <t>2026-08-10</t>
        </is>
      </c>
      <c r="H34" t="n">
        <v>1183</v>
      </c>
      <c r="J34" t="n">
        <v>24583.8</v>
      </c>
    </row>
    <row r="35">
      <c r="G35" s="34" t="inlineStr">
        <is>
          <t>2026-08-07</t>
        </is>
      </c>
      <c r="H35" t="n">
        <v>1175.1</v>
      </c>
      <c r="J35" t="n">
        <v>24570.65</v>
      </c>
    </row>
    <row r="36">
      <c r="G36" s="34" t="inlineStr">
        <is>
          <t>2026-08-06</t>
        </is>
      </c>
      <c r="H36" t="n">
        <v>1165</v>
      </c>
      <c r="J36" t="n">
        <v>24636</v>
      </c>
    </row>
    <row r="37">
      <c r="G37" s="34" t="inlineStr">
        <is>
          <t>2026-08-05</t>
        </is>
      </c>
      <c r="H37" t="n">
        <v>1174</v>
      </c>
      <c r="J37" t="n">
        <v>24624.65</v>
      </c>
    </row>
    <row r="38">
      <c r="G38" s="34" t="inlineStr">
        <is>
          <t>2026-08-04</t>
        </is>
      </c>
      <c r="H38" t="n">
        <v>1167.5</v>
      </c>
      <c r="J38" t="n">
        <v>24614.9</v>
      </c>
    </row>
    <row r="39">
      <c r="G39" s="34" t="inlineStr">
        <is>
          <t>2026-08-03</t>
        </is>
      </c>
      <c r="H39" t="n">
        <v>1180</v>
      </c>
      <c r="J39" t="n">
        <v>24774.3</v>
      </c>
    </row>
    <row r="40">
      <c r="G40" s="34" t="inlineStr">
        <is>
          <t>2026-07-31</t>
        </is>
      </c>
      <c r="H40" t="n">
        <v>1130.1</v>
      </c>
      <c r="J40" t="n">
        <v>24383.6</v>
      </c>
    </row>
    <row r="41">
      <c r="G41" s="34" t="inlineStr">
        <is>
          <t>2026-07-30</t>
        </is>
      </c>
      <c r="H41" t="n">
        <v>1155.1</v>
      </c>
      <c r="J41" t="n">
        <v>24317.15</v>
      </c>
    </row>
    <row r="42">
      <c r="G42" s="34" t="inlineStr">
        <is>
          <t>2026-07-29</t>
        </is>
      </c>
      <c r="H42" t="n">
        <v>1155.6</v>
      </c>
      <c r="J42" t="n">
        <v>24250.2</v>
      </c>
    </row>
    <row r="43">
      <c r="G43" s="34" t="inlineStr">
        <is>
          <t>2026-07-28</t>
        </is>
      </c>
      <c r="H43" t="n">
        <v>1105.7</v>
      </c>
      <c r="J43" t="n">
        <v>23985.35</v>
      </c>
    </row>
    <row r="44">
      <c r="G44" s="34" t="inlineStr">
        <is>
          <t>2026-07-27</t>
        </is>
      </c>
      <c r="H44" t="n">
        <v>1079.2</v>
      </c>
      <c r="J44" t="n">
        <v>23995.95</v>
      </c>
    </row>
    <row r="45">
      <c r="G45" s="34" t="inlineStr">
        <is>
          <t>2026-07-24</t>
        </is>
      </c>
      <c r="H45" t="n">
        <v>1040.9</v>
      </c>
      <c r="J45" t="n">
        <v>23767.45</v>
      </c>
    </row>
    <row r="46">
      <c r="G46" s="34" t="inlineStr">
        <is>
          <t>2026-07-23</t>
        </is>
      </c>
      <c r="H46" t="n">
        <v>1047.4</v>
      </c>
      <c r="J46" t="n">
        <v>23869.6</v>
      </c>
    </row>
    <row r="47">
      <c r="G47" s="34" t="inlineStr">
        <is>
          <t>2026-07-22</t>
        </is>
      </c>
      <c r="H47" t="n">
        <v>1052.1</v>
      </c>
      <c r="J47" t="n">
        <v>23996.25</v>
      </c>
    </row>
    <row r="48">
      <c r="G48" s="34" t="inlineStr">
        <is>
          <t>2026-07-21</t>
        </is>
      </c>
      <c r="H48" t="n">
        <v>1073.5</v>
      </c>
      <c r="J48" t="n">
        <v>24187.7</v>
      </c>
    </row>
    <row r="49">
      <c r="G49" s="34" t="inlineStr">
        <is>
          <t>2026-07-20</t>
        </is>
      </c>
      <c r="H49" t="n">
        <v>1087.1</v>
      </c>
      <c r="J49" t="n">
        <v>24238.5</v>
      </c>
    </row>
    <row r="50">
      <c r="G50" s="34" t="inlineStr">
        <is>
          <t>2026-07-17</t>
        </is>
      </c>
      <c r="H50" t="n">
        <v>1096.5</v>
      </c>
      <c r="J50" t="n">
        <v>24334.3</v>
      </c>
    </row>
    <row r="51">
      <c r="G51" s="34" t="inlineStr">
        <is>
          <t>2026-07-16</t>
        </is>
      </c>
      <c r="H51" t="n">
        <v>1082.4</v>
      </c>
      <c r="J51" t="n">
        <v>24072.75</v>
      </c>
    </row>
    <row r="52">
      <c r="G52" s="34" t="inlineStr">
        <is>
          <t>2026-07-15</t>
        </is>
      </c>
      <c r="H52" t="n">
        <v>1076.3</v>
      </c>
      <c r="J52" t="n">
        <v>24078.5</v>
      </c>
    </row>
    <row r="53">
      <c r="G53" s="34" t="inlineStr">
        <is>
          <t>2026-07-14</t>
        </is>
      </c>
      <c r="H53" t="n">
        <v>1092.9</v>
      </c>
      <c r="J53" t="n">
        <v>24052.05</v>
      </c>
    </row>
    <row r="54">
      <c r="G54" s="34" t="inlineStr">
        <is>
          <t>2026-07-13</t>
        </is>
      </c>
      <c r="H54" t="n">
        <v>1102.6</v>
      </c>
      <c r="J54" t="n">
        <v>24211</v>
      </c>
    </row>
    <row r="55">
      <c r="G55" s="34" t="inlineStr">
        <is>
          <t>2026-07-10</t>
        </is>
      </c>
      <c r="H55" t="n">
        <v>1068</v>
      </c>
      <c r="J55" t="n">
        <v>24206.9</v>
      </c>
    </row>
    <row r="56">
      <c r="G56" s="34" t="inlineStr">
        <is>
          <t>2026-07-09</t>
        </is>
      </c>
      <c r="H56" t="n">
        <v>1050.8</v>
      </c>
      <c r="J56" t="n">
        <v>23962.8</v>
      </c>
    </row>
    <row r="57">
      <c r="G57" s="34" t="inlineStr">
        <is>
          <t>2026-07-08</t>
        </is>
      </c>
      <c r="H57" t="n">
        <v>1069.3</v>
      </c>
      <c r="J57" t="n">
        <v>23882.05</v>
      </c>
    </row>
    <row r="58">
      <c r="G58" s="34" t="inlineStr">
        <is>
          <t>2026-07-07</t>
        </is>
      </c>
      <c r="H58" t="n">
        <v>1071.8</v>
      </c>
      <c r="J58" t="n">
        <v>24398.7</v>
      </c>
    </row>
    <row r="59">
      <c r="G59" s="34" t="inlineStr">
        <is>
          <t>2026-07-06</t>
        </is>
      </c>
      <c r="H59" t="n">
        <v>1042.2</v>
      </c>
      <c r="J59" t="n">
        <v>24430.35</v>
      </c>
    </row>
    <row r="60">
      <c r="G60" s="34" t="inlineStr">
        <is>
          <t>2026-07-03</t>
        </is>
      </c>
      <c r="H60" t="n">
        <v>1047.2</v>
      </c>
      <c r="J60" t="n">
        <v>24270.85</v>
      </c>
    </row>
    <row r="61">
      <c r="G61" s="34" t="inlineStr">
        <is>
          <t>2026-07-02</t>
        </is>
      </c>
      <c r="H61" t="n">
        <v>1040.9</v>
      </c>
      <c r="J61" t="n">
        <v>24175.7</v>
      </c>
    </row>
    <row r="62">
      <c r="G62" s="34" t="inlineStr">
        <is>
          <t>2026-07-01</t>
        </is>
      </c>
      <c r="H62" t="n">
        <v>985.3</v>
      </c>
      <c r="J62" t="n">
        <v>24005.85</v>
      </c>
    </row>
    <row r="63">
      <c r="G63" s="34" t="inlineStr">
        <is>
          <t>2026-06-30</t>
        </is>
      </c>
      <c r="H63" t="n">
        <v>1000.4</v>
      </c>
      <c r="J63" t="n">
        <v>23865.75</v>
      </c>
    </row>
    <row r="64">
      <c r="G64" s="34" t="inlineStr">
        <is>
          <t>2026-06-29</t>
        </is>
      </c>
      <c r="H64" t="n">
        <v>1036.7</v>
      </c>
      <c r="J64" t="n">
        <v>23946.25</v>
      </c>
    </row>
    <row r="65">
      <c r="G65" s="34" t="inlineStr">
        <is>
          <t>2026-06-25</t>
        </is>
      </c>
      <c r="H65" t="n">
        <v>1041.2</v>
      </c>
      <c r="J65" t="n">
        <v>24056</v>
      </c>
    </row>
    <row r="66">
      <c r="G66" s="34" t="inlineStr">
        <is>
          <t>2026-06-24</t>
        </is>
      </c>
      <c r="H66" t="n">
        <v>1056.6</v>
      </c>
      <c r="J66" t="n">
        <v>24021.65</v>
      </c>
    </row>
    <row r="67">
      <c r="G67" s="34" t="inlineStr">
        <is>
          <t>2026-06-23</t>
        </is>
      </c>
      <c r="H67" t="n">
        <v>1029.3</v>
      </c>
      <c r="J67" t="n">
        <v>23824.1</v>
      </c>
    </row>
    <row r="68">
      <c r="G68" s="34" t="inlineStr">
        <is>
          <t>2026-06-22</t>
        </is>
      </c>
      <c r="H68" t="n">
        <v>1065.4</v>
      </c>
      <c r="J68" t="n">
        <v>24102.9</v>
      </c>
    </row>
    <row r="69">
      <c r="G69" s="34" t="inlineStr">
        <is>
          <t>2026-06-19</t>
        </is>
      </c>
      <c r="H69" t="n">
        <v>1051.4</v>
      </c>
      <c r="J69" t="n">
        <v>24013.1</v>
      </c>
    </row>
    <row r="70">
      <c r="G70" s="34" t="inlineStr">
        <is>
          <t>2026-06-18</t>
        </is>
      </c>
      <c r="H70" t="n">
        <v>1127.5</v>
      </c>
      <c r="J70" t="n">
        <v>24168</v>
      </c>
    </row>
    <row r="71">
      <c r="G71" s="34" t="inlineStr">
        <is>
          <t>2026-06-17</t>
        </is>
      </c>
      <c r="H71" t="n">
        <v>1157.7</v>
      </c>
      <c r="J71" t="n">
        <v>24085.7</v>
      </c>
    </row>
    <row r="72">
      <c r="G72" s="34" t="inlineStr">
        <is>
          <t>2026-06-16</t>
        </is>
      </c>
      <c r="H72" t="n">
        <v>1143.6</v>
      </c>
      <c r="J72" t="n">
        <v>23989.15</v>
      </c>
    </row>
    <row r="73">
      <c r="G73" s="34" t="inlineStr">
        <is>
          <t>2026-06-15</t>
        </is>
      </c>
      <c r="H73" t="n">
        <v>1134.9</v>
      </c>
      <c r="J73" t="n">
        <v>23853.9</v>
      </c>
    </row>
    <row r="74">
      <c r="G74" s="34" t="inlineStr">
        <is>
          <t>2026-06-12</t>
        </is>
      </c>
      <c r="H74" t="n">
        <v>1116.4</v>
      </c>
      <c r="J74" t="n">
        <v>23622.9</v>
      </c>
    </row>
    <row r="75">
      <c r="G75" s="34" t="inlineStr">
        <is>
          <t>2026-06-11</t>
        </is>
      </c>
      <c r="H75" t="n">
        <v>1114.6</v>
      </c>
      <c r="J75" t="n">
        <v>23161.6</v>
      </c>
    </row>
    <row r="76">
      <c r="G76" s="34" t="inlineStr">
        <is>
          <t>2026-06-10</t>
        </is>
      </c>
      <c r="H76" t="n">
        <v>1145.3</v>
      </c>
      <c r="J76" t="n">
        <v>23214.95</v>
      </c>
    </row>
    <row r="77">
      <c r="G77" s="34" t="inlineStr">
        <is>
          <t>2026-06-09</t>
        </is>
      </c>
      <c r="H77" t="n">
        <v>1180.3</v>
      </c>
      <c r="J77" t="n">
        <v>23242.1</v>
      </c>
    </row>
    <row r="78">
      <c r="G78" s="34" t="inlineStr">
        <is>
          <t>2026-06-08</t>
        </is>
      </c>
      <c r="H78" t="n">
        <v>1187.6</v>
      </c>
      <c r="J78" t="n">
        <v>23123</v>
      </c>
    </row>
    <row r="79">
      <c r="G79" s="34" t="inlineStr">
        <is>
          <t>2026-06-05</t>
        </is>
      </c>
      <c r="H79" t="n">
        <v>1197.5</v>
      </c>
      <c r="J79" t="n">
        <v>23366.7</v>
      </c>
    </row>
    <row r="80">
      <c r="G80" s="34" t="inlineStr">
        <is>
          <t>2026-06-04</t>
        </is>
      </c>
      <c r="H80" t="n">
        <v>1201.3</v>
      </c>
      <c r="J80" t="n">
        <v>23416.55</v>
      </c>
    </row>
    <row r="81">
      <c r="G81" s="34" t="inlineStr">
        <is>
          <t>2026-06-03</t>
        </is>
      </c>
      <c r="H81" t="n">
        <v>1222.6</v>
      </c>
      <c r="J81" t="n">
        <v>23405.6</v>
      </c>
    </row>
    <row r="82">
      <c r="G82" s="34" t="inlineStr">
        <is>
          <t>2026-06-02</t>
        </is>
      </c>
      <c r="H82" t="n">
        <v>1270.8</v>
      </c>
      <c r="J82" t="n">
        <v>23483.55</v>
      </c>
    </row>
    <row r="83">
      <c r="G83" s="34" t="inlineStr">
        <is>
          <t>2026-06-01</t>
        </is>
      </c>
      <c r="H83" t="n">
        <v>1202.5</v>
      </c>
      <c r="J83" t="n">
        <v>23382.6</v>
      </c>
    </row>
    <row r="84">
      <c r="G84" s="34" t="inlineStr">
        <is>
          <t>2026-05-29</t>
        </is>
      </c>
      <c r="H84" t="n">
        <v>1160.9</v>
      </c>
      <c r="J84" t="n">
        <v>23547.75</v>
      </c>
    </row>
    <row r="85">
      <c r="G85" s="34" t="inlineStr">
        <is>
          <t>2026-05-27</t>
        </is>
      </c>
      <c r="H85" t="n">
        <v>1159.9</v>
      </c>
      <c r="J85" t="n">
        <v>23907.15</v>
      </c>
    </row>
    <row r="86">
      <c r="G86" s="34" t="inlineStr">
        <is>
          <t>2026-05-26</t>
        </is>
      </c>
      <c r="H86" t="n">
        <v>1167.7</v>
      </c>
      <c r="J86" t="n">
        <v>23913.7</v>
      </c>
    </row>
    <row r="87">
      <c r="G87" s="34" t="inlineStr">
        <is>
          <t>2026-05-25</t>
        </is>
      </c>
      <c r="H87" t="n">
        <v>1168.5</v>
      </c>
      <c r="J87" t="n">
        <v>24031.7</v>
      </c>
    </row>
    <row r="88">
      <c r="G88" s="34" t="inlineStr">
        <is>
          <t>2026-05-22</t>
        </is>
      </c>
      <c r="H88" t="n">
        <v>1174.5</v>
      </c>
      <c r="J88" t="n">
        <v>23719.3</v>
      </c>
    </row>
    <row r="89">
      <c r="G89" s="34" t="inlineStr">
        <is>
          <t>2026-05-21</t>
        </is>
      </c>
      <c r="H89" t="n">
        <v>1181.2</v>
      </c>
      <c r="J89" t="n">
        <v>23654.7</v>
      </c>
    </row>
    <row r="90">
      <c r="G90" s="34" t="inlineStr">
        <is>
          <t>2026-05-20</t>
        </is>
      </c>
      <c r="H90" t="n">
        <v>1193.7</v>
      </c>
      <c r="J90" t="n">
        <v>23659</v>
      </c>
    </row>
    <row r="91">
      <c r="G91" s="34" t="inlineStr">
        <is>
          <t>2026-05-19</t>
        </is>
      </c>
      <c r="H91" t="n">
        <v>1196.9</v>
      </c>
      <c r="J91" t="n">
        <v>23618</v>
      </c>
    </row>
    <row r="92">
      <c r="G92" s="34" t="inlineStr">
        <is>
          <t>2026-05-18</t>
        </is>
      </c>
      <c r="H92" t="n">
        <v>1142.5</v>
      </c>
      <c r="J92" t="n">
        <v>23649.95</v>
      </c>
    </row>
    <row r="93">
      <c r="G93" s="34" t="inlineStr">
        <is>
          <t>2026-05-15</t>
        </is>
      </c>
      <c r="H93" t="n">
        <v>1119</v>
      </c>
      <c r="J93" t="n">
        <v>23643.5</v>
      </c>
    </row>
    <row r="94">
      <c r="G94" s="34" t="inlineStr">
        <is>
          <t>2026-05-14</t>
        </is>
      </c>
      <c r="H94" t="n">
        <v>1095</v>
      </c>
      <c r="J94" t="n">
        <v>23689.6</v>
      </c>
    </row>
    <row r="95">
      <c r="G95" s="34" t="inlineStr">
        <is>
          <t>2026-05-13</t>
        </is>
      </c>
      <c r="H95" t="n">
        <v>1123.1</v>
      </c>
      <c r="J95" t="n">
        <v>23412.6</v>
      </c>
    </row>
    <row r="96">
      <c r="G96" s="34" t="inlineStr">
        <is>
          <t>2026-05-12</t>
        </is>
      </c>
      <c r="H96" t="n">
        <v>1140.3</v>
      </c>
      <c r="J96" t="n">
        <v>23379.55</v>
      </c>
    </row>
    <row r="97">
      <c r="G97" s="34" t="inlineStr">
        <is>
          <t>2026-05-11</t>
        </is>
      </c>
      <c r="H97" t="n">
        <v>1177</v>
      </c>
      <c r="J97" t="n">
        <v>23815.85</v>
      </c>
    </row>
    <row r="98">
      <c r="G98" s="34" t="inlineStr">
        <is>
          <t>2026-05-08</t>
        </is>
      </c>
      <c r="H98" t="n">
        <v>1179.2</v>
      </c>
      <c r="J98" t="n">
        <v>24176.15</v>
      </c>
    </row>
    <row r="99">
      <c r="G99" s="34" t="inlineStr">
        <is>
          <t>2026-05-07</t>
        </is>
      </c>
      <c r="H99" t="n">
        <v>1162.7</v>
      </c>
      <c r="J99" t="n">
        <v>24326.65</v>
      </c>
    </row>
    <row r="100">
      <c r="G100" s="34" t="inlineStr">
        <is>
          <t>2026-05-06</t>
        </is>
      </c>
      <c r="H100" t="n">
        <v>1167.2</v>
      </c>
      <c r="J100" t="n">
        <v>24330.95</v>
      </c>
    </row>
    <row r="101">
      <c r="G101" s="34" t="inlineStr">
        <is>
          <t>2026-05-05</t>
        </is>
      </c>
      <c r="H101" t="n">
        <v>1178.1</v>
      </c>
      <c r="J101" t="n">
        <v>24032.8</v>
      </c>
    </row>
    <row r="102">
      <c r="G102" s="34" t="inlineStr">
        <is>
          <t>2026-05-04</t>
        </is>
      </c>
      <c r="H102" t="n">
        <v>1168.4</v>
      </c>
      <c r="J102" t="n">
        <v>24119.3</v>
      </c>
    </row>
    <row r="103">
      <c r="G103" s="34" t="inlineStr">
        <is>
          <t>2026-04-30</t>
        </is>
      </c>
      <c r="H103" t="n">
        <v>1181.8</v>
      </c>
      <c r="J103" t="n">
        <v>23997.55</v>
      </c>
    </row>
    <row r="104">
      <c r="G104" s="34" t="inlineStr">
        <is>
          <t>2026-04-29</t>
        </is>
      </c>
      <c r="H104" t="n">
        <v>1167.5</v>
      </c>
      <c r="J104" t="n">
        <v>24177.65</v>
      </c>
    </row>
    <row r="105">
      <c r="G105" s="34" t="inlineStr">
        <is>
          <t>2026-04-28</t>
        </is>
      </c>
      <c r="H105" t="n">
        <v>1152.1</v>
      </c>
      <c r="J105" t="n">
        <v>23995.7</v>
      </c>
    </row>
    <row r="106">
      <c r="G106" s="34" t="inlineStr">
        <is>
          <t>2026-04-27</t>
        </is>
      </c>
      <c r="H106" t="n">
        <v>1170.3</v>
      </c>
      <c r="J106" t="n">
        <v>24092.7</v>
      </c>
    </row>
    <row r="107">
      <c r="G107" s="34" t="inlineStr">
        <is>
          <t>2026-04-24</t>
        </is>
      </c>
      <c r="H107" t="n">
        <v>1154.6</v>
      </c>
      <c r="J107" t="n">
        <v>23897.95</v>
      </c>
    </row>
    <row r="108">
      <c r="G108" s="34" t="inlineStr">
        <is>
          <t>2026-04-23</t>
        </is>
      </c>
      <c r="H108" t="n">
        <v>1240.6</v>
      </c>
      <c r="J108" t="n">
        <v>24173.05</v>
      </c>
    </row>
    <row r="109">
      <c r="G109" s="34" t="inlineStr">
        <is>
          <t>2026-04-22</t>
        </is>
      </c>
      <c r="H109" t="n">
        <v>1268.6</v>
      </c>
      <c r="J109" t="n">
        <v>24378.1</v>
      </c>
    </row>
    <row r="110">
      <c r="G110" s="34" t="inlineStr">
        <is>
          <t>2026-04-21</t>
        </is>
      </c>
      <c r="H110" t="n">
        <v>1313.2</v>
      </c>
      <c r="J110" t="n">
        <v>24576.6</v>
      </c>
    </row>
    <row r="111">
      <c r="G111" s="34" t="inlineStr">
        <is>
          <t>2026-04-20</t>
        </is>
      </c>
      <c r="H111" t="n">
        <v>1312.6</v>
      </c>
      <c r="J111" t="n">
        <v>24364.85</v>
      </c>
    </row>
    <row r="112">
      <c r="G112" s="34" t="inlineStr">
        <is>
          <t>2026-04-17</t>
        </is>
      </c>
      <c r="H112" t="n">
        <v>1318.7</v>
      </c>
      <c r="J112" t="n">
        <v>24353.55</v>
      </c>
    </row>
    <row r="113">
      <c r="G113" s="34" t="inlineStr">
        <is>
          <t>2026-04-16</t>
        </is>
      </c>
      <c r="H113" t="n">
        <v>1319.2</v>
      </c>
      <c r="J113" t="n">
        <v>24196.75</v>
      </c>
    </row>
    <row r="114">
      <c r="G114" s="34" t="inlineStr">
        <is>
          <t>2026-04-15</t>
        </is>
      </c>
      <c r="H114" t="n">
        <v>1305.3</v>
      </c>
      <c r="J114" t="n">
        <v>24231.3</v>
      </c>
    </row>
    <row r="115">
      <c r="G115" s="34" t="inlineStr">
        <is>
          <t>2026-04-13</t>
        </is>
      </c>
      <c r="H115" t="n">
        <v>1276.8</v>
      </c>
      <c r="J115" t="n">
        <v>23842.65</v>
      </c>
    </row>
    <row r="116">
      <c r="G116" s="34" t="inlineStr">
        <is>
          <t>2026-04-10</t>
        </is>
      </c>
      <c r="H116" t="n">
        <v>1292.5</v>
      </c>
      <c r="J116" t="n">
        <v>24050.6</v>
      </c>
    </row>
    <row r="117">
      <c r="G117" s="34" t="inlineStr">
        <is>
          <t>2026-04-09</t>
        </is>
      </c>
      <c r="H117" t="n">
        <v>1331.6</v>
      </c>
      <c r="J117" t="n">
        <v>23775.1</v>
      </c>
    </row>
    <row r="118">
      <c r="G118" s="34" t="inlineStr">
        <is>
          <t>2026-04-08</t>
        </is>
      </c>
      <c r="H118" t="n">
        <v>1346.2</v>
      </c>
      <c r="J118" t="n">
        <v>23997.35</v>
      </c>
    </row>
    <row r="119">
      <c r="G119" s="34" t="inlineStr">
        <is>
          <t>2026-04-07</t>
        </is>
      </c>
      <c r="H119" t="n">
        <v>1339.4</v>
      </c>
      <c r="J119" t="n">
        <v>23123.65</v>
      </c>
    </row>
    <row r="120">
      <c r="G120" s="34" t="inlineStr">
        <is>
          <t>2026-04-06</t>
        </is>
      </c>
      <c r="H120" t="n">
        <v>1306.2</v>
      </c>
      <c r="J120" t="n">
        <v>22968.25</v>
      </c>
    </row>
    <row r="121">
      <c r="G121" s="34" t="inlineStr">
        <is>
          <t>2026-04-02</t>
        </is>
      </c>
      <c r="H121" t="n">
        <v>1300.8</v>
      </c>
      <c r="J121" t="n">
        <v>22713.1</v>
      </c>
    </row>
    <row r="122">
      <c r="G122" s="34" t="inlineStr">
        <is>
          <t>2026-04-01</t>
        </is>
      </c>
      <c r="H122" t="n">
        <v>1275.7</v>
      </c>
      <c r="J122" t="n">
        <v>22679.4</v>
      </c>
    </row>
    <row r="123">
      <c r="G123" s="34" t="inlineStr">
        <is>
          <t>2026-03-30</t>
        </is>
      </c>
      <c r="H123" t="n">
        <v>1250.6</v>
      </c>
      <c r="J123" t="n">
        <v>22331.4</v>
      </c>
    </row>
    <row r="124">
      <c r="G124" s="34" t="inlineStr">
        <is>
          <t>2026-03-27</t>
        </is>
      </c>
      <c r="H124" t="n">
        <v>1269.7</v>
      </c>
      <c r="J124" t="n">
        <v>22819.6</v>
      </c>
    </row>
    <row r="125">
      <c r="G125" s="34" t="inlineStr">
        <is>
          <t>2026-03-25</t>
        </is>
      </c>
      <c r="H125" t="n">
        <v>1279.1</v>
      </c>
      <c r="J125" t="n">
        <v>23306.45</v>
      </c>
    </row>
    <row r="126">
      <c r="G126" s="34" t="inlineStr">
        <is>
          <t>2026-03-24</t>
        </is>
      </c>
      <c r="H126" t="n">
        <v>1278.3</v>
      </c>
      <c r="J126" t="n">
        <v>22912.4</v>
      </c>
    </row>
    <row r="127">
      <c r="G127" s="34" t="inlineStr">
        <is>
          <t>2026-03-23</t>
        </is>
      </c>
      <c r="H127" t="n">
        <v>1256.8</v>
      </c>
      <c r="J127" t="n">
        <v>22512.65</v>
      </c>
    </row>
    <row r="128">
      <c r="G128" s="34" t="inlineStr">
        <is>
          <t>2026-03-20</t>
        </is>
      </c>
      <c r="H128" t="n">
        <v>1255.9</v>
      </c>
      <c r="J128" t="n">
        <v>23114.5</v>
      </c>
    </row>
    <row r="129">
      <c r="G129" s="34" t="inlineStr">
        <is>
          <t>2026-03-19</t>
        </is>
      </c>
      <c r="H129" t="n">
        <v>1220.8</v>
      </c>
      <c r="J129" t="n">
        <v>23002.15</v>
      </c>
    </row>
    <row r="130">
      <c r="G130" s="34" t="inlineStr">
        <is>
          <t>2026-03-18</t>
        </is>
      </c>
      <c r="H130" t="n">
        <v>1267.1</v>
      </c>
      <c r="J130" t="n">
        <v>23777.8</v>
      </c>
    </row>
    <row r="131">
      <c r="G131" s="34" t="inlineStr">
        <is>
          <t>2026-03-17</t>
        </is>
      </c>
      <c r="H131" t="n">
        <v>1232.9</v>
      </c>
      <c r="J131" t="n">
        <v>23581.15</v>
      </c>
    </row>
    <row r="132">
      <c r="G132" s="34" t="inlineStr">
        <is>
          <t>2026-03-16</t>
        </is>
      </c>
      <c r="H132" t="n">
        <v>1249.8</v>
      </c>
      <c r="J132" t="n">
        <v>23408.8</v>
      </c>
    </row>
    <row r="133">
      <c r="G133" s="34" t="inlineStr">
        <is>
          <t>2026-03-13</t>
        </is>
      </c>
      <c r="H133" t="n">
        <v>1248.3</v>
      </c>
      <c r="J133" t="n">
        <v>23151.1</v>
      </c>
    </row>
    <row r="134">
      <c r="G134" s="34" t="inlineStr">
        <is>
          <t>2026-03-12</t>
        </is>
      </c>
      <c r="H134" t="n">
        <v>1265.8</v>
      </c>
      <c r="J134" t="n">
        <v>23639.15</v>
      </c>
    </row>
    <row r="135">
      <c r="G135" s="34" t="inlineStr">
        <is>
          <t>2026-03-11</t>
        </is>
      </c>
      <c r="H135" t="n">
        <v>1276.3</v>
      </c>
      <c r="J135" t="n">
        <v>23866.85</v>
      </c>
    </row>
    <row r="136">
      <c r="G136" s="34" t="inlineStr">
        <is>
          <t>2026-03-10</t>
        </is>
      </c>
      <c r="H136" t="n">
        <v>1295.6</v>
      </c>
      <c r="J136" t="n">
        <v>24261.6</v>
      </c>
    </row>
    <row r="137">
      <c r="G137" s="34" t="inlineStr">
        <is>
          <t>2026-03-09</t>
        </is>
      </c>
      <c r="H137" t="n">
        <v>1315</v>
      </c>
      <c r="J137" t="n">
        <v>24028.05</v>
      </c>
    </row>
    <row r="138">
      <c r="G138" s="34" t="inlineStr">
        <is>
          <t>2026-03-06</t>
        </is>
      </c>
      <c r="H138" t="n">
        <v>1308.4</v>
      </c>
      <c r="J138" t="n">
        <v>24450.45</v>
      </c>
    </row>
    <row r="139">
      <c r="G139" s="34" t="inlineStr">
        <is>
          <t>2026-03-05</t>
        </is>
      </c>
      <c r="H139" t="n">
        <v>1305.8</v>
      </c>
      <c r="J139" t="n">
        <v>24765.9</v>
      </c>
    </row>
    <row r="140">
      <c r="G140" s="34" t="inlineStr">
        <is>
          <t>2026-03-04</t>
        </is>
      </c>
      <c r="H140" t="n">
        <v>1307.4</v>
      </c>
      <c r="J140" t="n">
        <v>24480.5</v>
      </c>
    </row>
    <row r="141">
      <c r="G141" s="34" t="inlineStr">
        <is>
          <t>2026-03-02</t>
        </is>
      </c>
      <c r="H141" t="n">
        <v>1288.9</v>
      </c>
      <c r="J141" t="n">
        <v>24865.7</v>
      </c>
    </row>
    <row r="142">
      <c r="G142" s="34" t="inlineStr">
        <is>
          <t>2026-02-27</t>
        </is>
      </c>
      <c r="H142" t="n">
        <v>1300.1</v>
      </c>
      <c r="J142" t="n">
        <v>25178.65</v>
      </c>
    </row>
    <row r="143">
      <c r="G143" s="34" t="inlineStr">
        <is>
          <t>2026-02-26</t>
        </is>
      </c>
      <c r="H143" t="n">
        <v>1289.1</v>
      </c>
      <c r="J143" t="n">
        <v>25496.55</v>
      </c>
    </row>
    <row r="144">
      <c r="G144" s="34" t="inlineStr">
        <is>
          <t>2026-02-25</t>
        </is>
      </c>
      <c r="H144" t="n">
        <v>1290.1</v>
      </c>
      <c r="J144" t="n">
        <v>25482.5</v>
      </c>
    </row>
    <row r="145">
      <c r="G145" s="34" t="inlineStr">
        <is>
          <t>2026-02-24</t>
        </is>
      </c>
      <c r="H145" t="n">
        <v>1275.5</v>
      </c>
      <c r="J145" t="n">
        <v>25424.65</v>
      </c>
    </row>
    <row r="146">
      <c r="G146" s="34" t="inlineStr">
        <is>
          <t>2026-02-23</t>
        </is>
      </c>
      <c r="H146" t="n">
        <v>1327.5</v>
      </c>
      <c r="J146" t="n">
        <v>25713</v>
      </c>
    </row>
    <row r="147">
      <c r="G147" s="34" t="inlineStr">
        <is>
          <t>2026-02-20</t>
        </is>
      </c>
      <c r="H147" t="n">
        <v>1353.2</v>
      </c>
      <c r="J147" t="n">
        <v>25571.25</v>
      </c>
    </row>
    <row r="148">
      <c r="G148" s="34" t="inlineStr">
        <is>
          <t>2026-02-19</t>
        </is>
      </c>
      <c r="H148" t="n">
        <v>1370.5</v>
      </c>
      <c r="J148" t="n">
        <v>25454.35</v>
      </c>
    </row>
    <row r="149">
      <c r="G149" s="34" t="inlineStr">
        <is>
          <t>2026-02-18</t>
        </is>
      </c>
      <c r="H149" t="n">
        <v>1373.7</v>
      </c>
      <c r="J149" t="n">
        <v>25819.35</v>
      </c>
    </row>
    <row r="150">
      <c r="G150" s="34" t="inlineStr">
        <is>
          <t>2026-02-17</t>
        </is>
      </c>
      <c r="H150" t="n">
        <v>1391.2</v>
      </c>
      <c r="J150" t="n">
        <v>25725.4</v>
      </c>
    </row>
    <row r="151">
      <c r="G151" s="34" t="inlineStr">
        <is>
          <t>2026-02-16</t>
        </is>
      </c>
      <c r="H151" t="n">
        <v>1365.6</v>
      </c>
      <c r="J151" t="n">
        <v>25682.75</v>
      </c>
    </row>
    <row r="152">
      <c r="G152" s="34" t="inlineStr">
        <is>
          <t>2026-02-13</t>
        </is>
      </c>
      <c r="H152" t="n">
        <v>1369.1</v>
      </c>
      <c r="J152" t="n">
        <v>25471.1</v>
      </c>
    </row>
    <row r="153">
      <c r="G153" s="34" t="inlineStr">
        <is>
          <t>2026-02-12</t>
        </is>
      </c>
      <c r="H153" t="n">
        <v>1386</v>
      </c>
      <c r="J153" t="n">
        <v>25807.2</v>
      </c>
    </row>
    <row r="154">
      <c r="G154" s="34" t="inlineStr">
        <is>
          <t>2026-02-11</t>
        </is>
      </c>
      <c r="H154" t="n">
        <v>1471.9</v>
      </c>
      <c r="J154" t="n">
        <v>25953.85</v>
      </c>
    </row>
    <row r="155">
      <c r="G155" s="34" t="inlineStr">
        <is>
          <t>2026-02-10</t>
        </is>
      </c>
      <c r="H155" t="n">
        <v>1497.8</v>
      </c>
      <c r="J155" t="n">
        <v>25935.15</v>
      </c>
    </row>
    <row r="156">
      <c r="G156" s="34" t="inlineStr">
        <is>
          <t>2026-02-09</t>
        </is>
      </c>
      <c r="H156" t="n">
        <v>1497.2</v>
      </c>
      <c r="J156" t="n">
        <v>25867.3</v>
      </c>
    </row>
    <row r="157">
      <c r="G157" s="34" t="inlineStr">
        <is>
          <t>2026-02-06</t>
        </is>
      </c>
      <c r="H157" t="n">
        <v>1507.1</v>
      </c>
      <c r="J157" t="n">
        <v>25693.7</v>
      </c>
    </row>
    <row r="158">
      <c r="G158" s="34" t="inlineStr">
        <is>
          <t>2026-02-05</t>
        </is>
      </c>
      <c r="H158" t="n">
        <v>1520.2</v>
      </c>
      <c r="J158" t="n">
        <v>25642.8</v>
      </c>
    </row>
    <row r="159">
      <c r="G159" s="34" t="inlineStr">
        <is>
          <t>2026-02-04</t>
        </is>
      </c>
      <c r="H159" t="n">
        <v>1535.8</v>
      </c>
      <c r="J159" t="n">
        <v>25776</v>
      </c>
    </row>
    <row r="160">
      <c r="G160" s="34" t="inlineStr">
        <is>
          <t>2026-02-03</t>
        </is>
      </c>
      <c r="H160" t="n">
        <v>1656</v>
      </c>
      <c r="J160" t="n">
        <v>25727.55</v>
      </c>
    </row>
    <row r="161">
      <c r="G161" s="34" t="inlineStr">
        <is>
          <t>2026-02-02</t>
        </is>
      </c>
      <c r="H161" t="n">
        <v>1629.4</v>
      </c>
      <c r="J161" t="n">
        <v>25088.4</v>
      </c>
    </row>
    <row r="162">
      <c r="G162" s="34" t="inlineStr">
        <is>
          <t>2026-02-01</t>
        </is>
      </c>
      <c r="H162" t="n">
        <v>1654.5</v>
      </c>
      <c r="J162" t="n">
        <v>25320.65</v>
      </c>
    </row>
    <row r="163">
      <c r="G163" s="34" t="inlineStr">
        <is>
          <t>2026-01-30</t>
        </is>
      </c>
      <c r="H163" t="n">
        <v>1641</v>
      </c>
      <c r="J163" t="n">
        <v>25320.65</v>
      </c>
    </row>
    <row r="164">
      <c r="G164" s="34" t="inlineStr">
        <is>
          <t>2026-01-29</t>
        </is>
      </c>
      <c r="H164" t="n">
        <v>1659.5</v>
      </c>
      <c r="J164" t="n">
        <v>25418.9</v>
      </c>
    </row>
    <row r="165">
      <c r="G165" s="34" t="inlineStr">
        <is>
          <t>2026-01-28</t>
        </is>
      </c>
      <c r="H165" t="n">
        <v>1666.5</v>
      </c>
      <c r="J165" t="n">
        <v>25342.75</v>
      </c>
    </row>
    <row r="166">
      <c r="G166" s="34" t="inlineStr">
        <is>
          <t>2026-01-27</t>
        </is>
      </c>
      <c r="H166" t="n">
        <v>1682.7</v>
      </c>
      <c r="J166" t="n">
        <v>25175.4</v>
      </c>
    </row>
    <row r="167">
      <c r="G167" s="34" t="inlineStr">
        <is>
          <t>2026-01-23</t>
        </is>
      </c>
      <c r="H167" t="n">
        <v>1670.8</v>
      </c>
      <c r="J167" t="n">
        <v>25048.65</v>
      </c>
    </row>
    <row r="168">
      <c r="G168" s="34" t="inlineStr">
        <is>
          <t>2026-01-22</t>
        </is>
      </c>
      <c r="H168" t="n">
        <v>1663.5</v>
      </c>
      <c r="J168" t="n">
        <v>25289.9</v>
      </c>
    </row>
    <row r="169">
      <c r="G169" s="34" t="inlineStr">
        <is>
          <t>2026-01-21</t>
        </is>
      </c>
      <c r="H169" t="n">
        <v>1654.4</v>
      </c>
      <c r="J169" t="n">
        <v>25157.5</v>
      </c>
    </row>
    <row r="170">
      <c r="G170" s="34" t="inlineStr">
        <is>
          <t>2026-01-20</t>
        </is>
      </c>
      <c r="H170" t="n">
        <v>1658.9</v>
      </c>
      <c r="J170" t="n">
        <v>25232.5</v>
      </c>
    </row>
    <row r="171">
      <c r="G171" s="34" t="inlineStr">
        <is>
          <t>2026-01-19</t>
        </is>
      </c>
      <c r="H171" t="n">
        <v>1681.2</v>
      </c>
      <c r="J171" t="n">
        <v>25585.5</v>
      </c>
    </row>
    <row r="172">
      <c r="G172" s="34" t="inlineStr">
        <is>
          <t>2026-01-16</t>
        </is>
      </c>
      <c r="H172" t="n">
        <v>1689.8</v>
      </c>
      <c r="J172" t="n">
        <v>25694.35</v>
      </c>
    </row>
    <row r="173">
      <c r="G173" s="34" t="inlineStr">
        <is>
          <t>2026-01-14</t>
        </is>
      </c>
      <c r="H173" t="n">
        <v>1599.8</v>
      </c>
      <c r="J173" t="n">
        <v>25665.6</v>
      </c>
    </row>
    <row r="174">
      <c r="G174" s="34" t="inlineStr">
        <is>
          <t>2026-01-13</t>
        </is>
      </c>
      <c r="H174" t="n">
        <v>1599</v>
      </c>
      <c r="J174" t="n">
        <v>25732.3</v>
      </c>
    </row>
    <row r="175">
      <c r="G175" s="34" t="inlineStr">
        <is>
          <t>2026-01-12</t>
        </is>
      </c>
      <c r="H175" t="n">
        <v>1595.9</v>
      </c>
      <c r="J175" t="n">
        <v>25790.25</v>
      </c>
    </row>
    <row r="176">
      <c r="G176" s="34" t="inlineStr">
        <is>
          <t>2026-01-09</t>
        </is>
      </c>
      <c r="H176" t="n">
        <v>1614.1</v>
      </c>
      <c r="J176" t="n">
        <v>25683.3</v>
      </c>
    </row>
    <row r="177">
      <c r="G177" s="34" t="inlineStr">
        <is>
          <t>2026-01-08</t>
        </is>
      </c>
      <c r="H177" t="n">
        <v>1613.3</v>
      </c>
      <c r="J177" t="n">
        <v>25876.85</v>
      </c>
    </row>
    <row r="178">
      <c r="G178" s="34" t="inlineStr">
        <is>
          <t>2026-01-07</t>
        </is>
      </c>
      <c r="H178" t="n">
        <v>1639</v>
      </c>
      <c r="J178" t="n">
        <v>26140.75</v>
      </c>
    </row>
    <row r="179">
      <c r="G179" s="34" t="inlineStr">
        <is>
          <t>2026-01-06</t>
        </is>
      </c>
      <c r="H179" t="n">
        <v>1612.2</v>
      </c>
      <c r="J179" t="n">
        <v>26178.7</v>
      </c>
    </row>
    <row r="180">
      <c r="G180" s="34" t="inlineStr">
        <is>
          <t>2026-01-05</t>
        </is>
      </c>
      <c r="H180" t="n">
        <v>1606.4</v>
      </c>
      <c r="J180" t="n">
        <v>26250.3</v>
      </c>
    </row>
    <row r="181">
      <c r="G181" s="34" t="inlineStr">
        <is>
          <t>2026-01-02</t>
        </is>
      </c>
      <c r="H181" t="n">
        <v>1640.4</v>
      </c>
      <c r="J181" t="n">
        <v>26328.55</v>
      </c>
    </row>
    <row r="182">
      <c r="G182" s="34" t="inlineStr">
        <is>
          <t>2026-01-01</t>
        </is>
      </c>
      <c r="H182" t="n">
        <v>1629.8</v>
      </c>
      <c r="J182" t="n">
        <v>26146.55</v>
      </c>
    </row>
    <row r="183">
      <c r="G183" s="34" t="inlineStr">
        <is>
          <t>2025-12-31</t>
        </is>
      </c>
      <c r="H183" t="n">
        <v>1615.4</v>
      </c>
      <c r="J183" t="n">
        <v>26129.6</v>
      </c>
    </row>
    <row r="184">
      <c r="G184" s="34" t="inlineStr">
        <is>
          <t>2025-12-30</t>
        </is>
      </c>
      <c r="H184" t="n">
        <v>1621.6</v>
      </c>
      <c r="J184" t="n">
        <v>25938.85</v>
      </c>
    </row>
    <row r="185">
      <c r="G185" s="34" t="inlineStr">
        <is>
          <t>2025-12-29</t>
        </is>
      </c>
      <c r="H185" t="n">
        <v>1644.7</v>
      </c>
      <c r="J185" t="n">
        <v>25942.1</v>
      </c>
    </row>
    <row r="186">
      <c r="G186" s="34" t="inlineStr">
        <is>
          <t>2025-12-26</t>
        </is>
      </c>
      <c r="H186" t="n">
        <v>1656.1</v>
      </c>
      <c r="J186" t="n">
        <v>26042.3</v>
      </c>
    </row>
    <row r="187">
      <c r="G187" s="34" t="inlineStr">
        <is>
          <t>2025-12-24</t>
        </is>
      </c>
      <c r="H187" t="n">
        <v>1663.4</v>
      </c>
      <c r="J187" t="n">
        <v>26142.1</v>
      </c>
    </row>
    <row r="188">
      <c r="G188" s="34" t="inlineStr">
        <is>
          <t>2025-12-23</t>
        </is>
      </c>
      <c r="H188" t="n">
        <v>1668.3</v>
      </c>
      <c r="J188" t="n">
        <v>26177.15</v>
      </c>
    </row>
    <row r="189">
      <c r="G189" s="34" t="inlineStr">
        <is>
          <t>2025-12-22</t>
        </is>
      </c>
      <c r="H189" t="n">
        <v>1689.6</v>
      </c>
      <c r="J189" t="n">
        <v>26172.4</v>
      </c>
    </row>
    <row r="190">
      <c r="G190" s="34" t="inlineStr">
        <is>
          <t>2025-12-19</t>
        </is>
      </c>
      <c r="H190" t="n">
        <v>1638.7</v>
      </c>
      <c r="J190" t="n">
        <v>25966.4</v>
      </c>
    </row>
    <row r="191">
      <c r="G191" s="34" t="inlineStr">
        <is>
          <t>2025-12-18</t>
        </is>
      </c>
      <c r="H191" t="n">
        <v>1626.8</v>
      </c>
      <c r="J191" t="n">
        <v>25815.55</v>
      </c>
    </row>
    <row r="192">
      <c r="G192" s="34" t="inlineStr">
        <is>
          <t>2025-12-17</t>
        </is>
      </c>
      <c r="H192" t="n">
        <v>1602</v>
      </c>
      <c r="J192" t="n">
        <v>25818.55</v>
      </c>
    </row>
    <row r="193">
      <c r="G193" s="34" t="inlineStr">
        <is>
          <t>2025-12-16</t>
        </is>
      </c>
      <c r="H193" t="n">
        <v>1592.9</v>
      </c>
      <c r="J193" t="n">
        <v>25860.1</v>
      </c>
    </row>
    <row r="194">
      <c r="G194" s="34" t="inlineStr">
        <is>
          <t>2025-12-15</t>
        </is>
      </c>
      <c r="H194" t="n">
        <v>1606.8</v>
      </c>
      <c r="J194" t="n">
        <v>26027.3</v>
      </c>
    </row>
    <row r="195">
      <c r="G195" s="34" t="inlineStr">
        <is>
          <t>2025-12-12</t>
        </is>
      </c>
      <c r="H195" t="n">
        <v>1598.2</v>
      </c>
      <c r="J195" t="n">
        <v>26046.95</v>
      </c>
    </row>
    <row r="196">
      <c r="G196" s="34" t="inlineStr">
        <is>
          <t>2025-12-11</t>
        </is>
      </c>
      <c r="H196" t="n">
        <v>1598</v>
      </c>
      <c r="J196" t="n">
        <v>25898.55</v>
      </c>
    </row>
    <row r="197">
      <c r="G197" s="34" t="inlineStr">
        <is>
          <t>2025-12-10</t>
        </is>
      </c>
      <c r="H197" t="n">
        <v>1584.8</v>
      </c>
      <c r="J197" t="n">
        <v>25758</v>
      </c>
    </row>
    <row r="198">
      <c r="G198" s="34" t="inlineStr">
        <is>
          <t>2025-12-09</t>
        </is>
      </c>
      <c r="H198" t="n">
        <v>1599</v>
      </c>
      <c r="J198" t="n">
        <v>25839.65</v>
      </c>
    </row>
    <row r="199">
      <c r="G199" s="34" t="inlineStr">
        <is>
          <t>2025-12-08</t>
        </is>
      </c>
      <c r="H199" t="n">
        <v>1610.8</v>
      </c>
      <c r="J199" t="n">
        <v>25960.55</v>
      </c>
    </row>
    <row r="200">
      <c r="G200" s="34" t="inlineStr">
        <is>
          <t>2025-12-05</t>
        </is>
      </c>
      <c r="H200" t="n">
        <v>1616.2</v>
      </c>
      <c r="J200" t="n">
        <v>26186.45</v>
      </c>
    </row>
    <row r="201">
      <c r="G201" s="34" t="inlineStr">
        <is>
          <t>2025-12-04</t>
        </is>
      </c>
      <c r="H201" t="n">
        <v>1597.6</v>
      </c>
      <c r="J201" t="n">
        <v>26033.75</v>
      </c>
    </row>
    <row r="202">
      <c r="G202" s="34" t="inlineStr">
        <is>
          <t>2025-12-03</t>
        </is>
      </c>
      <c r="H202" t="n">
        <v>1578.7</v>
      </c>
      <c r="J202" t="n">
        <v>25986</v>
      </c>
    </row>
    <row r="203">
      <c r="G203" s="34" t="inlineStr">
        <is>
          <t>2025-12-02</t>
        </is>
      </c>
      <c r="H203" t="n">
        <v>1561</v>
      </c>
      <c r="J203" t="n">
        <v>26032.2</v>
      </c>
    </row>
    <row r="204">
      <c r="G204" s="34" t="inlineStr">
        <is>
          <t>2025-12-01</t>
        </is>
      </c>
      <c r="H204" t="n">
        <v>1564</v>
      </c>
      <c r="J204" t="n">
        <v>26175.75</v>
      </c>
    </row>
    <row r="205">
      <c r="G205" s="34" t="inlineStr">
        <is>
          <t>2025-11-28</t>
        </is>
      </c>
      <c r="H205" t="n">
        <v>1560.1</v>
      </c>
      <c r="J205" t="n">
        <v>26202.95</v>
      </c>
    </row>
    <row r="206">
      <c r="G206" s="34" t="inlineStr">
        <is>
          <t>2025-11-27</t>
        </is>
      </c>
      <c r="H206" t="n">
        <v>1566.4</v>
      </c>
      <c r="J206" t="n">
        <v>26215.55</v>
      </c>
    </row>
    <row r="207">
      <c r="G207" s="34" t="inlineStr">
        <is>
          <t>2025-11-26</t>
        </is>
      </c>
      <c r="H207" t="n">
        <v>1557.9</v>
      </c>
      <c r="J207" t="n">
        <v>26205.3</v>
      </c>
    </row>
    <row r="208">
      <c r="G208" s="34" t="inlineStr">
        <is>
          <t>2025-11-25</t>
        </is>
      </c>
      <c r="H208" t="n">
        <v>1530.6</v>
      </c>
      <c r="J208" t="n">
        <v>25884.8</v>
      </c>
    </row>
    <row r="209">
      <c r="G209" s="34" t="inlineStr">
        <is>
          <t>2025-11-24</t>
        </is>
      </c>
      <c r="H209" t="n">
        <v>1548</v>
      </c>
      <c r="J209" t="n">
        <v>25959.5</v>
      </c>
    </row>
    <row r="210">
      <c r="G210" s="34" t="inlineStr">
        <is>
          <t>2025-11-21</t>
        </is>
      </c>
      <c r="H210" t="n">
        <v>1545</v>
      </c>
      <c r="J210" t="n">
        <v>26068.15</v>
      </c>
    </row>
    <row r="211">
      <c r="G211" s="34" t="inlineStr">
        <is>
          <t>2025-11-20</t>
        </is>
      </c>
      <c r="H211" t="n">
        <v>1536.5</v>
      </c>
      <c r="J211" t="n">
        <v>26192.15</v>
      </c>
    </row>
    <row r="212">
      <c r="G212" s="34" t="inlineStr">
        <is>
          <t>2025-11-19</t>
        </is>
      </c>
      <c r="H212" t="n">
        <v>1541.1</v>
      </c>
      <c r="J212" t="n">
        <v>26052.65</v>
      </c>
    </row>
    <row r="213">
      <c r="G213" s="34" t="inlineStr">
        <is>
          <t>2025-11-18</t>
        </is>
      </c>
      <c r="H213" t="n">
        <v>1486.4</v>
      </c>
      <c r="J213" t="n">
        <v>25910.05</v>
      </c>
    </row>
    <row r="214">
      <c r="G214" s="34" t="inlineStr">
        <is>
          <t>2025-11-17</t>
        </is>
      </c>
      <c r="H214" t="n">
        <v>1507.6</v>
      </c>
      <c r="J214" t="n">
        <v>26013.45</v>
      </c>
    </row>
    <row r="215">
      <c r="G215" s="34" t="inlineStr">
        <is>
          <t>2025-11-14</t>
        </is>
      </c>
      <c r="H215" t="n">
        <v>1502.8</v>
      </c>
      <c r="J215" t="n">
        <v>25910.05</v>
      </c>
    </row>
    <row r="216">
      <c r="G216" s="34" t="inlineStr">
        <is>
          <t>2025-11-13</t>
        </is>
      </c>
      <c r="H216" t="n">
        <v>1541.8</v>
      </c>
      <c r="J216" t="n">
        <v>25879.15</v>
      </c>
    </row>
    <row r="217">
      <c r="G217" s="34" t="inlineStr">
        <is>
          <t>2025-11-12</t>
        </is>
      </c>
      <c r="H217" t="n">
        <v>1551.7</v>
      </c>
      <c r="J217" t="n">
        <v>25875.8</v>
      </c>
    </row>
    <row r="218">
      <c r="G218" s="34" t="inlineStr">
        <is>
          <t>2025-11-11</t>
        </is>
      </c>
      <c r="H218" t="n">
        <v>1530.3</v>
      </c>
      <c r="J218" t="n">
        <v>25694.95</v>
      </c>
    </row>
    <row r="219">
      <c r="G219" s="34" t="inlineStr">
        <is>
          <t>2025-11-10</t>
        </is>
      </c>
      <c r="H219" t="n">
        <v>1513.5</v>
      </c>
      <c r="J219" t="n">
        <v>25574.35</v>
      </c>
    </row>
    <row r="220">
      <c r="G220" s="34" t="inlineStr">
        <is>
          <t>2025-11-07</t>
        </is>
      </c>
      <c r="H220" t="n">
        <v>1476.8</v>
      </c>
      <c r="J220" t="n">
        <v>25492.3</v>
      </c>
    </row>
    <row r="221">
      <c r="G221" s="34" t="inlineStr">
        <is>
          <t>2025-11-06</t>
        </is>
      </c>
      <c r="H221" t="n">
        <v>1466.7</v>
      </c>
      <c r="J221" t="n">
        <v>25509.7</v>
      </c>
    </row>
    <row r="222">
      <c r="G222" s="34" t="inlineStr">
        <is>
          <t>2025-11-04</t>
        </is>
      </c>
      <c r="H222" t="n">
        <v>1467.9</v>
      </c>
      <c r="J222" t="n">
        <v>25597.65</v>
      </c>
    </row>
    <row r="223">
      <c r="G223" s="34" t="inlineStr">
        <is>
          <t>2025-11-03</t>
        </is>
      </c>
      <c r="H223" t="n">
        <v>1485.5</v>
      </c>
      <c r="J223" t="n">
        <v>25763.35</v>
      </c>
    </row>
    <row r="224">
      <c r="G224" s="34" t="inlineStr">
        <is>
          <t>2025-10-31</t>
        </is>
      </c>
      <c r="H224" t="n">
        <v>1482.3</v>
      </c>
      <c r="J224" t="n">
        <v>25722.1</v>
      </c>
    </row>
    <row r="225">
      <c r="G225" s="34" t="inlineStr">
        <is>
          <t>2025-10-30</t>
        </is>
      </c>
      <c r="H225" t="n">
        <v>1493.8</v>
      </c>
      <c r="J225" t="n">
        <v>25877.85</v>
      </c>
    </row>
    <row r="226">
      <c r="G226" s="34" t="inlineStr">
        <is>
          <t>2025-10-29</t>
        </is>
      </c>
      <c r="H226" t="n">
        <v>1510.4</v>
      </c>
      <c r="J226" t="n">
        <v>26053.9</v>
      </c>
    </row>
    <row r="227">
      <c r="G227" s="34" t="inlineStr">
        <is>
          <t>2025-10-28</t>
        </is>
      </c>
      <c r="H227" t="n">
        <v>1500.2</v>
      </c>
      <c r="J227" t="n">
        <v>25936.2</v>
      </c>
    </row>
    <row r="228">
      <c r="G228" s="34" t="inlineStr">
        <is>
          <t>2025-10-27</t>
        </is>
      </c>
      <c r="H228" t="n">
        <v>1504.5</v>
      </c>
      <c r="J228" t="n">
        <v>25966.05</v>
      </c>
    </row>
    <row r="229">
      <c r="G229" s="34" t="inlineStr">
        <is>
          <t>2025-10-24</t>
        </is>
      </c>
      <c r="H229" t="n">
        <v>1525.4</v>
      </c>
      <c r="J229" t="n">
        <v>25795.15</v>
      </c>
    </row>
    <row r="230">
      <c r="G230" s="34" t="inlineStr">
        <is>
          <t>2025-10-23</t>
        </is>
      </c>
      <c r="H230" t="n">
        <v>1528.5</v>
      </c>
      <c r="J230" t="n">
        <v>25891.4</v>
      </c>
    </row>
    <row r="231">
      <c r="G231" s="34" t="inlineStr">
        <is>
          <t>2025-10-21</t>
        </is>
      </c>
      <c r="H231" t="n">
        <v>1472.4</v>
      </c>
      <c r="J231" t="n">
        <v>25868.6</v>
      </c>
    </row>
    <row r="232">
      <c r="G232" s="34" t="inlineStr">
        <is>
          <t>2025-10-20</t>
        </is>
      </c>
      <c r="H232" t="n">
        <v>1460.9</v>
      </c>
      <c r="J232" t="n">
        <v>25843.15</v>
      </c>
    </row>
    <row r="233">
      <c r="G233" s="34" t="inlineStr">
        <is>
          <t>2025-10-17</t>
        </is>
      </c>
      <c r="H233" t="n">
        <v>1441.1</v>
      </c>
      <c r="J233" t="n">
        <v>25709.85</v>
      </c>
    </row>
    <row r="234">
      <c r="G234" s="34" t="inlineStr">
        <is>
          <t>2025-10-16</t>
        </is>
      </c>
      <c r="H234" t="n">
        <v>1471.5</v>
      </c>
      <c r="J234" t="n">
        <v>25585.3</v>
      </c>
    </row>
    <row r="235">
      <c r="G235" s="34" t="inlineStr">
        <is>
          <t>2025-10-15</t>
        </is>
      </c>
      <c r="H235" t="n">
        <v>1474.4</v>
      </c>
      <c r="J235" t="n">
        <v>25323.55</v>
      </c>
    </row>
    <row r="236">
      <c r="G236" s="34" t="inlineStr">
        <is>
          <t>2025-10-14</t>
        </is>
      </c>
      <c r="H236" t="n">
        <v>1489.9</v>
      </c>
      <c r="J236" t="n">
        <v>25145.5</v>
      </c>
    </row>
    <row r="237">
      <c r="G237" s="34" t="inlineStr">
        <is>
          <t>2025-10-13</t>
        </is>
      </c>
      <c r="H237" t="n">
        <v>1493.2</v>
      </c>
      <c r="J237" t="n">
        <v>25227.35</v>
      </c>
    </row>
    <row r="238">
      <c r="G238" s="34" t="inlineStr">
        <is>
          <t>2025-10-10</t>
        </is>
      </c>
      <c r="H238" t="n">
        <v>1514.9</v>
      </c>
      <c r="J238" t="n">
        <v>25285.35</v>
      </c>
    </row>
    <row r="239">
      <c r="G239" s="34" t="inlineStr">
        <is>
          <t>2025-10-09</t>
        </is>
      </c>
      <c r="H239" t="n">
        <v>1509.3</v>
      </c>
      <c r="J239" t="n">
        <v>25181.8</v>
      </c>
    </row>
    <row r="240">
      <c r="G240" s="34" t="inlineStr">
        <is>
          <t>2025-10-08</t>
        </is>
      </c>
      <c r="H240" t="n">
        <v>1495</v>
      </c>
      <c r="J240" t="n">
        <v>25046.15</v>
      </c>
    </row>
    <row r="241">
      <c r="G241" s="34" t="inlineStr">
        <is>
          <t>2025-10-07</t>
        </is>
      </c>
      <c r="H241" t="n">
        <v>1458.5</v>
      </c>
      <c r="J241" t="n">
        <v>25108.3</v>
      </c>
    </row>
    <row r="242">
      <c r="G242" s="34" t="inlineStr">
        <is>
          <t>2025-10-06</t>
        </is>
      </c>
      <c r="H242" t="n">
        <v>1476</v>
      </c>
      <c r="J242" t="n">
        <v>25077.65</v>
      </c>
    </row>
    <row r="243">
      <c r="G243" s="34" t="inlineStr">
        <is>
          <t>2025-10-03</t>
        </is>
      </c>
      <c r="H243" t="n">
        <v>1446.6</v>
      </c>
      <c r="J243" t="n">
        <v>24894.25</v>
      </c>
    </row>
    <row r="244">
      <c r="G244" s="34" t="inlineStr">
        <is>
          <t>2025-10-01</t>
        </is>
      </c>
      <c r="H244" t="n">
        <v>1445.8</v>
      </c>
      <c r="J244" t="n">
        <v>24836.3</v>
      </c>
    </row>
    <row r="245">
      <c r="G245" s="34" t="inlineStr">
        <is>
          <t>2025-09-30</t>
        </is>
      </c>
      <c r="H245" t="n">
        <v>1441.8</v>
      </c>
      <c r="J245" t="n">
        <v>24611.1</v>
      </c>
    </row>
    <row r="246">
      <c r="G246" s="34" t="inlineStr">
        <is>
          <t>2025-09-29</t>
        </is>
      </c>
      <c r="H246" t="n">
        <v>1441.8</v>
      </c>
      <c r="J246" t="n">
        <v>24634.9</v>
      </c>
    </row>
    <row r="247">
      <c r="G247" s="34" t="inlineStr">
        <is>
          <t>2025-09-26</t>
        </is>
      </c>
      <c r="H247" t="n">
        <v>1448.9</v>
      </c>
      <c r="J247" t="n">
        <v>24654.7</v>
      </c>
    </row>
    <row r="248">
      <c r="G248" s="34" t="inlineStr">
        <is>
          <t>2025-09-25</t>
        </is>
      </c>
      <c r="H248" t="n">
        <v>1484.8</v>
      </c>
      <c r="J248" t="n">
        <v>24890.85</v>
      </c>
    </row>
    <row r="249">
      <c r="G249" t="inlineStr">
        <is>
          <t>2025-09-24</t>
        </is>
      </c>
      <c r="H249" t="n">
        <v>1494.6</v>
      </c>
      <c r="J249" t="n">
        <v>25056.9</v>
      </c>
    </row>
    <row r="250">
      <c r="G250" t="inlineStr">
        <is>
          <t>2025-09-23</t>
        </is>
      </c>
      <c r="H250" t="n">
        <v>1497.5</v>
      </c>
      <c r="J250" t="n">
        <v>25169.5</v>
      </c>
    </row>
    <row r="251">
      <c r="G251" t="inlineStr">
        <is>
          <t>2025-09-22</t>
        </is>
      </c>
      <c r="H251" t="n">
        <v>1499.5</v>
      </c>
      <c r="J251" t="n">
        <v>25202.35</v>
      </c>
    </row>
    <row r="252">
      <c r="G252" t="inlineStr">
        <is>
          <t>2025-09-19</t>
        </is>
      </c>
      <c r="H252" t="n">
        <v>1540.2</v>
      </c>
      <c r="J252" t="n">
        <v>25327.05</v>
      </c>
    </row>
  </sheetData>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Q39"/>
  <sheetViews>
    <sheetView showGridLines="0" tabSelected="1" topLeftCell="A16" workbookViewId="0">
      <selection activeCell="K19" sqref="K19"/>
    </sheetView>
  </sheetViews>
  <sheetFormatPr baseColWidth="8" defaultRowHeight="14.4"/>
  <cols>
    <col width="1.88671875" customWidth="1" style="109" min="1" max="1"/>
    <col width="17.109375" customWidth="1" style="109" min="2" max="2"/>
    <col width="10.6640625" customWidth="1" style="109" min="3" max="3"/>
    <col width="9.44140625" bestFit="1" customWidth="1" style="109" min="4" max="4"/>
    <col width="11.21875" customWidth="1" style="109" min="5" max="5"/>
    <col width="11.88671875" bestFit="1" customWidth="1" style="109" min="6" max="6"/>
    <col width="9.5546875" bestFit="1" customWidth="1" style="109" min="7" max="7"/>
    <col width="12.109375" customWidth="1" style="109" min="8" max="8"/>
    <col width="10.44140625" bestFit="1" customWidth="1" style="109" min="11" max="13"/>
    <col width="12.109375" customWidth="1" style="109" min="15" max="16"/>
    <col width="12.88671875" bestFit="1" customWidth="1" style="109" min="17" max="17"/>
  </cols>
  <sheetData>
    <row r="1">
      <c r="A1" s="39" t="n"/>
      <c r="B1" s="39" t="n"/>
      <c r="C1" s="39" t="n"/>
      <c r="D1" s="39" t="n"/>
      <c r="E1" s="39" t="n"/>
      <c r="F1" s="39" t="n"/>
      <c r="G1" s="39" t="n"/>
      <c r="H1" s="39" t="n"/>
      <c r="I1" s="39" t="n"/>
      <c r="J1" s="39" t="n"/>
      <c r="K1" s="39" t="n"/>
      <c r="L1" s="39" t="n"/>
      <c r="M1" s="39" t="n"/>
      <c r="N1" s="39" t="n"/>
      <c r="O1" s="39" t="n"/>
      <c r="P1" s="39" t="n"/>
      <c r="Q1" s="39" t="n"/>
    </row>
    <row r="2">
      <c r="A2" s="39" t="n"/>
      <c r="B2" s="39" t="n"/>
      <c r="C2" s="39" t="n"/>
      <c r="D2" s="39" t="n"/>
      <c r="E2" s="39" t="n"/>
      <c r="F2" s="39" t="n"/>
      <c r="G2" s="39" t="n"/>
      <c r="H2" s="39" t="n"/>
      <c r="I2" s="39" t="n"/>
      <c r="J2" s="39" t="n"/>
      <c r="K2" s="39" t="n"/>
      <c r="L2" s="39" t="n"/>
      <c r="M2" s="39" t="n"/>
      <c r="N2" s="39" t="n"/>
      <c r="O2" s="39" t="n"/>
      <c r="P2" s="39" t="n"/>
      <c r="Q2" s="39" t="n"/>
    </row>
    <row r="3">
      <c r="A3" s="39" t="n"/>
      <c r="B3" s="39" t="n"/>
      <c r="C3" s="39" t="n"/>
      <c r="D3" s="39" t="n"/>
      <c r="E3" s="39" t="n"/>
      <c r="F3" s="39" t="n"/>
      <c r="G3" s="39" t="n"/>
      <c r="H3" s="39" t="n"/>
      <c r="I3" s="39" t="n"/>
      <c r="J3" s="39" t="n"/>
      <c r="K3" s="39" t="n"/>
      <c r="L3" s="39" t="n"/>
      <c r="M3" s="39" t="n"/>
      <c r="N3" s="39" t="n"/>
      <c r="O3" s="39" t="n"/>
      <c r="P3" s="39" t="n"/>
      <c r="Q3" s="39" t="n"/>
    </row>
    <row r="4">
      <c r="A4" s="39" t="n"/>
      <c r="B4" s="39" t="n"/>
      <c r="C4" s="39" t="n"/>
      <c r="D4" s="39" t="n"/>
      <c r="E4" s="39" t="n"/>
      <c r="F4" s="39" t="n"/>
      <c r="G4" s="39" t="n"/>
      <c r="H4" s="39" t="n"/>
      <c r="I4" s="39" t="n"/>
      <c r="J4" s="39" t="n"/>
      <c r="K4" s="39" t="n"/>
      <c r="L4" s="39" t="n"/>
      <c r="M4" s="39" t="n"/>
      <c r="N4" s="39" t="n"/>
      <c r="O4" s="39" t="n"/>
      <c r="P4" s="39" t="n"/>
      <c r="Q4" s="39" t="n"/>
    </row>
    <row r="6">
      <c r="B6" s="149" t="inlineStr">
        <is>
          <t>Amount in crores</t>
        </is>
      </c>
    </row>
    <row r="7">
      <c r="B7" s="148" t="inlineStr">
        <is>
          <t>Company Comparable Valuation</t>
        </is>
      </c>
      <c r="C7" s="58" t="n"/>
    </row>
    <row r="8" ht="7.2" customHeight="1" s="109"/>
    <row r="9">
      <c r="B9" s="84" t="n"/>
      <c r="C9" s="84" t="n"/>
      <c r="D9" s="166" t="inlineStr">
        <is>
          <t>Market Data</t>
        </is>
      </c>
      <c r="E9" s="183" t="n"/>
      <c r="F9" s="183" t="n"/>
      <c r="G9" s="183" t="n"/>
      <c r="H9" s="183" t="n"/>
      <c r="I9" s="183" t="n"/>
      <c r="J9" s="84" t="n"/>
      <c r="K9" s="166" t="inlineStr">
        <is>
          <t>Financials</t>
        </is>
      </c>
      <c r="L9" s="183" t="n"/>
      <c r="M9" s="183" t="n"/>
      <c r="N9" s="84" t="n"/>
      <c r="O9" s="166" t="inlineStr">
        <is>
          <t>Valuation</t>
        </is>
      </c>
      <c r="P9" s="183" t="n"/>
      <c r="Q9" s="183" t="n"/>
    </row>
    <row r="10" ht="30" customHeight="1" s="109">
      <c r="B10" s="84" t="inlineStr">
        <is>
          <t>Company</t>
        </is>
      </c>
      <c r="C10" s="84" t="inlineStr">
        <is>
          <t>Ticker</t>
        </is>
      </c>
      <c r="D10" s="85" t="inlineStr">
        <is>
          <t>Share Price</t>
        </is>
      </c>
      <c r="E10" s="85" t="inlineStr">
        <is>
          <t>Share Outstanding</t>
        </is>
      </c>
      <c r="F10" s="85" t="inlineStr">
        <is>
          <t>Equity Value</t>
        </is>
      </c>
      <c r="G10" s="85" t="inlineStr">
        <is>
          <t>Net Debt value</t>
        </is>
      </c>
      <c r="H10" s="85" t="inlineStr">
        <is>
          <t>Enterprise Value</t>
        </is>
      </c>
      <c r="I10" s="84" t="n"/>
      <c r="J10" s="84" t="n"/>
      <c r="K10" s="84" t="inlineStr">
        <is>
          <t>Revenue</t>
        </is>
      </c>
      <c r="L10" s="84" t="inlineStr">
        <is>
          <t>EBITDA</t>
        </is>
      </c>
      <c r="M10" s="84" t="inlineStr">
        <is>
          <t>Net Income</t>
        </is>
      </c>
      <c r="N10" s="84" t="n"/>
      <c r="O10" s="85" t="inlineStr">
        <is>
          <t>EV/Revenue</t>
        </is>
      </c>
      <c r="P10" s="85" t="inlineStr">
        <is>
          <t>EV/EBITDA</t>
        </is>
      </c>
      <c r="Q10" s="84" t="inlineStr">
        <is>
          <t>P/E</t>
        </is>
      </c>
    </row>
    <row r="11" ht="4.8" customHeight="1" s="109"/>
    <row r="12">
      <c r="B12" s="150">
        <f>'Raw FS'!L57</f>
        <v/>
      </c>
      <c r="C12" s="150" t="n"/>
      <c r="D12" s="155">
        <f>'Raw FS'!M57</f>
        <v/>
      </c>
      <c r="E12" s="155">
        <f>'Raw FS'!N57</f>
        <v/>
      </c>
      <c r="F12" s="155">
        <f>D12*E12</f>
        <v/>
      </c>
      <c r="G12" s="155">
        <f>'Raw FS'!AS56</f>
        <v/>
      </c>
      <c r="H12" s="155">
        <f>'Raw FS'!AT56</f>
        <v/>
      </c>
      <c r="I12" s="150" t="n"/>
      <c r="J12" s="150" t="n"/>
      <c r="K12" s="155">
        <f>'Raw FS'!AU56</f>
        <v/>
      </c>
      <c r="L12" s="155">
        <f>'Raw FS'!AV56</f>
        <v/>
      </c>
      <c r="M12" s="155">
        <f>'Raw FS'!AW56</f>
        <v/>
      </c>
      <c r="N12" s="150" t="n"/>
      <c r="O12" s="151">
        <f>$H12/K12</f>
        <v/>
      </c>
      <c r="P12" s="151">
        <f>$H12/L12</f>
        <v/>
      </c>
      <c r="Q12" s="151">
        <f>F12/M12</f>
        <v/>
      </c>
    </row>
    <row r="13">
      <c r="B13" s="150">
        <f>'Raw FS'!L58</f>
        <v/>
      </c>
      <c r="C13" s="150" t="n"/>
      <c r="D13" s="155">
        <f>'Raw FS'!M58</f>
        <v/>
      </c>
      <c r="E13" s="155">
        <f>'Raw FS'!N58</f>
        <v/>
      </c>
      <c r="F13" s="155">
        <f>D13*E13</f>
        <v/>
      </c>
      <c r="G13" s="155">
        <f>'Raw FS'!AS57</f>
        <v/>
      </c>
      <c r="H13" s="155">
        <f>'Raw FS'!AT57</f>
        <v/>
      </c>
      <c r="I13" s="150" t="n"/>
      <c r="J13" s="150" t="n"/>
      <c r="K13" s="155">
        <f>'Raw FS'!AU57</f>
        <v/>
      </c>
      <c r="L13" s="155">
        <f>'Raw FS'!AV57</f>
        <v/>
      </c>
      <c r="M13" s="155">
        <f>'Raw FS'!AW57</f>
        <v/>
      </c>
      <c r="N13" s="150" t="n"/>
      <c r="O13" s="151">
        <f>$H13/K13</f>
        <v/>
      </c>
      <c r="P13" s="151">
        <f>$H13/L13</f>
        <v/>
      </c>
      <c r="Q13" s="151">
        <f>F13/M13</f>
        <v/>
      </c>
    </row>
    <row r="14">
      <c r="B14" s="150">
        <f>'Raw FS'!L59</f>
        <v/>
      </c>
      <c r="C14" s="150" t="n"/>
      <c r="D14" s="155">
        <f>'Raw FS'!M59</f>
        <v/>
      </c>
      <c r="E14" s="155">
        <f>'Raw FS'!N59</f>
        <v/>
      </c>
      <c r="F14" s="155">
        <f>D14*E14</f>
        <v/>
      </c>
      <c r="G14" s="155">
        <f>'Raw FS'!AS58</f>
        <v/>
      </c>
      <c r="H14" s="155">
        <f>'Raw FS'!AT58</f>
        <v/>
      </c>
      <c r="I14" s="150" t="n"/>
      <c r="J14" s="150" t="n"/>
      <c r="K14" s="155">
        <f>'Raw FS'!AU58</f>
        <v/>
      </c>
      <c r="L14" s="155">
        <f>'Raw FS'!AV58</f>
        <v/>
      </c>
      <c r="M14" s="155">
        <f>'Raw FS'!AW58</f>
        <v/>
      </c>
      <c r="N14" s="150" t="n"/>
      <c r="O14" s="151">
        <f>$H14/K14</f>
        <v/>
      </c>
      <c r="P14" s="151">
        <f>$H14/L14</f>
        <v/>
      </c>
      <c r="Q14" s="151">
        <f>F14/M14</f>
        <v/>
      </c>
    </row>
    <row r="15">
      <c r="B15" s="150">
        <f>'Raw FS'!L60</f>
        <v/>
      </c>
      <c r="C15" s="150" t="n"/>
      <c r="D15" s="155">
        <f>'Raw FS'!M60</f>
        <v/>
      </c>
      <c r="E15" s="155">
        <f>'Raw FS'!N60</f>
        <v/>
      </c>
      <c r="F15" s="155">
        <f>D15*E15</f>
        <v/>
      </c>
      <c r="G15" s="155">
        <f>'Raw FS'!AS59</f>
        <v/>
      </c>
      <c r="H15" s="155">
        <f>'Raw FS'!AT59</f>
        <v/>
      </c>
      <c r="I15" s="150" t="n"/>
      <c r="J15" s="150" t="n"/>
      <c r="K15" s="155">
        <f>'Raw FS'!AU59</f>
        <v/>
      </c>
      <c r="L15" s="155">
        <f>'Raw FS'!AV59</f>
        <v/>
      </c>
      <c r="M15" s="155">
        <f>'Raw FS'!AW59</f>
        <v/>
      </c>
      <c r="N15" s="150" t="n"/>
      <c r="O15" s="151">
        <f>$H15/K15</f>
        <v/>
      </c>
      <c r="P15" s="151">
        <f>$H15/L15</f>
        <v/>
      </c>
      <c r="Q15" s="151">
        <f>F15/M15</f>
        <v/>
      </c>
    </row>
    <row r="16">
      <c r="B16" s="150">
        <f>'Raw FS'!L61</f>
        <v/>
      </c>
      <c r="C16" s="150" t="n"/>
      <c r="D16" s="155">
        <f>'Raw FS'!M61</f>
        <v/>
      </c>
      <c r="E16" s="155">
        <f>'Raw FS'!N61</f>
        <v/>
      </c>
      <c r="F16" s="155">
        <f>D16*E16</f>
        <v/>
      </c>
      <c r="G16" s="155">
        <f>'Raw FS'!AS60</f>
        <v/>
      </c>
      <c r="H16" s="155">
        <f>'Raw FS'!AT60</f>
        <v/>
      </c>
      <c r="I16" s="150" t="n"/>
      <c r="J16" s="150" t="n"/>
      <c r="K16" s="155">
        <f>'Raw FS'!AU60</f>
        <v/>
      </c>
      <c r="L16" s="155">
        <f>'Raw FS'!AV60</f>
        <v/>
      </c>
      <c r="M16" s="155">
        <f>'Raw FS'!AW60</f>
        <v/>
      </c>
      <c r="N16" s="150" t="n"/>
      <c r="O16" s="151">
        <f>$H16/K16</f>
        <v/>
      </c>
      <c r="P16" s="151">
        <f>$H16/L16</f>
        <v/>
      </c>
      <c r="Q16" s="151">
        <f>F16/M16</f>
        <v/>
      </c>
    </row>
    <row r="17">
      <c r="B17" s="150">
        <f>'Raw FS'!L62</f>
        <v/>
      </c>
      <c r="C17" s="150" t="n"/>
      <c r="D17" s="155">
        <f>'Raw FS'!M62</f>
        <v/>
      </c>
      <c r="E17" s="155">
        <f>'Raw FS'!N62</f>
        <v/>
      </c>
      <c r="F17" s="155">
        <f>D17*E17</f>
        <v/>
      </c>
      <c r="G17" s="155">
        <f>'Raw FS'!AS61</f>
        <v/>
      </c>
      <c r="H17" s="155">
        <f>'Raw FS'!AT61</f>
        <v/>
      </c>
      <c r="I17" s="150" t="n"/>
      <c r="J17" s="150" t="n"/>
      <c r="K17" s="155">
        <f>'Raw FS'!AU61</f>
        <v/>
      </c>
      <c r="L17" s="155">
        <f>'Raw FS'!AV61</f>
        <v/>
      </c>
      <c r="M17" s="155">
        <f>'Raw FS'!AW61</f>
        <v/>
      </c>
      <c r="N17" s="150" t="n"/>
      <c r="O17" s="151">
        <f>$H17/K17</f>
        <v/>
      </c>
      <c r="P17" s="151">
        <f>$H17/L17</f>
        <v/>
      </c>
      <c r="Q17" s="151">
        <f>F17/M17</f>
        <v/>
      </c>
    </row>
    <row r="18">
      <c r="B18" s="150">
        <f>'Raw FS'!L63</f>
        <v/>
      </c>
      <c r="C18" s="150" t="n"/>
      <c r="D18" s="155">
        <f>'Raw FS'!M63</f>
        <v/>
      </c>
      <c r="E18" s="155">
        <f>'Raw FS'!N63</f>
        <v/>
      </c>
      <c r="F18" s="155">
        <f>D18*E18</f>
        <v/>
      </c>
      <c r="G18" s="155">
        <f>'Raw FS'!AS62</f>
        <v/>
      </c>
      <c r="H18" s="155">
        <f>'Raw FS'!AT62</f>
        <v/>
      </c>
      <c r="I18" s="150" t="n"/>
      <c r="J18" s="150" t="n"/>
      <c r="K18" s="155">
        <f>'Raw FS'!AU62</f>
        <v/>
      </c>
      <c r="L18" s="155">
        <f>'Raw FS'!AV62</f>
        <v/>
      </c>
      <c r="M18" s="155">
        <f>'Raw FS'!AW62</f>
        <v/>
      </c>
      <c r="N18" s="150" t="n"/>
      <c r="O18" s="151">
        <f>$H18/K18</f>
        <v/>
      </c>
      <c r="P18" s="151">
        <f>$H18/L18</f>
        <v/>
      </c>
      <c r="Q18" s="151">
        <f>F18/M18</f>
        <v/>
      </c>
    </row>
    <row r="19">
      <c r="B19" s="150">
        <f>'Raw FS'!L64</f>
        <v/>
      </c>
      <c r="C19" s="150" t="n"/>
      <c r="D19" s="155">
        <f>'Raw FS'!M64</f>
        <v/>
      </c>
      <c r="E19" s="155">
        <f>'Raw FS'!N64</f>
        <v/>
      </c>
      <c r="F19" s="155">
        <f>D19*E19</f>
        <v/>
      </c>
      <c r="G19" s="155">
        <f>'Raw FS'!AS63</f>
        <v/>
      </c>
      <c r="H19" s="155">
        <f>'Raw FS'!AT63</f>
        <v/>
      </c>
      <c r="I19" s="150" t="n"/>
      <c r="J19" s="150" t="n"/>
      <c r="K19" s="155">
        <f>'Raw FS'!AU63</f>
        <v/>
      </c>
      <c r="L19" s="155">
        <f>'Raw FS'!AV63</f>
        <v/>
      </c>
      <c r="M19" s="155">
        <f>'Raw FS'!AW63</f>
        <v/>
      </c>
      <c r="N19" s="150" t="n"/>
      <c r="O19" s="151">
        <f>$H19/K19</f>
        <v/>
      </c>
      <c r="P19" s="151">
        <f>$H19/L19</f>
        <v/>
      </c>
      <c r="Q19" s="151">
        <f>F19/M19</f>
        <v/>
      </c>
    </row>
    <row r="20">
      <c r="B20" s="150">
        <f>'Raw FS'!L65</f>
        <v/>
      </c>
      <c r="C20" s="150" t="n"/>
      <c r="D20" s="155">
        <f>'Raw FS'!M65</f>
        <v/>
      </c>
      <c r="E20" s="155">
        <f>'Raw FS'!N65</f>
        <v/>
      </c>
      <c r="F20" s="155">
        <f>D20*E20</f>
        <v/>
      </c>
      <c r="G20" s="155">
        <f>'Raw FS'!AS64</f>
        <v/>
      </c>
      <c r="H20" s="155">
        <f>'Raw FS'!AT64</f>
        <v/>
      </c>
      <c r="I20" s="150" t="n"/>
      <c r="J20" s="150" t="n"/>
      <c r="K20" s="155">
        <f>'Raw FS'!AU64</f>
        <v/>
      </c>
      <c r="L20" s="155">
        <f>'Raw FS'!AV64</f>
        <v/>
      </c>
      <c r="M20" s="155">
        <f>'Raw FS'!AW64</f>
        <v/>
      </c>
      <c r="N20" s="150" t="n"/>
      <c r="O20" s="151">
        <f>$H20/K20</f>
        <v/>
      </c>
      <c r="P20" s="151">
        <f>$H20/L20</f>
        <v/>
      </c>
      <c r="Q20" s="151">
        <f>F20/M20</f>
        <v/>
      </c>
    </row>
    <row r="21">
      <c r="B21" s="150">
        <f>'Raw FS'!L66</f>
        <v/>
      </c>
      <c r="C21" s="150" t="n"/>
      <c r="D21" s="155">
        <f>'Raw FS'!M66</f>
        <v/>
      </c>
      <c r="E21" s="155">
        <f>'Raw FS'!N66</f>
        <v/>
      </c>
      <c r="F21" s="155">
        <f>D21*E21</f>
        <v/>
      </c>
      <c r="G21" s="155">
        <f>'Raw FS'!AS65</f>
        <v/>
      </c>
      <c r="H21" s="155">
        <f>'Raw FS'!AT65</f>
        <v/>
      </c>
      <c r="I21" s="150" t="n"/>
      <c r="J21" s="150" t="n"/>
      <c r="K21" s="155">
        <f>'Raw FS'!AU65</f>
        <v/>
      </c>
      <c r="L21" s="155">
        <f>'Raw FS'!AV65</f>
        <v/>
      </c>
      <c r="M21" s="155">
        <f>'Raw FS'!AW65</f>
        <v/>
      </c>
      <c r="N21" s="150" t="n"/>
      <c r="O21" s="151">
        <f>$H21/K21</f>
        <v/>
      </c>
      <c r="P21" s="151">
        <f>$H21/L21</f>
        <v/>
      </c>
      <c r="Q21" s="151">
        <f>F21/M21</f>
        <v/>
      </c>
    </row>
    <row r="22" ht="6.6" customHeight="1" s="109"/>
    <row r="23">
      <c r="B23" s="79" t="inlineStr">
        <is>
          <t>High</t>
        </is>
      </c>
      <c r="C23" s="79" t="n"/>
      <c r="D23" s="79" t="n"/>
      <c r="E23" s="79" t="n"/>
      <c r="F23" s="79" t="n"/>
      <c r="G23" s="79" t="n"/>
      <c r="H23" s="79" t="n"/>
      <c r="I23" s="79" t="n"/>
      <c r="J23" s="79" t="n"/>
      <c r="K23" s="79" t="n"/>
      <c r="L23" s="79" t="n"/>
      <c r="M23" s="79" t="n"/>
      <c r="N23" s="79" t="n"/>
      <c r="O23" s="86">
        <f>MAX((O12,O14:O21))</f>
        <v/>
      </c>
      <c r="P23" s="86">
        <f>MAX((P12,P14:P21))</f>
        <v/>
      </c>
      <c r="Q23" s="86">
        <f>MAX((Q12,Q14:Q21))</f>
        <v/>
      </c>
    </row>
    <row r="24">
      <c r="B24" s="79" t="inlineStr">
        <is>
          <t>25th Percentile</t>
        </is>
      </c>
      <c r="C24" s="79" t="n"/>
      <c r="D24" s="79" t="n"/>
      <c r="E24" s="79" t="n"/>
      <c r="F24" s="79" t="n"/>
      <c r="G24" s="79" t="n"/>
      <c r="H24" s="79" t="n"/>
      <c r="I24" s="79" t="n"/>
      <c r="J24" s="79" t="n"/>
      <c r="K24" s="79" t="n"/>
      <c r="L24" s="79" t="n"/>
      <c r="M24" s="79" t="n"/>
      <c r="N24" s="79" t="n"/>
      <c r="O24" s="87">
        <f>QUARTILE((O12,O14:O21),1)</f>
        <v/>
      </c>
      <c r="P24" s="87">
        <f>QUARTILE((P12,P14:P21),1)</f>
        <v/>
      </c>
      <c r="Q24" s="87">
        <f>QUARTILE((Q12,Q14:Q21),1)</f>
        <v/>
      </c>
    </row>
    <row r="25">
      <c r="B25" s="152" t="inlineStr">
        <is>
          <t>Median</t>
        </is>
      </c>
      <c r="C25" s="152" t="n"/>
      <c r="D25" s="152" t="n"/>
      <c r="E25" s="152" t="n"/>
      <c r="F25" s="152" t="n"/>
      <c r="G25" s="152" t="n"/>
      <c r="H25" s="152" t="n"/>
      <c r="I25" s="152" t="n"/>
      <c r="J25" s="152" t="n"/>
      <c r="K25" s="152" t="n"/>
      <c r="L25" s="152" t="n"/>
      <c r="M25" s="152" t="n"/>
      <c r="N25" s="152" t="n"/>
      <c r="O25" s="153">
        <f>MEDIAN((O12,O14:O21))</f>
        <v/>
      </c>
      <c r="P25" s="153">
        <f>MEDIAN((P12,P14:P21))</f>
        <v/>
      </c>
      <c r="Q25" s="153">
        <f>MEDIAN((Q12,Q14:Q21))</f>
        <v/>
      </c>
    </row>
    <row r="26">
      <c r="B26" s="152" t="inlineStr">
        <is>
          <t>Average</t>
        </is>
      </c>
      <c r="C26" s="152" t="n"/>
      <c r="D26" s="152" t="n"/>
      <c r="E26" s="152" t="n"/>
      <c r="F26" s="152" t="n"/>
      <c r="G26" s="152" t="n"/>
      <c r="H26" s="152" t="n"/>
      <c r="I26" s="152" t="n"/>
      <c r="J26" s="152" t="n"/>
      <c r="K26" s="152" t="n"/>
      <c r="L26" s="152" t="n"/>
      <c r="M26" s="152" t="n"/>
      <c r="N26" s="152" t="n"/>
      <c r="O26" s="153">
        <f>AVERAGE((O12,O14:O21))</f>
        <v/>
      </c>
      <c r="P26" s="153">
        <f>AVERAGE((P12,P14:P21))</f>
        <v/>
      </c>
      <c r="Q26" s="153">
        <f>AVERAGE((Q12,Q14:Q21))</f>
        <v/>
      </c>
    </row>
    <row r="27">
      <c r="B27" s="79" t="inlineStr">
        <is>
          <t>75th Percentile</t>
        </is>
      </c>
      <c r="C27" s="79" t="n"/>
      <c r="D27" s="79" t="n"/>
      <c r="E27" s="79" t="n"/>
      <c r="F27" s="79" t="n"/>
      <c r="G27" s="79" t="n"/>
      <c r="H27" s="79" t="n"/>
      <c r="I27" s="79" t="n"/>
      <c r="J27" s="79" t="n"/>
      <c r="K27" s="79" t="n"/>
      <c r="L27" s="79" t="n"/>
      <c r="M27" s="79" t="n"/>
      <c r="N27" s="79" t="n"/>
      <c r="O27" s="87">
        <f>QUARTILE((O12,O14:O21),3)</f>
        <v/>
      </c>
      <c r="P27" s="87">
        <f>QUARTILE((P12,P14:P21),3)</f>
        <v/>
      </c>
      <c r="Q27" s="87">
        <f>QUARTILE((Q12,Q14:Q21),3)</f>
        <v/>
      </c>
    </row>
    <row r="28">
      <c r="B28" s="79" t="inlineStr">
        <is>
          <t>Low</t>
        </is>
      </c>
      <c r="C28" s="79" t="n"/>
      <c r="D28" s="79" t="n"/>
      <c r="E28" s="79" t="n"/>
      <c r="F28" s="79" t="n"/>
      <c r="G28" s="79" t="n"/>
      <c r="H28" s="79" t="n"/>
      <c r="I28" s="79" t="n"/>
      <c r="J28" s="79" t="n"/>
      <c r="K28" s="79" t="n"/>
      <c r="L28" s="79" t="n"/>
      <c r="M28" s="79" t="n"/>
      <c r="N28" s="79" t="n"/>
      <c r="O28" s="86">
        <f>MIN((O12,O14:O21))</f>
        <v/>
      </c>
      <c r="P28" s="86">
        <f>MIN((P12,P14:P21))</f>
        <v/>
      </c>
      <c r="Q28" s="86">
        <f>MIN((Q12,Q14:Q21))</f>
        <v/>
      </c>
    </row>
    <row r="30">
      <c r="B30" s="84" t="inlineStr">
        <is>
          <t>Infosys Ltd Comparable Valuation</t>
        </is>
      </c>
      <c r="C30" s="84" t="n"/>
      <c r="D30" s="84" t="n"/>
      <c r="E30" s="84" t="n"/>
      <c r="F30" s="84" t="n"/>
      <c r="G30" s="84" t="n"/>
      <c r="H30" s="84" t="n"/>
      <c r="I30" s="84" t="n"/>
      <c r="J30" s="84" t="n"/>
      <c r="K30" s="84" t="n"/>
      <c r="L30" s="84" t="n"/>
      <c r="M30" s="84" t="n"/>
      <c r="N30" s="84" t="n"/>
      <c r="O30" s="85" t="inlineStr">
        <is>
          <t>EV/Revenue</t>
        </is>
      </c>
      <c r="P30" s="85" t="inlineStr">
        <is>
          <t>EV/EBITDA</t>
        </is>
      </c>
      <c r="Q30" s="84" t="inlineStr">
        <is>
          <t>P/E</t>
        </is>
      </c>
    </row>
    <row r="32">
      <c r="B32" s="150" t="inlineStr">
        <is>
          <t>Implied Enterprise Value</t>
        </is>
      </c>
      <c r="C32" s="150" t="n"/>
      <c r="D32" s="150" t="n"/>
      <c r="E32" s="150" t="n"/>
      <c r="F32" s="150" t="n"/>
      <c r="G32" s="150" t="n"/>
      <c r="H32" s="150" t="n"/>
      <c r="I32" s="150" t="n"/>
      <c r="J32" s="150" t="n"/>
      <c r="K32" s="150" t="n"/>
      <c r="L32" s="150" t="n"/>
      <c r="M32" s="150" t="n"/>
      <c r="N32" s="150" t="n"/>
      <c r="O32" s="155">
        <f>K13*O26</f>
        <v/>
      </c>
      <c r="P32" s="155">
        <f>L13*P26</f>
        <v/>
      </c>
      <c r="Q32" s="155">
        <f>M13*Q26</f>
        <v/>
      </c>
    </row>
    <row r="33">
      <c r="B33" s="150" t="inlineStr">
        <is>
          <t>Net Debt Value</t>
        </is>
      </c>
      <c r="C33" s="150" t="n"/>
      <c r="D33" s="150" t="n"/>
      <c r="E33" s="150" t="n"/>
      <c r="F33" s="150" t="n"/>
      <c r="G33" s="150" t="n"/>
      <c r="H33" s="150" t="n"/>
      <c r="I33" s="150" t="n"/>
      <c r="J33" s="150" t="n"/>
      <c r="K33" s="150" t="n"/>
      <c r="L33" s="150" t="n"/>
      <c r="M33" s="150" t="n"/>
      <c r="N33" s="150" t="n"/>
      <c r="O33" s="155">
        <f>$G$13</f>
        <v/>
      </c>
      <c r="P33" s="155">
        <f>$G$13</f>
        <v/>
      </c>
      <c r="Q33" s="155">
        <f>$G$13</f>
        <v/>
      </c>
    </row>
    <row r="34">
      <c r="B34" s="150" t="inlineStr">
        <is>
          <t>Implied Market Value</t>
        </is>
      </c>
      <c r="C34" s="150" t="n"/>
      <c r="D34" s="150" t="n"/>
      <c r="E34" s="150" t="n"/>
      <c r="F34" s="150" t="n"/>
      <c r="G34" s="150" t="n"/>
      <c r="H34" s="150" t="n"/>
      <c r="I34" s="150" t="n"/>
      <c r="J34" s="150" t="n"/>
      <c r="K34" s="150" t="n"/>
      <c r="L34" s="150" t="n"/>
      <c r="M34" s="150" t="n"/>
      <c r="N34" s="150" t="n"/>
      <c r="O34" s="155">
        <f>O32-O33</f>
        <v/>
      </c>
      <c r="P34" s="155">
        <f>P32-P33</f>
        <v/>
      </c>
      <c r="Q34" s="155">
        <f>Q32</f>
        <v/>
      </c>
    </row>
    <row r="35">
      <c r="B35" s="150" t="inlineStr">
        <is>
          <t>Share Outstanding</t>
        </is>
      </c>
      <c r="C35" s="150" t="n"/>
      <c r="D35" s="150" t="n"/>
      <c r="E35" s="150" t="n"/>
      <c r="F35" s="150" t="n"/>
      <c r="G35" s="150" t="n"/>
      <c r="H35" s="150" t="n"/>
      <c r="I35" s="150" t="n"/>
      <c r="J35" s="150" t="n"/>
      <c r="K35" s="150" t="n"/>
      <c r="L35" s="150" t="n"/>
      <c r="M35" s="150" t="n"/>
      <c r="N35" s="150" t="n"/>
      <c r="O35" s="155">
        <f>$E$13</f>
        <v/>
      </c>
      <c r="P35" s="155">
        <f>$E$13</f>
        <v/>
      </c>
      <c r="Q35" s="155">
        <f>$E$13</f>
        <v/>
      </c>
    </row>
    <row r="36" ht="3.6" customFormat="1" customHeight="1" s="93">
      <c r="O36" s="156" t="n"/>
      <c r="P36" s="156" t="n"/>
      <c r="Q36" s="156" t="n"/>
    </row>
    <row r="37">
      <c r="B37" s="152" t="inlineStr">
        <is>
          <t>Implied Value per Share</t>
        </is>
      </c>
      <c r="C37" s="152" t="n"/>
      <c r="D37" s="152" t="n"/>
      <c r="E37" s="152" t="n"/>
      <c r="F37" s="152" t="n"/>
      <c r="G37" s="152" t="n"/>
      <c r="H37" s="152" t="n"/>
      <c r="I37" s="152" t="n"/>
      <c r="J37" s="152" t="n"/>
      <c r="K37" s="152" t="n"/>
      <c r="L37" s="152" t="n"/>
      <c r="M37" s="152" t="n"/>
      <c r="N37" s="152" t="n"/>
      <c r="O37" s="157">
        <f>O34/O35</f>
        <v/>
      </c>
      <c r="P37" s="157">
        <f>P34/P35</f>
        <v/>
      </c>
      <c r="Q37" s="157">
        <f>Q34/Q35</f>
        <v/>
      </c>
    </row>
    <row r="38">
      <c r="B38" s="52" t="inlineStr">
        <is>
          <t>Source : Screener.in</t>
        </is>
      </c>
    </row>
    <row r="39">
      <c r="O39">
        <f>IF(O37&gt;$D$13,"Overvalued","Undervalued")</f>
        <v/>
      </c>
      <c r="P39">
        <f>IF(P37&gt;$D$13,"Overvalued","Undervalued")</f>
        <v/>
      </c>
      <c r="Q39">
        <f>IF(Q37&gt;$D$13,"Overvalued","Undervalued")</f>
        <v/>
      </c>
    </row>
  </sheetData>
  <mergeCells count="3">
    <mergeCell ref="D9:I9"/>
    <mergeCell ref="K9:M9"/>
    <mergeCell ref="O9:Q9"/>
  </mergeCells>
  <pageMargins left="0.7" right="0.7" top="0.75" bottom="0.75" header="0.3" footer="0.3"/>
  <drawing xmlns:r="http://schemas.openxmlformats.org/officeDocument/2006/relationships" r:id="rId1"/>
</worksheet>
</file>

<file path=xl/worksheets/sheet19.xml><?xml version="1.0" encoding="utf-8"?>
<worksheet xmlns="http://schemas.openxmlformats.org/spreadsheetml/2006/main">
  <sheetPr>
    <outlinePr summaryBelow="1" summaryRight="1"/>
    <pageSetUpPr/>
  </sheetPr>
  <dimension ref="A1:I96"/>
  <sheetViews>
    <sheetView showGridLines="0" topLeftCell="A20" zoomScale="104" workbookViewId="0">
      <selection activeCell="E92" activeCellId="6" sqref="E60:I61 E66:I67 E70:I71 E74:I75 E82:I83 E88:I89 E92:I93"/>
    </sheetView>
  </sheetViews>
  <sheetFormatPr baseColWidth="8" defaultRowHeight="14.4"/>
  <cols>
    <col width="1.88671875" customWidth="1" style="109" min="1" max="1"/>
    <col width="26.77734375" customWidth="1" style="109" min="2" max="2"/>
    <col width="11" bestFit="1" customWidth="1" style="109" min="5" max="9"/>
  </cols>
  <sheetData>
    <row r="1">
      <c r="A1" s="93" t="n"/>
      <c r="B1" s="93" t="n"/>
      <c r="C1" s="93" t="n"/>
      <c r="D1" s="93" t="n"/>
      <c r="E1" s="93" t="n"/>
      <c r="F1" s="93" t="n"/>
      <c r="G1" s="93" t="n"/>
      <c r="H1" s="93" t="n"/>
      <c r="I1" s="93" t="n"/>
    </row>
    <row r="2" ht="28.8" customHeight="1" s="109">
      <c r="A2" s="93" t="n"/>
      <c r="B2" s="184">
        <f>'Data Sheet'!B1</f>
        <v/>
      </c>
      <c r="C2" s="93" t="n"/>
      <c r="D2" s="93" t="n"/>
      <c r="E2" s="93" t="n"/>
      <c r="F2" s="93" t="n"/>
      <c r="G2" s="93" t="n"/>
      <c r="H2" s="93" t="n"/>
      <c r="I2" s="93" t="n"/>
    </row>
    <row r="3">
      <c r="A3" s="93" t="n"/>
      <c r="B3" s="93">
        <f>CONCATENATE("(",VLOOKUP(B2,'List of Stocks'!B2:E5442,3,FALSE)," | ","BSE Code: ",VLOOKUP('Dupont Analysis'!B2,'List of Stocks'!B2:E5442,2,FALSE))</f>
        <v/>
      </c>
      <c r="C3" s="93" t="n"/>
      <c r="D3" s="93" t="n"/>
      <c r="E3" s="93" t="n"/>
      <c r="F3" s="93" t="n"/>
      <c r="H3" s="93" t="n"/>
      <c r="I3" s="93" t="n"/>
    </row>
    <row r="4" ht="21" customHeight="1" s="109">
      <c r="A4" s="93" t="n"/>
      <c r="B4" s="98">
        <f>CONCATENATE(" ","INR "&amp;'Data Sheet'!B8)</f>
        <v/>
      </c>
      <c r="C4" s="93" t="n"/>
      <c r="D4" s="93" t="n"/>
      <c r="E4" s="93" t="n"/>
      <c r="F4" s="93" t="n"/>
      <c r="H4" s="93" t="n"/>
      <c r="I4" s="93" t="n"/>
    </row>
    <row r="5">
      <c r="B5" s="58" t="inlineStr">
        <is>
          <t>52 Week (High - INR - 1,728.00 &amp; low INR - 982.00)</t>
        </is>
      </c>
      <c r="C5" s="58" t="n"/>
      <c r="D5" s="58" t="n"/>
      <c r="E5" s="58" t="n"/>
      <c r="F5" s="58" t="n"/>
      <c r="G5" s="58" t="n"/>
      <c r="H5" s="58" t="n"/>
      <c r="I5" s="58" t="n"/>
    </row>
    <row r="6">
      <c r="B6" s="37" t="inlineStr">
        <is>
          <t>About the Company</t>
        </is>
      </c>
    </row>
    <row r="7" ht="4.2" customHeight="1" s="109">
      <c r="B7" s="37" t="n"/>
    </row>
    <row r="8">
      <c r="B8" s="168" t="inlineStr">
        <is>
          <t>Infosys Limited is an Indian multinational technology company that offers information technology, business consulting, and outsourcing services. Founded in 1981 by seven engineers, the company is headquartered in Bengaluru and considered one of the Big Six Indian IT companies.</t>
        </is>
      </c>
    </row>
    <row r="9"/>
    <row r="10"/>
    <row r="11"/>
    <row r="12"/>
    <row r="13" ht="5.4" customHeight="1" s="109"/>
    <row r="15" ht="21" customHeight="1" s="109">
      <c r="B15" s="99" t="inlineStr">
        <is>
          <t>Financial Summary</t>
        </is>
      </c>
    </row>
    <row r="35" ht="18" customHeight="1" s="109">
      <c r="B35" s="101" t="inlineStr">
        <is>
          <t>Recent Updates</t>
        </is>
      </c>
    </row>
    <row r="37">
      <c r="A37" t="inlineStr">
        <is>
          <t>•</t>
        </is>
      </c>
      <c r="B37" s="167" t="inlineStr">
        <is>
          <t>India has a once-in-a-generation semiconductor demand window: Infosys SVP</t>
        </is>
      </c>
    </row>
    <row r="38"/>
    <row r="39">
      <c r="A39" t="inlineStr">
        <is>
          <t>•</t>
        </is>
      </c>
      <c r="B39" s="167" t="inlineStr">
        <is>
          <t>Stocks in news: Infosys, Mazagon Dock, Fortis Healthcare, JSW Energy and Kalpataru Projects</t>
        </is>
      </c>
    </row>
    <row r="40"/>
    <row r="41">
      <c r="A41" t="inlineStr">
        <is>
          <t>•</t>
        </is>
      </c>
      <c r="B41" s="167" t="inlineStr">
        <is>
          <t>Infosys, TCS, other IT stocks in focus after first Fed rate hike in 3 years. Will inflationary pressures o</t>
        </is>
      </c>
    </row>
    <row r="42"/>
    <row r="43">
      <c r="A43" t="inlineStr">
        <is>
          <t>•</t>
        </is>
      </c>
      <c r="B43" s="167" t="inlineStr">
        <is>
          <t>Ex-Infosys CEO Vishal Sikka’s startup Hang Ten Systems raises $53 million</t>
        </is>
      </c>
    </row>
    <row r="44"/>
    <row r="45">
      <c r="A45" t="inlineStr">
        <is>
          <t>•</t>
        </is>
      </c>
      <c r="B45" s="167" t="inlineStr">
        <is>
          <t>Market wrap: SBI, HDFC Life, TCS, Infosys top gainers and losers on Nifty and Sensex on Thursday</t>
        </is>
      </c>
    </row>
    <row r="46"/>
    <row r="47">
      <c r="A47" t="inlineStr">
        <is>
          <t>•</t>
        </is>
      </c>
      <c r="B47" s="167" t="inlineStr">
        <is>
          <t>ITC Limited’s Q1 FY27 net profit plunged 27% year-on-year to approximately ₹3,579 crore, missing street estimates due to sharp cigarette excise duty hikes and geopolitical disruptions.</t>
        </is>
      </c>
    </row>
    <row r="48"/>
    <row r="50">
      <c r="B50" s="39" t="n"/>
      <c r="C50" s="39" t="n"/>
      <c r="D50" s="39" t="n"/>
      <c r="E50" s="39" t="n"/>
      <c r="F50" s="39" t="n"/>
      <c r="G50" s="39" t="n"/>
      <c r="H50" s="39" t="n"/>
      <c r="I50" s="39" t="n"/>
    </row>
    <row r="52">
      <c r="B52" s="39" t="n"/>
      <c r="C52" s="39" t="n"/>
      <c r="D52" s="39" t="n"/>
      <c r="E52" s="39" t="n"/>
      <c r="F52" s="39" t="n"/>
      <c r="G52" s="39" t="n"/>
      <c r="H52" s="39" t="n"/>
      <c r="I52" s="39" t="n"/>
    </row>
    <row r="53" ht="12.6" customHeight="1" s="109"/>
    <row r="54" ht="30.6" customHeight="1" s="109">
      <c r="B54" s="92" t="inlineStr">
        <is>
          <t>Dupont Analysis - Return on Equity &amp; Return on Assets</t>
        </is>
      </c>
    </row>
    <row r="56">
      <c r="B56" s="39" t="n"/>
      <c r="C56" s="88" t="n"/>
      <c r="D56" s="88" t="n"/>
      <c r="E56" s="88" t="n"/>
      <c r="F56" s="88" t="n"/>
      <c r="G56" s="88" t="n"/>
      <c r="H56" s="88" t="n"/>
      <c r="I56" s="88" t="n"/>
    </row>
    <row r="58">
      <c r="B58" s="160" t="inlineStr">
        <is>
          <t>Return on Equity</t>
        </is>
      </c>
    </row>
    <row r="59">
      <c r="E59" s="51">
        <f>'Data Sheet'!G$56</f>
        <v/>
      </c>
      <c r="F59" s="51">
        <f>'Data Sheet'!H$56</f>
        <v/>
      </c>
      <c r="G59" s="51">
        <f>'Data Sheet'!I$56</f>
        <v/>
      </c>
      <c r="H59" s="51">
        <f>'Data Sheet'!J$56</f>
        <v/>
      </c>
      <c r="I59" s="51">
        <f>'Data Sheet'!K$56</f>
        <v/>
      </c>
    </row>
    <row r="60">
      <c r="B60" t="inlineStr">
        <is>
          <t>Net Profit</t>
        </is>
      </c>
      <c r="E60" s="107">
        <f>E66</f>
        <v/>
      </c>
      <c r="F60" s="107">
        <f>F66</f>
        <v/>
      </c>
      <c r="G60" s="107">
        <f>G66</f>
        <v/>
      </c>
      <c r="H60" s="107">
        <f>H66</f>
        <v/>
      </c>
      <c r="I60" s="107">
        <f>I66</f>
        <v/>
      </c>
    </row>
    <row r="61">
      <c r="B61" t="inlineStr">
        <is>
          <t>Average Shareholder's Equity</t>
        </is>
      </c>
      <c r="E61" s="107">
        <f>E75</f>
        <v/>
      </c>
      <c r="F61" s="107">
        <f>F75</f>
        <v/>
      </c>
      <c r="G61" s="107">
        <f>G75</f>
        <v/>
      </c>
      <c r="H61" s="107">
        <f>H75</f>
        <v/>
      </c>
      <c r="I61" s="107">
        <f>I75</f>
        <v/>
      </c>
    </row>
    <row r="62">
      <c r="B62" s="89" t="inlineStr">
        <is>
          <t>Return on Equity</t>
        </is>
      </c>
      <c r="C62" s="89" t="n"/>
      <c r="D62" s="89" t="n"/>
      <c r="E62" s="90">
        <f>E60/E61</f>
        <v/>
      </c>
      <c r="F62" s="90">
        <f>F60/F61</f>
        <v/>
      </c>
      <c r="G62" s="90">
        <f>G60/G61</f>
        <v/>
      </c>
      <c r="H62" s="90">
        <f>H60/H61</f>
        <v/>
      </c>
      <c r="I62" s="90">
        <f>I60/I61</f>
        <v/>
      </c>
    </row>
    <row r="64">
      <c r="B64" s="160" t="inlineStr">
        <is>
          <t>ROE - Dupont Analysis</t>
        </is>
      </c>
    </row>
    <row r="65">
      <c r="E65" s="51">
        <f>'Data Sheet'!G$56</f>
        <v/>
      </c>
      <c r="F65" s="51">
        <f>'Data Sheet'!H$56</f>
        <v/>
      </c>
      <c r="G65" s="51">
        <f>'Data Sheet'!I$56</f>
        <v/>
      </c>
      <c r="H65" s="51">
        <f>'Data Sheet'!J$56</f>
        <v/>
      </c>
      <c r="I65" s="51">
        <f>'Data Sheet'!K$56</f>
        <v/>
      </c>
    </row>
    <row r="66">
      <c r="B66" t="inlineStr">
        <is>
          <t>Net Profit</t>
        </is>
      </c>
      <c r="E66" s="107">
        <f>'Data Sheet'!G30</f>
        <v/>
      </c>
      <c r="F66" s="107">
        <f>'Data Sheet'!H30</f>
        <v/>
      </c>
      <c r="G66" s="107">
        <f>'Data Sheet'!I30</f>
        <v/>
      </c>
      <c r="H66" s="107">
        <f>'Data Sheet'!J30</f>
        <v/>
      </c>
      <c r="I66" s="107">
        <f>'Data Sheet'!K30</f>
        <v/>
      </c>
    </row>
    <row r="67">
      <c r="B67" t="inlineStr">
        <is>
          <t>Revenue</t>
        </is>
      </c>
      <c r="E67" s="107">
        <f>'Data Sheet'!G17</f>
        <v/>
      </c>
      <c r="F67" s="107">
        <f>'Data Sheet'!H17</f>
        <v/>
      </c>
      <c r="G67" s="107">
        <f>'Data Sheet'!I17</f>
        <v/>
      </c>
      <c r="H67" s="107">
        <f>'Data Sheet'!J17</f>
        <v/>
      </c>
      <c r="I67" s="107">
        <f>'Data Sheet'!K17</f>
        <v/>
      </c>
    </row>
    <row r="68">
      <c r="B68" s="89" t="inlineStr">
        <is>
          <t>Net Profit Margin (A)</t>
        </is>
      </c>
      <c r="C68" s="89" t="n"/>
      <c r="D68" s="89" t="n"/>
      <c r="E68" s="90">
        <f>E66/E67</f>
        <v/>
      </c>
      <c r="F68" s="90">
        <f>F66/F67</f>
        <v/>
      </c>
      <c r="G68" s="90">
        <f>G66/G67</f>
        <v/>
      </c>
      <c r="H68" s="90">
        <f>H66/H67</f>
        <v/>
      </c>
      <c r="I68" s="90">
        <f>I66/I67</f>
        <v/>
      </c>
    </row>
    <row r="70">
      <c r="B70" t="inlineStr">
        <is>
          <t>Revenue</t>
        </is>
      </c>
      <c r="E70" s="107">
        <f>E67</f>
        <v/>
      </c>
      <c r="F70" s="107">
        <f>F67</f>
        <v/>
      </c>
      <c r="G70" s="107">
        <f>G67</f>
        <v/>
      </c>
      <c r="H70" s="107">
        <f>H67</f>
        <v/>
      </c>
      <c r="I70" s="107">
        <f>I67</f>
        <v/>
      </c>
    </row>
    <row r="71">
      <c r="B71" t="inlineStr">
        <is>
          <t>Average Total Assets</t>
        </is>
      </c>
      <c r="E71" s="107">
        <f>SUM('Data Sheet'!F66:G66)/2</f>
        <v/>
      </c>
      <c r="F71" s="107">
        <f>SUM('Data Sheet'!G66:H66)/2</f>
        <v/>
      </c>
      <c r="G71" s="107">
        <f>SUM('Data Sheet'!H66:I66)/2</f>
        <v/>
      </c>
      <c r="H71" s="107">
        <f>SUM('Data Sheet'!I66:J66)/2</f>
        <v/>
      </c>
      <c r="I71" s="107">
        <f>SUM('Data Sheet'!J66:K66)/2</f>
        <v/>
      </c>
    </row>
    <row r="72">
      <c r="B72" s="89" t="inlineStr">
        <is>
          <t>Asset Turnover Ratio (B)</t>
        </is>
      </c>
      <c r="C72" s="89" t="n"/>
      <c r="D72" s="89" t="n"/>
      <c r="E72" s="154">
        <f>E70/E71</f>
        <v/>
      </c>
      <c r="F72" s="154">
        <f>F70/F71</f>
        <v/>
      </c>
      <c r="G72" s="154">
        <f>G70/G71</f>
        <v/>
      </c>
      <c r="H72" s="154">
        <f>H70/H71</f>
        <v/>
      </c>
      <c r="I72" s="154">
        <f>I70/I71</f>
        <v/>
      </c>
    </row>
    <row r="74">
      <c r="B74" t="inlineStr">
        <is>
          <t>Average Total Assets</t>
        </is>
      </c>
      <c r="E74" s="107">
        <f>E71</f>
        <v/>
      </c>
      <c r="F74" s="107">
        <f>F71</f>
        <v/>
      </c>
      <c r="G74" s="107">
        <f>G71</f>
        <v/>
      </c>
      <c r="H74" s="107">
        <f>H71</f>
        <v/>
      </c>
      <c r="I74" s="107">
        <f>I71</f>
        <v/>
      </c>
    </row>
    <row r="75">
      <c r="B75" t="inlineStr">
        <is>
          <t>Average Shareholder's Equity</t>
        </is>
      </c>
      <c r="E75" s="107">
        <f>(SUM('Data Sheet'!F57:F58)+SUM('Data Sheet'!G57:G58))/2</f>
        <v/>
      </c>
      <c r="F75" s="107">
        <f>(SUM('Data Sheet'!G57:G58)+SUM('Data Sheet'!H57:H58))/2</f>
        <v/>
      </c>
      <c r="G75" s="107">
        <f>(SUM('Data Sheet'!H57:H58)+SUM('Data Sheet'!I57:I58))/2</f>
        <v/>
      </c>
      <c r="H75" s="107">
        <f>(SUM('Data Sheet'!I57:I58)+SUM('Data Sheet'!J57:J58))/2</f>
        <v/>
      </c>
      <c r="I75" s="107">
        <f>(SUM('Data Sheet'!J57:J58)+SUM('Data Sheet'!K57:K58))/2</f>
        <v/>
      </c>
    </row>
    <row r="76">
      <c r="B76" s="89" t="inlineStr">
        <is>
          <t>Equity Multiplier (C)</t>
        </is>
      </c>
      <c r="C76" s="89" t="n"/>
      <c r="D76" s="89" t="n"/>
      <c r="E76" s="100">
        <f>E74/E75</f>
        <v/>
      </c>
      <c r="F76" s="100">
        <f>F74/F75</f>
        <v/>
      </c>
      <c r="G76" s="100">
        <f>G74/G75</f>
        <v/>
      </c>
      <c r="H76" s="100">
        <f>H74/H75</f>
        <v/>
      </c>
      <c r="I76" s="100">
        <f>I74/I75</f>
        <v/>
      </c>
    </row>
    <row r="78">
      <c r="B78" s="89" t="inlineStr">
        <is>
          <t>Return on Equity(A*B*C)</t>
        </is>
      </c>
      <c r="C78" s="89" t="n"/>
      <c r="D78" s="89" t="n"/>
      <c r="E78" s="90">
        <f>E68*E72*E76</f>
        <v/>
      </c>
      <c r="F78" s="90">
        <f>F68*F72*F76</f>
        <v/>
      </c>
      <c r="G78" s="90">
        <f>G68*G72*G76</f>
        <v/>
      </c>
      <c r="H78" s="90">
        <f>H68*H72*H76</f>
        <v/>
      </c>
      <c r="I78" s="90">
        <f>I68*I72*I76</f>
        <v/>
      </c>
    </row>
    <row r="80">
      <c r="B80" s="160" t="inlineStr">
        <is>
          <t>Return on Assets</t>
        </is>
      </c>
    </row>
    <row r="81">
      <c r="E81" s="51">
        <f>'Data Sheet'!G$56</f>
        <v/>
      </c>
      <c r="F81" s="51">
        <f>'Data Sheet'!H$56</f>
        <v/>
      </c>
      <c r="G81" s="51">
        <f>'Data Sheet'!I$56</f>
        <v/>
      </c>
      <c r="H81" s="51">
        <f>'Data Sheet'!J$56</f>
        <v/>
      </c>
      <c r="I81" s="51">
        <f>'Data Sheet'!K$56</f>
        <v/>
      </c>
    </row>
    <row r="82">
      <c r="B82" t="inlineStr">
        <is>
          <t>Net Profit</t>
        </is>
      </c>
      <c r="E82" s="107">
        <f>E66</f>
        <v/>
      </c>
      <c r="F82" s="107">
        <f>F66</f>
        <v/>
      </c>
      <c r="G82" s="107">
        <f>G66</f>
        <v/>
      </c>
      <c r="H82" s="107">
        <f>H66</f>
        <v/>
      </c>
      <c r="I82" s="107">
        <f>I66</f>
        <v/>
      </c>
    </row>
    <row r="83">
      <c r="B83" t="inlineStr">
        <is>
          <t>Average Total Assets</t>
        </is>
      </c>
      <c r="E83" s="107">
        <f>E74</f>
        <v/>
      </c>
      <c r="F83" s="107">
        <f>F74</f>
        <v/>
      </c>
      <c r="G83" s="107">
        <f>G74</f>
        <v/>
      </c>
      <c r="H83" s="107">
        <f>H74</f>
        <v/>
      </c>
      <c r="I83" s="107">
        <f>I74</f>
        <v/>
      </c>
    </row>
    <row r="84">
      <c r="B84" s="89" t="inlineStr">
        <is>
          <t>Return on Assets</t>
        </is>
      </c>
      <c r="C84" s="89" t="n"/>
      <c r="D84" s="89" t="n"/>
      <c r="E84" s="90">
        <f>E82/E83</f>
        <v/>
      </c>
      <c r="F84" s="90">
        <f>F82/F83</f>
        <v/>
      </c>
      <c r="G84" s="90">
        <f>G82/G83</f>
        <v/>
      </c>
      <c r="H84" s="90">
        <f>H82/H83</f>
        <v/>
      </c>
      <c r="I84" s="90">
        <f>I82/I83</f>
        <v/>
      </c>
    </row>
    <row r="86">
      <c r="B86" s="160" t="inlineStr">
        <is>
          <t>ROA - Dupont Equation</t>
        </is>
      </c>
    </row>
    <row r="87">
      <c r="E87" s="51">
        <f>'Data Sheet'!G$56</f>
        <v/>
      </c>
      <c r="F87" s="51">
        <f>'Data Sheet'!H$56</f>
        <v/>
      </c>
      <c r="G87" s="51">
        <f>'Data Sheet'!I$56</f>
        <v/>
      </c>
      <c r="H87" s="51">
        <f>'Data Sheet'!J$56</f>
        <v/>
      </c>
      <c r="I87" s="51">
        <f>'Data Sheet'!K$56</f>
        <v/>
      </c>
    </row>
    <row r="88">
      <c r="B88" t="inlineStr">
        <is>
          <t>Net Profit</t>
        </is>
      </c>
      <c r="E88" s="107">
        <f>E66</f>
        <v/>
      </c>
      <c r="F88" s="107">
        <f>F66</f>
        <v/>
      </c>
      <c r="G88" s="107">
        <f>G66</f>
        <v/>
      </c>
      <c r="H88" s="107">
        <f>H66</f>
        <v/>
      </c>
      <c r="I88" s="107">
        <f>I66</f>
        <v/>
      </c>
    </row>
    <row r="89">
      <c r="B89" t="inlineStr">
        <is>
          <t>Revenue</t>
        </is>
      </c>
      <c r="E89" s="107">
        <f>E67</f>
        <v/>
      </c>
      <c r="F89" s="107">
        <f>F67</f>
        <v/>
      </c>
      <c r="G89" s="107">
        <f>G67</f>
        <v/>
      </c>
      <c r="H89" s="107">
        <f>H67</f>
        <v/>
      </c>
      <c r="I89" s="107">
        <f>I67</f>
        <v/>
      </c>
    </row>
    <row r="90">
      <c r="B90" s="89" t="inlineStr">
        <is>
          <t>Net Profit Margin (A)</t>
        </is>
      </c>
      <c r="C90" s="89" t="n"/>
      <c r="D90" s="89" t="n"/>
      <c r="E90" s="91">
        <f>E68</f>
        <v/>
      </c>
      <c r="F90" s="91">
        <f>F68</f>
        <v/>
      </c>
      <c r="G90" s="91">
        <f>G68</f>
        <v/>
      </c>
      <c r="H90" s="91">
        <f>H68</f>
        <v/>
      </c>
      <c r="I90" s="91">
        <f>I68</f>
        <v/>
      </c>
    </row>
    <row r="92">
      <c r="B92" t="inlineStr">
        <is>
          <t>Revenue</t>
        </is>
      </c>
      <c r="E92" s="107">
        <f>E67</f>
        <v/>
      </c>
      <c r="F92" s="107">
        <f>F67</f>
        <v/>
      </c>
      <c r="G92" s="107">
        <f>G67</f>
        <v/>
      </c>
      <c r="H92" s="107">
        <f>H67</f>
        <v/>
      </c>
      <c r="I92" s="107">
        <f>I67</f>
        <v/>
      </c>
    </row>
    <row r="93">
      <c r="B93" t="inlineStr">
        <is>
          <t>Average Total Assets</t>
        </is>
      </c>
      <c r="E93" s="107">
        <f>E71</f>
        <v/>
      </c>
      <c r="F93" s="107">
        <f>F71</f>
        <v/>
      </c>
      <c r="G93" s="107">
        <f>G71</f>
        <v/>
      </c>
      <c r="H93" s="107">
        <f>H71</f>
        <v/>
      </c>
      <c r="I93" s="107">
        <f>I71</f>
        <v/>
      </c>
    </row>
    <row r="94">
      <c r="B94" s="89" t="inlineStr">
        <is>
          <t>Asset Turnover Ratio (B)</t>
        </is>
      </c>
      <c r="C94" s="89" t="n"/>
      <c r="D94" s="89" t="n"/>
      <c r="E94" s="90">
        <f>E72</f>
        <v/>
      </c>
      <c r="F94" s="90">
        <f>F72</f>
        <v/>
      </c>
      <c r="G94" s="90">
        <f>G72</f>
        <v/>
      </c>
      <c r="H94" s="90">
        <f>H72</f>
        <v/>
      </c>
      <c r="I94" s="90">
        <f>I72</f>
        <v/>
      </c>
    </row>
    <row r="96">
      <c r="B96" s="89" t="inlineStr">
        <is>
          <t>Return on Assets (A*B)</t>
        </is>
      </c>
      <c r="C96" s="89" t="n"/>
      <c r="D96" s="89" t="n"/>
      <c r="E96" s="90">
        <f>E90*E94</f>
        <v/>
      </c>
      <c r="F96" s="90">
        <f>F90*F94</f>
        <v/>
      </c>
      <c r="G96" s="90">
        <f>G90*G94</f>
        <v/>
      </c>
      <c r="H96" s="90">
        <f>H90*H94</f>
        <v/>
      </c>
      <c r="I96" s="90">
        <f>I90*I94</f>
        <v/>
      </c>
    </row>
  </sheetData>
  <mergeCells count="11">
    <mergeCell ref="B58:I58"/>
    <mergeCell ref="B43:I44"/>
    <mergeCell ref="B8:I11"/>
    <mergeCell ref="B86:I86"/>
    <mergeCell ref="B64:I64"/>
    <mergeCell ref="B41:I42"/>
    <mergeCell ref="B80:I80"/>
    <mergeCell ref="B37:I38"/>
    <mergeCell ref="B45:I46"/>
    <mergeCell ref="B39:I40"/>
    <mergeCell ref="B47:I48"/>
  </mergeCells>
  <pageMargins left="0.7" right="0.7" top="0.75" bottom="0.75" header="0.3" footer="0.3"/>
  <drawing xmlns:r="http://schemas.openxmlformats.org/officeDocument/2006/relationships" r:id="rId1"/>
</worksheet>
</file>

<file path=xl/worksheets/sheet20.xml><?xml version="1.0" encoding="utf-8"?>
<worksheet xmlns="http://schemas.openxmlformats.org/spreadsheetml/2006/main">
  <sheetPr>
    <outlinePr summaryBelow="1" summaryRight="1"/>
    <pageSetUpPr/>
  </sheetPr>
  <dimension ref="A1:I103"/>
  <sheetViews>
    <sheetView showGridLines="0" topLeftCell="A69" zoomScale="104" workbookViewId="0">
      <selection activeCell="E83" activeCellId="4" sqref="E59:I60 E65:I66 E71:I72 E77:I78 E83:I84"/>
    </sheetView>
  </sheetViews>
  <sheetFormatPr baseColWidth="8" defaultRowHeight="14.4"/>
  <cols>
    <col width="1.88671875" customWidth="1" style="109" min="1" max="1"/>
    <col width="26.77734375" customWidth="1" style="109" min="2" max="2"/>
    <col width="12.6640625" bestFit="1" customWidth="1" style="109" min="5" max="5"/>
    <col width="12.77734375" bestFit="1" customWidth="1" style="109" min="6" max="7"/>
    <col width="13.44140625" bestFit="1" customWidth="1" style="109" min="8" max="8"/>
    <col width="12.77734375" bestFit="1" customWidth="1" style="109" min="9" max="9"/>
  </cols>
  <sheetData>
    <row r="1">
      <c r="A1" s="93" t="n"/>
      <c r="B1" s="93" t="n"/>
      <c r="C1" s="93" t="n"/>
      <c r="D1" s="93" t="n"/>
      <c r="E1" s="93" t="n"/>
      <c r="F1" s="93" t="n"/>
      <c r="G1" s="93" t="n"/>
      <c r="H1" s="93" t="n"/>
      <c r="I1" s="93" t="n"/>
    </row>
    <row r="2" ht="28.8" customHeight="1" s="109">
      <c r="A2" s="93" t="n"/>
      <c r="B2" s="184">
        <f>'Data Sheet'!B1</f>
        <v/>
      </c>
      <c r="C2" s="93" t="n"/>
      <c r="D2" s="93" t="n"/>
      <c r="E2" s="93" t="n"/>
      <c r="F2" s="93" t="n"/>
      <c r="G2" s="93" t="n"/>
      <c r="H2" s="93" t="n"/>
      <c r="I2" s="93" t="n"/>
    </row>
    <row r="3">
      <c r="A3" s="93" t="n"/>
      <c r="B3" s="93">
        <f>CONCATENATE("(",VLOOKUP(B2,'List of Stocks'!B2:E5442,3,FALSE)," | ","BSE Code: ",VLOOKUP('Altman''s Z Score'!B2,'List of Stocks'!B2:E5442,2,FALSE))</f>
        <v/>
      </c>
      <c r="C3" s="93" t="n"/>
      <c r="D3" s="93" t="n"/>
      <c r="E3" s="93" t="n"/>
      <c r="F3" s="93" t="n"/>
      <c r="G3" s="93" t="n"/>
      <c r="H3" s="93" t="n"/>
      <c r="I3" s="93" t="n"/>
    </row>
    <row r="4" ht="21" customHeight="1" s="109">
      <c r="A4" s="93" t="n"/>
      <c r="B4" s="98">
        <f>CONCATENATE(" ","INR "&amp;'Data Sheet'!B8)</f>
        <v/>
      </c>
      <c r="C4" s="93" t="n"/>
      <c r="D4" s="93" t="n"/>
      <c r="E4" s="93" t="n"/>
      <c r="F4" s="93" t="n"/>
      <c r="H4" s="93" t="n"/>
      <c r="I4" s="93" t="n"/>
    </row>
    <row r="5">
      <c r="B5" s="58" t="inlineStr">
        <is>
          <t>52 Week (High - INR - 1,728.00 &amp; low INR - 982.00)</t>
        </is>
      </c>
      <c r="C5" s="58" t="n"/>
      <c r="D5" s="58" t="n"/>
      <c r="E5" s="58" t="n"/>
      <c r="F5" s="58" t="n"/>
      <c r="G5" s="58" t="n"/>
      <c r="H5" s="58" t="n"/>
      <c r="I5" s="58" t="n"/>
    </row>
    <row r="6">
      <c r="B6" s="37" t="inlineStr">
        <is>
          <t>About the Company</t>
        </is>
      </c>
    </row>
    <row r="7" ht="6.6" customHeight="1" s="109"/>
    <row r="8">
      <c r="B8" s="168" t="inlineStr">
        <is>
          <t>Infosys Limited is an Indian multinational technology company that offers information technology, business consulting, and outsourcing services. Founded in 1981 by seven engineers, the company is headquartered in Bengaluru and considered one of the Big Six Indian IT companies.</t>
        </is>
      </c>
    </row>
    <row r="9"/>
    <row r="10"/>
    <row r="11"/>
    <row r="12" ht="5.4" customHeight="1" s="109"/>
    <row r="14" ht="21" customHeight="1" s="109">
      <c r="B14" s="99" t="inlineStr">
        <is>
          <t>Financial Summary</t>
        </is>
      </c>
    </row>
    <row r="34" ht="18" customHeight="1" s="109">
      <c r="B34" s="101" t="inlineStr">
        <is>
          <t>Recent Updates</t>
        </is>
      </c>
    </row>
    <row r="36">
      <c r="A36" t="inlineStr">
        <is>
          <t>•</t>
        </is>
      </c>
      <c r="B36" s="167" t="inlineStr">
        <is>
          <t>India has a once-in-a-generation semiconductor demand window: Infosys SVP</t>
        </is>
      </c>
    </row>
    <row r="37"/>
    <row r="38" ht="14.4" customHeight="1" s="109">
      <c r="A38" t="inlineStr">
        <is>
          <t>•</t>
        </is>
      </c>
      <c r="B38" s="167" t="inlineStr">
        <is>
          <t>Stocks in news: Infosys, Mazagon Dock, Fortis Healthcare, JSW Energy and Kalpataru Projects</t>
        </is>
      </c>
    </row>
    <row r="39"/>
    <row r="40" ht="20.4" customHeight="1" s="109">
      <c r="A40" t="inlineStr">
        <is>
          <t>•</t>
        </is>
      </c>
      <c r="B40" s="167" t="inlineStr">
        <is>
          <t>Infosys, TCS, other IT stocks in focus after first Fed rate hike in 3 years. Will inflationary pressures o</t>
        </is>
      </c>
    </row>
    <row r="41"/>
    <row r="42">
      <c r="A42" t="inlineStr">
        <is>
          <t>•</t>
        </is>
      </c>
      <c r="B42" s="167" t="inlineStr">
        <is>
          <t>Ex-Infosys CEO Vishal Sikka’s startup Hang Ten Systems raises $53 million</t>
        </is>
      </c>
    </row>
    <row r="43"/>
    <row r="44">
      <c r="A44" t="inlineStr">
        <is>
          <t>•</t>
        </is>
      </c>
      <c r="B44" s="167" t="inlineStr">
        <is>
          <t>Market wrap: SBI, HDFC Life, TCS, Infosys top gainers and losers on Nifty and Sensex on Thursday</t>
        </is>
      </c>
    </row>
    <row r="45"/>
    <row r="46">
      <c r="A46" t="inlineStr">
        <is>
          <t>•</t>
        </is>
      </c>
      <c r="B46" s="167" t="inlineStr">
        <is>
          <t>ITC Limited’s Q1 FY27 net profit plunged 27% year-on-year to approximately ₹3,579 crore, missing street estimates due to sharp cigarette excise duty hikes and geopolitical disruptions.</t>
        </is>
      </c>
    </row>
    <row r="47"/>
    <row r="49">
      <c r="B49" s="39" t="n"/>
      <c r="C49" s="39" t="n"/>
      <c r="D49" s="39" t="n"/>
      <c r="E49" s="39" t="n"/>
      <c r="F49" s="39" t="n"/>
      <c r="G49" s="39" t="n"/>
      <c r="H49" s="39" t="n"/>
      <c r="I49" s="39" t="n"/>
    </row>
    <row r="51">
      <c r="B51" s="39" t="n"/>
      <c r="C51" s="39" t="n"/>
      <c r="D51" s="39" t="n"/>
      <c r="E51" s="39" t="n"/>
      <c r="F51" s="39" t="n"/>
      <c r="G51" s="39" t="n"/>
      <c r="H51" s="39" t="n"/>
      <c r="I51" s="39" t="n"/>
    </row>
    <row r="52" ht="12.6" customHeight="1" s="109"/>
    <row r="53" ht="30.6" customHeight="1" s="109">
      <c r="B53" s="92" t="inlineStr">
        <is>
          <t>Altman's Z Score Analysis Calculation</t>
        </is>
      </c>
    </row>
    <row r="55">
      <c r="B55" s="39" t="n"/>
      <c r="C55" s="88" t="n"/>
      <c r="D55" s="88" t="n"/>
      <c r="E55" s="88" t="n"/>
      <c r="F55" s="88" t="n"/>
      <c r="G55" s="88" t="n"/>
      <c r="H55" s="88" t="n"/>
      <c r="I55" s="88" t="n"/>
    </row>
    <row r="57">
      <c r="B57" s="160" t="inlineStr">
        <is>
          <t>Working Capital /Total assets (A)</t>
        </is>
      </c>
    </row>
    <row r="58">
      <c r="E58" s="51">
        <f>'Data Sheet'!G$56</f>
        <v/>
      </c>
      <c r="F58" s="51">
        <f>'Data Sheet'!H$56</f>
        <v/>
      </c>
      <c r="G58" s="51">
        <f>'Data Sheet'!I$56</f>
        <v/>
      </c>
      <c r="H58" s="51">
        <f>'Data Sheet'!J$56</f>
        <v/>
      </c>
      <c r="I58" s="51">
        <f>'Data Sheet'!K$56</f>
        <v/>
      </c>
    </row>
    <row r="59">
      <c r="B59" t="inlineStr">
        <is>
          <t>Working Capital</t>
        </is>
      </c>
      <c r="E59" s="107">
        <f>'Data Sheet'!G65-'Data Sheet'!G60</f>
        <v/>
      </c>
      <c r="F59" s="107">
        <f>'Data Sheet'!H65-'Data Sheet'!H60</f>
        <v/>
      </c>
      <c r="G59" s="107">
        <f>'Data Sheet'!I65-'Data Sheet'!I60</f>
        <v/>
      </c>
      <c r="H59" s="107">
        <f>'Data Sheet'!J65-'Data Sheet'!J60</f>
        <v/>
      </c>
      <c r="I59" s="107">
        <f>'Data Sheet'!K65-'Data Sheet'!K60</f>
        <v/>
      </c>
    </row>
    <row r="60">
      <c r="B60" t="inlineStr">
        <is>
          <t>Total Assets</t>
        </is>
      </c>
      <c r="E60" s="107">
        <f>'Data Sheet'!G66</f>
        <v/>
      </c>
      <c r="F60" s="107">
        <f>'Data Sheet'!H66</f>
        <v/>
      </c>
      <c r="G60" s="107">
        <f>'Data Sheet'!I66</f>
        <v/>
      </c>
      <c r="H60" s="107">
        <f>'Data Sheet'!J66</f>
        <v/>
      </c>
      <c r="I60" s="107">
        <f>'Data Sheet'!K66</f>
        <v/>
      </c>
    </row>
    <row r="61">
      <c r="B61" s="89" t="inlineStr">
        <is>
          <t>Working Capital / Total assets (A)</t>
        </is>
      </c>
      <c r="C61" s="89" t="n"/>
      <c r="D61" s="89" t="n"/>
      <c r="E61" s="90">
        <f>E59/E60</f>
        <v/>
      </c>
      <c r="F61" s="90">
        <f>F59/F60</f>
        <v/>
      </c>
      <c r="G61" s="90">
        <f>G59/G60</f>
        <v/>
      </c>
      <c r="H61" s="90">
        <f>H59/H60</f>
        <v/>
      </c>
      <c r="I61" s="90">
        <f>I59/I60</f>
        <v/>
      </c>
    </row>
    <row r="63">
      <c r="B63" s="160" t="inlineStr">
        <is>
          <t>Retained Earnings /Total Assets (B)</t>
        </is>
      </c>
    </row>
    <row r="64">
      <c r="E64" s="51">
        <f>'Data Sheet'!G$56</f>
        <v/>
      </c>
      <c r="F64" s="51">
        <f>'Data Sheet'!H$56</f>
        <v/>
      </c>
      <c r="G64" s="51">
        <f>'Data Sheet'!I$56</f>
        <v/>
      </c>
      <c r="H64" s="51">
        <f>'Data Sheet'!J$56</f>
        <v/>
      </c>
      <c r="I64" s="51">
        <f>'Data Sheet'!K$56</f>
        <v/>
      </c>
    </row>
    <row r="65">
      <c r="B65" t="inlineStr">
        <is>
          <t>Retained Earnings</t>
        </is>
      </c>
      <c r="E65" s="107">
        <f>'Data Sheet'!G58</f>
        <v/>
      </c>
      <c r="F65" s="107">
        <f>'Data Sheet'!H58</f>
        <v/>
      </c>
      <c r="G65" s="107">
        <f>'Data Sheet'!I58</f>
        <v/>
      </c>
      <c r="H65" s="107">
        <f>'Data Sheet'!J58</f>
        <v/>
      </c>
      <c r="I65" s="107">
        <f>'Data Sheet'!K58</f>
        <v/>
      </c>
    </row>
    <row r="66">
      <c r="B66" t="inlineStr">
        <is>
          <t>Total Assets</t>
        </is>
      </c>
      <c r="E66" s="107">
        <f>E60</f>
        <v/>
      </c>
      <c r="F66" s="107">
        <f>F60</f>
        <v/>
      </c>
      <c r="G66" s="107">
        <f>G60</f>
        <v/>
      </c>
      <c r="H66" s="107">
        <f>H60</f>
        <v/>
      </c>
      <c r="I66" s="107">
        <f>I60</f>
        <v/>
      </c>
    </row>
    <row r="67">
      <c r="B67" s="89" t="inlineStr">
        <is>
          <t>Retained Earnings /Total Assets (B)</t>
        </is>
      </c>
      <c r="C67" s="89" t="n"/>
      <c r="D67" s="89" t="n"/>
      <c r="E67" s="90">
        <f>E65/E66</f>
        <v/>
      </c>
      <c r="F67" s="90">
        <f>F65/F66</f>
        <v/>
      </c>
      <c r="G67" s="90">
        <f>G65/G66</f>
        <v/>
      </c>
      <c r="H67" s="90">
        <f>H65/H66</f>
        <v/>
      </c>
      <c r="I67" s="90">
        <f>I65/I66</f>
        <v/>
      </c>
    </row>
    <row r="69">
      <c r="B69" s="160" t="inlineStr">
        <is>
          <t>EBIT /Total Assets (C)</t>
        </is>
      </c>
    </row>
    <row r="70">
      <c r="E70" s="51">
        <f>'Data Sheet'!G$56</f>
        <v/>
      </c>
      <c r="F70" s="51">
        <f>'Data Sheet'!H$56</f>
        <v/>
      </c>
      <c r="G70" s="51">
        <f>'Data Sheet'!I$56</f>
        <v/>
      </c>
      <c r="H70" s="51">
        <f>'Data Sheet'!J$56</f>
        <v/>
      </c>
      <c r="I70" s="51">
        <f>'Data Sheet'!K$56</f>
        <v/>
      </c>
    </row>
    <row r="71">
      <c r="B71" t="inlineStr">
        <is>
          <t>EBIT</t>
        </is>
      </c>
      <c r="E71" s="107">
        <f>'Intrinsic Valuation'!H47</f>
        <v/>
      </c>
      <c r="F71" s="107">
        <f>'Intrinsic Valuation'!I47</f>
        <v/>
      </c>
      <c r="G71" s="107">
        <f>'Intrinsic Valuation'!J47</f>
        <v/>
      </c>
      <c r="H71" s="107">
        <f>'Intrinsic Valuation'!K47</f>
        <v/>
      </c>
      <c r="I71" s="107">
        <f>'Intrinsic Valuation'!L47</f>
        <v/>
      </c>
    </row>
    <row r="72">
      <c r="B72" t="inlineStr">
        <is>
          <t>Total Assets</t>
        </is>
      </c>
      <c r="E72" s="107">
        <f>E66</f>
        <v/>
      </c>
      <c r="F72" s="107">
        <f>F66</f>
        <v/>
      </c>
      <c r="G72" s="107">
        <f>G66</f>
        <v/>
      </c>
      <c r="H72" s="107">
        <f>H66</f>
        <v/>
      </c>
      <c r="I72" s="107">
        <f>I66</f>
        <v/>
      </c>
    </row>
    <row r="73">
      <c r="B73" s="89" t="inlineStr">
        <is>
          <t>EBIT /Total Assets (C)</t>
        </is>
      </c>
      <c r="C73" s="89" t="n"/>
      <c r="D73" s="89" t="n"/>
      <c r="E73" s="90">
        <f>E71/E72</f>
        <v/>
      </c>
      <c r="F73" s="90">
        <f>F71/F72</f>
        <v/>
      </c>
      <c r="G73" s="90">
        <f>G71/G72</f>
        <v/>
      </c>
      <c r="H73" s="90">
        <f>H71/H72</f>
        <v/>
      </c>
      <c r="I73" s="90">
        <f>I71/I72</f>
        <v/>
      </c>
    </row>
    <row r="75">
      <c r="B75" s="160" t="inlineStr">
        <is>
          <t>Market Cap /Long Term Liabilities (D)</t>
        </is>
      </c>
    </row>
    <row r="76">
      <c r="E76" s="51">
        <f>'Data Sheet'!G$56</f>
        <v/>
      </c>
      <c r="F76" s="51">
        <f>'Data Sheet'!H$56</f>
        <v/>
      </c>
      <c r="G76" s="51">
        <f>'Data Sheet'!I$56</f>
        <v/>
      </c>
      <c r="H76" s="51">
        <f>'Data Sheet'!J$56</f>
        <v/>
      </c>
      <c r="I76" s="51">
        <f>'Data Sheet'!K$56</f>
        <v/>
      </c>
    </row>
    <row r="77">
      <c r="B77" t="inlineStr">
        <is>
          <t>Market Capital</t>
        </is>
      </c>
      <c r="E77" s="107">
        <f>'Data Sheet'!G90*'Data Sheet'!G93</f>
        <v/>
      </c>
      <c r="F77" s="107">
        <f>'Data Sheet'!H90*'Data Sheet'!H93</f>
        <v/>
      </c>
      <c r="G77" s="107">
        <f>'Data Sheet'!I90*'Data Sheet'!I93</f>
        <v/>
      </c>
      <c r="H77" s="107">
        <f>'Data Sheet'!J90*'Data Sheet'!J93</f>
        <v/>
      </c>
      <c r="I77" s="107">
        <f>'Data Sheet'!K90*'Data Sheet'!K93</f>
        <v/>
      </c>
    </row>
    <row r="78">
      <c r="B78" t="inlineStr">
        <is>
          <t>Long Term Liabilities</t>
        </is>
      </c>
      <c r="E78" s="107">
        <f>SUM('Data Sheet'!G59:G60)</f>
        <v/>
      </c>
      <c r="F78" s="107">
        <f>SUM('Data Sheet'!H59:H60)</f>
        <v/>
      </c>
      <c r="G78" s="107">
        <f>SUM('Data Sheet'!I59:I60)</f>
        <v/>
      </c>
      <c r="H78" s="107">
        <f>SUM('Data Sheet'!J59:J60)</f>
        <v/>
      </c>
      <c r="I78" s="107">
        <f>SUM('Data Sheet'!K59:K60)</f>
        <v/>
      </c>
    </row>
    <row r="79">
      <c r="B79" s="89" t="inlineStr">
        <is>
          <t>Market Cap /Long Term Liabilities (D)</t>
        </is>
      </c>
      <c r="C79" s="89" t="n"/>
      <c r="D79" s="89" t="n"/>
      <c r="E79" s="90">
        <f>E77/E78</f>
        <v/>
      </c>
      <c r="F79" s="90">
        <f>F77/F78</f>
        <v/>
      </c>
      <c r="G79" s="90">
        <f>G77/G78</f>
        <v/>
      </c>
      <c r="H79" s="90">
        <f>H77/H78</f>
        <v/>
      </c>
      <c r="I79" s="90">
        <f>I77/I78</f>
        <v/>
      </c>
    </row>
    <row r="81">
      <c r="B81" s="160" t="inlineStr">
        <is>
          <t>Total Sales /Total Assets (E)</t>
        </is>
      </c>
    </row>
    <row r="82">
      <c r="E82" s="51">
        <f>'Data Sheet'!G$56</f>
        <v/>
      </c>
      <c r="F82" s="51">
        <f>'Data Sheet'!H$56</f>
        <v/>
      </c>
      <c r="G82" s="51">
        <f>'Data Sheet'!I$56</f>
        <v/>
      </c>
      <c r="H82" s="51">
        <f>'Data Sheet'!J$56</f>
        <v/>
      </c>
      <c r="I82" s="51">
        <f>'Data Sheet'!K$56</f>
        <v/>
      </c>
    </row>
    <row r="83">
      <c r="B83" t="inlineStr">
        <is>
          <t>Total Sales</t>
        </is>
      </c>
      <c r="E83" s="107">
        <f>'Data Sheet'!G17</f>
        <v/>
      </c>
      <c r="F83" s="107">
        <f>'Data Sheet'!H17</f>
        <v/>
      </c>
      <c r="G83" s="107">
        <f>'Data Sheet'!I17</f>
        <v/>
      </c>
      <c r="H83" s="107">
        <f>'Data Sheet'!J17</f>
        <v/>
      </c>
      <c r="I83" s="107">
        <f>'Data Sheet'!K17</f>
        <v/>
      </c>
    </row>
    <row r="84">
      <c r="B84" t="inlineStr">
        <is>
          <t>Total Assets</t>
        </is>
      </c>
      <c r="E84" s="107">
        <f>E72</f>
        <v/>
      </c>
      <c r="F84" s="107">
        <f>F72</f>
        <v/>
      </c>
      <c r="G84" s="107">
        <f>G72</f>
        <v/>
      </c>
      <c r="H84" s="107">
        <f>H72</f>
        <v/>
      </c>
      <c r="I84" s="107">
        <f>I72</f>
        <v/>
      </c>
    </row>
    <row r="85">
      <c r="B85" s="89" t="inlineStr">
        <is>
          <t>Total Sales /Total Assets (E)</t>
        </is>
      </c>
      <c r="C85" s="89" t="n"/>
      <c r="D85" s="89" t="n"/>
      <c r="E85" s="91">
        <f>E83/E84</f>
        <v/>
      </c>
      <c r="F85" s="91">
        <f>F83/F84</f>
        <v/>
      </c>
      <c r="G85" s="91">
        <f>G83/G84</f>
        <v/>
      </c>
      <c r="H85" s="91">
        <f>H83/H84</f>
        <v/>
      </c>
      <c r="I85" s="91">
        <f>I83/I84</f>
        <v/>
      </c>
    </row>
    <row r="87">
      <c r="B87" s="160" t="inlineStr">
        <is>
          <t>Altman's Z Score</t>
        </is>
      </c>
    </row>
    <row r="88">
      <c r="E88" s="51">
        <f>'Data Sheet'!G$56</f>
        <v/>
      </c>
      <c r="F88" s="51">
        <f>'Data Sheet'!H$56</f>
        <v/>
      </c>
      <c r="G88" s="51">
        <f>'Data Sheet'!I$56</f>
        <v/>
      </c>
      <c r="H88" s="51">
        <f>'Data Sheet'!J$56</f>
        <v/>
      </c>
      <c r="I88" s="51">
        <f>'Data Sheet'!K$56</f>
        <v/>
      </c>
    </row>
    <row r="89">
      <c r="B89" t="inlineStr">
        <is>
          <t>Final Score</t>
        </is>
      </c>
      <c r="E89" s="76">
        <f>(1.2*E61)+(1.4*E67)+(3.3*E73)+(0.6*E79)+(E85*1)</f>
        <v/>
      </c>
      <c r="F89" s="76">
        <f>(1.2*F61)+(1.4*F67)+(3.3*F73)+(0.6*F79)+(F85*1)</f>
        <v/>
      </c>
      <c r="G89" s="76">
        <f>(1.2*G61)+(1.4*G67)+(3.3*G73)+(0.6*G79)+(G85*1)</f>
        <v/>
      </c>
      <c r="H89" s="76">
        <f>(1.2*H61)+(1.4*H67)+(3.3*H73)+(0.6*H79)+(H85*1)</f>
        <v/>
      </c>
      <c r="I89" s="76">
        <f>(1.2*I61)+(1.4*I67)+(3.3*I73)+(0.6*I79)+(I85*1)</f>
        <v/>
      </c>
    </row>
    <row r="90">
      <c r="B90" t="inlineStr">
        <is>
          <t>Financial Stability</t>
        </is>
      </c>
      <c r="E90" s="93">
        <f>IF(E89&lt;1.81,"Distressed",IF(E89&gt;3,"Strong","Grey Zone"))</f>
        <v/>
      </c>
      <c r="F90" s="93">
        <f>IF(F89&lt;1.81,"Distressed",IF(F89&gt;3,"Strong","Grey Zone"))</f>
        <v/>
      </c>
      <c r="G90" s="93">
        <f>IF(G89&lt;1.81,"Distressed",IF(G89&gt;3,"Strong","Grey Zone"))</f>
        <v/>
      </c>
      <c r="H90" s="93">
        <f>IF(H89&lt;1.81,"Distressed",IF(H89&gt;3,"Strong","Grey Zone"))</f>
        <v/>
      </c>
      <c r="I90" s="93">
        <f>IF(I89&lt;1.81,"Distressed",IF(I89&gt;3,"Strong","Grey Zone"))</f>
        <v/>
      </c>
    </row>
    <row r="91">
      <c r="B91" s="102" t="n"/>
      <c r="C91" s="102" t="n"/>
      <c r="D91" s="102" t="n"/>
      <c r="E91" s="103" t="n"/>
      <c r="F91" s="103" t="n"/>
      <c r="G91" s="103" t="n"/>
      <c r="H91" s="103" t="n"/>
      <c r="I91" s="103" t="n"/>
    </row>
    <row r="93">
      <c r="B93" s="169" t="n"/>
    </row>
    <row r="94">
      <c r="B94" s="93" t="n"/>
      <c r="C94" s="93" t="n"/>
      <c r="D94" s="93" t="n"/>
      <c r="E94" s="104" t="n"/>
      <c r="F94" s="104" t="n"/>
      <c r="G94" s="104" t="n"/>
      <c r="H94" s="104" t="n"/>
      <c r="I94" s="104" t="n"/>
    </row>
    <row r="95">
      <c r="B95" s="93" t="n"/>
      <c r="D95" s="93" t="n"/>
      <c r="E95" s="93" t="n"/>
      <c r="F95" s="93" t="n"/>
      <c r="G95" s="93" t="n"/>
      <c r="H95" s="93" t="n"/>
      <c r="I95" s="93" t="n"/>
    </row>
    <row r="96">
      <c r="B96" s="93" t="n"/>
      <c r="C96" s="93" t="n"/>
      <c r="D96" s="93" t="n"/>
      <c r="E96" s="93" t="n"/>
      <c r="F96" s="93" t="n"/>
      <c r="G96" s="93" t="n"/>
      <c r="H96" s="93" t="n"/>
      <c r="I96" s="93" t="n"/>
    </row>
    <row r="97">
      <c r="B97" s="102" t="n"/>
      <c r="C97" s="102" t="n"/>
      <c r="D97" s="102" t="n"/>
      <c r="E97" s="105" t="n"/>
      <c r="F97" s="105" t="n"/>
      <c r="G97" s="105" t="n"/>
      <c r="H97" s="105" t="n"/>
      <c r="I97" s="105" t="n"/>
    </row>
    <row r="98">
      <c r="B98" s="93" t="n"/>
      <c r="C98" s="93" t="n"/>
      <c r="D98" s="93" t="n"/>
      <c r="E98" s="93" t="n"/>
      <c r="F98" s="93" t="n"/>
      <c r="G98" s="93" t="n"/>
      <c r="H98" s="93" t="n"/>
      <c r="I98" s="93" t="n"/>
    </row>
    <row r="99">
      <c r="B99" s="93" t="n"/>
      <c r="C99" s="93" t="n"/>
      <c r="D99" s="93" t="n"/>
      <c r="E99" s="93" t="n"/>
      <c r="F99" s="93" t="n"/>
      <c r="G99" s="93" t="n"/>
      <c r="H99" s="93" t="n"/>
      <c r="I99" s="93" t="n"/>
    </row>
    <row r="100">
      <c r="B100" s="93" t="n"/>
      <c r="C100" s="93" t="n"/>
      <c r="D100" s="93" t="n"/>
      <c r="E100" s="93" t="n"/>
      <c r="F100" s="93" t="n"/>
      <c r="G100" s="93" t="n"/>
      <c r="H100" s="93" t="n"/>
      <c r="I100" s="93" t="n"/>
    </row>
    <row r="101">
      <c r="B101" s="102" t="n"/>
      <c r="C101" s="102" t="n"/>
      <c r="D101" s="102" t="n"/>
      <c r="E101" s="102" t="n"/>
      <c r="F101" s="102" t="n"/>
      <c r="G101" s="102" t="n"/>
      <c r="H101" s="102" t="n"/>
      <c r="I101" s="102" t="n"/>
    </row>
    <row r="102">
      <c r="B102" s="93" t="n"/>
      <c r="C102" s="93" t="n"/>
      <c r="D102" s="93" t="n"/>
      <c r="E102" s="93" t="n"/>
      <c r="F102" s="93" t="n"/>
      <c r="G102" s="93" t="n"/>
      <c r="H102" s="93" t="n"/>
      <c r="I102" s="93" t="n"/>
    </row>
    <row r="103">
      <c r="B103" s="102" t="n"/>
      <c r="C103" s="102" t="n"/>
      <c r="D103" s="102" t="n"/>
      <c r="E103" s="103" t="n"/>
      <c r="F103" s="103" t="n"/>
      <c r="G103" s="103" t="n"/>
      <c r="H103" s="103" t="n"/>
      <c r="I103" s="103" t="n"/>
    </row>
  </sheetData>
  <mergeCells count="14">
    <mergeCell ref="B8:I11"/>
    <mergeCell ref="B36:I37"/>
    <mergeCell ref="B75:I75"/>
    <mergeCell ref="B69:I69"/>
    <mergeCell ref="B87:I87"/>
    <mergeCell ref="B46:I47"/>
    <mergeCell ref="B81:I81"/>
    <mergeCell ref="B42:I43"/>
    <mergeCell ref="B40:I41"/>
    <mergeCell ref="B38:I39"/>
    <mergeCell ref="B63:I63"/>
    <mergeCell ref="B44:I45"/>
    <mergeCell ref="B57:I57"/>
    <mergeCell ref="B93:I93"/>
  </mergeCells>
  <pageMargins left="0.7" right="0.7" top="0.75" bottom="0.75" header="0.3" footer="0.3"/>
  <drawing xmlns:r="http://schemas.openxmlformats.org/officeDocument/2006/relationships" r:id="rId1"/>
</worksheet>
</file>

<file path=xl/worksheets/sheet21.xml><?xml version="1.0" encoding="utf-8"?>
<worksheet xmlns="http://schemas.openxmlformats.org/spreadsheetml/2006/main">
  <sheetPr>
    <outlinePr summaryBelow="1" summaryRight="1"/>
    <pageSetUpPr/>
  </sheetPr>
  <dimension ref="B3:BF66"/>
  <sheetViews>
    <sheetView showGridLines="0" topLeftCell="Q1" workbookViewId="0">
      <pane ySplit="3" topLeftCell="A4" activePane="bottomLeft" state="frozen"/>
      <selection pane="bottomLeft" activeCell="R18" sqref="R18:AD45"/>
    </sheetView>
  </sheetViews>
  <sheetFormatPr baseColWidth="8" defaultRowHeight="14.4"/>
  <cols>
    <col width="1.88671875" customWidth="1" style="109" min="1" max="1"/>
    <col width="22.77734375" bestFit="1" customWidth="1" style="109" min="2" max="2"/>
    <col width="9.44140625" customWidth="1" style="109" min="12" max="12"/>
    <col width="22.77734375" bestFit="1" customWidth="1" style="109" min="17" max="17"/>
    <col width="25.77734375" bestFit="1" customWidth="1" style="109" min="18" max="18"/>
    <col width="14.77734375" customWidth="1" style="109" min="46" max="46"/>
    <col width="11.6640625" customWidth="1" style="109" min="47" max="47"/>
    <col width="12.6640625" customWidth="1" style="109" min="48" max="48"/>
    <col width="13.21875" customWidth="1" style="109" min="50" max="50"/>
  </cols>
  <sheetData>
    <row r="3">
      <c r="B3" s="84" t="inlineStr">
        <is>
          <t>Particulars</t>
        </is>
      </c>
      <c r="C3" s="40" t="inlineStr">
        <is>
          <t>Mar 2015</t>
        </is>
      </c>
      <c r="D3" s="40" t="inlineStr">
        <is>
          <t>Mar 2016</t>
        </is>
      </c>
      <c r="E3" s="40" t="inlineStr">
        <is>
          <t>Mar 2017</t>
        </is>
      </c>
      <c r="F3" s="40" t="inlineStr">
        <is>
          <t>Mar 2018</t>
        </is>
      </c>
      <c r="G3" s="40" t="inlineStr">
        <is>
          <t>Mar 2019</t>
        </is>
      </c>
      <c r="H3" s="40" t="inlineStr">
        <is>
          <t>Mar 2020</t>
        </is>
      </c>
      <c r="I3" s="40" t="inlineStr">
        <is>
          <t>Mar 2021</t>
        </is>
      </c>
      <c r="J3" s="40" t="inlineStr">
        <is>
          <t>Mar 2022</t>
        </is>
      </c>
      <c r="K3" s="40" t="inlineStr">
        <is>
          <t>Mar 2023</t>
        </is>
      </c>
      <c r="L3" s="40" t="inlineStr">
        <is>
          <t>Mar 2024</t>
        </is>
      </c>
      <c r="M3" s="40" t="inlineStr">
        <is>
          <t>Mar 2025</t>
        </is>
      </c>
      <c r="N3" s="40" t="inlineStr">
        <is>
          <t>Mar 2026</t>
        </is>
      </c>
      <c r="O3" s="40" t="n"/>
      <c r="S3" s="35" t="inlineStr">
        <is>
          <t>Mar 2015</t>
        </is>
      </c>
      <c r="T3" s="35" t="inlineStr">
        <is>
          <t>Mar 2016</t>
        </is>
      </c>
      <c r="U3" s="35" t="inlineStr">
        <is>
          <t>Mar 2017</t>
        </is>
      </c>
      <c r="V3" s="35" t="inlineStr">
        <is>
          <t>Mar 2018</t>
        </is>
      </c>
      <c r="W3" s="35" t="inlineStr">
        <is>
          <t>Mar 2019</t>
        </is>
      </c>
      <c r="X3" s="35" t="inlineStr">
        <is>
          <t>Mar 2020</t>
        </is>
      </c>
      <c r="Y3" s="35" t="inlineStr">
        <is>
          <t>Mar 2021</t>
        </is>
      </c>
      <c r="Z3" s="35" t="inlineStr">
        <is>
          <t>Mar 2022</t>
        </is>
      </c>
      <c r="AA3" s="35" t="inlineStr">
        <is>
          <t>Mar 2023</t>
        </is>
      </c>
      <c r="AB3" s="35" t="inlineStr">
        <is>
          <t>Mar 2024</t>
        </is>
      </c>
      <c r="AC3" s="35" t="inlineStr">
        <is>
          <t>Mar 2025</t>
        </is>
      </c>
      <c r="AD3" s="35" t="inlineStr">
        <is>
          <t>Mar 2026</t>
        </is>
      </c>
      <c r="AE3" t="inlineStr">
        <is>
          <t>TTM</t>
        </is>
      </c>
    </row>
    <row r="4">
      <c r="C4" s="35" t="n"/>
      <c r="D4" s="35" t="n"/>
      <c r="E4" s="35" t="n"/>
      <c r="F4" s="35" t="n"/>
      <c r="G4" s="35" t="n"/>
      <c r="H4" s="35" t="n"/>
      <c r="I4" s="35" t="n"/>
      <c r="J4" s="35" t="n"/>
      <c r="K4" s="35" t="n"/>
      <c r="L4" s="35" t="n"/>
      <c r="M4" s="35" t="n"/>
      <c r="N4" s="35" t="n"/>
      <c r="O4" s="35" t="n"/>
      <c r="R4" t="inlineStr">
        <is>
          <t>Sales +</t>
        </is>
      </c>
      <c r="S4" s="73" t="n">
        <v>53319</v>
      </c>
      <c r="T4" s="73" t="n">
        <v>62441</v>
      </c>
      <c r="U4" s="73" t="n">
        <v>68484</v>
      </c>
      <c r="V4" s="73" t="n">
        <v>70522</v>
      </c>
      <c r="W4" s="73" t="n">
        <v>82675</v>
      </c>
      <c r="X4" s="73" t="n">
        <v>90791</v>
      </c>
      <c r="Y4" s="73" t="n">
        <v>100472</v>
      </c>
      <c r="Z4" s="73" t="n">
        <v>121641</v>
      </c>
      <c r="AA4" s="73" t="n">
        <v>146767</v>
      </c>
      <c r="AB4" s="73" t="n">
        <v>153670</v>
      </c>
      <c r="AC4" s="73" t="n">
        <v>162990</v>
      </c>
      <c r="AD4" s="73" t="n">
        <v>178650</v>
      </c>
      <c r="AE4" s="73" t="n">
        <v>184582</v>
      </c>
    </row>
    <row r="5">
      <c r="B5" s="35" t="inlineStr">
        <is>
          <t>Equity Capital</t>
        </is>
      </c>
      <c r="C5" t="n">
        <v>572</v>
      </c>
      <c r="D5" s="47" t="n">
        <v>1144</v>
      </c>
      <c r="E5" s="47" t="n">
        <v>1144</v>
      </c>
      <c r="F5" s="47" t="n">
        <v>1088</v>
      </c>
      <c r="G5" s="47" t="n">
        <v>2170</v>
      </c>
      <c r="H5" s="47" t="n">
        <v>2122</v>
      </c>
      <c r="I5" s="47" t="n">
        <v>2124</v>
      </c>
      <c r="J5" s="47" t="n">
        <v>2098</v>
      </c>
      <c r="K5" s="47" t="n">
        <v>2069</v>
      </c>
      <c r="L5" s="47" t="n">
        <v>2071</v>
      </c>
      <c r="M5" s="47" t="n">
        <v>2073</v>
      </c>
      <c r="N5" s="47" t="n">
        <v>2024</v>
      </c>
      <c r="R5" t="inlineStr">
        <is>
          <t>Expenses +</t>
        </is>
      </c>
      <c r="S5" s="73" t="n">
        <v>38436</v>
      </c>
      <c r="T5" s="73" t="n">
        <v>45362</v>
      </c>
      <c r="U5" s="73" t="n">
        <v>49880</v>
      </c>
      <c r="V5" s="73" t="n">
        <v>51700</v>
      </c>
      <c r="W5" s="73" t="n">
        <v>62505</v>
      </c>
      <c r="X5" s="73" t="n">
        <v>68524</v>
      </c>
      <c r="Y5" s="73" t="n">
        <v>72583</v>
      </c>
      <c r="Z5" s="73" t="n">
        <v>90150</v>
      </c>
      <c r="AA5" s="73" t="n">
        <v>111637</v>
      </c>
      <c r="AB5" s="73" t="n">
        <v>117245</v>
      </c>
      <c r="AC5" s="73" t="n">
        <v>123754</v>
      </c>
      <c r="AD5" s="73" t="n">
        <v>136370</v>
      </c>
      <c r="AE5" s="73" t="n">
        <v>140837</v>
      </c>
    </row>
    <row r="6">
      <c r="B6" t="inlineStr">
        <is>
          <t>Reserves</t>
        </is>
      </c>
      <c r="C6" s="73" t="n">
        <v>50164</v>
      </c>
      <c r="D6" s="73" t="n">
        <v>60600</v>
      </c>
      <c r="E6" s="73" t="n">
        <v>67838</v>
      </c>
      <c r="F6" s="73" t="n">
        <v>63835</v>
      </c>
      <c r="G6" s="73" t="n">
        <v>62778</v>
      </c>
      <c r="H6" s="73" t="n">
        <v>63328</v>
      </c>
      <c r="I6" s="73" t="n">
        <v>74227</v>
      </c>
      <c r="J6" s="73" t="n">
        <v>73252</v>
      </c>
      <c r="K6" s="73" t="n">
        <v>73338</v>
      </c>
      <c r="L6" s="73" t="n">
        <v>86045</v>
      </c>
      <c r="M6" s="73" t="n">
        <v>93745</v>
      </c>
      <c r="N6" s="73" t="n">
        <v>90828</v>
      </c>
      <c r="O6" s="73" t="n"/>
      <c r="R6" t="inlineStr">
        <is>
          <t>Operating Profit</t>
        </is>
      </c>
      <c r="S6" s="73" t="n">
        <v>14883</v>
      </c>
      <c r="T6" s="73" t="n">
        <v>17079</v>
      </c>
      <c r="U6" s="73" t="n">
        <v>18604</v>
      </c>
      <c r="V6" s="73" t="n">
        <v>18822</v>
      </c>
      <c r="W6" s="73" t="n">
        <v>20170</v>
      </c>
      <c r="X6" s="73" t="n">
        <v>22267</v>
      </c>
      <c r="Y6" s="73" t="n">
        <v>27889</v>
      </c>
      <c r="Z6" s="73" t="n">
        <v>31491</v>
      </c>
      <c r="AA6" s="73" t="n">
        <v>35130</v>
      </c>
      <c r="AB6" s="73" t="n">
        <v>36425</v>
      </c>
      <c r="AC6" s="73" t="n">
        <v>39236</v>
      </c>
      <c r="AD6" s="73" t="n">
        <v>42280</v>
      </c>
      <c r="AE6" s="73" t="n">
        <v>43745</v>
      </c>
    </row>
    <row r="7">
      <c r="B7" s="73" t="inlineStr">
        <is>
          <t>Borrowings -</t>
        </is>
      </c>
      <c r="C7" s="73" t="n">
        <v>0</v>
      </c>
      <c r="D7" s="73" t="n">
        <v>0</v>
      </c>
      <c r="E7" s="73" t="n">
        <v>0</v>
      </c>
      <c r="F7" s="73" t="n">
        <v>0</v>
      </c>
      <c r="G7" s="73" t="n">
        <v>0</v>
      </c>
      <c r="H7" s="73" t="n">
        <v>4633</v>
      </c>
      <c r="I7" s="73" t="n">
        <v>5325</v>
      </c>
      <c r="J7" s="73" t="n">
        <v>5474</v>
      </c>
      <c r="K7" s="73" t="n">
        <v>8299</v>
      </c>
      <c r="L7" s="73" t="n">
        <v>8359</v>
      </c>
      <c r="M7" s="73" t="n">
        <v>8227</v>
      </c>
      <c r="N7" s="73" t="n">
        <v>9176</v>
      </c>
      <c r="O7" s="73" t="n"/>
      <c r="R7" t="inlineStr">
        <is>
          <t>OPM %</t>
        </is>
      </c>
      <c r="S7" s="75" t="n">
        <v>28</v>
      </c>
      <c r="T7" s="75" t="n">
        <v>27</v>
      </c>
      <c r="U7" s="75" t="n">
        <v>27</v>
      </c>
      <c r="V7" s="75" t="n">
        <v>27</v>
      </c>
      <c r="W7" s="75" t="n">
        <v>24</v>
      </c>
      <c r="X7" s="75" t="n">
        <v>25</v>
      </c>
      <c r="Y7" s="75" t="n">
        <v>28</v>
      </c>
      <c r="Z7" s="75" t="n">
        <v>26</v>
      </c>
      <c r="AA7" s="75" t="n">
        <v>24</v>
      </c>
      <c r="AB7" s="75" t="n">
        <v>24</v>
      </c>
      <c r="AC7" s="75" t="n">
        <v>24</v>
      </c>
      <c r="AD7" s="75" t="n">
        <v>24</v>
      </c>
      <c r="AE7" s="75" t="n">
        <v>24</v>
      </c>
    </row>
    <row r="8">
      <c r="B8" s="73" t="inlineStr">
        <is>
          <t>Long term Borrowings</t>
        </is>
      </c>
      <c r="C8" s="73" t="n">
        <v>61</v>
      </c>
      <c r="D8" s="73" t="n">
        <v>27</v>
      </c>
      <c r="E8" s="73" t="n">
        <v>18</v>
      </c>
      <c r="F8" s="73" t="n">
        <v>12</v>
      </c>
      <c r="G8" s="73" t="n">
        <v>8</v>
      </c>
      <c r="H8" s="73" t="n">
        <v>6</v>
      </c>
      <c r="I8" s="73" t="n">
        <v>6</v>
      </c>
      <c r="J8" s="73" t="n">
        <v>5</v>
      </c>
      <c r="K8" s="73" t="n">
        <v>3</v>
      </c>
      <c r="L8" s="73" t="n">
        <v>2</v>
      </c>
      <c r="M8" s="73" t="n">
        <v>0</v>
      </c>
      <c r="N8" s="73" t="n">
        <v>60</v>
      </c>
      <c r="R8" t="inlineStr">
        <is>
          <t>Other Income +</t>
        </is>
      </c>
      <c r="S8" s="73" t="n">
        <v>3430</v>
      </c>
      <c r="T8" s="73" t="n">
        <v>3120</v>
      </c>
      <c r="U8" s="73" t="n">
        <v>3050</v>
      </c>
      <c r="V8" s="73" t="n">
        <v>3311</v>
      </c>
      <c r="W8" s="73" t="n">
        <v>2882</v>
      </c>
      <c r="X8" s="73" t="n">
        <v>2803</v>
      </c>
      <c r="Y8" s="73" t="n">
        <v>2201</v>
      </c>
      <c r="Z8" s="73" t="n">
        <v>2295</v>
      </c>
      <c r="AA8" s="73" t="n">
        <v>2701</v>
      </c>
      <c r="AB8" s="73" t="n">
        <v>4711</v>
      </c>
      <c r="AC8" s="73" t="n">
        <v>3600</v>
      </c>
      <c r="AD8" s="73" t="n">
        <v>3033</v>
      </c>
      <c r="AE8" s="73" t="n">
        <v>2975</v>
      </c>
    </row>
    <row r="9">
      <c r="B9" t="inlineStr">
        <is>
          <t>Short term Borrowings</t>
        </is>
      </c>
      <c r="C9" t="n">
        <v>195</v>
      </c>
      <c r="D9" t="n">
        <v>44</v>
      </c>
      <c r="E9" t="n">
        <v>19</v>
      </c>
      <c r="F9" t="n">
        <v>17</v>
      </c>
      <c r="G9" t="n">
        <v>2</v>
      </c>
      <c r="H9" t="n">
        <v>1</v>
      </c>
      <c r="I9" t="n">
        <v>4</v>
      </c>
      <c r="J9" t="n">
        <v>1</v>
      </c>
      <c r="K9" t="n">
        <v>35</v>
      </c>
      <c r="L9" t="n">
        <v>10</v>
      </c>
      <c r="M9" t="n">
        <v>91</v>
      </c>
      <c r="N9" s="73" t="n">
        <v>2126</v>
      </c>
      <c r="R9" t="inlineStr">
        <is>
          <t>Interest</t>
        </is>
      </c>
      <c r="S9" t="n">
        <v>12</v>
      </c>
      <c r="T9" t="n">
        <v>0</v>
      </c>
      <c r="U9" t="n">
        <v>0</v>
      </c>
      <c r="V9" t="n">
        <v>0</v>
      </c>
      <c r="W9" t="n">
        <v>0</v>
      </c>
      <c r="X9" t="n">
        <v>170</v>
      </c>
      <c r="Y9" t="n">
        <v>195</v>
      </c>
      <c r="Z9" t="n">
        <v>200</v>
      </c>
      <c r="AA9" t="n">
        <v>284</v>
      </c>
      <c r="AB9" t="n">
        <v>470</v>
      </c>
      <c r="AC9" t="n">
        <v>416</v>
      </c>
      <c r="AD9" t="n">
        <v>416</v>
      </c>
      <c r="AE9" t="n">
        <v>430</v>
      </c>
    </row>
    <row r="10">
      <c r="B10" t="inlineStr">
        <is>
          <t>Lease Liabilities</t>
        </is>
      </c>
      <c r="C10" t="n">
        <v>0</v>
      </c>
      <c r="D10" t="n">
        <v>0</v>
      </c>
      <c r="E10" t="n">
        <v>0</v>
      </c>
      <c r="F10" t="n">
        <v>0</v>
      </c>
      <c r="G10" t="n">
        <v>0</v>
      </c>
      <c r="H10" t="n">
        <v>4633</v>
      </c>
      <c r="I10" t="n">
        <v>5325</v>
      </c>
      <c r="J10" t="n">
        <v>5474</v>
      </c>
      <c r="K10" t="n">
        <v>8299</v>
      </c>
      <c r="L10" t="n">
        <v>8359</v>
      </c>
      <c r="M10" t="n">
        <v>8227</v>
      </c>
      <c r="N10" t="n">
        <v>9176</v>
      </c>
      <c r="O10" s="73" t="n"/>
      <c r="R10" t="inlineStr">
        <is>
          <t>Depreciation</t>
        </is>
      </c>
      <c r="S10" s="73" t="n">
        <v>1017</v>
      </c>
      <c r="T10" s="73" t="n">
        <v>1459</v>
      </c>
      <c r="U10" s="73" t="n">
        <v>1703</v>
      </c>
      <c r="V10" s="73" t="n">
        <v>1863</v>
      </c>
      <c r="W10" s="73" t="n">
        <v>2011</v>
      </c>
      <c r="X10" s="73" t="n">
        <v>2893</v>
      </c>
      <c r="Y10" s="73" t="n">
        <v>3267</v>
      </c>
      <c r="Z10" s="73" t="n">
        <v>3476</v>
      </c>
      <c r="AA10" s="73" t="n">
        <v>4225</v>
      </c>
      <c r="AB10" s="73" t="n">
        <v>4678</v>
      </c>
      <c r="AC10" s="73" t="n">
        <v>4812</v>
      </c>
      <c r="AD10" s="73" t="n">
        <v>4902</v>
      </c>
      <c r="AE10" s="73" t="n">
        <v>5007</v>
      </c>
    </row>
    <row r="11">
      <c r="B11" s="73" t="inlineStr">
        <is>
          <t>Other Borrowings</t>
        </is>
      </c>
      <c r="C11" s="73" t="n">
        <v>13</v>
      </c>
      <c r="D11" s="73" t="n">
        <v>13</v>
      </c>
      <c r="E11" s="73" t="n">
        <v>8</v>
      </c>
      <c r="F11" s="73" t="n">
        <v>7</v>
      </c>
      <c r="G11" s="73" t="n">
        <v>3</v>
      </c>
      <c r="H11" s="73" t="n">
        <v>2</v>
      </c>
      <c r="I11" s="73" t="n">
        <v>0</v>
      </c>
      <c r="J11" s="73" t="n">
        <v>0</v>
      </c>
      <c r="K11" s="73" t="n">
        <v>0</v>
      </c>
      <c r="L11" s="73" t="n">
        <v>0</v>
      </c>
      <c r="M11" s="73" t="n">
        <v>0</v>
      </c>
      <c r="N11" s="73" t="n">
        <v>0</v>
      </c>
      <c r="O11" s="73" t="n"/>
      <c r="R11" t="inlineStr">
        <is>
          <t>Profit before tax</t>
        </is>
      </c>
      <c r="S11" s="73" t="n">
        <v>17284</v>
      </c>
      <c r="T11" s="73" t="n">
        <v>18740</v>
      </c>
      <c r="U11" s="73" t="n">
        <v>19951</v>
      </c>
      <c r="V11" s="73" t="n">
        <v>20270</v>
      </c>
      <c r="W11" s="73" t="n">
        <v>21041</v>
      </c>
      <c r="X11" s="73" t="n">
        <v>22007</v>
      </c>
      <c r="Y11" s="73" t="n">
        <v>26628</v>
      </c>
      <c r="Z11" s="73" t="n">
        <v>30110</v>
      </c>
      <c r="AA11" s="73" t="n">
        <v>33322</v>
      </c>
      <c r="AB11" s="73" t="n">
        <v>35988</v>
      </c>
      <c r="AC11" s="73" t="n">
        <v>37608</v>
      </c>
      <c r="AD11" s="73" t="n">
        <v>39995</v>
      </c>
      <c r="AE11" s="73" t="n">
        <v>41283</v>
      </c>
    </row>
    <row r="12">
      <c r="B12" s="73" t="inlineStr">
        <is>
          <t>Other Liabilities -</t>
        </is>
      </c>
      <c r="C12" s="73" t="n">
        <v>15553</v>
      </c>
      <c r="D12" s="73" t="n">
        <v>13354</v>
      </c>
      <c r="E12" s="73" t="n">
        <v>14166</v>
      </c>
      <c r="F12" s="73" t="n">
        <v>14426</v>
      </c>
      <c r="G12" s="73" t="n">
        <v>19118</v>
      </c>
      <c r="H12" s="73" t="n">
        <v>21717</v>
      </c>
      <c r="I12" s="73" t="n">
        <v>25835</v>
      </c>
      <c r="J12" s="73" t="n">
        <v>35905</v>
      </c>
      <c r="K12" s="73" t="n">
        <v>40890</v>
      </c>
      <c r="L12" s="73" t="n">
        <v>39545</v>
      </c>
      <c r="M12" s="73" t="n">
        <v>43750</v>
      </c>
      <c r="N12" s="73" t="n">
        <v>52260</v>
      </c>
      <c r="R12" t="inlineStr">
        <is>
          <t>Tax %</t>
        </is>
      </c>
      <c r="S12" s="75" t="n">
        <v>28</v>
      </c>
      <c r="T12" s="75" t="n">
        <v>28</v>
      </c>
      <c r="U12" s="75" t="n">
        <v>28</v>
      </c>
      <c r="V12" s="75" t="n">
        <v>21</v>
      </c>
      <c r="W12" s="75" t="n">
        <v>27</v>
      </c>
      <c r="X12" s="75" t="n">
        <v>24</v>
      </c>
      <c r="Y12" s="75" t="n">
        <v>27</v>
      </c>
      <c r="Z12" s="75" t="n">
        <v>26</v>
      </c>
      <c r="AA12" s="75" t="n">
        <v>28</v>
      </c>
      <c r="AB12" s="75" t="n">
        <v>27</v>
      </c>
      <c r="AC12" s="75" t="n">
        <v>29</v>
      </c>
      <c r="AD12" s="75" t="n">
        <v>26</v>
      </c>
      <c r="AE12" t="n">
        <v>0</v>
      </c>
    </row>
    <row r="13">
      <c r="B13" t="inlineStr">
        <is>
          <t>Non controlling int</t>
        </is>
      </c>
      <c r="C13" t="n">
        <v>0</v>
      </c>
      <c r="D13" t="n">
        <v>0</v>
      </c>
      <c r="E13" t="n">
        <v>0</v>
      </c>
      <c r="F13" t="n">
        <v>1</v>
      </c>
      <c r="G13" t="n">
        <v>58</v>
      </c>
      <c r="H13" t="n">
        <v>394</v>
      </c>
      <c r="I13" t="n">
        <v>431</v>
      </c>
      <c r="J13" t="n">
        <v>386</v>
      </c>
      <c r="K13" t="n">
        <v>388</v>
      </c>
      <c r="L13" t="n">
        <v>345</v>
      </c>
      <c r="M13" t="n">
        <v>385</v>
      </c>
      <c r="N13" t="n">
        <v>445</v>
      </c>
      <c r="O13" s="73" t="n"/>
      <c r="R13" t="inlineStr">
        <is>
          <t>Net Profit +</t>
        </is>
      </c>
      <c r="S13" s="73" t="n">
        <v>12372</v>
      </c>
      <c r="T13" s="73" t="n">
        <v>13489</v>
      </c>
      <c r="U13" s="73" t="n">
        <v>14353</v>
      </c>
      <c r="V13" s="73" t="n">
        <v>16029</v>
      </c>
      <c r="W13" s="73" t="n">
        <v>15410</v>
      </c>
      <c r="X13" s="73" t="n">
        <v>16639</v>
      </c>
      <c r="Y13" s="73" t="n">
        <v>19423</v>
      </c>
      <c r="Z13" s="73" t="n">
        <v>22146</v>
      </c>
      <c r="AA13" s="73" t="n">
        <v>24108</v>
      </c>
      <c r="AB13" s="73" t="n">
        <v>26248</v>
      </c>
      <c r="AC13" s="73" t="n">
        <v>26750</v>
      </c>
      <c r="AD13" s="73" t="n">
        <v>29474</v>
      </c>
      <c r="AE13" s="73" t="n">
        <v>30325</v>
      </c>
    </row>
    <row r="14">
      <c r="B14" s="73" t="inlineStr">
        <is>
          <t>Trade Payables</t>
        </is>
      </c>
      <c r="C14" s="73" t="n">
        <v>140</v>
      </c>
      <c r="D14" s="73" t="n">
        <v>386</v>
      </c>
      <c r="E14" s="73" t="n">
        <v>367</v>
      </c>
      <c r="F14" s="73" t="n">
        <v>694</v>
      </c>
      <c r="G14" s="73" t="n">
        <v>1655</v>
      </c>
      <c r="H14" s="73" t="n">
        <v>2852</v>
      </c>
      <c r="I14" s="73" t="n">
        <v>2645</v>
      </c>
      <c r="J14" s="73" t="n">
        <v>4134</v>
      </c>
      <c r="K14" s="73" t="n">
        <v>3865</v>
      </c>
      <c r="L14" s="73" t="n">
        <v>3956</v>
      </c>
      <c r="M14" s="73" t="n">
        <v>4164</v>
      </c>
      <c r="N14" s="73" t="n">
        <v>4744</v>
      </c>
      <c r="S14" t="n">
        <v>26.93</v>
      </c>
      <c r="T14" t="n">
        <v>29.36</v>
      </c>
      <c r="U14" t="n">
        <v>31.24</v>
      </c>
      <c r="V14" t="n">
        <v>36.69</v>
      </c>
      <c r="W14" t="n">
        <v>35.26</v>
      </c>
      <c r="X14" t="n">
        <v>38.96</v>
      </c>
      <c r="Y14" t="n">
        <v>45.42</v>
      </c>
      <c r="Z14" t="n">
        <v>52.56</v>
      </c>
      <c r="AA14" t="n">
        <v>58.08</v>
      </c>
      <c r="AB14" t="n">
        <v>63.2</v>
      </c>
      <c r="AC14" t="n">
        <v>64.31999999999999</v>
      </c>
      <c r="AD14" t="n">
        <v>72.59</v>
      </c>
      <c r="AE14" t="n">
        <v>74.25</v>
      </c>
    </row>
    <row r="15">
      <c r="B15" t="inlineStr">
        <is>
          <t>Advance from Customers</t>
        </is>
      </c>
      <c r="C15" t="n">
        <v>27</v>
      </c>
      <c r="D15" t="n">
        <v>28</v>
      </c>
      <c r="E15" t="n">
        <v>0</v>
      </c>
      <c r="F15" t="n">
        <v>0</v>
      </c>
      <c r="G15" t="n">
        <v>0</v>
      </c>
      <c r="H15" t="n">
        <v>0</v>
      </c>
      <c r="I15" t="n">
        <v>0</v>
      </c>
      <c r="J15" s="73" t="n">
        <v>0</v>
      </c>
      <c r="K15" s="73" t="n">
        <v>0</v>
      </c>
      <c r="L15" t="n">
        <v>0</v>
      </c>
      <c r="M15" s="73" t="n">
        <v>0</v>
      </c>
      <c r="N15" s="73" t="n">
        <v>0</v>
      </c>
      <c r="O15" s="73" t="n"/>
      <c r="S15" t="n">
        <v>55</v>
      </c>
      <c r="T15" t="n">
        <v>41</v>
      </c>
      <c r="U15" t="n">
        <v>41</v>
      </c>
      <c r="V15" t="n">
        <v>59</v>
      </c>
      <c r="W15" t="n">
        <v>60</v>
      </c>
      <c r="X15" t="n">
        <v>45</v>
      </c>
      <c r="Y15" t="n">
        <v>59</v>
      </c>
      <c r="Z15" t="n">
        <v>59</v>
      </c>
      <c r="AA15" t="n">
        <v>58</v>
      </c>
      <c r="AB15" t="n">
        <v>73</v>
      </c>
      <c r="AC15" t="n">
        <v>67</v>
      </c>
      <c r="AD15" t="n">
        <v>66</v>
      </c>
      <c r="AE15" t="n">
        <v>0</v>
      </c>
    </row>
    <row r="16">
      <c r="B16" s="73" t="inlineStr">
        <is>
          <t>Other liability items</t>
        </is>
      </c>
      <c r="C16" s="73" t="n">
        <v>15386</v>
      </c>
      <c r="D16" s="73" t="n">
        <v>12940</v>
      </c>
      <c r="E16" s="73" t="n">
        <v>13799</v>
      </c>
      <c r="F16" s="73" t="n">
        <v>13731</v>
      </c>
      <c r="G16" s="73" t="n">
        <v>17405</v>
      </c>
      <c r="H16" s="73" t="n">
        <v>18471</v>
      </c>
      <c r="I16" s="73" t="n">
        <v>22759</v>
      </c>
      <c r="J16" s="73" t="n">
        <v>31385</v>
      </c>
      <c r="K16" s="73" t="n">
        <v>36637</v>
      </c>
      <c r="L16" s="73" t="n">
        <v>35244</v>
      </c>
      <c r="M16" s="73" t="n">
        <v>39201</v>
      </c>
      <c r="N16" s="73" t="n">
        <v>47071</v>
      </c>
      <c r="O16" s="73" t="n"/>
    </row>
    <row r="17">
      <c r="C17" s="73" t="n"/>
      <c r="D17" s="73" t="n"/>
      <c r="E17" s="73" t="n"/>
      <c r="F17" s="73" t="n"/>
      <c r="G17" s="73" t="n"/>
      <c r="H17" s="73" t="n"/>
      <c r="I17" s="73" t="n"/>
      <c r="J17" s="73" t="n"/>
      <c r="K17" s="73" t="n"/>
      <c r="L17" s="73" t="n"/>
      <c r="M17" s="73" t="n"/>
      <c r="N17" s="73" t="n"/>
      <c r="O17" s="73" t="n"/>
    </row>
    <row r="18">
      <c r="B18" s="57" t="inlineStr">
        <is>
          <t>Total Liabilities</t>
        </is>
      </c>
      <c r="C18" s="71" t="n">
        <v>66289</v>
      </c>
      <c r="D18" s="71" t="n">
        <v>75098</v>
      </c>
      <c r="E18" s="71" t="n">
        <v>83148</v>
      </c>
      <c r="F18" s="71" t="n">
        <v>79349</v>
      </c>
      <c r="G18" s="71" t="n">
        <v>84066</v>
      </c>
      <c r="H18" s="71" t="n">
        <v>91800</v>
      </c>
      <c r="I18" s="71" t="n">
        <v>107511</v>
      </c>
      <c r="J18" s="71" t="n">
        <v>116729</v>
      </c>
      <c r="K18" s="71" t="n">
        <v>124596</v>
      </c>
      <c r="L18" s="71" t="n">
        <v>136020</v>
      </c>
      <c r="M18" s="71" t="n">
        <v>147795</v>
      </c>
      <c r="N18" s="71" t="n">
        <v>154288</v>
      </c>
      <c r="O18" s="73" t="n"/>
      <c r="S18" s="35" t="n">
        <v>42064</v>
      </c>
      <c r="T18" s="35" t="n">
        <v>42430</v>
      </c>
      <c r="U18" s="35" t="n">
        <v>42795</v>
      </c>
      <c r="V18" s="35" t="n">
        <v>43160</v>
      </c>
      <c r="W18" s="35" t="n">
        <v>43525</v>
      </c>
      <c r="X18" s="35" t="n">
        <v>43891</v>
      </c>
      <c r="Y18" s="35" t="n">
        <v>44256</v>
      </c>
      <c r="Z18" s="35" t="n">
        <v>44621</v>
      </c>
      <c r="AA18" s="35" t="n">
        <v>44986</v>
      </c>
      <c r="AB18" s="35" t="n">
        <v>45352</v>
      </c>
      <c r="AC18" s="35" t="n">
        <v>45717</v>
      </c>
      <c r="AD18" s="35" t="n">
        <v>46082</v>
      </c>
    </row>
    <row r="19">
      <c r="C19" s="73" t="n"/>
      <c r="D19" s="73" t="n"/>
      <c r="E19" s="73" t="n"/>
      <c r="F19" s="73" t="n"/>
      <c r="G19" s="73" t="n"/>
      <c r="H19" s="73" t="n"/>
      <c r="I19" s="73" t="n"/>
      <c r="J19" s="73" t="n"/>
      <c r="K19" s="73" t="n"/>
      <c r="L19" s="73" t="n"/>
      <c r="M19" s="73" t="n"/>
      <c r="N19" s="73" t="n"/>
      <c r="O19" s="73" t="n"/>
      <c r="R19" t="inlineStr">
        <is>
          <t>Cash from Operating Activity -</t>
        </is>
      </c>
      <c r="S19" s="73" t="n">
        <v>8353</v>
      </c>
      <c r="T19" s="73" t="n">
        <v>10028</v>
      </c>
      <c r="U19" s="73" t="n">
        <v>11531</v>
      </c>
      <c r="V19" s="73" t="n">
        <v>13218</v>
      </c>
      <c r="W19" s="73" t="n">
        <v>14841</v>
      </c>
      <c r="X19" s="73" t="n">
        <v>17003</v>
      </c>
      <c r="Y19" s="73" t="n">
        <v>23224</v>
      </c>
      <c r="Z19" s="73" t="n">
        <v>23885</v>
      </c>
      <c r="AA19" s="73" t="n">
        <v>22467</v>
      </c>
      <c r="AB19" s="73" t="n">
        <v>25210</v>
      </c>
      <c r="AC19" s="73" t="n">
        <v>35694</v>
      </c>
      <c r="AD19" s="73" t="n">
        <v>33986</v>
      </c>
    </row>
    <row r="20">
      <c r="C20" s="73" t="n"/>
      <c r="D20" s="73" t="n"/>
      <c r="E20" s="73" t="n"/>
      <c r="F20" s="73" t="n"/>
      <c r="G20" s="73" t="n"/>
      <c r="H20" s="73" t="n"/>
      <c r="I20" s="73" t="n"/>
      <c r="J20" s="73" t="n"/>
      <c r="K20" s="73" t="n"/>
      <c r="L20" s="73" t="n"/>
      <c r="M20" s="73" t="n"/>
      <c r="N20" s="73" t="n"/>
      <c r="O20" s="73" t="n"/>
      <c r="R20" t="inlineStr">
        <is>
          <t>Profit from operations</t>
        </is>
      </c>
      <c r="S20" s="73" t="n">
        <v>15946</v>
      </c>
      <c r="T20" s="73" t="n">
        <v>17839</v>
      </c>
      <c r="U20" s="73" t="n">
        <v>19340</v>
      </c>
      <c r="V20" s="73" t="n">
        <v>19963</v>
      </c>
      <c r="W20" s="73" t="n">
        <v>22126</v>
      </c>
      <c r="X20" s="73" t="n">
        <v>23920</v>
      </c>
      <c r="Y20" s="73" t="n">
        <v>28845</v>
      </c>
      <c r="Z20" s="73" t="n">
        <v>32921</v>
      </c>
      <c r="AA20" s="73" t="n">
        <v>37605</v>
      </c>
      <c r="AB20" s="73" t="n">
        <v>39523</v>
      </c>
      <c r="AC20" s="73" t="n">
        <v>41591</v>
      </c>
      <c r="AD20" s="73" t="n">
        <v>45273</v>
      </c>
    </row>
    <row r="21">
      <c r="B21" s="73" t="inlineStr">
        <is>
          <t>Fixed Assets -</t>
        </is>
      </c>
      <c r="C21" s="73" t="n">
        <v>11346</v>
      </c>
      <c r="D21" s="73" t="n">
        <v>13386</v>
      </c>
      <c r="E21" s="73" t="n">
        <v>14179</v>
      </c>
      <c r="F21" s="73" t="n">
        <v>12574</v>
      </c>
      <c r="G21" s="73" t="n">
        <v>15710</v>
      </c>
      <c r="H21" s="73" t="n">
        <v>23789</v>
      </c>
      <c r="I21" s="73" t="n">
        <v>25505</v>
      </c>
      <c r="J21" s="73" t="n">
        <v>25800</v>
      </c>
      <c r="K21" s="73" t="n">
        <v>29225</v>
      </c>
      <c r="L21" s="73" t="n">
        <v>27622</v>
      </c>
      <c r="M21" s="73" t="n">
        <v>30961</v>
      </c>
      <c r="N21" s="73" t="n">
        <v>33770</v>
      </c>
      <c r="R21" t="inlineStr">
        <is>
          <t>Receivables</t>
        </is>
      </c>
      <c r="S21" t="n">
        <v>-1475</v>
      </c>
      <c r="T21" t="n">
        <v>-1654</v>
      </c>
      <c r="U21" t="n">
        <v>-1743</v>
      </c>
      <c r="V21" t="n">
        <v>-1523</v>
      </c>
      <c r="W21" t="n">
        <v>-2881</v>
      </c>
      <c r="X21" s="73" t="n">
        <v>-3861</v>
      </c>
      <c r="Y21" t="n">
        <v>-1835</v>
      </c>
      <c r="Z21" t="n">
        <v>-7937</v>
      </c>
      <c r="AA21" t="n">
        <v>-7076</v>
      </c>
      <c r="AB21" t="n">
        <v>-2667</v>
      </c>
      <c r="AC21" s="73" t="n">
        <v>-1769</v>
      </c>
      <c r="AD21" t="n">
        <v>-5177</v>
      </c>
    </row>
    <row r="22">
      <c r="B22" s="73" t="inlineStr">
        <is>
          <t>Land</t>
        </is>
      </c>
      <c r="C22" s="73" t="n">
        <v>1564</v>
      </c>
      <c r="D22" s="73" t="n">
        <v>1622</v>
      </c>
      <c r="E22" s="73" t="n">
        <v>1095</v>
      </c>
      <c r="F22" s="73" t="n">
        <v>1229</v>
      </c>
      <c r="G22" s="73" t="n">
        <v>1307</v>
      </c>
      <c r="H22" s="73" t="n">
        <v>1950</v>
      </c>
      <c r="I22" s="73" t="n">
        <v>2035</v>
      </c>
      <c r="J22" s="73" t="n">
        <v>2066</v>
      </c>
      <c r="K22" s="73" t="n">
        <v>2054</v>
      </c>
      <c r="L22" s="73" t="n">
        <v>2037</v>
      </c>
      <c r="M22" s="73" t="n">
        <v>2079</v>
      </c>
      <c r="N22" s="73" t="n">
        <v>1990</v>
      </c>
      <c r="O22" s="73" t="n"/>
      <c r="R22" t="inlineStr">
        <is>
          <t>Inventory</t>
        </is>
      </c>
      <c r="S22" t="n">
        <v>-505</v>
      </c>
      <c r="T22" t="n">
        <v>-693</v>
      </c>
      <c r="U22" t="n">
        <v>593</v>
      </c>
      <c r="V22" t="n">
        <v>602</v>
      </c>
      <c r="W22" t="n">
        <v>-359</v>
      </c>
      <c r="X22" t="n">
        <v>-508</v>
      </c>
      <c r="Y22" s="73" t="n">
        <v>-1460</v>
      </c>
      <c r="Z22" t="n">
        <v>-466</v>
      </c>
      <c r="AA22" s="73" t="n">
        <v>-1098</v>
      </c>
      <c r="AB22" s="73" t="n">
        <v>-2545</v>
      </c>
      <c r="AC22" s="73" t="n">
        <v>-2975</v>
      </c>
      <c r="AD22" s="73" t="n">
        <v>-3306</v>
      </c>
    </row>
    <row r="23">
      <c r="B23" s="73" t="inlineStr">
        <is>
          <t>Building</t>
        </is>
      </c>
      <c r="C23" s="73" t="n">
        <v>6102</v>
      </c>
      <c r="D23" s="73" t="n">
        <v>6325</v>
      </c>
      <c r="E23" s="73" t="n">
        <v>8419</v>
      </c>
      <c r="F23" s="73" t="n">
        <v>9334</v>
      </c>
      <c r="G23" s="73" t="n">
        <v>10270</v>
      </c>
      <c r="H23" s="73" t="n">
        <v>15104</v>
      </c>
      <c r="I23" s="73" t="n">
        <v>16394</v>
      </c>
      <c r="J23" s="73" t="n">
        <v>16760</v>
      </c>
      <c r="K23" s="73" t="n">
        <v>16903</v>
      </c>
      <c r="L23" s="73" t="n">
        <v>16515</v>
      </c>
      <c r="M23" s="73" t="n">
        <v>16376</v>
      </c>
      <c r="N23" s="73" t="n">
        <v>17193</v>
      </c>
      <c r="O23" s="73" t="n"/>
      <c r="R23" t="inlineStr">
        <is>
          <t>Payables</t>
        </is>
      </c>
      <c r="S23" t="n">
        <v>0</v>
      </c>
      <c r="T23" t="n">
        <v>242</v>
      </c>
      <c r="U23" t="n">
        <v>-19</v>
      </c>
      <c r="V23" s="73" t="n">
        <v>328</v>
      </c>
      <c r="W23" t="n">
        <v>916</v>
      </c>
      <c r="X23" t="n">
        <v>-373</v>
      </c>
      <c r="Y23" s="73" t="n">
        <v>-245</v>
      </c>
      <c r="Z23" s="73" t="n">
        <v>1489</v>
      </c>
      <c r="AA23" s="73" t="n">
        <v>-279</v>
      </c>
      <c r="AB23" t="n">
        <v>91</v>
      </c>
      <c r="AC23" s="73" t="n">
        <v>176</v>
      </c>
      <c r="AD23" t="n">
        <v>-26</v>
      </c>
    </row>
    <row r="24">
      <c r="B24" s="73" t="inlineStr">
        <is>
          <t>Plant Machinery</t>
        </is>
      </c>
      <c r="C24" s="73" t="n">
        <v>1427</v>
      </c>
      <c r="D24" s="73" t="n">
        <v>1759</v>
      </c>
      <c r="E24" s="73" t="n">
        <v>2048</v>
      </c>
      <c r="F24" s="73" t="n">
        <v>2306</v>
      </c>
      <c r="G24" s="73" t="n">
        <v>2709</v>
      </c>
      <c r="H24" s="73" t="n">
        <v>3185</v>
      </c>
      <c r="I24" s="73" t="n">
        <v>3296</v>
      </c>
      <c r="J24" s="73" t="n">
        <v>3210</v>
      </c>
      <c r="K24" s="73" t="n">
        <v>3302</v>
      </c>
      <c r="L24" s="73" t="n">
        <v>3428</v>
      </c>
      <c r="M24" s="73" t="n">
        <v>3461</v>
      </c>
      <c r="N24" s="73" t="n">
        <v>3714</v>
      </c>
      <c r="R24" t="inlineStr">
        <is>
          <t>Working capital changes</t>
        </is>
      </c>
      <c r="S24" t="n">
        <v>-842</v>
      </c>
      <c r="T24" t="n">
        <v>-1946</v>
      </c>
      <c r="U24" t="n">
        <v>-2156</v>
      </c>
      <c r="V24" s="73" t="n">
        <v>84</v>
      </c>
      <c r="W24" t="n">
        <v>-453</v>
      </c>
      <c r="X24" t="n">
        <v>-2367</v>
      </c>
      <c r="Y24" t="n">
        <v>768</v>
      </c>
      <c r="Z24" t="n">
        <v>-1424</v>
      </c>
      <c r="AA24" t="n">
        <v>-6344</v>
      </c>
      <c r="AB24" s="73" t="n">
        <v>-5082</v>
      </c>
      <c r="AC24" s="73" t="n">
        <v>-295</v>
      </c>
      <c r="AD24" s="73" t="n">
        <v>-2639</v>
      </c>
    </row>
    <row r="25">
      <c r="B25" t="inlineStr">
        <is>
          <t>Equipments</t>
        </is>
      </c>
      <c r="C25" t="n">
        <v>676</v>
      </c>
      <c r="D25" t="n">
        <v>839</v>
      </c>
      <c r="E25" t="n">
        <v>922</v>
      </c>
      <c r="F25" t="n">
        <v>1002</v>
      </c>
      <c r="G25" t="n">
        <v>1101</v>
      </c>
      <c r="H25" t="n">
        <v>1265</v>
      </c>
      <c r="I25" t="n">
        <v>1371</v>
      </c>
      <c r="J25" t="n">
        <v>1427</v>
      </c>
      <c r="K25" t="n">
        <v>1482</v>
      </c>
      <c r="L25" t="n">
        <v>1528</v>
      </c>
      <c r="M25" t="n">
        <v>1628</v>
      </c>
      <c r="N25" t="n">
        <v>1732</v>
      </c>
      <c r="R25" t="inlineStr">
        <is>
          <t>Direct taxes</t>
        </is>
      </c>
      <c r="S25" s="73" t="n">
        <v>-6751</v>
      </c>
      <c r="T25" s="73" t="n">
        <v>-5865</v>
      </c>
      <c r="U25" s="73" t="n">
        <v>-5653</v>
      </c>
      <c r="V25" s="73" t="n">
        <v>-6829</v>
      </c>
      <c r="W25" s="73" t="n">
        <v>-6832</v>
      </c>
      <c r="X25" s="73" t="n">
        <v>-4550</v>
      </c>
      <c r="Y25" s="73" t="n">
        <v>-6389</v>
      </c>
      <c r="Z25" s="73" t="n">
        <v>-7612</v>
      </c>
      <c r="AA25" s="73" t="n">
        <v>-8794</v>
      </c>
      <c r="AB25" s="73" t="n">
        <v>-9231</v>
      </c>
      <c r="AC25" s="73" t="n">
        <v>-5602</v>
      </c>
      <c r="AD25" s="73" t="n">
        <v>-8648</v>
      </c>
    </row>
    <row r="26">
      <c r="B26" s="73" t="inlineStr">
        <is>
          <t>Furniture n fittings</t>
        </is>
      </c>
      <c r="C26" s="73" t="n">
        <v>958</v>
      </c>
      <c r="D26" s="73" t="n">
        <v>1444</v>
      </c>
      <c r="E26" s="73" t="n">
        <v>1277</v>
      </c>
      <c r="F26" s="73" t="n">
        <v>1393</v>
      </c>
      <c r="G26" s="73" t="n">
        <v>1620</v>
      </c>
      <c r="H26" s="73" t="n">
        <v>2073</v>
      </c>
      <c r="I26" s="73" t="n">
        <v>2149</v>
      </c>
      <c r="J26" s="73" t="n">
        <v>2278</v>
      </c>
      <c r="K26" s="73" t="n">
        <v>2303</v>
      </c>
      <c r="L26" s="73" t="n">
        <v>2326</v>
      </c>
      <c r="M26" s="73" t="n">
        <v>2340</v>
      </c>
      <c r="N26" s="73" t="n">
        <v>2438</v>
      </c>
      <c r="R26" t="inlineStr">
        <is>
          <t>Cash from Investing Activity -</t>
        </is>
      </c>
      <c r="S26" s="73" t="n">
        <v>999</v>
      </c>
      <c r="T26" s="73" t="n">
        <v>-885</v>
      </c>
      <c r="U26" s="73" t="n">
        <v>-14664</v>
      </c>
      <c r="V26" s="73" t="n">
        <v>4533</v>
      </c>
      <c r="W26" s="73" t="n">
        <v>-632</v>
      </c>
      <c r="X26" s="73" t="n">
        <v>-331</v>
      </c>
      <c r="Y26" s="73" t="n">
        <v>-7373</v>
      </c>
      <c r="Z26" s="73" t="n">
        <v>-6485</v>
      </c>
      <c r="AA26" s="73" t="n">
        <v>-1071</v>
      </c>
      <c r="AB26" s="73" t="n">
        <v>-5093</v>
      </c>
      <c r="AC26" t="n">
        <v>-1864</v>
      </c>
      <c r="AD26" s="73" t="n">
        <v>3546</v>
      </c>
    </row>
    <row r="27">
      <c r="B27" s="73" t="inlineStr">
        <is>
          <t>Railway sidings</t>
        </is>
      </c>
      <c r="C27" s="73" t="n">
        <v>2</v>
      </c>
      <c r="D27" s="73" t="n">
        <v>2</v>
      </c>
      <c r="E27" s="73" t="n">
        <v>2</v>
      </c>
      <c r="F27" s="73" t="n">
        <v>2</v>
      </c>
      <c r="G27" s="73" t="n">
        <v>2</v>
      </c>
      <c r="H27" s="73" t="n">
        <v>2</v>
      </c>
      <c r="I27" s="73" t="n">
        <v>2</v>
      </c>
      <c r="J27" s="73" t="n">
        <v>2</v>
      </c>
      <c r="K27" s="73" t="n">
        <v>2</v>
      </c>
      <c r="L27" s="73" t="n">
        <v>2</v>
      </c>
      <c r="M27" s="73" t="n">
        <v>2</v>
      </c>
      <c r="N27" s="73" t="n">
        <v>2</v>
      </c>
      <c r="R27" t="inlineStr">
        <is>
          <t>Fixed assets purchased</t>
        </is>
      </c>
      <c r="S27" s="73" t="n">
        <v>-2247</v>
      </c>
      <c r="T27" s="73" t="n">
        <v>-2723</v>
      </c>
      <c r="U27" s="73" t="n">
        <v>-2760</v>
      </c>
      <c r="V27" s="73" t="n">
        <v>-1998</v>
      </c>
      <c r="W27" s="73" t="n">
        <v>-2445</v>
      </c>
      <c r="X27" s="73" t="n">
        <v>-3307</v>
      </c>
      <c r="Y27" s="73" t="n">
        <v>-2107</v>
      </c>
      <c r="Z27" s="73" t="n">
        <v>-2161</v>
      </c>
      <c r="AA27" s="73" t="n">
        <v>-2579</v>
      </c>
      <c r="AB27" s="73" t="n">
        <v>-2201</v>
      </c>
      <c r="AC27" s="73" t="n">
        <v>-2237</v>
      </c>
      <c r="AD27" s="73" t="n">
        <v>-2727</v>
      </c>
    </row>
    <row r="28">
      <c r="B28" t="inlineStr">
        <is>
          <t>Vehicles</t>
        </is>
      </c>
      <c r="C28" t="n">
        <v>34</v>
      </c>
      <c r="D28" t="n">
        <v>29</v>
      </c>
      <c r="E28" t="n">
        <v>31</v>
      </c>
      <c r="F28" t="n">
        <v>31</v>
      </c>
      <c r="G28" t="n">
        <v>38</v>
      </c>
      <c r="H28" t="n">
        <v>69</v>
      </c>
      <c r="I28" t="n">
        <v>73</v>
      </c>
      <c r="J28" t="n">
        <v>71</v>
      </c>
      <c r="K28" t="n">
        <v>60</v>
      </c>
      <c r="L28" t="n">
        <v>62</v>
      </c>
      <c r="M28" t="n">
        <v>72</v>
      </c>
      <c r="N28" t="n">
        <v>70</v>
      </c>
      <c r="O28" s="73" t="n"/>
      <c r="R28" t="inlineStr">
        <is>
          <t>Fixed assets sold</t>
        </is>
      </c>
      <c r="S28" s="73" t="n">
        <v>9</v>
      </c>
      <c r="T28" s="73" t="n">
        <v>8</v>
      </c>
      <c r="U28" s="73" t="n">
        <v>50</v>
      </c>
      <c r="V28" s="73" t="n">
        <v>80</v>
      </c>
      <c r="W28" s="73" t="n">
        <v>28</v>
      </c>
      <c r="X28" s="73" t="n">
        <v>27</v>
      </c>
      <c r="Y28" s="73" t="n">
        <v>3</v>
      </c>
      <c r="Z28" s="73" t="n">
        <v>133</v>
      </c>
      <c r="AA28" s="73" t="n">
        <v>49</v>
      </c>
      <c r="AB28" t="n">
        <v>107</v>
      </c>
      <c r="AC28" s="73" t="n">
        <v>175</v>
      </c>
      <c r="AD28" s="73" t="n">
        <v>50</v>
      </c>
    </row>
    <row r="29">
      <c r="B29" t="inlineStr">
        <is>
          <t>Intangible Assets</t>
        </is>
      </c>
      <c r="C29" t="n">
        <v>776</v>
      </c>
      <c r="D29" t="n">
        <v>960</v>
      </c>
      <c r="E29" t="n">
        <v>1365</v>
      </c>
      <c r="F29" t="n">
        <v>1606</v>
      </c>
      <c r="G29" t="n">
        <v>1388</v>
      </c>
      <c r="H29" t="n">
        <v>954</v>
      </c>
      <c r="I29" s="73" t="n">
        <v>922</v>
      </c>
      <c r="J29" s="73" t="n">
        <v>416</v>
      </c>
      <c r="K29" s="73" t="n">
        <v>288</v>
      </c>
      <c r="L29" s="73" t="n">
        <v>293</v>
      </c>
      <c r="M29" s="73" t="n">
        <v>814</v>
      </c>
      <c r="N29" s="73" t="n">
        <v>526</v>
      </c>
      <c r="R29" t="inlineStr">
        <is>
          <t>Investments purchased</t>
        </is>
      </c>
      <c r="S29" s="73" t="n">
        <v>-23923</v>
      </c>
      <c r="T29" s="73" t="n">
        <v>-24577</v>
      </c>
      <c r="U29" s="73" t="n">
        <v>-66410</v>
      </c>
      <c r="V29" s="73" t="n">
        <v>-69159</v>
      </c>
      <c r="W29" s="73" t="n">
        <v>-79410</v>
      </c>
      <c r="X29" s="73" t="n">
        <v>-37482</v>
      </c>
      <c r="Y29" s="73" t="n">
        <v>-46738</v>
      </c>
      <c r="Z29" s="73" t="n">
        <v>-59951</v>
      </c>
      <c r="AA29" s="73" t="n">
        <v>-75800</v>
      </c>
      <c r="AB29" s="73" t="n">
        <v>-78092</v>
      </c>
      <c r="AC29" s="73" t="n">
        <v>-82742</v>
      </c>
      <c r="AD29" s="73" t="n">
        <v>-82617</v>
      </c>
    </row>
    <row r="30">
      <c r="B30" t="inlineStr">
        <is>
          <t>Other fixed assets</t>
        </is>
      </c>
      <c r="C30" t="n">
        <v>2270</v>
      </c>
      <c r="D30" t="n">
        <v>1892</v>
      </c>
      <c r="E30" t="n">
        <v>16423</v>
      </c>
      <c r="F30" t="n">
        <v>12163</v>
      </c>
      <c r="G30" t="n">
        <v>11261</v>
      </c>
      <c r="H30" t="n">
        <v>8792</v>
      </c>
      <c r="I30" t="n">
        <v>14205</v>
      </c>
      <c r="J30" t="n">
        <v>20324</v>
      </c>
      <c r="K30" t="n">
        <v>19478</v>
      </c>
      <c r="L30" t="n">
        <v>24623</v>
      </c>
      <c r="M30" t="n">
        <v>23541</v>
      </c>
      <c r="N30" s="73" t="n">
        <v>21880</v>
      </c>
      <c r="O30" s="73" t="n"/>
      <c r="R30" t="inlineStr">
        <is>
          <t>Investments sold</t>
        </is>
      </c>
      <c r="S30" s="73" t="n">
        <v>25253</v>
      </c>
      <c r="T30" s="73" t="n">
        <v>24980</v>
      </c>
      <c r="U30" s="73" t="n">
        <v>52048</v>
      </c>
      <c r="V30" s="73" t="n">
        <v>74003</v>
      </c>
      <c r="W30" s="73" t="n">
        <v>78098</v>
      </c>
      <c r="X30" s="73" t="n">
        <v>38861</v>
      </c>
      <c r="Y30" s="73" t="n">
        <v>40381</v>
      </c>
      <c r="Z30" s="73" t="n">
        <v>57356</v>
      </c>
      <c r="AA30" s="73" t="n">
        <v>76722</v>
      </c>
      <c r="AB30" s="73" t="n">
        <v>72930</v>
      </c>
      <c r="AC30" s="73" t="n">
        <v>84877</v>
      </c>
      <c r="AD30" s="73" t="n">
        <v>89699</v>
      </c>
    </row>
    <row r="31">
      <c r="B31" t="inlineStr">
        <is>
          <t>Gross Block</t>
        </is>
      </c>
      <c r="C31" s="73" t="n">
        <v>51897</v>
      </c>
      <c r="D31" s="73" t="n">
        <v>58860</v>
      </c>
      <c r="E31" s="73" t="n">
        <v>51181</v>
      </c>
      <c r="F31" s="73" t="n">
        <v>53006</v>
      </c>
      <c r="G31" s="73" t="n">
        <v>55707</v>
      </c>
      <c r="H31" s="73" t="n">
        <v>58265</v>
      </c>
      <c r="I31" s="73" t="n">
        <v>66879</v>
      </c>
      <c r="J31" s="73" t="n">
        <v>70189</v>
      </c>
      <c r="K31" s="73" t="n">
        <v>75605</v>
      </c>
      <c r="L31" s="73" t="n">
        <v>83482</v>
      </c>
      <c r="M31" s="73" t="n">
        <v>92479</v>
      </c>
      <c r="N31" s="73" t="n">
        <v>98112</v>
      </c>
      <c r="O31" s="73" t="n"/>
      <c r="R31" t="inlineStr">
        <is>
          <t>Interest received</t>
        </is>
      </c>
      <c r="S31" t="n">
        <v>2551</v>
      </c>
      <c r="T31" t="n">
        <v>2383</v>
      </c>
      <c r="U31" s="73" t="n">
        <v>0</v>
      </c>
      <c r="V31" s="73" t="n">
        <v>0</v>
      </c>
      <c r="W31" s="73" t="n">
        <v>0</v>
      </c>
      <c r="X31" s="73" t="n">
        <v>0</v>
      </c>
      <c r="Y31" s="73" t="n">
        <v>0</v>
      </c>
      <c r="Z31" s="73" t="n">
        <v>0</v>
      </c>
      <c r="AA31" s="73" t="n">
        <v>0</v>
      </c>
      <c r="AB31" s="73" t="n">
        <v>0</v>
      </c>
      <c r="AC31" s="73" t="n">
        <v>0</v>
      </c>
      <c r="AD31" s="73" t="n">
        <v>0</v>
      </c>
    </row>
    <row r="32">
      <c r="B32" s="73" t="inlineStr">
        <is>
          <t>Accumulated Depreciation</t>
        </is>
      </c>
      <c r="C32" s="73" t="n">
        <v>8057</v>
      </c>
      <c r="D32" s="73" t="n">
        <v>1069</v>
      </c>
      <c r="E32" s="73" t="n">
        <v>2201</v>
      </c>
      <c r="F32" s="73" t="n">
        <v>3396</v>
      </c>
      <c r="G32" s="73" t="n">
        <v>4716</v>
      </c>
      <c r="H32" s="73" t="n">
        <v>6252</v>
      </c>
      <c r="I32" s="73" t="n">
        <v>7790</v>
      </c>
      <c r="J32" s="73" t="n">
        <v>9204</v>
      </c>
      <c r="K32" s="73" t="n">
        <v>10757</v>
      </c>
      <c r="L32" s="73" t="n">
        <v>12368</v>
      </c>
      <c r="M32" s="73" t="n">
        <v>11683</v>
      </c>
      <c r="N32" s="73" t="n">
        <v>13230</v>
      </c>
      <c r="O32" s="73" t="n"/>
      <c r="R32" t="inlineStr">
        <is>
          <t>Dividends received</t>
        </is>
      </c>
      <c r="S32" t="n">
        <v>0</v>
      </c>
      <c r="T32" t="n">
        <v>0</v>
      </c>
      <c r="U32" s="73" t="n">
        <v>2753</v>
      </c>
      <c r="V32" t="n">
        <v>1768</v>
      </c>
      <c r="W32" t="n">
        <v>1557</v>
      </c>
      <c r="X32" t="n">
        <v>1929</v>
      </c>
      <c r="Y32" s="73" t="n">
        <v>1418</v>
      </c>
      <c r="Z32" s="73" t="n">
        <v>1898</v>
      </c>
      <c r="AA32" s="73" t="n">
        <v>1525</v>
      </c>
      <c r="AB32" s="73" t="n">
        <v>1768</v>
      </c>
      <c r="AC32" s="73" t="n">
        <v>2040</v>
      </c>
      <c r="AD32" s="73" t="n">
        <v>2713</v>
      </c>
    </row>
    <row r="33">
      <c r="B33" t="inlineStr">
        <is>
          <t>Net Block</t>
        </is>
      </c>
      <c r="C33" s="73" t="n">
        <v>9713</v>
      </c>
      <c r="D33" s="73" t="n">
        <v>11330</v>
      </c>
      <c r="E33" s="73" t="n">
        <v>12322</v>
      </c>
      <c r="F33" s="73" t="n">
        <v>13142</v>
      </c>
      <c r="G33" s="73" t="n">
        <v>14827</v>
      </c>
      <c r="H33" s="73" t="n">
        <v>18487</v>
      </c>
      <c r="I33" s="73" t="n">
        <v>19294</v>
      </c>
      <c r="J33" s="73" t="n">
        <v>22698</v>
      </c>
      <c r="K33" s="73" t="n">
        <v>25424</v>
      </c>
      <c r="L33" s="73" t="n">
        <v>30193</v>
      </c>
      <c r="M33" s="73" t="n">
        <v>31158</v>
      </c>
      <c r="N33" s="73" t="n">
        <v>35234</v>
      </c>
      <c r="O33" s="73" t="n"/>
      <c r="R33" t="inlineStr">
        <is>
          <t>Invest in subsidiaries</t>
        </is>
      </c>
      <c r="S33" t="n">
        <v>0</v>
      </c>
      <c r="T33" t="n">
        <v>-8</v>
      </c>
      <c r="U33" t="n">
        <v>0</v>
      </c>
      <c r="V33" t="n">
        <v>0</v>
      </c>
      <c r="W33" t="n">
        <v>0</v>
      </c>
      <c r="X33" t="n">
        <v>0</v>
      </c>
      <c r="Y33" t="n">
        <v>0</v>
      </c>
      <c r="Z33" t="n">
        <v>0</v>
      </c>
      <c r="AA33" t="n">
        <v>0</v>
      </c>
      <c r="AB33" t="n">
        <v>0</v>
      </c>
      <c r="AC33" t="n">
        <v>0</v>
      </c>
      <c r="AD33" t="n">
        <v>0</v>
      </c>
    </row>
    <row r="34">
      <c r="C34" s="73" t="n">
        <v>30367</v>
      </c>
      <c r="D34" t="n">
        <v>32697</v>
      </c>
      <c r="E34" t="n">
        <v>22625</v>
      </c>
      <c r="F34" s="73" t="n">
        <v>19818</v>
      </c>
      <c r="G34" s="73" t="n">
        <v>19568</v>
      </c>
      <c r="H34" s="73" t="n">
        <v>18649</v>
      </c>
      <c r="I34" s="73" t="n">
        <v>24714</v>
      </c>
      <c r="J34" s="73" t="n">
        <v>17472</v>
      </c>
      <c r="K34" s="73" t="n">
        <v>12173</v>
      </c>
      <c r="L34" s="73" t="n">
        <v>14786</v>
      </c>
      <c r="M34" s="73" t="n">
        <v>24455</v>
      </c>
      <c r="N34" s="73" t="n">
        <v>22201</v>
      </c>
      <c r="R34" t="inlineStr">
        <is>
          <t>Investment in group cos</t>
        </is>
      </c>
      <c r="S34" s="73" t="n">
        <v>741</v>
      </c>
      <c r="T34" s="73" t="n">
        <v>-59</v>
      </c>
      <c r="U34" s="73" t="n">
        <v>-131</v>
      </c>
      <c r="V34" s="73" t="n">
        <v>49</v>
      </c>
      <c r="W34" s="73" t="n">
        <v>1592</v>
      </c>
      <c r="X34" s="73" t="n">
        <v>-224</v>
      </c>
      <c r="Y34" s="73" t="n">
        <v>-327</v>
      </c>
      <c r="Z34" s="73" t="n">
        <v>-3627</v>
      </c>
      <c r="AA34" s="73" t="n">
        <v>-939</v>
      </c>
      <c r="AB34" s="73" t="n">
        <v>502</v>
      </c>
      <c r="AC34" s="73" t="n">
        <v>-3802</v>
      </c>
      <c r="AD34" s="73" t="n">
        <v>-3522</v>
      </c>
    </row>
    <row r="35">
      <c r="B35" t="inlineStr">
        <is>
          <t>CWIP</t>
        </is>
      </c>
      <c r="C35" s="73" t="n">
        <v>2700</v>
      </c>
      <c r="D35" s="73" t="n">
        <v>2560</v>
      </c>
      <c r="E35" s="73" t="n">
        <v>3730</v>
      </c>
      <c r="F35" s="73" t="n">
        <v>5508</v>
      </c>
      <c r="G35" s="73" t="n">
        <v>4136</v>
      </c>
      <c r="H35" s="73" t="n">
        <v>3256</v>
      </c>
      <c r="I35" s="73" t="n">
        <v>4011</v>
      </c>
      <c r="J35" s="73" t="n">
        <v>3226</v>
      </c>
      <c r="K35" s="73" t="n">
        <v>3003</v>
      </c>
      <c r="L35" s="73" t="n">
        <v>2861</v>
      </c>
      <c r="M35" s="73" t="n">
        <v>1091</v>
      </c>
      <c r="N35" s="73" t="n">
        <v>1602</v>
      </c>
      <c r="O35" s="73" t="n"/>
      <c r="R35" t="inlineStr">
        <is>
          <t>Redemp n Canc of Shares</t>
        </is>
      </c>
      <c r="S35" s="73" t="n">
        <v>0</v>
      </c>
      <c r="T35" s="73" t="n">
        <v>0</v>
      </c>
      <c r="U35" s="73" t="n">
        <v>129</v>
      </c>
      <c r="V35" s="73" t="n">
        <v>18</v>
      </c>
      <c r="W35" s="73" t="n">
        <v>18</v>
      </c>
      <c r="X35" s="73" t="n">
        <v>0</v>
      </c>
      <c r="Y35" s="73" t="n">
        <v>0</v>
      </c>
      <c r="Z35" s="73" t="n">
        <v>0</v>
      </c>
      <c r="AA35" s="73" t="n">
        <v>56</v>
      </c>
      <c r="AB35" s="73" t="n">
        <v>0</v>
      </c>
      <c r="AC35" s="73" t="n">
        <v>0</v>
      </c>
      <c r="AD35" s="73" t="n">
        <v>0</v>
      </c>
    </row>
    <row r="36">
      <c r="B36" t="inlineStr">
        <is>
          <t>Investments</t>
        </is>
      </c>
      <c r="C36" s="73" t="n">
        <v>11418</v>
      </c>
      <c r="D36" s="73" t="n">
        <v>14219</v>
      </c>
      <c r="E36" s="73" t="n">
        <v>15390</v>
      </c>
      <c r="F36" s="73" t="n">
        <v>19216</v>
      </c>
      <c r="G36" s="73" t="n">
        <v>19788</v>
      </c>
      <c r="H36" s="73" t="n">
        <v>19770</v>
      </c>
      <c r="I36" s="73" t="n">
        <v>21411</v>
      </c>
      <c r="J36" s="73" t="n">
        <v>27528</v>
      </c>
      <c r="K36" s="73" t="n">
        <v>34766</v>
      </c>
      <c r="L36" s="73" t="n">
        <v>28173</v>
      </c>
      <c r="M36" s="73" t="n">
        <v>30149</v>
      </c>
      <c r="N36" s="73" t="n">
        <v>33869</v>
      </c>
      <c r="O36" s="73" t="n"/>
      <c r="R36" t="inlineStr">
        <is>
          <t>Other investing items</t>
        </is>
      </c>
      <c r="S36" s="73" t="n">
        <v>-4935</v>
      </c>
      <c r="T36" s="73" t="n">
        <v>-6813</v>
      </c>
      <c r="U36" s="73" t="n">
        <v>-6939</v>
      </c>
      <c r="V36" s="73" t="n">
        <v>-20505</v>
      </c>
      <c r="W36" s="73" t="n">
        <v>-14512</v>
      </c>
      <c r="X36" s="73" t="n">
        <v>-17591</v>
      </c>
      <c r="Y36" s="73" t="n">
        <v>-9786</v>
      </c>
      <c r="Z36" s="73" t="n">
        <v>-24642</v>
      </c>
      <c r="AA36" t="n">
        <v>-26695</v>
      </c>
      <c r="AB36" s="73" t="n">
        <v>-17504</v>
      </c>
      <c r="AC36" t="n">
        <v>-24161</v>
      </c>
      <c r="AD36" s="73" t="n">
        <v>-39786</v>
      </c>
    </row>
    <row r="37">
      <c r="C37" s="73" t="n"/>
      <c r="D37" s="73" t="n"/>
      <c r="E37" s="73" t="n"/>
      <c r="F37" s="73" t="n"/>
      <c r="G37" s="73" t="n"/>
      <c r="H37" s="73" t="n"/>
      <c r="I37" s="73" t="n"/>
      <c r="J37" s="73" t="n"/>
      <c r="K37" s="73" t="n"/>
      <c r="L37" s="73" t="n"/>
      <c r="M37" s="73" t="n"/>
      <c r="N37" s="73" t="n"/>
      <c r="O37" s="73" t="n"/>
      <c r="R37" t="inlineStr">
        <is>
          <t>Cash from Financing Activity -</t>
        </is>
      </c>
      <c r="S37" s="73" t="n">
        <v>0</v>
      </c>
      <c r="T37" s="73" t="n">
        <v>0</v>
      </c>
      <c r="U37" s="73" t="n">
        <v>0</v>
      </c>
      <c r="V37" s="73" t="n">
        <v>5</v>
      </c>
      <c r="W37" s="73" t="n">
        <v>6</v>
      </c>
      <c r="X37" s="73" t="n">
        <v>6</v>
      </c>
      <c r="Y37" s="73" t="n">
        <v>15</v>
      </c>
      <c r="Z37" s="73" t="n">
        <v>21</v>
      </c>
      <c r="AA37" s="73" t="n">
        <v>35</v>
      </c>
      <c r="AB37" s="73" t="n">
        <v>5</v>
      </c>
      <c r="AC37" s="73" t="n">
        <v>6</v>
      </c>
      <c r="AD37" s="73" t="n">
        <v>2</v>
      </c>
    </row>
    <row r="38">
      <c r="B38" t="inlineStr">
        <is>
          <t>Other Assets -</t>
        </is>
      </c>
      <c r="C38" s="73" t="n">
        <v>66289</v>
      </c>
      <c r="D38" s="73" t="n">
        <v>75098</v>
      </c>
      <c r="E38" s="73" t="n">
        <v>83148</v>
      </c>
      <c r="F38" s="73" t="n">
        <v>79349</v>
      </c>
      <c r="G38" s="73" t="n">
        <v>84066</v>
      </c>
      <c r="H38" s="73" t="n">
        <v>91800</v>
      </c>
      <c r="I38" s="73" t="n">
        <v>107511</v>
      </c>
      <c r="J38" s="73" t="n">
        <v>116729</v>
      </c>
      <c r="K38" s="73" t="n">
        <v>124596</v>
      </c>
      <c r="L38" s="73" t="n">
        <v>136020</v>
      </c>
      <c r="M38" s="73" t="n">
        <v>147795</v>
      </c>
      <c r="N38" s="73" t="n">
        <v>154288</v>
      </c>
      <c r="O38" s="73" t="n"/>
      <c r="R38" t="inlineStr">
        <is>
          <t>Proceeds from shares</t>
        </is>
      </c>
      <c r="S38" t="n">
        <v>979</v>
      </c>
      <c r="T38" t="n">
        <v>532</v>
      </c>
      <c r="U38" s="73" t="n">
        <v>1067</v>
      </c>
      <c r="V38" t="n">
        <v>913</v>
      </c>
      <c r="W38" t="n">
        <v>969</v>
      </c>
      <c r="X38" t="n">
        <v>625</v>
      </c>
      <c r="Y38" t="n">
        <v>291</v>
      </c>
      <c r="Z38" t="n">
        <v>292</v>
      </c>
      <c r="AA38" s="73" t="n">
        <v>2477</v>
      </c>
      <c r="AB38" s="73" t="n">
        <v>1443</v>
      </c>
      <c r="AC38" t="n">
        <v>797</v>
      </c>
      <c r="AD38" t="n">
        <v>405</v>
      </c>
    </row>
    <row r="39">
      <c r="B39" t="inlineStr">
        <is>
          <t>Inventories</t>
        </is>
      </c>
      <c r="C39" s="73" t="n">
        <v>8587</v>
      </c>
      <c r="D39" s="73" t="n">
        <v>9062</v>
      </c>
      <c r="E39" s="73" t="n">
        <v>8116</v>
      </c>
      <c r="F39" s="73" t="n">
        <v>7495</v>
      </c>
      <c r="G39" s="73" t="n">
        <v>7860</v>
      </c>
      <c r="H39" s="73" t="n">
        <v>8879</v>
      </c>
      <c r="I39" s="73" t="n">
        <v>10397</v>
      </c>
      <c r="J39" s="73" t="n">
        <v>10864</v>
      </c>
      <c r="K39" s="73" t="n">
        <v>11771</v>
      </c>
      <c r="L39" s="73" t="n">
        <v>14153</v>
      </c>
      <c r="M39" s="73" t="n">
        <v>15638</v>
      </c>
      <c r="N39" s="73" t="n">
        <v>18623</v>
      </c>
      <c r="O39" s="73" t="n"/>
      <c r="R39" t="inlineStr">
        <is>
          <t>Proceeds from borrowings</t>
        </is>
      </c>
      <c r="S39" t="n">
        <v>0</v>
      </c>
      <c r="T39" t="n">
        <v>0</v>
      </c>
      <c r="U39" t="n">
        <v>0</v>
      </c>
      <c r="V39" t="n">
        <v>0</v>
      </c>
      <c r="W39" t="n">
        <v>0</v>
      </c>
      <c r="X39" t="n">
        <v>0</v>
      </c>
      <c r="Y39" t="n">
        <v>0</v>
      </c>
      <c r="Z39" t="n">
        <v>0</v>
      </c>
      <c r="AA39" t="n">
        <v>0</v>
      </c>
      <c r="AB39" t="n">
        <v>0</v>
      </c>
      <c r="AC39" t="n">
        <v>-985</v>
      </c>
      <c r="AD39" s="73" t="n">
        <v>0</v>
      </c>
    </row>
    <row r="40">
      <c r="B40" t="inlineStr">
        <is>
          <t>Trade receivables +</t>
        </is>
      </c>
      <c r="C40" s="73" t="n">
        <v>1982</v>
      </c>
      <c r="D40" s="73" t="n">
        <v>1917</v>
      </c>
      <c r="E40" s="73" t="n">
        <v>2474</v>
      </c>
      <c r="F40" s="73" t="n">
        <v>2682</v>
      </c>
      <c r="G40" s="73" t="n">
        <v>4035</v>
      </c>
      <c r="H40" s="73" t="n">
        <v>2562</v>
      </c>
      <c r="I40" s="73" t="n">
        <v>2502</v>
      </c>
      <c r="J40" s="73" t="n">
        <v>2462</v>
      </c>
      <c r="K40" s="73" t="n">
        <v>2956</v>
      </c>
      <c r="L40" s="73" t="n">
        <v>4026</v>
      </c>
      <c r="M40" s="73" t="n">
        <v>4720</v>
      </c>
      <c r="N40" s="73" t="n">
        <v>3923</v>
      </c>
      <c r="O40" s="73" t="n"/>
      <c r="R40" t="inlineStr">
        <is>
          <t>Repayment of borrowings</t>
        </is>
      </c>
      <c r="S40" t="n">
        <v>-20</v>
      </c>
      <c r="T40" t="n">
        <v>-13</v>
      </c>
      <c r="U40" t="n">
        <v>-13</v>
      </c>
      <c r="V40" s="73" t="n">
        <v>-8</v>
      </c>
      <c r="W40" t="n">
        <v>-18</v>
      </c>
      <c r="X40" t="n">
        <v>-3</v>
      </c>
      <c r="Y40" s="73" t="n">
        <v>-2</v>
      </c>
      <c r="Z40" t="n">
        <v>-1</v>
      </c>
      <c r="AA40" s="73" t="n">
        <v>-1</v>
      </c>
      <c r="AB40" s="73" t="n">
        <v>-2</v>
      </c>
      <c r="AC40" s="73" t="n">
        <v>-54</v>
      </c>
      <c r="AD40" s="73" t="n">
        <v>-105</v>
      </c>
    </row>
    <row r="41">
      <c r="B41" t="inlineStr">
        <is>
          <t>Cash Equivalents</t>
        </is>
      </c>
      <c r="C41" s="73" t="n">
        <v>7896</v>
      </c>
      <c r="D41" s="73" t="n">
        <v>6063</v>
      </c>
      <c r="E41" s="73" t="n">
        <v>2967</v>
      </c>
      <c r="F41" s="73" t="n">
        <v>2900</v>
      </c>
      <c r="G41" s="73" t="n">
        <v>4152</v>
      </c>
      <c r="H41" s="73" t="n">
        <v>7277</v>
      </c>
      <c r="I41" s="73" t="n">
        <v>4659</v>
      </c>
      <c r="J41" s="73" t="n">
        <v>4654</v>
      </c>
      <c r="K41" s="73" t="n">
        <v>4880</v>
      </c>
      <c r="L41" s="73" t="n">
        <v>7218</v>
      </c>
      <c r="M41" s="73" t="n">
        <v>4012</v>
      </c>
      <c r="N41" s="73" t="n">
        <v>3009</v>
      </c>
      <c r="O41" s="73" t="n"/>
      <c r="R41" t="inlineStr">
        <is>
          <t>Interest paid fin</t>
        </is>
      </c>
      <c r="S41" s="73" t="n">
        <v>-4935</v>
      </c>
      <c r="T41" s="73" t="n">
        <v>-6813</v>
      </c>
      <c r="U41" s="73" t="n">
        <v>-6939</v>
      </c>
      <c r="V41" s="73" t="n">
        <v>-7464</v>
      </c>
      <c r="W41" s="73" t="n">
        <v>-13705</v>
      </c>
      <c r="X41" s="73" t="n">
        <v>-9548</v>
      </c>
      <c r="Y41" s="73" t="n">
        <v>-9137</v>
      </c>
      <c r="Z41" s="73" t="n">
        <v>-12731</v>
      </c>
      <c r="AA41" s="73" t="n">
        <v>-13653</v>
      </c>
      <c r="AB41" s="73" t="n">
        <v>-14731</v>
      </c>
      <c r="AC41" s="73" t="n">
        <v>-20289</v>
      </c>
      <c r="AD41" s="73" t="n">
        <v>-18656</v>
      </c>
    </row>
    <row r="42">
      <c r="B42" t="inlineStr">
        <is>
          <t>Loans n Advances</t>
        </is>
      </c>
      <c r="C42" s="73" t="n">
        <v>150</v>
      </c>
      <c r="D42" s="73" t="n">
        <v>14</v>
      </c>
      <c r="E42" s="73" t="n">
        <v>7</v>
      </c>
      <c r="F42" s="73" t="n">
        <v>74</v>
      </c>
      <c r="G42" s="73" t="n">
        <v>67</v>
      </c>
      <c r="H42" s="73" t="n">
        <v>6</v>
      </c>
      <c r="I42" s="73" t="n">
        <v>7</v>
      </c>
      <c r="J42" s="73" t="n">
        <v>11</v>
      </c>
      <c r="K42" s="73" t="n">
        <v>13</v>
      </c>
      <c r="L42" s="73" t="n">
        <v>31</v>
      </c>
      <c r="M42" s="73" t="n">
        <v>10</v>
      </c>
      <c r="N42" s="73" t="n">
        <v>9</v>
      </c>
      <c r="O42" s="73" t="n"/>
      <c r="R42" t="inlineStr">
        <is>
          <t>Dividends paid</t>
        </is>
      </c>
      <c r="S42" s="73" t="n">
        <v>-4876</v>
      </c>
      <c r="T42" s="73" t="n">
        <v>-5133</v>
      </c>
      <c r="U42" s="73" t="n">
        <v>-6994</v>
      </c>
      <c r="V42" s="73" t="n">
        <v>-5952</v>
      </c>
      <c r="W42" s="73" t="n">
        <v>-6519</v>
      </c>
      <c r="X42" s="73" t="n">
        <v>-7302</v>
      </c>
      <c r="Y42" s="73" t="n">
        <v>-18881</v>
      </c>
      <c r="Z42" s="73" t="n">
        <v>-13788</v>
      </c>
      <c r="AA42" s="73" t="n">
        <v>-15418</v>
      </c>
      <c r="AB42" s="73" t="n">
        <v>-19899</v>
      </c>
      <c r="AC42" s="73" t="n">
        <v>-17782</v>
      </c>
      <c r="AD42" s="73" t="n">
        <v>-18271</v>
      </c>
    </row>
    <row r="43">
      <c r="B43" t="inlineStr">
        <is>
          <t>Other asset items</t>
        </is>
      </c>
      <c r="C43" s="73" t="n">
        <v>2391</v>
      </c>
      <c r="D43" s="73" t="n">
        <v>5180</v>
      </c>
      <c r="E43" s="73" t="n">
        <v>5129</v>
      </c>
      <c r="F43" s="73" t="n">
        <v>7004</v>
      </c>
      <c r="G43" s="73" t="n">
        <v>7071</v>
      </c>
      <c r="H43" s="73" t="n">
        <v>4952</v>
      </c>
      <c r="I43" s="73" t="n">
        <v>4015</v>
      </c>
      <c r="J43" s="73" t="n">
        <v>6906</v>
      </c>
      <c r="K43" s="73" t="n">
        <v>7941</v>
      </c>
      <c r="L43" s="73" t="n">
        <v>4531</v>
      </c>
      <c r="M43" s="73" t="n">
        <v>5858</v>
      </c>
      <c r="N43" s="73" t="n">
        <v>5901</v>
      </c>
      <c r="O43" s="73" t="n"/>
      <c r="R43" t="inlineStr">
        <is>
          <t>Financial liabilities</t>
        </is>
      </c>
      <c r="S43" t="n">
        <v>0</v>
      </c>
      <c r="T43" t="n">
        <v>0</v>
      </c>
      <c r="U43" t="n">
        <v>0</v>
      </c>
      <c r="V43" t="n">
        <v>0</v>
      </c>
      <c r="W43" t="n">
        <v>0</v>
      </c>
      <c r="X43" t="n">
        <v>-49</v>
      </c>
      <c r="Y43" t="n">
        <v>-55</v>
      </c>
      <c r="Z43" t="n">
        <v>-59</v>
      </c>
      <c r="AA43" t="n">
        <v>-59</v>
      </c>
      <c r="AB43" t="n">
        <v>-67</v>
      </c>
      <c r="AC43" t="n">
        <v>-66</v>
      </c>
      <c r="AD43" t="n">
        <v>-68</v>
      </c>
    </row>
    <row r="44">
      <c r="B44" s="57" t="inlineStr">
        <is>
          <t>Total Assets</t>
        </is>
      </c>
      <c r="C44" s="73" t="n">
        <v>45952</v>
      </c>
      <c r="D44" s="73" t="n">
        <v>51651</v>
      </c>
      <c r="E44" s="73" t="n">
        <v>55898</v>
      </c>
      <c r="F44" s="73" t="n">
        <v>64241</v>
      </c>
      <c r="G44" s="73" t="n">
        <v>71739</v>
      </c>
      <c r="H44" s="73" t="n">
        <v>77311</v>
      </c>
      <c r="I44" s="73" t="n">
        <v>73761</v>
      </c>
      <c r="J44" s="73" t="n">
        <v>77196</v>
      </c>
      <c r="K44" s="73" t="n">
        <v>85831</v>
      </c>
      <c r="L44" s="73" t="n">
        <v>91754</v>
      </c>
      <c r="M44" s="73" t="n">
        <v>88003</v>
      </c>
      <c r="N44" s="73" t="n">
        <v>93637</v>
      </c>
      <c r="R44" t="inlineStr">
        <is>
          <t>Other financing items</t>
        </is>
      </c>
      <c r="S44" t="n">
        <v>-734</v>
      </c>
      <c r="T44" t="n">
        <v>-971</v>
      </c>
      <c r="U44" s="73" t="n">
        <v>-1335</v>
      </c>
      <c r="V44" s="73" t="n">
        <v>-1136</v>
      </c>
      <c r="W44" s="73" t="n">
        <v>-1203</v>
      </c>
      <c r="X44" s="73" t="n">
        <v>-1409</v>
      </c>
      <c r="Y44" t="n">
        <v>55</v>
      </c>
      <c r="Z44" t="n">
        <v>15</v>
      </c>
      <c r="AA44" t="n">
        <v>35</v>
      </c>
      <c r="AB44" t="n">
        <v>12</v>
      </c>
      <c r="AC44" t="n">
        <v>28</v>
      </c>
      <c r="AD44" t="n">
        <v>-146</v>
      </c>
    </row>
    <row r="45">
      <c r="R45" t="inlineStr">
        <is>
          <t>Net Cash Flow</t>
        </is>
      </c>
      <c r="S45" t="n">
        <v>4417</v>
      </c>
      <c r="T45" t="n">
        <v>2330</v>
      </c>
      <c r="U45" t="n">
        <v>-10072</v>
      </c>
      <c r="V45" t="n">
        <v>-2754</v>
      </c>
      <c r="W45" t="n">
        <v>-303</v>
      </c>
      <c r="X45" t="n">
        <v>-919</v>
      </c>
      <c r="Y45" t="n">
        <v>6065</v>
      </c>
      <c r="Z45" t="n">
        <v>-7242</v>
      </c>
      <c r="AA45" t="n">
        <v>-5299</v>
      </c>
      <c r="AB45" t="n">
        <v>2613</v>
      </c>
      <c r="AC45" t="n">
        <v>9669</v>
      </c>
      <c r="AD45" t="n">
        <v>-2254</v>
      </c>
      <c r="AT45" t="inlineStr">
        <is>
          <t>Interest paid fin</t>
        </is>
      </c>
      <c r="AU45" t="n">
        <v>-18</v>
      </c>
      <c r="AV45" t="n">
        <v>-2</v>
      </c>
      <c r="AW45" t="n">
        <v>-14</v>
      </c>
      <c r="AX45" t="n">
        <v>-6</v>
      </c>
      <c r="AY45" t="n">
        <v>-7</v>
      </c>
      <c r="AZ45" t="n">
        <v>-90</v>
      </c>
      <c r="BA45" t="n">
        <v>-92</v>
      </c>
      <c r="BB45" t="n">
        <v>-82</v>
      </c>
      <c r="BC45" t="n">
        <v>-88</v>
      </c>
      <c r="BD45" t="n">
        <v>-110</v>
      </c>
      <c r="BE45" t="n">
        <v>-130</v>
      </c>
      <c r="BF45" t="n">
        <v>-133</v>
      </c>
    </row>
    <row r="46">
      <c r="AT46" t="inlineStr">
        <is>
          <t>Dividends paid</t>
        </is>
      </c>
      <c r="AU46" s="73" t="n">
        <v>-2912</v>
      </c>
      <c r="AV46" s="73" t="n">
        <v>-3354</v>
      </c>
      <c r="AW46" s="73" t="n">
        <v>-3572</v>
      </c>
      <c r="AX46" s="73" t="n">
        <v>-3911</v>
      </c>
      <c r="AY46" s="73" t="n">
        <v>-4554</v>
      </c>
      <c r="AZ46" s="73" t="n">
        <v>-5196</v>
      </c>
      <c r="BA46" s="73" t="n">
        <v>-8811</v>
      </c>
      <c r="BB46" s="73" t="n">
        <v>-7526</v>
      </c>
      <c r="BC46" s="73" t="n">
        <v>-8474</v>
      </c>
      <c r="BD46" s="73" t="n">
        <v>-9416</v>
      </c>
      <c r="BE46" s="73" t="n">
        <v>-12473</v>
      </c>
      <c r="BF46" s="73" t="n">
        <v>-10124</v>
      </c>
    </row>
    <row r="47">
      <c r="AT47" t="inlineStr">
        <is>
          <t>Financial liabilities</t>
        </is>
      </c>
      <c r="AU47" t="n">
        <v>0</v>
      </c>
      <c r="AV47" t="n">
        <v>0</v>
      </c>
      <c r="AW47" t="n">
        <v>0</v>
      </c>
      <c r="AX47" t="n">
        <v>0</v>
      </c>
      <c r="AY47" t="n">
        <v>0</v>
      </c>
      <c r="AZ47" t="n">
        <v>-373</v>
      </c>
      <c r="BA47" t="n">
        <v>-406</v>
      </c>
      <c r="BB47" t="n">
        <v>-407</v>
      </c>
      <c r="BC47" t="n">
        <v>-467</v>
      </c>
      <c r="BD47" t="n">
        <v>-423</v>
      </c>
      <c r="BE47" t="n">
        <v>-498</v>
      </c>
      <c r="BF47" t="n">
        <v>-507</v>
      </c>
    </row>
    <row r="48">
      <c r="AT48" t="inlineStr">
        <is>
          <t>Other financing items</t>
        </is>
      </c>
      <c r="AU48" t="n">
        <v>-533</v>
      </c>
      <c r="AV48" t="n">
        <v>-685</v>
      </c>
      <c r="AW48" t="n">
        <v>-728</v>
      </c>
      <c r="AX48" t="n">
        <v>-781</v>
      </c>
      <c r="AY48" t="n">
        <v>-928</v>
      </c>
      <c r="AZ48" s="73" t="n">
        <v>-1061</v>
      </c>
      <c r="BA48" t="n">
        <v>0</v>
      </c>
      <c r="BB48" t="n">
        <v>0</v>
      </c>
      <c r="BC48" t="n">
        <v>-2</v>
      </c>
      <c r="BD48" t="n">
        <v>0</v>
      </c>
      <c r="BE48" t="n">
        <v>0</v>
      </c>
      <c r="BF48" t="n">
        <v>0</v>
      </c>
    </row>
    <row r="49">
      <c r="AT49" t="inlineStr">
        <is>
          <t>Net Cash Flow</t>
        </is>
      </c>
      <c r="AU49" t="n">
        <v>-33</v>
      </c>
      <c r="AV49" t="n">
        <v>25</v>
      </c>
      <c r="AW49" t="n">
        <v>-202</v>
      </c>
      <c r="AX49" t="n">
        <v>21</v>
      </c>
      <c r="AY49" t="n">
        <v>-28</v>
      </c>
      <c r="AZ49" s="73" t="n">
        <v>2595</v>
      </c>
      <c r="BA49" s="73" t="n">
        <v>-1374</v>
      </c>
      <c r="BB49" t="n">
        <v>-695</v>
      </c>
      <c r="BC49" t="n">
        <v>-446</v>
      </c>
      <c r="BD49" t="n">
        <v>111</v>
      </c>
      <c r="BE49" s="73" t="n">
        <v>5258</v>
      </c>
      <c r="BF49" s="73" t="n">
        <v>-3487</v>
      </c>
    </row>
    <row r="55">
      <c r="AR55" t="inlineStr">
        <is>
          <t xml:space="preserve">Mar Cap Rs.Cr. </t>
        </is>
      </c>
      <c r="AS55" t="inlineStr">
        <is>
          <t>Net Debt</t>
        </is>
      </c>
      <c r="AT55" t="inlineStr">
        <is>
          <t>EV Rs.Cr.</t>
        </is>
      </c>
      <c r="AU55" t="inlineStr">
        <is>
          <t>Sales Rs.Cr.</t>
        </is>
      </c>
      <c r="AV55" t="inlineStr">
        <is>
          <t>EBITDA</t>
        </is>
      </c>
      <c r="AW55" t="inlineStr">
        <is>
          <t>NP 12M Rs.Cr.</t>
        </is>
      </c>
      <c r="AX55" t="inlineStr">
        <is>
          <t>EV / EBITDA</t>
        </is>
      </c>
      <c r="AZ55" t="inlineStr">
        <is>
          <t>Debt Rs.Cr.</t>
        </is>
      </c>
      <c r="BA55" t="inlineStr">
        <is>
          <t>Cash End Rs.Cr.</t>
        </is>
      </c>
    </row>
    <row r="56">
      <c r="K56" t="inlineStr">
        <is>
          <t>S.No.</t>
        </is>
      </c>
      <c r="L56" t="inlineStr">
        <is>
          <t>Infosys Ltd</t>
        </is>
      </c>
      <c r="M56" t="n">
        <v>1051</v>
      </c>
      <c r="N56" t="n">
        <v>404.8</v>
      </c>
      <c r="AR56" t="n">
        <v>761607.42</v>
      </c>
      <c r="AS56">
        <f>AZ56-BA56</f>
        <v/>
      </c>
      <c r="AT56">
        <f>AR56+AS56</f>
        <v/>
      </c>
      <c r="AU56" t="n">
        <v>289100</v>
      </c>
      <c r="AV56">
        <f>AT56/AX56</f>
        <v/>
      </c>
      <c r="AW56" t="n">
        <v>53680</v>
      </c>
      <c r="AX56" t="n">
        <v>63.03</v>
      </c>
      <c r="AZ56" t="n">
        <v>9176</v>
      </c>
      <c r="BA56" t="n">
        <v>22201</v>
      </c>
    </row>
    <row r="57">
      <c r="K57" t="n">
        <v>1</v>
      </c>
      <c r="L57" t="inlineStr">
        <is>
          <t>TCS</t>
        </is>
      </c>
      <c r="M57" t="n">
        <v>2105</v>
      </c>
      <c r="N57" t="n">
        <v>361.81</v>
      </c>
      <c r="AR57" t="n">
        <v>426682.56</v>
      </c>
      <c r="AS57">
        <f>AZ57-BA57</f>
        <v/>
      </c>
      <c r="AT57">
        <f>AR57+AS57</f>
        <v/>
      </c>
      <c r="AU57" t="n">
        <v>192844</v>
      </c>
      <c r="AV57">
        <f>AT57/AX57</f>
        <v/>
      </c>
      <c r="AW57" t="n">
        <v>31100</v>
      </c>
      <c r="AX57" t="n">
        <v>39.95</v>
      </c>
      <c r="AZ57" t="n">
        <v>9176</v>
      </c>
      <c r="BA57" t="n">
        <v>22201</v>
      </c>
    </row>
    <row r="58">
      <c r="K58" t="n">
        <v>2</v>
      </c>
      <c r="L58" t="inlineStr">
        <is>
          <t>Infosys</t>
        </is>
      </c>
      <c r="M58" t="n">
        <v>1051.4</v>
      </c>
      <c r="N58" t="n">
        <v>405.82</v>
      </c>
      <c r="AR58" t="n">
        <v>339018.18</v>
      </c>
      <c r="AS58">
        <f>AZ58-BA58</f>
        <v/>
      </c>
      <c r="AT58">
        <f>AR58+AS58</f>
        <v/>
      </c>
      <c r="AU58" t="n">
        <v>138316</v>
      </c>
      <c r="AV58">
        <f>AT58/AX58</f>
        <v/>
      </c>
      <c r="AW58" t="n">
        <v>18504</v>
      </c>
      <c r="AX58" t="n">
        <v>30.4</v>
      </c>
      <c r="AZ58" t="n">
        <v>444.16</v>
      </c>
      <c r="BA58" t="n">
        <v>1340.87</v>
      </c>
    </row>
    <row r="59">
      <c r="K59" t="n">
        <v>3</v>
      </c>
      <c r="L59" t="inlineStr">
        <is>
          <t>HCL Technologies</t>
        </is>
      </c>
      <c r="M59" t="n">
        <v>1249.3</v>
      </c>
      <c r="N59" t="n">
        <v>271.37</v>
      </c>
      <c r="AR59" t="n">
        <v>165244.04</v>
      </c>
      <c r="AS59">
        <f>AZ59-BA59</f>
        <v/>
      </c>
      <c r="AT59">
        <f>AR59+AS59</f>
        <v/>
      </c>
      <c r="AU59" t="n">
        <v>97914.39999999999</v>
      </c>
      <c r="AV59">
        <f>AT59/AX59</f>
        <v/>
      </c>
      <c r="AW59" t="n">
        <v>13425.2</v>
      </c>
      <c r="AX59" t="n">
        <v>17.84</v>
      </c>
      <c r="AZ59" t="n">
        <v>2508.18</v>
      </c>
      <c r="BA59" t="n">
        <v>1998.49</v>
      </c>
    </row>
    <row r="60">
      <c r="K60" t="n">
        <v>4</v>
      </c>
      <c r="L60" t="inlineStr">
        <is>
          <t>Wipro</t>
        </is>
      </c>
      <c r="M60" t="n">
        <v>166.83</v>
      </c>
      <c r="N60" t="n">
        <v>990.49</v>
      </c>
      <c r="AR60" t="n">
        <v>150656.36</v>
      </c>
      <c r="AS60">
        <f>AZ60-BA60</f>
        <v/>
      </c>
      <c r="AT60">
        <f>AR60+AS60</f>
        <v/>
      </c>
      <c r="AU60" t="n">
        <v>62847.6</v>
      </c>
      <c r="AV60">
        <f>AT60/AX60</f>
        <v/>
      </c>
      <c r="AW60" t="n">
        <v>5945.2</v>
      </c>
      <c r="AX60" t="n">
        <v>23.12</v>
      </c>
      <c r="AZ60" t="n">
        <v>1380.28</v>
      </c>
      <c r="BA60" t="n">
        <v>352.44</v>
      </c>
    </row>
    <row r="61">
      <c r="K61" t="n">
        <v>5</v>
      </c>
      <c r="L61" t="inlineStr">
        <is>
          <t>Tech Mahindra</t>
        </is>
      </c>
      <c r="M61" t="n">
        <v>1537.1</v>
      </c>
      <c r="N61" t="n">
        <v>98.01000000000001</v>
      </c>
      <c r="AR61" t="n">
        <v>126808.58</v>
      </c>
      <c r="AS61">
        <f>AZ61-BA61</f>
        <v/>
      </c>
      <c r="AT61">
        <f>AR61+AS61</f>
        <v/>
      </c>
      <c r="AU61" t="n">
        <v>46432</v>
      </c>
      <c r="AV61">
        <f>AT61/AX61</f>
        <v/>
      </c>
      <c r="AW61" t="n">
        <v>5874.4</v>
      </c>
      <c r="AX61" t="n">
        <v>29.6</v>
      </c>
      <c r="AZ61" t="n">
        <v>557</v>
      </c>
      <c r="BA61" t="n">
        <v>493</v>
      </c>
    </row>
    <row r="62">
      <c r="K62" t="n">
        <v>6</v>
      </c>
      <c r="L62" t="inlineStr">
        <is>
          <t>LTM</t>
        </is>
      </c>
      <c r="M62" t="n">
        <v>4275.1</v>
      </c>
      <c r="N62" t="n">
        <v>29.66</v>
      </c>
      <c r="AR62" t="n">
        <v>103594.09</v>
      </c>
      <c r="AS62">
        <f>AZ62-BA62</f>
        <v/>
      </c>
      <c r="AT62">
        <f>AR62+AS62</f>
        <v/>
      </c>
      <c r="AU62" t="n">
        <v>12500.8</v>
      </c>
      <c r="AV62">
        <f>AT62/AX62</f>
        <v/>
      </c>
      <c r="AW62" t="n">
        <v>5662</v>
      </c>
      <c r="AX62" t="n">
        <v>45.28</v>
      </c>
      <c r="AZ62" t="n">
        <v>413</v>
      </c>
      <c r="BA62" t="n">
        <v>1977</v>
      </c>
    </row>
    <row r="63">
      <c r="K63" t="n">
        <v>7</v>
      </c>
      <c r="L63" t="inlineStr">
        <is>
          <t>Oracle Fin.Serv.</t>
        </is>
      </c>
      <c r="M63" t="n">
        <v>11896</v>
      </c>
      <c r="N63" t="n">
        <v>8.710000000000001</v>
      </c>
      <c r="AR63" t="n">
        <v>85437.39999999999</v>
      </c>
      <c r="AS63">
        <f>AZ63-BA63</f>
        <v/>
      </c>
      <c r="AT63">
        <f>AR63+AS63</f>
        <v/>
      </c>
      <c r="AU63" t="n">
        <v>17212.92</v>
      </c>
      <c r="AV63">
        <f>AT63/AX63</f>
        <v/>
      </c>
      <c r="AW63" t="n">
        <v>1932.16</v>
      </c>
      <c r="AX63" t="n">
        <v>34.36</v>
      </c>
      <c r="AZ63" t="n">
        <v>2819.51</v>
      </c>
      <c r="BA63" t="n">
        <v>3420.49</v>
      </c>
    </row>
    <row r="64">
      <c r="K64" t="n">
        <v>8</v>
      </c>
      <c r="L64" t="inlineStr">
        <is>
          <t>Persistent Systems</t>
        </is>
      </c>
      <c r="M64" t="n">
        <v>5416</v>
      </c>
      <c r="N64" t="n">
        <v>15.77</v>
      </c>
      <c r="AR64" t="n">
        <v>81552.27</v>
      </c>
      <c r="AS64">
        <f>AZ64-BA64</f>
        <v/>
      </c>
      <c r="AT64">
        <f>AR64+AS64</f>
        <v/>
      </c>
      <c r="AU64" t="n">
        <v>22110.8</v>
      </c>
      <c r="AV64">
        <f>AT64/AX64</f>
        <v/>
      </c>
      <c r="AW64" t="n">
        <v>2126.8</v>
      </c>
      <c r="AX64" t="n">
        <v>23.5</v>
      </c>
      <c r="AZ64" t="n">
        <v>4420.52</v>
      </c>
      <c r="BA64" t="n">
        <v>1005.41</v>
      </c>
    </row>
    <row r="65">
      <c r="K65" t="n">
        <v>9</v>
      </c>
      <c r="L65" t="inlineStr">
        <is>
          <t>Coforge</t>
        </is>
      </c>
      <c r="M65" t="n">
        <v>1841</v>
      </c>
      <c r="N65" t="n">
        <v>44.3</v>
      </c>
      <c r="AR65" t="n">
        <v>43925.99</v>
      </c>
      <c r="AS65">
        <f>AZ65-BA65</f>
        <v/>
      </c>
      <c r="AT65">
        <f>AR65+AS65</f>
        <v/>
      </c>
      <c r="AU65" t="n">
        <v>17536.2</v>
      </c>
      <c r="AV65">
        <f>AT65/AX65</f>
        <v/>
      </c>
      <c r="AW65" t="n">
        <v>1958.04</v>
      </c>
      <c r="AX65" t="n">
        <v>22.09</v>
      </c>
      <c r="AZ65" t="n">
        <v>1287.32</v>
      </c>
      <c r="BA65" t="n">
        <v>562.0700000000001</v>
      </c>
    </row>
    <row r="66">
      <c r="K66" t="n">
        <v>10</v>
      </c>
      <c r="L66" t="inlineStr">
        <is>
          <t>Mphasis</t>
        </is>
      </c>
      <c r="M66" t="n">
        <v>2300.4</v>
      </c>
      <c r="N66" t="n">
        <v>19.09</v>
      </c>
    </row>
  </sheetData>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B2:E5442"/>
  <sheetViews>
    <sheetView zoomScale="84" workbookViewId="0">
      <selection activeCell="B2" sqref="B2"/>
    </sheetView>
  </sheetViews>
  <sheetFormatPr baseColWidth="8" defaultRowHeight="14.4"/>
  <cols>
    <col width="35.33203125" customWidth="1" style="109" min="2" max="2"/>
    <col width="23.44140625" customWidth="1" style="109" min="3" max="3"/>
    <col width="26.88671875" customWidth="1" style="109" min="4" max="4"/>
    <col width="24" customWidth="1" style="109" min="5" max="5"/>
  </cols>
  <sheetData>
    <row r="1" ht="15" customHeight="1" s="109" thickBot="1"/>
    <row r="2" ht="15" customHeight="1" s="109" thickBot="1">
      <c r="B2" s="95" t="inlineStr">
        <is>
          <t>COMPANY_NAME</t>
        </is>
      </c>
      <c r="C2" s="95" t="inlineStr">
        <is>
          <t>BSE</t>
        </is>
      </c>
      <c r="D2" s="95" t="inlineStr">
        <is>
          <t>NSE</t>
        </is>
      </c>
      <c r="E2" s="95" t="inlineStr">
        <is>
          <t>Industry</t>
        </is>
      </c>
    </row>
    <row r="3" ht="15" customHeight="1" s="109" thickBot="1">
      <c r="B3" s="96" t="inlineStr">
        <is>
          <t>20 MICRONS LTD</t>
        </is>
      </c>
      <c r="C3" s="97" t="n">
        <v>533022</v>
      </c>
      <c r="D3" s="96" t="inlineStr">
        <is>
          <t>20MICRONS</t>
        </is>
      </c>
      <c r="E3" s="96" t="inlineStr">
        <is>
          <t>Mining</t>
        </is>
      </c>
    </row>
    <row r="4" ht="15" customHeight="1" s="109" thickBot="1">
      <c r="B4" s="96" t="inlineStr">
        <is>
          <t>21ST CENTURY MANAGEMENT SERVICES LTD</t>
        </is>
      </c>
      <c r="C4" s="97" t="n">
        <v>526921</v>
      </c>
      <c r="D4" s="96" t="inlineStr">
        <is>
          <t>21STCENMGM</t>
        </is>
      </c>
      <c r="E4" s="96" t="inlineStr">
        <is>
          <t>Other Financial Services</t>
        </is>
      </c>
    </row>
    <row r="5" ht="15" customHeight="1" s="109" thickBot="1">
      <c r="B5" s="96" t="inlineStr">
        <is>
          <t>3I INFOTECH LTD</t>
        </is>
      </c>
      <c r="C5" s="97" t="n">
        <v>532628</v>
      </c>
      <c r="D5" s="96" t="inlineStr">
        <is>
          <t>3IINFOTECH</t>
        </is>
      </c>
      <c r="E5" s="96" t="inlineStr">
        <is>
          <t>IT Consulting &amp; Software</t>
        </is>
      </c>
    </row>
    <row r="6" ht="15" customHeight="1" s="109" thickBot="1">
      <c r="B6" s="96" t="inlineStr">
        <is>
          <t>3M (INDIA) LTD</t>
        </is>
      </c>
      <c r="C6" s="97" t="n">
        <v>523395</v>
      </c>
      <c r="D6" s="96" t="inlineStr">
        <is>
          <t>3M(INDIA)</t>
        </is>
      </c>
      <c r="E6" s="96" t="inlineStr">
        <is>
          <t>Diversified</t>
        </is>
      </c>
    </row>
    <row r="7" ht="15" customHeight="1" s="109" thickBot="1">
      <c r="B7" s="96" t="inlineStr">
        <is>
          <t>3M INDIA LTD</t>
        </is>
      </c>
      <c r="C7" s="97" t="n">
        <v>523395</v>
      </c>
      <c r="D7" s="96" t="inlineStr">
        <is>
          <t>3MINDIA</t>
        </is>
      </c>
      <c r="E7" s="96" t="inlineStr">
        <is>
          <t>Diversified</t>
        </is>
      </c>
    </row>
    <row r="8" ht="15" customHeight="1" s="109" thickBot="1">
      <c r="B8" s="96" t="inlineStr">
        <is>
          <t>3P LAND HOLDINGS LTD</t>
        </is>
      </c>
      <c r="C8" s="97" t="n">
        <v>516092</v>
      </c>
      <c r="D8" s="96" t="inlineStr">
        <is>
          <t>3PLAND</t>
        </is>
      </c>
      <c r="E8" s="96" t="inlineStr">
        <is>
          <t>Paper &amp; Paper Products</t>
        </is>
      </c>
    </row>
    <row r="9" ht="15" customHeight="1" s="109" thickBot="1">
      <c r="B9" s="96" t="inlineStr">
        <is>
          <t>5PAISA CAPITAL LTD</t>
        </is>
      </c>
      <c r="C9" s="97" t="n">
        <v>540776</v>
      </c>
      <c r="D9" s="96" t="inlineStr">
        <is>
          <t>5PAISA</t>
        </is>
      </c>
      <c r="E9" s="96" t="inlineStr">
        <is>
          <t>Other Financial Services</t>
        </is>
      </c>
    </row>
    <row r="10" ht="15" customHeight="1" s="109" thickBot="1">
      <c r="B10" s="96" t="inlineStr">
        <is>
          <t>63 MOONS TECHNOLOGIES LTD</t>
        </is>
      </c>
      <c r="C10" s="97" t="n">
        <v>526881</v>
      </c>
      <c r="D10" s="96" t="inlineStr">
        <is>
          <t>63MOONS</t>
        </is>
      </c>
      <c r="E10" s="96" t="inlineStr">
        <is>
          <t>IT Consulting &amp; Software</t>
        </is>
      </c>
    </row>
    <row r="11" ht="15" customHeight="1" s="109" thickBot="1">
      <c r="B11" s="96" t="inlineStr">
        <is>
          <t>7NR RETAIL LTD</t>
        </is>
      </c>
      <c r="C11" s="97" t="n">
        <v>540615</v>
      </c>
      <c r="D11" s="96" t="inlineStr">
        <is>
          <t>Not Listed</t>
        </is>
      </c>
      <c r="E11" s="96" t="inlineStr">
        <is>
          <t>Specialty Retail</t>
        </is>
      </c>
    </row>
    <row r="12" ht="15" customHeight="1" s="109" thickBot="1">
      <c r="B12" s="96" t="inlineStr">
        <is>
          <t>7SEAS ENTERTAINMENT LTD</t>
        </is>
      </c>
      <c r="C12" s="97" t="n">
        <v>540874</v>
      </c>
      <c r="D12" s="96" t="inlineStr">
        <is>
          <t>Not Listed</t>
        </is>
      </c>
      <c r="E12" s="96" t="inlineStr">
        <is>
          <t>Movies &amp; Entertainment</t>
        </is>
      </c>
    </row>
    <row r="13" ht="15" customHeight="1" s="109" thickBot="1">
      <c r="B13" s="96" t="inlineStr">
        <is>
          <t>8K MILES SOFTWARE SERVICES LTD</t>
        </is>
      </c>
      <c r="C13" s="97" t="n">
        <v>512161</v>
      </c>
      <c r="D13" s="96" t="inlineStr">
        <is>
          <t>8KMILES</t>
        </is>
      </c>
      <c r="E13" s="96" t="inlineStr">
        <is>
          <t>Internet Software &amp; Services</t>
        </is>
      </c>
    </row>
    <row r="14" ht="15" customHeight="1" s="109" thickBot="1">
      <c r="B14" s="96" t="inlineStr">
        <is>
          <t>A &amp; M FEBCON LTD</t>
        </is>
      </c>
      <c r="C14" s="97" t="n">
        <v>540697</v>
      </c>
      <c r="D14" s="96" t="inlineStr">
        <is>
          <t>Not Listed</t>
        </is>
      </c>
      <c r="E14" s="96" t="inlineStr">
        <is>
          <t>Industrial Machinery</t>
        </is>
      </c>
    </row>
    <row r="15" ht="15" customHeight="1" s="109" thickBot="1">
      <c r="B15" s="96" t="inlineStr">
        <is>
          <t>A AND M JUMBO BAGS LTD</t>
        </is>
      </c>
      <c r="C15" s="96" t="inlineStr">
        <is>
          <t>Not Listed</t>
        </is>
      </c>
      <c r="D15" s="96" t="inlineStr">
        <is>
          <t>AMJUMBO</t>
        </is>
      </c>
      <c r="E15" s="96" t="inlineStr">
        <is>
          <t>SME</t>
        </is>
      </c>
    </row>
    <row r="16" ht="15" customHeight="1" s="109" thickBot="1">
      <c r="B16" s="96" t="inlineStr">
        <is>
          <t>A INFRASTRUCTURE LTD</t>
        </is>
      </c>
      <c r="C16" s="97" t="n">
        <v>539620</v>
      </c>
      <c r="D16" s="96" t="inlineStr">
        <is>
          <t>Not Listed</t>
        </is>
      </c>
      <c r="E16" s="96" t="inlineStr">
        <is>
          <t>Cement &amp; Cement Products</t>
        </is>
      </c>
    </row>
    <row r="17" ht="15" customHeight="1" s="109" thickBot="1">
      <c r="B17" s="96" t="inlineStr">
        <is>
          <t>A K SPINTEX LTD</t>
        </is>
      </c>
      <c r="C17" s="97" t="n">
        <v>539300</v>
      </c>
      <c r="D17" s="96" t="inlineStr">
        <is>
          <t>Not Listed</t>
        </is>
      </c>
      <c r="E17" s="96" t="inlineStr">
        <is>
          <t>Textiles</t>
        </is>
      </c>
    </row>
    <row r="18" ht="15" customHeight="1" s="109" thickBot="1">
      <c r="B18" s="96" t="inlineStr">
        <is>
          <t>A K CAPITAL SERVICES LTD</t>
        </is>
      </c>
      <c r="C18" s="97" t="n">
        <v>530499</v>
      </c>
      <c r="D18" s="96" t="inlineStr">
        <is>
          <t>Not Listed</t>
        </is>
      </c>
      <c r="E18" s="96" t="inlineStr">
        <is>
          <t>Finance (including NBFCs)</t>
        </is>
      </c>
    </row>
    <row r="19" ht="15" customHeight="1" s="109" thickBot="1">
      <c r="B19" s="96" t="inlineStr">
        <is>
          <t>A.F. Enterprises Ltd</t>
        </is>
      </c>
      <c r="C19" s="97" t="n">
        <v>538351</v>
      </c>
      <c r="D19" s="96" t="inlineStr">
        <is>
          <t>AFEL</t>
        </is>
      </c>
      <c r="E19" s="96" t="inlineStr">
        <is>
          <t>Investment Companies</t>
        </is>
      </c>
    </row>
    <row r="20" ht="15" customHeight="1" s="109" thickBot="1">
      <c r="B20" s="96" t="inlineStr">
        <is>
          <t>A-1 ACID LTD</t>
        </is>
      </c>
      <c r="C20" s="97" t="n">
        <v>542012</v>
      </c>
      <c r="D20" s="96" t="inlineStr">
        <is>
          <t>Not Listed</t>
        </is>
      </c>
      <c r="E20" s="96" t="inlineStr">
        <is>
          <t>Comm.Trading &amp; Distribution</t>
        </is>
      </c>
    </row>
    <row r="21" ht="15" customHeight="1" s="109" thickBot="1">
      <c r="B21" s="96" t="inlineStr">
        <is>
          <t>A2Z INFRA ENGINEERING LTD</t>
        </is>
      </c>
      <c r="C21" s="97" t="n">
        <v>533292</v>
      </c>
      <c r="D21" s="96" t="inlineStr">
        <is>
          <t>A2ZINFRA</t>
        </is>
      </c>
      <c r="E21" s="96" t="inlineStr">
        <is>
          <t>Utilities:Non-Elec.</t>
        </is>
      </c>
    </row>
    <row r="22" ht="15" customHeight="1" s="109" thickBot="1">
      <c r="B22" s="96" t="inlineStr">
        <is>
          <t>AADHAAR VENTURES (INDIA) LTD</t>
        </is>
      </c>
      <c r="C22" s="97" t="n">
        <v>531611</v>
      </c>
      <c r="D22" s="96" t="inlineStr">
        <is>
          <t>Not Listed</t>
        </is>
      </c>
      <c r="E22" s="96" t="inlineStr">
        <is>
          <t>Finance (including NBFCs)</t>
        </is>
      </c>
    </row>
    <row r="23" ht="15" customHeight="1" s="109" thickBot="1">
      <c r="B23" s="96" t="inlineStr">
        <is>
          <t>AADHAAR VENTURES INDIA LTD</t>
        </is>
      </c>
      <c r="C23" s="97" t="n">
        <v>531611</v>
      </c>
      <c r="D23" s="96" t="inlineStr">
        <is>
          <t>Not Listed</t>
        </is>
      </c>
      <c r="E23" s="96" t="inlineStr">
        <is>
          <t>Finance (including NBFCs)</t>
        </is>
      </c>
    </row>
    <row r="24" ht="15" customHeight="1" s="109" thickBot="1">
      <c r="B24" s="96" t="inlineStr">
        <is>
          <t>AAKASH EXPLORATION SERVICES LTD</t>
        </is>
      </c>
      <c r="C24" s="96" t="inlineStr">
        <is>
          <t>Not Listed</t>
        </is>
      </c>
      <c r="D24" s="96" t="inlineStr">
        <is>
          <t>AAKASH</t>
        </is>
      </c>
      <c r="E24" s="96" t="inlineStr">
        <is>
          <t>SME</t>
        </is>
      </c>
    </row>
    <row r="25" ht="15" customHeight="1" s="109" thickBot="1">
      <c r="B25" s="96" t="inlineStr">
        <is>
          <t>AANANDA LAKSHMI SPINNING MILLS LTD</t>
        </is>
      </c>
      <c r="C25" s="97" t="n">
        <v>539096</v>
      </c>
      <c r="D25" s="96" t="inlineStr">
        <is>
          <t>Not Listed</t>
        </is>
      </c>
      <c r="E25" s="96" t="inlineStr">
        <is>
          <t>Textiles</t>
        </is>
      </c>
    </row>
    <row r="26" ht="15" customHeight="1" s="109" thickBot="1">
      <c r="B26" s="96" t="inlineStr">
        <is>
          <t>AANCHAL ISPAT LTD</t>
        </is>
      </c>
      <c r="C26" s="97" t="n">
        <v>538812</v>
      </c>
      <c r="D26" s="96" t="inlineStr">
        <is>
          <t>Not Listed</t>
        </is>
      </c>
      <c r="E26" s="96" t="inlineStr">
        <is>
          <t>Iron &amp; Steel/Interm.Products</t>
        </is>
      </c>
    </row>
    <row r="27" ht="15" customHeight="1" s="109" thickBot="1">
      <c r="B27" s="96" t="inlineStr">
        <is>
          <t>AAR COMMERCIAL COMPANY LTD</t>
        </is>
      </c>
      <c r="C27" s="97" t="n">
        <v>539632</v>
      </c>
      <c r="D27" s="96" t="inlineStr">
        <is>
          <t>Not Listed</t>
        </is>
      </c>
      <c r="E27" s="96" t="inlineStr">
        <is>
          <t>Distributors</t>
        </is>
      </c>
    </row>
    <row r="28" ht="15" customHeight="1" s="109" thickBot="1">
      <c r="B28" s="96" t="inlineStr">
        <is>
          <t>Aar Shyam India Investment Company Ltd</t>
        </is>
      </c>
      <c r="C28" s="97" t="n">
        <v>542377</v>
      </c>
      <c r="D28" s="96" t="inlineStr">
        <is>
          <t>AARSHYAM</t>
        </is>
      </c>
      <c r="E28" s="96" t="inlineStr">
        <is>
          <t>Finance (including NBFCs)</t>
        </is>
      </c>
    </row>
    <row r="29" ht="15" customHeight="1" s="109" thickBot="1">
      <c r="B29" s="96" t="inlineStr">
        <is>
          <t>AAREY DRUGS &amp; PHARMACEUTICALS LTD</t>
        </is>
      </c>
      <c r="C29" s="97" t="n">
        <v>524412</v>
      </c>
      <c r="D29" s="96" t="inlineStr">
        <is>
          <t>Not Listed</t>
        </is>
      </c>
      <c r="E29" s="96" t="inlineStr">
        <is>
          <t>Pharmaceuticals</t>
        </is>
      </c>
    </row>
    <row r="30" ht="15" customHeight="1" s="109" thickBot="1">
      <c r="B30" s="96" t="inlineStr">
        <is>
          <t>AARON INDUSTRIES LTD</t>
        </is>
      </c>
      <c r="C30" s="96" t="inlineStr">
        <is>
          <t>Not Listed</t>
        </is>
      </c>
      <c r="D30" s="96" t="inlineStr">
        <is>
          <t>AARON</t>
        </is>
      </c>
      <c r="E30" s="96" t="inlineStr">
        <is>
          <t>SME</t>
        </is>
      </c>
    </row>
    <row r="31" ht="15" customHeight="1" s="109" thickBot="1">
      <c r="B31" s="96" t="inlineStr">
        <is>
          <t>Aartech Solonics Ltd</t>
        </is>
      </c>
      <c r="C31" s="97" t="n">
        <v>542580</v>
      </c>
      <c r="D31" s="96" t="inlineStr">
        <is>
          <t>AARTECH</t>
        </is>
      </c>
      <c r="E31" s="96" t="inlineStr">
        <is>
          <t>Heavy Electrical Equipment</t>
        </is>
      </c>
    </row>
    <row r="32" ht="15" customHeight="1" s="109" thickBot="1">
      <c r="B32" s="96" t="inlineStr">
        <is>
          <t>AARTI DRUGS LTD</t>
        </is>
      </c>
      <c r="C32" s="97" t="n">
        <v>524348</v>
      </c>
      <c r="D32" s="96" t="inlineStr">
        <is>
          <t>AARTIDRUGS</t>
        </is>
      </c>
      <c r="E32" s="96" t="inlineStr">
        <is>
          <t>Pharmaceuticals</t>
        </is>
      </c>
    </row>
    <row r="33" ht="15" customHeight="1" s="109" thickBot="1">
      <c r="B33" s="96" t="inlineStr">
        <is>
          <t>AARTI INDUSTRIES LTD</t>
        </is>
      </c>
      <c r="C33" s="97" t="n">
        <v>524208</v>
      </c>
      <c r="D33" s="96" t="inlineStr">
        <is>
          <t>AARTIIND</t>
        </is>
      </c>
      <c r="E33" s="96" t="inlineStr">
        <is>
          <t>Commodity Chemicals</t>
        </is>
      </c>
    </row>
    <row r="34" ht="15" customHeight="1" s="109" thickBot="1">
      <c r="B34" s="96" t="inlineStr">
        <is>
          <t>AARV INFRATEL LTD</t>
        </is>
      </c>
      <c r="C34" s="97" t="n">
        <v>526488</v>
      </c>
      <c r="D34" s="96" t="inlineStr">
        <is>
          <t>Not Listed</t>
        </is>
      </c>
      <c r="E34" s="96" t="inlineStr">
        <is>
          <t>Textiles</t>
        </is>
      </c>
    </row>
    <row r="35" ht="15" customHeight="1" s="109" thickBot="1">
      <c r="B35" s="96" t="inlineStr">
        <is>
          <t>AARVEE DENIMS &amp; EXPORTS LTD</t>
        </is>
      </c>
      <c r="C35" s="97" t="n">
        <v>514274</v>
      </c>
      <c r="D35" s="96" t="inlineStr">
        <is>
          <t>AARVEEDEN</t>
        </is>
      </c>
      <c r="E35" s="96" t="inlineStr">
        <is>
          <t>Textiles</t>
        </is>
      </c>
    </row>
    <row r="36" ht="15" customHeight="1" s="109" thickBot="1">
      <c r="B36" s="96" t="inlineStr">
        <is>
          <t>AARVI ENCON LTD</t>
        </is>
      </c>
      <c r="C36" s="96" t="inlineStr">
        <is>
          <t>Not Listed</t>
        </is>
      </c>
      <c r="D36" s="96" t="inlineStr">
        <is>
          <t>AARVI</t>
        </is>
      </c>
      <c r="E36" s="96" t="inlineStr">
        <is>
          <t>SME</t>
        </is>
      </c>
    </row>
    <row r="37" ht="15" customHeight="1" s="109" thickBot="1">
      <c r="B37" s="96" t="inlineStr">
        <is>
          <t>AASHEE INFOTECH LTD</t>
        </is>
      </c>
      <c r="C37" s="97" t="n">
        <v>519319</v>
      </c>
      <c r="D37" s="96" t="inlineStr">
        <is>
          <t>Not Listed</t>
        </is>
      </c>
      <c r="E37" s="96" t="inlineStr">
        <is>
          <t>Internet Software &amp; Services</t>
        </is>
      </c>
    </row>
    <row r="38" ht="15" customHeight="1" s="109" thickBot="1">
      <c r="B38" s="96" t="inlineStr">
        <is>
          <t>AASWA TRADING &amp; EXPORTS LTD</t>
        </is>
      </c>
      <c r="C38" s="97" t="n">
        <v>512038</v>
      </c>
      <c r="D38" s="96" t="inlineStr">
        <is>
          <t>Not Listed</t>
        </is>
      </c>
      <c r="E38" s="96" t="inlineStr">
        <is>
          <t>Comm.Trading &amp; Distribution</t>
        </is>
      </c>
    </row>
    <row r="39" ht="15" customHeight="1" s="109" thickBot="1">
      <c r="B39" s="96" t="inlineStr">
        <is>
          <t>AAVAS FINANCIERS LTD</t>
        </is>
      </c>
      <c r="C39" s="97" t="n">
        <v>541988</v>
      </c>
      <c r="D39" s="96" t="inlineStr">
        <is>
          <t>AAVAS</t>
        </is>
      </c>
      <c r="E39" s="96" t="inlineStr">
        <is>
          <t>Housing Finance</t>
        </is>
      </c>
    </row>
    <row r="40" ht="15" customHeight="1" s="109" thickBot="1">
      <c r="B40" s="96" t="inlineStr">
        <is>
          <t>AAYUSH FOOD AND HERBS LTD</t>
        </is>
      </c>
      <c r="C40" s="97" t="n">
        <v>539528</v>
      </c>
      <c r="D40" s="96" t="inlineStr">
        <is>
          <t>Not Listed</t>
        </is>
      </c>
      <c r="E40" s="96" t="inlineStr">
        <is>
          <t>Packaged Foods</t>
        </is>
      </c>
    </row>
    <row r="41" ht="15" customHeight="1" s="109" thickBot="1">
      <c r="B41" s="96" t="inlineStr">
        <is>
          <t>ABAN OFFSHORE LTD</t>
        </is>
      </c>
      <c r="C41" s="97" t="n">
        <v>523204</v>
      </c>
      <c r="D41" s="96" t="inlineStr">
        <is>
          <t>ABAN</t>
        </is>
      </c>
      <c r="E41" s="96" t="inlineStr">
        <is>
          <t>Exploration &amp; Production</t>
        </is>
      </c>
    </row>
    <row r="42" ht="15" customHeight="1" s="109" thickBot="1">
      <c r="B42" s="96" t="inlineStr">
        <is>
          <t>ABANS ENTERPRISES LTD</t>
        </is>
      </c>
      <c r="C42" s="97" t="n">
        <v>512165</v>
      </c>
      <c r="D42" s="96" t="inlineStr">
        <is>
          <t>Not Listed</t>
        </is>
      </c>
      <c r="E42" s="96" t="inlineStr">
        <is>
          <t>Comm.Trading &amp; Distribution</t>
        </is>
      </c>
    </row>
    <row r="43" ht="15" customHeight="1" s="109" thickBot="1">
      <c r="B43" s="96" t="inlineStr">
        <is>
          <t>ABB INDIA LTD</t>
        </is>
      </c>
      <c r="C43" s="97" t="n">
        <v>500002</v>
      </c>
      <c r="D43" s="96" t="inlineStr">
        <is>
          <t>ABB</t>
        </is>
      </c>
      <c r="E43" s="96" t="inlineStr">
        <is>
          <t>Heavy Electrical Equipment</t>
        </is>
      </c>
    </row>
    <row r="44" ht="15" customHeight="1" s="109" thickBot="1">
      <c r="B44" s="96" t="inlineStr">
        <is>
          <t>ABBOTT (INDIA) LTD</t>
        </is>
      </c>
      <c r="C44" s="97" t="n">
        <v>500488</v>
      </c>
      <c r="D44" s="96" t="inlineStr">
        <is>
          <t>ABBOT(INDIA)</t>
        </is>
      </c>
      <c r="E44" s="96" t="inlineStr">
        <is>
          <t>Pharmaceuticals</t>
        </is>
      </c>
    </row>
    <row r="45" ht="15" customHeight="1" s="109" thickBot="1">
      <c r="B45" s="96" t="inlineStr">
        <is>
          <t>ABBOTT INDIA LTD</t>
        </is>
      </c>
      <c r="C45" s="97" t="n">
        <v>500488</v>
      </c>
      <c r="D45" s="96" t="inlineStr">
        <is>
          <t>ABBOTINDIA</t>
        </is>
      </c>
      <c r="E45" s="96" t="inlineStr">
        <is>
          <t>Pharmaceuticals</t>
        </is>
      </c>
    </row>
    <row r="46" ht="15" customHeight="1" s="109" thickBot="1">
      <c r="B46" s="96" t="inlineStr">
        <is>
          <t>ABC (INDIA) LTD</t>
        </is>
      </c>
      <c r="C46" s="97" t="n">
        <v>520123</v>
      </c>
      <c r="D46" s="96" t="inlineStr">
        <is>
          <t>Not Listed</t>
        </is>
      </c>
      <c r="E46" s="96" t="inlineStr">
        <is>
          <t>Surface Transportation</t>
        </is>
      </c>
    </row>
    <row r="47" ht="15" customHeight="1" s="109" thickBot="1">
      <c r="B47" s="96" t="inlineStr">
        <is>
          <t>ABC GAS INTERNATIONAL LTD</t>
        </is>
      </c>
      <c r="C47" s="97" t="n">
        <v>513119</v>
      </c>
      <c r="D47" s="96" t="inlineStr">
        <is>
          <t>Not Listed</t>
        </is>
      </c>
      <c r="E47" s="96" t="inlineStr">
        <is>
          <t>Copper</t>
        </is>
      </c>
    </row>
    <row r="48" ht="15" customHeight="1" s="109" thickBot="1">
      <c r="B48" s="96" t="inlineStr">
        <is>
          <t>ABC INDIA LTD</t>
        </is>
      </c>
      <c r="C48" s="97" t="n">
        <v>520123</v>
      </c>
      <c r="D48" s="96" t="inlineStr">
        <is>
          <t>Not Listed</t>
        </is>
      </c>
      <c r="E48" s="96" t="inlineStr">
        <is>
          <t>Surface Transportation</t>
        </is>
      </c>
    </row>
    <row r="49" ht="15" customHeight="1" s="109" thickBot="1">
      <c r="B49" s="96" t="inlineStr">
        <is>
          <t>ABG SHIPYARD LTD</t>
        </is>
      </c>
      <c r="C49" s="97" t="n">
        <v>532682</v>
      </c>
      <c r="D49" s="96" t="inlineStr">
        <is>
          <t>ABGSHIP</t>
        </is>
      </c>
      <c r="E49" s="96" t="inlineStr">
        <is>
          <t>Commercial Vehicles</t>
        </is>
      </c>
    </row>
    <row r="50" ht="15" customHeight="1" s="109" thickBot="1">
      <c r="B50" s="96" t="inlineStr">
        <is>
          <t>ABHIJIT TRADING COMPANY LTD</t>
        </is>
      </c>
      <c r="C50" s="97" t="n">
        <v>539560</v>
      </c>
      <c r="D50" s="96" t="inlineStr">
        <is>
          <t>Not Listed</t>
        </is>
      </c>
      <c r="E50" s="96" t="inlineStr">
        <is>
          <t>Other Food Products</t>
        </is>
      </c>
    </row>
    <row r="51" ht="15" customHeight="1" s="109" thickBot="1">
      <c r="B51" s="96" t="inlineStr">
        <is>
          <t>ABHINAV CAPITAL SERVICES LTD</t>
        </is>
      </c>
      <c r="C51" s="97" t="n">
        <v>532057</v>
      </c>
      <c r="D51" s="96" t="inlineStr">
        <is>
          <t>Not Listed</t>
        </is>
      </c>
      <c r="E51" s="96" t="inlineStr">
        <is>
          <t>Finance (including NBFCs)</t>
        </is>
      </c>
    </row>
    <row r="52" ht="15" customHeight="1" s="109" thickBot="1">
      <c r="B52" s="96" t="inlineStr">
        <is>
          <t>ABHINAV LEASING &amp; FINANCE LTD</t>
        </is>
      </c>
      <c r="C52" s="97" t="n">
        <v>538952</v>
      </c>
      <c r="D52" s="96" t="inlineStr">
        <is>
          <t>Not Listed</t>
        </is>
      </c>
      <c r="E52" s="96" t="inlineStr">
        <is>
          <t>Finance (including NBFCs)</t>
        </is>
      </c>
    </row>
    <row r="53" ht="15" customHeight="1" s="109" thickBot="1">
      <c r="B53" s="96" t="inlineStr">
        <is>
          <t>ABHISHEK FINLEASE LTD</t>
        </is>
      </c>
      <c r="C53" s="97" t="n">
        <v>538935</v>
      </c>
      <c r="D53" s="96" t="inlineStr">
        <is>
          <t>Not Listed</t>
        </is>
      </c>
      <c r="E53" s="96" t="inlineStr">
        <is>
          <t>Consulting Services</t>
        </is>
      </c>
    </row>
    <row r="54" ht="15" customHeight="1" s="109" thickBot="1">
      <c r="B54" s="96" t="inlineStr">
        <is>
          <t>ABHISHEK INFRAVENTURES LTD</t>
        </is>
      </c>
      <c r="C54" s="97" t="n">
        <v>539544</v>
      </c>
      <c r="D54" s="96" t="inlineStr">
        <is>
          <t>Not Listed</t>
        </is>
      </c>
      <c r="E54" s="96" t="inlineStr">
        <is>
          <t>Realty</t>
        </is>
      </c>
    </row>
    <row r="55" ht="15" customHeight="1" s="109" thickBot="1">
      <c r="B55" s="96" t="inlineStr">
        <is>
          <t>ABIRAMI FINANCIAL SERVICES (INDIA) LTD</t>
        </is>
      </c>
      <c r="C55" s="97" t="n">
        <v>511756</v>
      </c>
      <c r="D55" s="96" t="inlineStr">
        <is>
          <t>Not Listed</t>
        </is>
      </c>
      <c r="E55" s="96" t="inlineStr">
        <is>
          <t>Finance (including NBFCs)</t>
        </is>
      </c>
    </row>
    <row r="56" ht="15" customHeight="1" s="109" thickBot="1">
      <c r="B56" s="96" t="inlineStr">
        <is>
          <t>ABIRAMI FINANCIAL SERVICES INDIA LTD</t>
        </is>
      </c>
      <c r="C56" s="97" t="n">
        <v>511756</v>
      </c>
      <c r="D56" s="96" t="inlineStr">
        <is>
          <t>Not Listed</t>
        </is>
      </c>
      <c r="E56" s="96" t="inlineStr">
        <is>
          <t>Finance (including NBFCs)</t>
        </is>
      </c>
    </row>
    <row r="57" ht="15" customHeight="1" s="109" thickBot="1">
      <c r="B57" s="96" t="inlineStr">
        <is>
          <t>ABM INTERNATIONAL LTD</t>
        </is>
      </c>
      <c r="C57" s="96" t="inlineStr">
        <is>
          <t>Not Listed</t>
        </is>
      </c>
      <c r="D57" s="96" t="inlineStr">
        <is>
          <t>ABMINTLTD</t>
        </is>
      </c>
      <c r="E57" s="96" t="inlineStr">
        <is>
          <t>Others</t>
        </is>
      </c>
    </row>
    <row r="58" ht="15" customHeight="1" s="109" thickBot="1">
      <c r="B58" s="96" t="inlineStr">
        <is>
          <t>ABM KNOWLEDGEWARE LTD</t>
        </is>
      </c>
      <c r="C58" s="97" t="n">
        <v>531161</v>
      </c>
      <c r="D58" s="96" t="inlineStr">
        <is>
          <t>Not Listed</t>
        </is>
      </c>
      <c r="E58" s="96" t="inlineStr">
        <is>
          <t>IT Software Products</t>
        </is>
      </c>
    </row>
    <row r="59" ht="15" customHeight="1" s="109" thickBot="1">
      <c r="B59" s="96" t="inlineStr">
        <is>
          <t>ACC LTD</t>
        </is>
      </c>
      <c r="C59" s="97" t="n">
        <v>500410</v>
      </c>
      <c r="D59" s="96" t="inlineStr">
        <is>
          <t>ACC</t>
        </is>
      </c>
      <c r="E59" s="96" t="inlineStr">
        <is>
          <t>Cement &amp; Cement Products</t>
        </is>
      </c>
    </row>
    <row r="60" ht="15" customHeight="1" s="109" thickBot="1">
      <c r="B60" s="96" t="inlineStr">
        <is>
          <t>ACCEL LTD</t>
        </is>
      </c>
      <c r="C60" s="97" t="n">
        <v>517494</v>
      </c>
      <c r="D60" s="96" t="inlineStr">
        <is>
          <t>Not Listed</t>
        </is>
      </c>
      <c r="E60" s="96" t="inlineStr">
        <is>
          <t>Storage Media &amp; Peripherals</t>
        </is>
      </c>
    </row>
    <row r="61" ht="15" customHeight="1" s="109" thickBot="1">
      <c r="B61" s="96" t="inlineStr">
        <is>
          <t>ACCELYA KALE SOLUTIONS LTD</t>
        </is>
      </c>
      <c r="C61" s="97" t="n">
        <v>532268</v>
      </c>
      <c r="D61" s="96" t="inlineStr">
        <is>
          <t>ACCELYA</t>
        </is>
      </c>
      <c r="E61" s="96" t="inlineStr">
        <is>
          <t>IT Consulting &amp; Software</t>
        </is>
      </c>
    </row>
    <row r="62" ht="15" customHeight="1" s="109" thickBot="1">
      <c r="B62" s="96" t="inlineStr">
        <is>
          <t>ACCORD SYNERGY LTD</t>
        </is>
      </c>
      <c r="C62" s="96" t="inlineStr">
        <is>
          <t>Not Listed</t>
        </is>
      </c>
      <c r="D62" s="96" t="inlineStr">
        <is>
          <t>ACCORD</t>
        </is>
      </c>
      <c r="E62" s="96" t="inlineStr">
        <is>
          <t>SME</t>
        </is>
      </c>
    </row>
    <row r="63" ht="15" customHeight="1" s="109" thickBot="1">
      <c r="B63" s="96" t="inlineStr">
        <is>
          <t>ACCURACY SHIPPING LTD</t>
        </is>
      </c>
      <c r="C63" s="96" t="inlineStr">
        <is>
          <t>Not Listed</t>
        </is>
      </c>
      <c r="D63" s="96" t="inlineStr">
        <is>
          <t>ACCURACY</t>
        </is>
      </c>
      <c r="E63" s="96" t="inlineStr">
        <is>
          <t>SME</t>
        </is>
      </c>
    </row>
    <row r="64" ht="15" customHeight="1" s="109" thickBot="1">
      <c r="B64" s="96" t="inlineStr">
        <is>
          <t>ACE EDUTREND LTD</t>
        </is>
      </c>
      <c r="C64" s="97" t="n">
        <v>530093</v>
      </c>
      <c r="D64" s="96" t="inlineStr">
        <is>
          <t>Not Listed</t>
        </is>
      </c>
      <c r="E64" s="96" t="inlineStr">
        <is>
          <t>Education</t>
        </is>
      </c>
    </row>
    <row r="65" ht="15" customHeight="1" s="109" thickBot="1">
      <c r="B65" s="96" t="inlineStr">
        <is>
          <t>ACE INTEGRATED SOLUTIONS LTD</t>
        </is>
      </c>
      <c r="C65" s="96" t="inlineStr">
        <is>
          <t>Not Listed</t>
        </is>
      </c>
      <c r="D65" s="96" t="inlineStr">
        <is>
          <t>ACEINTEG</t>
        </is>
      </c>
      <c r="E65" s="96" t="inlineStr">
        <is>
          <t>SME</t>
        </is>
      </c>
    </row>
    <row r="66" ht="15" customHeight="1" s="109" thickBot="1">
      <c r="B66" s="96" t="inlineStr">
        <is>
          <t>ACE MEN ENGG WORKS LTD</t>
        </is>
      </c>
      <c r="C66" s="97" t="n">
        <v>539661</v>
      </c>
      <c r="D66" s="96" t="inlineStr">
        <is>
          <t>Not Listed</t>
        </is>
      </c>
      <c r="E66" s="96" t="inlineStr">
        <is>
          <t>Distributors</t>
        </is>
      </c>
    </row>
    <row r="67" ht="15" customHeight="1" s="109" thickBot="1">
      <c r="B67" s="96" t="inlineStr">
        <is>
          <t>ACE SOFTWARE EXPORTS LTD</t>
        </is>
      </c>
      <c r="C67" s="97" t="n">
        <v>531525</v>
      </c>
      <c r="D67" s="96" t="inlineStr">
        <is>
          <t>Not Listed</t>
        </is>
      </c>
      <c r="E67" s="96" t="inlineStr">
        <is>
          <t>IT Software Products</t>
        </is>
      </c>
    </row>
    <row r="68" ht="15" customHeight="1" s="109" thickBot="1">
      <c r="B68" s="96" t="inlineStr">
        <is>
          <t>Achal Investments Ltd</t>
        </is>
      </c>
      <c r="C68" s="97" t="n">
        <v>538570</v>
      </c>
      <c r="D68" s="96" t="inlineStr">
        <is>
          <t>ACHAL</t>
        </is>
      </c>
      <c r="E68" s="96" t="inlineStr">
        <is>
          <t>Other Financial Services</t>
        </is>
      </c>
    </row>
    <row r="69" ht="15" customHeight="1" s="109" thickBot="1">
      <c r="B69" s="96" t="inlineStr">
        <is>
          <t>ACI INFOCOM LTD</t>
        </is>
      </c>
      <c r="C69" s="97" t="n">
        <v>517356</v>
      </c>
      <c r="D69" s="96" t="inlineStr">
        <is>
          <t>Not Listed</t>
        </is>
      </c>
      <c r="E69" s="96" t="inlineStr">
        <is>
          <t>Storage Media &amp; Peripherals</t>
        </is>
      </c>
    </row>
    <row r="70" ht="15" customHeight="1" s="109" thickBot="1">
      <c r="B70" s="96" t="inlineStr">
        <is>
          <t>ACKNIT INDUSTRIES LTD</t>
        </is>
      </c>
      <c r="C70" s="97" t="n">
        <v>530043</v>
      </c>
      <c r="D70" s="96" t="inlineStr">
        <is>
          <t>Not Listed</t>
        </is>
      </c>
      <c r="E70" s="96" t="inlineStr">
        <is>
          <t>Other Apparels &amp; Accessories</t>
        </is>
      </c>
    </row>
    <row r="71" ht="15" customHeight="1" s="109" thickBot="1">
      <c r="B71" s="96" t="inlineStr">
        <is>
          <t>ACME RESOURCES LTD</t>
        </is>
      </c>
      <c r="C71" s="97" t="n">
        <v>539391</v>
      </c>
      <c r="D71" s="96" t="inlineStr">
        <is>
          <t>Not Listed</t>
        </is>
      </c>
      <c r="E71" s="96" t="inlineStr">
        <is>
          <t>Finance (including NBFCs)</t>
        </is>
      </c>
    </row>
    <row r="72" ht="15" customHeight="1" s="109" thickBot="1">
      <c r="B72" s="96" t="inlineStr">
        <is>
          <t>ACROW INDIA LTD.</t>
        </is>
      </c>
      <c r="C72" s="97" t="n">
        <v>513149</v>
      </c>
      <c r="D72" s="96" t="inlineStr">
        <is>
          <t>ACROW</t>
        </is>
      </c>
      <c r="E72" s="96" t="inlineStr">
        <is>
          <t>Iron &amp;amp; Steel Products</t>
        </is>
      </c>
    </row>
    <row r="73" ht="15" customHeight="1" s="109" thickBot="1">
      <c r="B73" s="96" t="inlineStr">
        <is>
          <t>ACRYSIL LTD</t>
        </is>
      </c>
      <c r="C73" s="97" t="n">
        <v>524091</v>
      </c>
      <c r="D73" s="96" t="inlineStr">
        <is>
          <t>Not Listed</t>
        </is>
      </c>
      <c r="E73" s="96" t="inlineStr">
        <is>
          <t>Plastic Products</t>
        </is>
      </c>
    </row>
    <row r="74" ht="15" customHeight="1" s="109" thickBot="1">
      <c r="B74" s="96" t="inlineStr">
        <is>
          <t>ACTION CONSTRUCTION EQUIPMENT LTD</t>
        </is>
      </c>
      <c r="C74" s="97" t="n">
        <v>532762</v>
      </c>
      <c r="D74" s="96" t="inlineStr">
        <is>
          <t>ACE</t>
        </is>
      </c>
      <c r="E74" s="96" t="inlineStr">
        <is>
          <t>Transport Related Services</t>
        </is>
      </c>
    </row>
    <row r="75" ht="15" customHeight="1" s="109" thickBot="1">
      <c r="B75" s="96" t="inlineStr">
        <is>
          <t>ACTION FINANCIAL SERVICES (INDIA) LTD</t>
        </is>
      </c>
      <c r="C75" s="97" t="n">
        <v>511706</v>
      </c>
      <c r="D75" s="96" t="inlineStr">
        <is>
          <t>Not Listed</t>
        </is>
      </c>
      <c r="E75" s="96" t="inlineStr">
        <is>
          <t>Other Financial Services</t>
        </is>
      </c>
    </row>
    <row r="76" ht="15" customHeight="1" s="109" thickBot="1">
      <c r="B76" s="96" t="inlineStr">
        <is>
          <t>ACTION FINANCIAL SERVICES INDIA LTD</t>
        </is>
      </c>
      <c r="C76" s="97" t="n">
        <v>511706</v>
      </c>
      <c r="D76" s="96" t="inlineStr">
        <is>
          <t>Not Listed</t>
        </is>
      </c>
      <c r="E76" s="96" t="inlineStr">
        <is>
          <t>Other Financial Services</t>
        </is>
      </c>
    </row>
    <row r="77" ht="15" customHeight="1" s="109" thickBot="1">
      <c r="B77" s="96" t="inlineStr">
        <is>
          <t>ACTIVE CLOTHING CO LTD</t>
        </is>
      </c>
      <c r="C77" s="97" t="n">
        <v>541144</v>
      </c>
      <c r="D77" s="96" t="inlineStr">
        <is>
          <t>Not Listed</t>
        </is>
      </c>
      <c r="E77" s="96" t="inlineStr">
        <is>
          <t>Other Apparels &amp; Accessories</t>
        </is>
      </c>
    </row>
    <row r="78" ht="15" customHeight="1" s="109" thickBot="1">
      <c r="B78" s="96" t="inlineStr">
        <is>
          <t>ADANI ENTERPRISES LTD</t>
        </is>
      </c>
      <c r="C78" s="97" t="n">
        <v>512599</v>
      </c>
      <c r="D78" s="96" t="inlineStr">
        <is>
          <t>ADANIENT</t>
        </is>
      </c>
      <c r="E78" s="96" t="inlineStr">
        <is>
          <t>Comm.Trading &amp; Distribution</t>
        </is>
      </c>
    </row>
    <row r="79" ht="15" customHeight="1" s="109" thickBot="1">
      <c r="B79" s="96" t="inlineStr">
        <is>
          <t>ADANI GAS LTD</t>
        </is>
      </c>
      <c r="C79" s="97" t="n">
        <v>542066</v>
      </c>
      <c r="D79" s="96" t="inlineStr">
        <is>
          <t>ADANIGAS</t>
        </is>
      </c>
      <c r="E79" s="96" t="inlineStr">
        <is>
          <t>Integrated Oil &amp; Gas</t>
        </is>
      </c>
    </row>
    <row r="80" ht="15" customHeight="1" s="109" thickBot="1">
      <c r="B80" s="96" t="inlineStr">
        <is>
          <t>ADANI GREEN ENERGY LTD</t>
        </is>
      </c>
      <c r="C80" s="97" t="n">
        <v>541450</v>
      </c>
      <c r="D80" s="96" t="inlineStr">
        <is>
          <t>ADANIGREEN</t>
        </is>
      </c>
      <c r="E80" s="96" t="inlineStr">
        <is>
          <t>Heavy Electrical Equipment</t>
        </is>
      </c>
    </row>
    <row r="81" ht="15" customHeight="1" s="109" thickBot="1">
      <c r="B81" s="96" t="inlineStr">
        <is>
          <t>ADANI PORTS AND SPECIAL ECONOMIC ZONE LTD</t>
        </is>
      </c>
      <c r="C81" s="97" t="n">
        <v>532921</v>
      </c>
      <c r="D81" s="96" t="inlineStr">
        <is>
          <t>ADANIPORTS</t>
        </is>
      </c>
      <c r="E81" s="96" t="inlineStr">
        <is>
          <t>Marine Port &amp; Services</t>
        </is>
      </c>
    </row>
    <row r="82" ht="15" customHeight="1" s="109" thickBot="1">
      <c r="B82" s="96" t="inlineStr">
        <is>
          <t>ADANI POWER LTD</t>
        </is>
      </c>
      <c r="C82" s="97" t="n">
        <v>533096</v>
      </c>
      <c r="D82" s="96" t="inlineStr">
        <is>
          <t>ADANIPOWER</t>
        </is>
      </c>
      <c r="E82" s="96" t="inlineStr">
        <is>
          <t>Electric Utilities</t>
        </is>
      </c>
    </row>
    <row r="83" ht="15" customHeight="1" s="109" thickBot="1">
      <c r="B83" s="96" t="inlineStr">
        <is>
          <t>ADANI TRANSMISSION LTD</t>
        </is>
      </c>
      <c r="C83" s="97" t="n">
        <v>539254</v>
      </c>
      <c r="D83" s="96" t="inlineStr">
        <is>
          <t>ADANITRANS</t>
        </is>
      </c>
      <c r="E83" s="96" t="inlineStr">
        <is>
          <t>Electric Utilities</t>
        </is>
      </c>
    </row>
    <row r="84" ht="15" customHeight="1" s="109" thickBot="1">
      <c r="B84" s="96" t="inlineStr">
        <is>
          <t>ADARSH MERCANTILE LTD</t>
        </is>
      </c>
      <c r="C84" s="97" t="n">
        <v>538563</v>
      </c>
      <c r="D84" s="96" t="inlineStr">
        <is>
          <t>Not Listed</t>
        </is>
      </c>
      <c r="E84" s="96" t="inlineStr">
        <is>
          <t>Comm.Trading &amp; Distribution</t>
        </is>
      </c>
    </row>
    <row r="85" ht="15" customHeight="1" s="109" thickBot="1">
      <c r="B85" s="96" t="inlineStr">
        <is>
          <t>ADARSH PLANT PROTECT LTD</t>
        </is>
      </c>
      <c r="C85" s="97" t="n">
        <v>526711</v>
      </c>
      <c r="D85" s="96" t="inlineStr">
        <is>
          <t>Not Listed</t>
        </is>
      </c>
      <c r="E85" s="96" t="inlineStr">
        <is>
          <t>Agrochemicals</t>
        </is>
      </c>
    </row>
    <row r="86" ht="15" customHeight="1" s="109" thickBot="1">
      <c r="B86" s="96" t="inlineStr">
        <is>
          <t>ADC INDIA COMMUNICATIONS LTD</t>
        </is>
      </c>
      <c r="C86" s="97" t="n">
        <v>523411</v>
      </c>
      <c r="D86" s="96" t="inlineStr">
        <is>
          <t>Not Listed</t>
        </is>
      </c>
      <c r="E86" s="96" t="inlineStr">
        <is>
          <t>Telecom Equipment</t>
        </is>
      </c>
    </row>
    <row r="87" ht="15" customHeight="1" s="109" thickBot="1">
      <c r="B87" s="96" t="inlineStr">
        <is>
          <t>ADCON CAPITAL SERVICES LTD</t>
        </is>
      </c>
      <c r="C87" s="97" t="n">
        <v>539506</v>
      </c>
      <c r="D87" s="96" t="inlineStr">
        <is>
          <t>Not Listed</t>
        </is>
      </c>
      <c r="E87" s="96" t="inlineStr">
        <is>
          <t>Finance (including NBFCs)</t>
        </is>
      </c>
    </row>
    <row r="88" ht="15" customHeight="1" s="109" thickBot="1">
      <c r="B88" s="96" t="inlineStr">
        <is>
          <t>ADDI INDUSTRIES LTD</t>
        </is>
      </c>
      <c r="C88" s="97" t="n">
        <v>507852</v>
      </c>
      <c r="D88" s="96" t="inlineStr">
        <is>
          <t>Not Listed</t>
        </is>
      </c>
      <c r="E88" s="96" t="inlineStr">
        <is>
          <t>Other Apparels &amp; Accessories</t>
        </is>
      </c>
    </row>
    <row r="89" ht="15" customHeight="1" s="109" thickBot="1">
      <c r="B89" s="96" t="inlineStr">
        <is>
          <t>ADD-SHOP PROMOTIONS LTD</t>
        </is>
      </c>
      <c r="C89" s="97" t="n">
        <v>541865</v>
      </c>
      <c r="D89" s="96" t="inlineStr">
        <is>
          <t>Not Listed</t>
        </is>
      </c>
      <c r="E89" s="96" t="inlineStr">
        <is>
          <t>Distributors</t>
        </is>
      </c>
    </row>
    <row r="90" ht="15" customHeight="1" s="109" thickBot="1">
      <c r="B90" s="96" t="inlineStr">
        <is>
          <t>ADF FOODS LTD</t>
        </is>
      </c>
      <c r="C90" s="97" t="n">
        <v>519183</v>
      </c>
      <c r="D90" s="96" t="inlineStr">
        <is>
          <t>ADFFOODS</t>
        </is>
      </c>
      <c r="E90" s="96" t="inlineStr">
        <is>
          <t>Packaged Foods</t>
        </is>
      </c>
    </row>
    <row r="91" ht="15" customHeight="1" s="109" thickBot="1">
      <c r="B91" s="96" t="inlineStr">
        <is>
          <t>ADHARSHILA CAPITAL SERVICES LTD</t>
        </is>
      </c>
      <c r="C91" s="97" t="n">
        <v>539493</v>
      </c>
      <c r="D91" s="96" t="inlineStr">
        <is>
          <t>Not Listed</t>
        </is>
      </c>
      <c r="E91" s="96" t="inlineStr">
        <is>
          <t>Finance (including NBFCs)</t>
        </is>
      </c>
    </row>
    <row r="92" ht="15" customHeight="1" s="109" thickBot="1">
      <c r="B92" s="96" t="inlineStr">
        <is>
          <t>ADHBHUT INFRASTRUCTURE LTD</t>
        </is>
      </c>
      <c r="C92" s="97" t="n">
        <v>539189</v>
      </c>
      <c r="D92" s="96" t="inlineStr">
        <is>
          <t>Not Listed</t>
        </is>
      </c>
      <c r="E92" s="96" t="inlineStr">
        <is>
          <t>Realty</t>
        </is>
      </c>
    </row>
    <row r="93" ht="15" customHeight="1" s="109" thickBot="1">
      <c r="B93" s="96" t="inlineStr">
        <is>
          <t>ADHIRAJ DISTRIBUTORS LTD</t>
        </is>
      </c>
      <c r="C93" s="97" t="n">
        <v>780018</v>
      </c>
      <c r="D93" s="96" t="inlineStr">
        <is>
          <t>Not Listed</t>
        </is>
      </c>
      <c r="E93" s="96" t="inlineStr">
        <is>
          <t>Others</t>
        </is>
      </c>
    </row>
    <row r="94" ht="15" customHeight="1" s="109" thickBot="1">
      <c r="B94" s="96" t="inlineStr">
        <is>
          <t>ADHUNIK INDUSTRIES LTD</t>
        </is>
      </c>
      <c r="C94" s="97" t="n">
        <v>538365</v>
      </c>
      <c r="D94" s="96" t="inlineStr">
        <is>
          <t>ADHUNIKIND</t>
        </is>
      </c>
      <c r="E94" s="96" t="inlineStr">
        <is>
          <t>Iron &amp; Steel/Interm.Products</t>
        </is>
      </c>
    </row>
    <row r="95" ht="15" customHeight="1" s="109" thickBot="1">
      <c r="B95" s="96" t="inlineStr">
        <is>
          <t>ADHUNIK METALIKS LTD</t>
        </is>
      </c>
      <c r="C95" s="97" t="n">
        <v>532727</v>
      </c>
      <c r="D95" s="96" t="inlineStr">
        <is>
          <t>ADHUNIK</t>
        </is>
      </c>
      <c r="E95" s="96" t="inlineStr">
        <is>
          <t>Iron &amp; Steel/Interm.Products</t>
        </is>
      </c>
    </row>
    <row r="96" ht="15" customHeight="1" s="109" thickBot="1">
      <c r="B96" s="96" t="inlineStr">
        <is>
          <t>ADI RASAYAN LTD</t>
        </is>
      </c>
      <c r="C96" s="97" t="n">
        <v>531592</v>
      </c>
      <c r="D96" s="96" t="inlineStr">
        <is>
          <t>Not Listed</t>
        </is>
      </c>
      <c r="E96" s="96" t="inlineStr">
        <is>
          <t>Specialty Chemicals</t>
        </is>
      </c>
    </row>
    <row r="97" ht="15" customHeight="1" s="109" thickBot="1">
      <c r="B97" s="96" t="inlineStr">
        <is>
          <t>ADINATH EXIM RESOURCES LTD</t>
        </is>
      </c>
      <c r="C97" s="97" t="n">
        <v>532056</v>
      </c>
      <c r="D97" s="96" t="inlineStr">
        <is>
          <t>Not Listed</t>
        </is>
      </c>
      <c r="E97" s="96" t="inlineStr">
        <is>
          <t>Investment Companies</t>
        </is>
      </c>
    </row>
    <row r="98" ht="15" customHeight="1" s="109" thickBot="1">
      <c r="B98" s="96" t="inlineStr">
        <is>
          <t>ADINATH TEXTILES LTD</t>
        </is>
      </c>
      <c r="C98" s="97" t="n">
        <v>514113</v>
      </c>
      <c r="D98" s="96" t="inlineStr">
        <is>
          <t>Not Listed</t>
        </is>
      </c>
      <c r="E98" s="96" t="inlineStr">
        <is>
          <t>Textiles</t>
        </is>
      </c>
    </row>
    <row r="99" ht="15" customHeight="1" s="109" thickBot="1">
      <c r="B99" s="96" t="inlineStr">
        <is>
          <t>ADITRI INDUSTRIES LTD</t>
        </is>
      </c>
      <c r="C99" s="97" t="n">
        <v>534707</v>
      </c>
      <c r="D99" s="96" t="inlineStr">
        <is>
          <t>Not Listed</t>
        </is>
      </c>
      <c r="E99" s="96" t="inlineStr">
        <is>
          <t>Other Apparels &amp; Accessories</t>
        </is>
      </c>
    </row>
    <row r="100" ht="15" customHeight="1" s="109" thickBot="1">
      <c r="B100" s="96" t="inlineStr">
        <is>
          <t>ADITYA BIRLA CAPITAL LTD</t>
        </is>
      </c>
      <c r="C100" s="97" t="n">
        <v>540691</v>
      </c>
      <c r="D100" s="96" t="inlineStr">
        <is>
          <t>ABCAPITAL</t>
        </is>
      </c>
      <c r="E100" s="96" t="inlineStr">
        <is>
          <t>Holding Companies</t>
        </is>
      </c>
    </row>
    <row r="101" ht="15" customHeight="1" s="109" thickBot="1">
      <c r="B101" s="96" t="inlineStr">
        <is>
          <t>ADITYA BIRLA FASHION AND RETAIL LTD</t>
        </is>
      </c>
      <c r="C101" s="97" t="n">
        <v>535755</v>
      </c>
      <c r="D101" s="96" t="inlineStr">
        <is>
          <t>ABFRL</t>
        </is>
      </c>
      <c r="E101" s="96" t="inlineStr">
        <is>
          <t>Department Stores</t>
        </is>
      </c>
    </row>
    <row r="102" ht="15" customHeight="1" s="109" thickBot="1">
      <c r="B102" s="96" t="inlineStr">
        <is>
          <t>ADITYA BIRLA MONEY LTD</t>
        </is>
      </c>
      <c r="C102" s="97" t="n">
        <v>532974</v>
      </c>
      <c r="D102" s="96" t="inlineStr">
        <is>
          <t>BIRLAMONEY</t>
        </is>
      </c>
      <c r="E102" s="96" t="inlineStr">
        <is>
          <t>Other Financial Services</t>
        </is>
      </c>
    </row>
    <row r="103" ht="15" customHeight="1" s="109" thickBot="1">
      <c r="B103" s="96" t="inlineStr">
        <is>
          <t>ADITYA CONSUMER MARKETING LTD</t>
        </is>
      </c>
      <c r="C103" s="97" t="n">
        <v>540146</v>
      </c>
      <c r="D103" s="96" t="inlineStr">
        <is>
          <t>Not Listed</t>
        </is>
      </c>
      <c r="E103" s="96" t="inlineStr">
        <is>
          <t>Distributors</t>
        </is>
      </c>
    </row>
    <row r="104" ht="15" customHeight="1" s="109" thickBot="1">
      <c r="B104" s="96" t="inlineStr">
        <is>
          <t>ADITYA ISPAT LTD</t>
        </is>
      </c>
      <c r="C104" s="97" t="n">
        <v>513513</v>
      </c>
      <c r="D104" s="96" t="inlineStr">
        <is>
          <t>Not Listed</t>
        </is>
      </c>
      <c r="E104" s="96" t="inlineStr">
        <is>
          <t>Iron &amp; Steel/Interm.Products</t>
        </is>
      </c>
    </row>
    <row r="105" ht="15" customHeight="1" s="109" thickBot="1">
      <c r="B105" s="96" t="inlineStr">
        <is>
          <t>ADITYA SPINNERS LTD</t>
        </is>
      </c>
      <c r="C105" s="97" t="n">
        <v>521141</v>
      </c>
      <c r="D105" s="96" t="inlineStr">
        <is>
          <t>Not Listed</t>
        </is>
      </c>
      <c r="E105" s="96" t="inlineStr">
        <is>
          <t>Textiles</t>
        </is>
      </c>
    </row>
    <row r="106" ht="15" customHeight="1" s="109" thickBot="1">
      <c r="B106" s="96" t="inlineStr">
        <is>
          <t>ADITYA VISION LTD</t>
        </is>
      </c>
      <c r="C106" s="97" t="n">
        <v>540205</v>
      </c>
      <c r="D106" s="96" t="inlineStr">
        <is>
          <t>Not Listed</t>
        </is>
      </c>
      <c r="E106" s="96" t="inlineStr">
        <is>
          <t>Comm.Trading &amp; Distribution</t>
        </is>
      </c>
    </row>
    <row r="107" ht="15" customHeight="1" s="109" thickBot="1">
      <c r="B107" s="96" t="inlineStr">
        <is>
          <t>ADLABS ENTERTAINMENT LTD</t>
        </is>
      </c>
      <c r="C107" s="97" t="n">
        <v>539056</v>
      </c>
      <c r="D107" s="96" t="inlineStr">
        <is>
          <t>ADLABS</t>
        </is>
      </c>
      <c r="E107" s="96" t="inlineStr">
        <is>
          <t>Other Leisure Facilities</t>
        </is>
      </c>
    </row>
    <row r="108" ht="15" customHeight="1" s="109" thickBot="1">
      <c r="B108" s="96" t="inlineStr">
        <is>
          <t>AD-MANUM FINANCE LTD</t>
        </is>
      </c>
      <c r="C108" s="97" t="n">
        <v>511359</v>
      </c>
      <c r="D108" s="96" t="inlineStr">
        <is>
          <t>Not Listed</t>
        </is>
      </c>
      <c r="E108" s="96" t="inlineStr">
        <is>
          <t>Finance (including NBFCs)</t>
        </is>
      </c>
    </row>
    <row r="109" ht="15" customHeight="1" s="109" thickBot="1">
      <c r="B109" s="96" t="inlineStr">
        <is>
          <t>ADOR FONTECH LTD</t>
        </is>
      </c>
      <c r="C109" s="97" t="n">
        <v>530431</v>
      </c>
      <c r="D109" s="96" t="inlineStr">
        <is>
          <t>Not Listed</t>
        </is>
      </c>
      <c r="E109" s="96" t="inlineStr">
        <is>
          <t>Comm.Trading &amp; Distribution</t>
        </is>
      </c>
    </row>
    <row r="110" ht="15" customHeight="1" s="109" thickBot="1">
      <c r="B110" s="96" t="inlineStr">
        <is>
          <t>ADOR MULTIPRODUCTS LTD</t>
        </is>
      </c>
      <c r="C110" s="97" t="n">
        <v>523120</v>
      </c>
      <c r="D110" s="96" t="inlineStr">
        <is>
          <t>Not Listed</t>
        </is>
      </c>
      <c r="E110" s="96" t="inlineStr">
        <is>
          <t>Personal Products</t>
        </is>
      </c>
    </row>
    <row r="111" ht="15" customHeight="1" s="109" thickBot="1">
      <c r="B111" s="96" t="inlineStr">
        <is>
          <t>ADOR WELDING LTD</t>
        </is>
      </c>
      <c r="C111" s="97" t="n">
        <v>517041</v>
      </c>
      <c r="D111" s="96" t="inlineStr">
        <is>
          <t>ADORWELD</t>
        </is>
      </c>
      <c r="E111" s="96" t="inlineStr">
        <is>
          <t>Other Industrial Goods</t>
        </is>
      </c>
    </row>
    <row r="112" ht="15" customHeight="1" s="109" thickBot="1">
      <c r="B112" s="96" t="inlineStr">
        <is>
          <t>ADROIT INFOTECH LTD</t>
        </is>
      </c>
      <c r="C112" s="97" t="n">
        <v>532172</v>
      </c>
      <c r="D112" s="96" t="inlineStr">
        <is>
          <t>ADROITINFO</t>
        </is>
      </c>
      <c r="E112" s="96" t="inlineStr">
        <is>
          <t>IT Consulting &amp; Software</t>
        </is>
      </c>
    </row>
    <row r="113" ht="15" customHeight="1" s="109" thickBot="1">
      <c r="B113" s="96" t="inlineStr">
        <is>
          <t>ADS DIAGNOSTIC LTD</t>
        </is>
      </c>
      <c r="C113" s="97" t="n">
        <v>523031</v>
      </c>
      <c r="D113" s="96" t="inlineStr">
        <is>
          <t>Not Listed</t>
        </is>
      </c>
      <c r="E113" s="96" t="inlineStr">
        <is>
          <t>Healthcare Services</t>
        </is>
      </c>
    </row>
    <row r="114" ht="15" customHeight="1" s="109" thickBot="1">
      <c r="B114" s="96" t="inlineStr">
        <is>
          <t>ADVANCE LIFESTYLES LTD</t>
        </is>
      </c>
      <c r="C114" s="97" t="n">
        <v>521048</v>
      </c>
      <c r="D114" s="96" t="inlineStr">
        <is>
          <t>Not Listed</t>
        </is>
      </c>
      <c r="E114" s="96" t="inlineStr">
        <is>
          <t>Textiles</t>
        </is>
      </c>
    </row>
    <row r="115" ht="15" customHeight="1" s="109" thickBot="1">
      <c r="B115" s="96" t="inlineStr">
        <is>
          <t>ADVANCE METERING TECHNOLOGY LTD</t>
        </is>
      </c>
      <c r="C115" s="97" t="n">
        <v>534612</v>
      </c>
      <c r="D115" s="96" t="inlineStr">
        <is>
          <t>Not Listed</t>
        </is>
      </c>
      <c r="E115" s="96" t="inlineStr">
        <is>
          <t>Electric Utilities</t>
        </is>
      </c>
    </row>
    <row r="116" ht="15" customHeight="1" s="109" thickBot="1">
      <c r="B116" s="96" t="inlineStr">
        <is>
          <t>ADVANCE PETROCHEMICALS LTD</t>
        </is>
      </c>
      <c r="C116" s="97" t="n">
        <v>506947</v>
      </c>
      <c r="D116" s="96" t="inlineStr">
        <is>
          <t>Not Listed</t>
        </is>
      </c>
      <c r="E116" s="96" t="inlineStr">
        <is>
          <t>Commodity Chemicals</t>
        </is>
      </c>
    </row>
    <row r="117" ht="15" customHeight="1" s="109" thickBot="1">
      <c r="B117" s="96" t="inlineStr">
        <is>
          <t>ADVANCE POWERINFRA TECH LTD</t>
        </is>
      </c>
      <c r="C117" s="97" t="n">
        <v>531047</v>
      </c>
      <c r="D117" s="96" t="inlineStr">
        <is>
          <t>Not Listed</t>
        </is>
      </c>
      <c r="E117" s="96" t="inlineStr">
        <is>
          <t>Finance (including NBFCs)</t>
        </is>
      </c>
    </row>
    <row r="118" ht="15" customHeight="1" s="109" thickBot="1">
      <c r="B118" s="96" t="inlineStr">
        <is>
          <t>ADVANCE SYNTEX LTD</t>
        </is>
      </c>
      <c r="C118" s="97" t="n">
        <v>539982</v>
      </c>
      <c r="D118" s="96" t="inlineStr">
        <is>
          <t>Not Listed</t>
        </is>
      </c>
      <c r="E118" s="96" t="inlineStr">
        <is>
          <t>Containers &amp; Packaging</t>
        </is>
      </c>
    </row>
    <row r="119" ht="15" customHeight="1" s="109" thickBot="1">
      <c r="B119" s="96" t="inlineStr">
        <is>
          <t>ADVANCED ENZYME TECHNOLOGIES LTD</t>
        </is>
      </c>
      <c r="C119" s="97" t="n">
        <v>540025</v>
      </c>
      <c r="D119" s="96" t="inlineStr">
        <is>
          <t>ADVENZYMES</t>
        </is>
      </c>
      <c r="E119" s="96" t="inlineStr">
        <is>
          <t>Other Agricultural Products</t>
        </is>
      </c>
    </row>
    <row r="120" ht="15" customHeight="1" s="109" thickBot="1">
      <c r="B120" s="96" t="inlineStr">
        <is>
          <t>ADVANI HOTELS &amp; RESORTS (INDIA) LTD</t>
        </is>
      </c>
      <c r="C120" s="97" t="n">
        <v>523269</v>
      </c>
      <c r="D120" s="96" t="inlineStr">
        <is>
          <t>ADVANIHOTR</t>
        </is>
      </c>
      <c r="E120" s="96" t="inlineStr">
        <is>
          <t>Hotels</t>
        </is>
      </c>
    </row>
    <row r="121" ht="15" customHeight="1" s="109" thickBot="1">
      <c r="B121" s="96" t="inlineStr">
        <is>
          <t>ADVANI HOTELS &amp; RESORTS INDIA LTD</t>
        </is>
      </c>
      <c r="C121" s="97" t="n">
        <v>523269</v>
      </c>
      <c r="D121" s="96" t="inlineStr">
        <is>
          <t>ADVANIHOTR</t>
        </is>
      </c>
      <c r="E121" s="96" t="inlineStr">
        <is>
          <t>Hotels</t>
        </is>
      </c>
    </row>
    <row r="122" ht="15" customHeight="1" s="109" thickBot="1">
      <c r="B122" s="96" t="inlineStr">
        <is>
          <t>ADVENT COMPUTER SERVICES LTD</t>
        </is>
      </c>
      <c r="C122" s="97" t="n">
        <v>531429</v>
      </c>
      <c r="D122" s="96" t="inlineStr">
        <is>
          <t>Not Listed</t>
        </is>
      </c>
      <c r="E122" s="96" t="inlineStr">
        <is>
          <t>IT Software Products</t>
        </is>
      </c>
    </row>
    <row r="123" ht="15" customHeight="1" s="109" thickBot="1">
      <c r="B123" s="96" t="inlineStr">
        <is>
          <t>ADVIK CAPITAL LTD</t>
        </is>
      </c>
      <c r="C123" s="97" t="n">
        <v>539773</v>
      </c>
      <c r="D123" s="96" t="inlineStr">
        <is>
          <t>Not Listed</t>
        </is>
      </c>
      <c r="E123" s="96" t="inlineStr">
        <is>
          <t>Finance (including NBFCs)</t>
        </is>
      </c>
    </row>
    <row r="124" ht="15" customHeight="1" s="109" thickBot="1">
      <c r="B124" s="96" t="inlineStr">
        <is>
          <t>ADVIK LABORATORIES LTD</t>
        </is>
      </c>
      <c r="C124" s="97" t="n">
        <v>531686</v>
      </c>
      <c r="D124" s="96" t="inlineStr">
        <is>
          <t>Not Listed</t>
        </is>
      </c>
      <c r="E124" s="96" t="inlineStr">
        <is>
          <t>Pharmaceuticals</t>
        </is>
      </c>
    </row>
    <row r="125" ht="15" customHeight="1" s="109" thickBot="1">
      <c r="B125" s="96" t="inlineStr">
        <is>
          <t>ADVITIYA TRADE (INDIA) LTD</t>
        </is>
      </c>
      <c r="C125" s="97" t="n">
        <v>541152</v>
      </c>
      <c r="D125" s="96" t="inlineStr">
        <is>
          <t>Not Listed</t>
        </is>
      </c>
      <c r="E125" s="96" t="inlineStr">
        <is>
          <t>Comm.Trading &amp; Distribution</t>
        </is>
      </c>
    </row>
    <row r="126" ht="15" customHeight="1" s="109" thickBot="1">
      <c r="B126" s="96" t="inlineStr">
        <is>
          <t>ADVITIYA TRADE INDIA LTD</t>
        </is>
      </c>
      <c r="C126" s="97" t="n">
        <v>541152</v>
      </c>
      <c r="D126" s="96" t="inlineStr">
        <is>
          <t>Not Listed</t>
        </is>
      </c>
      <c r="E126" s="96" t="inlineStr">
        <is>
          <t>Comm.Trading &amp; Distribution</t>
        </is>
      </c>
    </row>
    <row r="127" ht="15" customHeight="1" s="109" thickBot="1">
      <c r="B127" s="96" t="inlineStr">
        <is>
          <t>AEGIS LOGISTICS LTD</t>
        </is>
      </c>
      <c r="C127" s="97" t="n">
        <v>500003</v>
      </c>
      <c r="D127" s="96" t="inlineStr">
        <is>
          <t>AEGISCHEM</t>
        </is>
      </c>
      <c r="E127" s="96" t="inlineStr">
        <is>
          <t>Oil Marketing &amp; Distribution</t>
        </is>
      </c>
    </row>
    <row r="128" ht="15" customHeight="1" s="109" thickBot="1">
      <c r="B128" s="96" t="inlineStr">
        <is>
          <t>AFFORDABLE ROBOTIC &amp; AUTOMATION LTD</t>
        </is>
      </c>
      <c r="C128" s="97" t="n">
        <v>541402</v>
      </c>
      <c r="D128" s="96" t="inlineStr">
        <is>
          <t>Not Listed</t>
        </is>
      </c>
      <c r="E128" s="96" t="inlineStr">
        <is>
          <t>Industrial Machinery</t>
        </is>
      </c>
    </row>
    <row r="129" ht="15" customHeight="1" s="109" thickBot="1">
      <c r="B129" s="96" t="inlineStr">
        <is>
          <t>AGARWAL INDUSTRIAL CORPORATION LTD</t>
        </is>
      </c>
      <c r="C129" s="97" t="n">
        <v>531921</v>
      </c>
      <c r="D129" s="96" t="inlineStr">
        <is>
          <t>AGARIND</t>
        </is>
      </c>
      <c r="E129" s="96" t="inlineStr">
        <is>
          <t>Petrochemicals</t>
        </is>
      </c>
    </row>
    <row r="130" ht="15" customHeight="1" s="109" thickBot="1">
      <c r="B130" s="96" t="inlineStr">
        <is>
          <t>AGC NETWORKS LTD</t>
        </is>
      </c>
      <c r="C130" s="97" t="n">
        <v>500463</v>
      </c>
      <c r="D130" s="96" t="inlineStr">
        <is>
          <t>AGCNET</t>
        </is>
      </c>
      <c r="E130" s="96" t="inlineStr">
        <is>
          <t>IT Consulting &amp; Software</t>
        </is>
      </c>
    </row>
    <row r="131" ht="15" customHeight="1" s="109" thickBot="1">
      <c r="B131" s="96" t="inlineStr">
        <is>
          <t>AGI INFRA LTD</t>
        </is>
      </c>
      <c r="C131" s="97" t="n">
        <v>539042</v>
      </c>
      <c r="D131" s="96" t="inlineStr">
        <is>
          <t>Not Listed</t>
        </is>
      </c>
      <c r="E131" s="96" t="inlineStr">
        <is>
          <t>Realty</t>
        </is>
      </c>
    </row>
    <row r="132" ht="15" customHeight="1" s="109" thickBot="1">
      <c r="B132" s="96" t="inlineStr">
        <is>
          <t>AGIO PAPER &amp; INDUSTRIES LTD</t>
        </is>
      </c>
      <c r="C132" s="97" t="n">
        <v>516020</v>
      </c>
      <c r="D132" s="96" t="inlineStr">
        <is>
          <t>Not Listed</t>
        </is>
      </c>
      <c r="E132" s="96" t="inlineStr">
        <is>
          <t>Paper &amp; Paper Products</t>
        </is>
      </c>
    </row>
    <row r="133" ht="15" customHeight="1" s="109" thickBot="1">
      <c r="B133" s="96" t="inlineStr">
        <is>
          <t>AGRIMONY COMMODITIES LTD</t>
        </is>
      </c>
      <c r="C133" s="97" t="n">
        <v>537492</v>
      </c>
      <c r="D133" s="96" t="inlineStr">
        <is>
          <t>Not Listed</t>
        </is>
      </c>
      <c r="E133" s="96" t="inlineStr">
        <is>
          <t>Comm.Trading &amp; Distribution</t>
        </is>
      </c>
    </row>
    <row r="134" ht="15" customHeight="1" s="109" thickBot="1">
      <c r="B134" s="96" t="inlineStr">
        <is>
          <t>AGRI-TECH (INDIA) LTD</t>
        </is>
      </c>
      <c r="C134" s="97" t="n">
        <v>537292</v>
      </c>
      <c r="D134" s="96" t="inlineStr">
        <is>
          <t>AGRITECH</t>
        </is>
      </c>
      <c r="E134" s="96" t="inlineStr">
        <is>
          <t>Other Agricultural Products</t>
        </is>
      </c>
    </row>
    <row r="135" ht="15" customHeight="1" s="109" thickBot="1">
      <c r="B135" s="96" t="inlineStr">
        <is>
          <t>AGRI-TECH INDIA LTD</t>
        </is>
      </c>
      <c r="C135" s="97" t="n">
        <v>537292</v>
      </c>
      <c r="D135" s="96" t="inlineStr">
        <is>
          <t>AGRITECH</t>
        </is>
      </c>
      <c r="E135" s="96" t="inlineStr">
        <is>
          <t>Other Agricultural Products</t>
        </is>
      </c>
    </row>
    <row r="136" ht="15" customHeight="1" s="109" thickBot="1">
      <c r="B136" s="96" t="inlineStr">
        <is>
          <t>AGRO PHOS (INDIA) LTD</t>
        </is>
      </c>
      <c r="C136" s="96" t="inlineStr">
        <is>
          <t>Not Listed</t>
        </is>
      </c>
      <c r="D136" s="96" t="inlineStr">
        <is>
          <t>AGROPHOS</t>
        </is>
      </c>
      <c r="E136" s="96" t="inlineStr">
        <is>
          <t>SME</t>
        </is>
      </c>
    </row>
    <row r="137" ht="15" customHeight="1" s="109" thickBot="1">
      <c r="B137" s="96" t="inlineStr">
        <is>
          <t>AGRO PHOS INDIA LTD</t>
        </is>
      </c>
      <c r="C137" s="96" t="inlineStr">
        <is>
          <t>Not Listed</t>
        </is>
      </c>
      <c r="D137" s="96" t="inlineStr">
        <is>
          <t>AGROPHOS</t>
        </is>
      </c>
      <c r="E137" s="96" t="inlineStr">
        <is>
          <t>SME</t>
        </is>
      </c>
    </row>
    <row r="138" ht="15" customHeight="1" s="109" thickBot="1">
      <c r="B138" s="96" t="inlineStr">
        <is>
          <t>AGRO TECH FOODS LTD</t>
        </is>
      </c>
      <c r="C138" s="97" t="n">
        <v>500215</v>
      </c>
      <c r="D138" s="96" t="inlineStr">
        <is>
          <t>ATFL</t>
        </is>
      </c>
      <c r="E138" s="96" t="inlineStr">
        <is>
          <t>Other Agricultural Products</t>
        </is>
      </c>
    </row>
    <row r="139" ht="15" customHeight="1" s="109" thickBot="1">
      <c r="B139" s="96" t="inlineStr">
        <is>
          <t>AHIMSA INDUSTRIES LTD</t>
        </is>
      </c>
      <c r="C139" s="96" t="inlineStr">
        <is>
          <t>Not Listed</t>
        </is>
      </c>
      <c r="D139" s="96" t="inlineStr">
        <is>
          <t>AHIMSA</t>
        </is>
      </c>
      <c r="E139" s="96" t="inlineStr">
        <is>
          <t>SME</t>
        </is>
      </c>
    </row>
    <row r="140" ht="15" customHeight="1" s="109" thickBot="1">
      <c r="B140" s="96" t="inlineStr">
        <is>
          <t>AHLADA ENGINEERS LTD</t>
        </is>
      </c>
      <c r="C140" s="96" t="inlineStr">
        <is>
          <t>Not Listed</t>
        </is>
      </c>
      <c r="D140" s="96" t="inlineStr">
        <is>
          <t>AHLADA</t>
        </is>
      </c>
      <c r="E140" s="96" t="inlineStr">
        <is>
          <t>SME</t>
        </is>
      </c>
    </row>
    <row r="141" ht="15" customHeight="1" s="109" thickBot="1">
      <c r="B141" s="96" t="inlineStr">
        <is>
          <t>AHLUWALIA CONTRACTS (INDIA) LTD</t>
        </is>
      </c>
      <c r="C141" s="97" t="n">
        <v>532811</v>
      </c>
      <c r="D141" s="96" t="inlineStr">
        <is>
          <t>AHLUCONT</t>
        </is>
      </c>
      <c r="E141" s="96" t="inlineStr">
        <is>
          <t>Realty</t>
        </is>
      </c>
    </row>
    <row r="142" ht="15" customHeight="1" s="109" thickBot="1">
      <c r="B142" s="96" t="inlineStr">
        <is>
          <t>AHLUWALIA CONTRACTS INDIA LTD</t>
        </is>
      </c>
      <c r="C142" s="97" t="n">
        <v>532811</v>
      </c>
      <c r="D142" s="96" t="inlineStr">
        <is>
          <t>AHLUCONT</t>
        </is>
      </c>
      <c r="E142" s="96" t="inlineStr">
        <is>
          <t>Realty</t>
        </is>
      </c>
    </row>
    <row r="143" ht="15" customHeight="1" s="109" thickBot="1">
      <c r="B143" s="96" t="inlineStr">
        <is>
          <t>AHMEDABAD STEELCRAFT LTD</t>
        </is>
      </c>
      <c r="C143" s="97" t="n">
        <v>522273</v>
      </c>
      <c r="D143" s="96" t="inlineStr">
        <is>
          <t>Not Listed</t>
        </is>
      </c>
      <c r="E143" s="96" t="inlineStr">
        <is>
          <t>Iron &amp; Steel/Interm.Products</t>
        </is>
      </c>
    </row>
    <row r="144" ht="15" customHeight="1" s="109" thickBot="1">
      <c r="B144" s="96" t="inlineStr">
        <is>
          <t>AI CHAMPDANY INDUSTRIES LTD</t>
        </is>
      </c>
      <c r="C144" s="97" t="n">
        <v>532806</v>
      </c>
      <c r="D144" s="96" t="inlineStr">
        <is>
          <t>Not Listed</t>
        </is>
      </c>
      <c r="E144" s="96" t="inlineStr">
        <is>
          <t>Jute &amp; Jute Products</t>
        </is>
      </c>
    </row>
    <row r="145" ht="15" customHeight="1" s="109" thickBot="1">
      <c r="B145" s="96" t="inlineStr">
        <is>
          <t>AIA ENGINEERING LTD</t>
        </is>
      </c>
      <c r="C145" s="97" t="n">
        <v>532683</v>
      </c>
      <c r="D145" s="96" t="inlineStr">
        <is>
          <t>AIAENG</t>
        </is>
      </c>
      <c r="E145" s="96" t="inlineStr">
        <is>
          <t>Other Industrial Goods</t>
        </is>
      </c>
    </row>
    <row r="146" ht="15" customHeight="1" s="109" thickBot="1">
      <c r="B146" s="96" t="inlineStr">
        <is>
          <t>AIMCO PESTICIDES LTD</t>
        </is>
      </c>
      <c r="C146" s="97" t="n">
        <v>524288</v>
      </c>
      <c r="D146" s="96" t="inlineStr">
        <is>
          <t>Not Listed</t>
        </is>
      </c>
      <c r="E146" s="96" t="inlineStr">
        <is>
          <t>Agrochemicals</t>
        </is>
      </c>
    </row>
    <row r="147" ht="15" customHeight="1" s="109" thickBot="1">
      <c r="B147" s="96" t="inlineStr">
        <is>
          <t>AIRAN LTD</t>
        </is>
      </c>
      <c r="C147" s="96" t="inlineStr">
        <is>
          <t>Not Listed</t>
        </is>
      </c>
      <c r="D147" s="96" t="inlineStr">
        <is>
          <t>AIRAN</t>
        </is>
      </c>
      <c r="E147" s="96" t="inlineStr">
        <is>
          <t>SME</t>
        </is>
      </c>
    </row>
    <row r="148" ht="15" customHeight="1" s="109" thickBot="1">
      <c r="B148" s="96" t="inlineStr">
        <is>
          <t>AIRO LAM LTD</t>
        </is>
      </c>
      <c r="C148" s="96" t="inlineStr">
        <is>
          <t>Not Listed</t>
        </is>
      </c>
      <c r="D148" s="96" t="inlineStr">
        <is>
          <t>AIROLAM</t>
        </is>
      </c>
      <c r="E148" s="96" t="inlineStr">
        <is>
          <t>SME</t>
        </is>
      </c>
    </row>
    <row r="149" ht="15" customHeight="1" s="109" thickBot="1">
      <c r="B149" s="96" t="inlineStr">
        <is>
          <t>AISHWARYA TELECOM LTD</t>
        </is>
      </c>
      <c r="C149" s="97" t="n">
        <v>532975</v>
      </c>
      <c r="D149" s="96" t="inlineStr">
        <is>
          <t>Not Listed</t>
        </is>
      </c>
      <c r="E149" s="96" t="inlineStr">
        <is>
          <t>Telecom Equipment</t>
        </is>
      </c>
    </row>
    <row r="150" ht="15" customHeight="1" s="109" thickBot="1">
      <c r="B150" s="96" t="inlineStr">
        <is>
          <t>AJANTA PHARMA LTD</t>
        </is>
      </c>
      <c r="C150" s="97" t="n">
        <v>532331</v>
      </c>
      <c r="D150" s="96" t="inlineStr">
        <is>
          <t>AJANTPHARM</t>
        </is>
      </c>
      <c r="E150" s="96" t="inlineStr">
        <is>
          <t>Pharmaceuticals</t>
        </is>
      </c>
    </row>
    <row r="151" ht="15" customHeight="1" s="109" thickBot="1">
      <c r="B151" s="96" t="inlineStr">
        <is>
          <t>AJANTA SOYA LTD</t>
        </is>
      </c>
      <c r="C151" s="97" t="n">
        <v>519216</v>
      </c>
      <c r="D151" s="96" t="inlineStr">
        <is>
          <t>Not Listed</t>
        </is>
      </c>
      <c r="E151" s="96" t="inlineStr">
        <is>
          <t>Edible Oils</t>
        </is>
      </c>
    </row>
    <row r="152" ht="15" customHeight="1" s="109" thickBot="1">
      <c r="B152" s="96" t="inlineStr">
        <is>
          <t>AJCON GLOBAL SERVICES LTD</t>
        </is>
      </c>
      <c r="C152" s="97" t="n">
        <v>511692</v>
      </c>
      <c r="D152" s="96" t="inlineStr">
        <is>
          <t>Not Listed</t>
        </is>
      </c>
      <c r="E152" s="96" t="inlineStr">
        <is>
          <t>Other Financial Services</t>
        </is>
      </c>
    </row>
    <row r="153" ht="15" customHeight="1" s="109" thickBot="1">
      <c r="B153" s="96" t="inlineStr">
        <is>
          <t>AJEL LTD</t>
        </is>
      </c>
      <c r="C153" s="97" t="n">
        <v>530713</v>
      </c>
      <c r="D153" s="96" t="inlineStr">
        <is>
          <t>Not Listed</t>
        </is>
      </c>
      <c r="E153" s="96" t="inlineStr">
        <is>
          <t>IT Consulting &amp; Software</t>
        </is>
      </c>
    </row>
    <row r="154" ht="15" customHeight="1" s="109" thickBot="1">
      <c r="B154" s="96" t="inlineStr">
        <is>
          <t>AJMERA REALTY &amp; INFRA (INDIA) LTD</t>
        </is>
      </c>
      <c r="C154" s="97" t="n">
        <v>513349</v>
      </c>
      <c r="D154" s="96" t="inlineStr">
        <is>
          <t>AJMERA</t>
        </is>
      </c>
      <c r="E154" s="96" t="inlineStr">
        <is>
          <t>Realty</t>
        </is>
      </c>
    </row>
    <row r="155" ht="15" customHeight="1" s="109" thickBot="1">
      <c r="B155" s="96" t="inlineStr">
        <is>
          <t>AJMERA REALTY &amp; INFRA INDIA LTD</t>
        </is>
      </c>
      <c r="C155" s="97" t="n">
        <v>513349</v>
      </c>
      <c r="D155" s="96" t="inlineStr">
        <is>
          <t>AJMERA</t>
        </is>
      </c>
      <c r="E155" s="96" t="inlineStr">
        <is>
          <t>Realty</t>
        </is>
      </c>
    </row>
    <row r="156" ht="15" customHeight="1" s="109" thickBot="1">
      <c r="B156" s="96" t="inlineStr">
        <is>
          <t>AJOONI BIOTECH LTD</t>
        </is>
      </c>
      <c r="C156" s="96" t="inlineStr">
        <is>
          <t>Not Listed</t>
        </is>
      </c>
      <c r="D156" s="96" t="inlineStr">
        <is>
          <t>AJOONI</t>
        </is>
      </c>
      <c r="E156" s="96" t="inlineStr">
        <is>
          <t>SME</t>
        </is>
      </c>
    </row>
    <row r="157" ht="15" customHeight="1" s="109" thickBot="1">
      <c r="B157" s="96" t="inlineStr">
        <is>
          <t>AJWA FUN WORLD &amp; RESORT LTD</t>
        </is>
      </c>
      <c r="C157" s="97" t="n">
        <v>526628</v>
      </c>
      <c r="D157" s="96" t="inlineStr">
        <is>
          <t>Not Listed</t>
        </is>
      </c>
      <c r="E157" s="96" t="inlineStr">
        <is>
          <t>Other Leisure Facilities</t>
        </is>
      </c>
    </row>
    <row r="158" ht="15" customHeight="1" s="109" thickBot="1">
      <c r="B158" s="96" t="inlineStr">
        <is>
          <t>AKAR AUTO INDUSTRIES LTD</t>
        </is>
      </c>
      <c r="C158" s="97" t="n">
        <v>530621</v>
      </c>
      <c r="D158" s="96" t="inlineStr">
        <is>
          <t>Not Listed</t>
        </is>
      </c>
      <c r="E158" s="96" t="inlineStr">
        <is>
          <t>Industrial Machinery</t>
        </is>
      </c>
    </row>
    <row r="159" ht="15" customHeight="1" s="109" thickBot="1">
      <c r="B159" s="96" t="inlineStr">
        <is>
          <t>AKASH INFRA PROJECTS LTD</t>
        </is>
      </c>
      <c r="C159" s="96" t="inlineStr">
        <is>
          <t>Not Listed</t>
        </is>
      </c>
      <c r="D159" s="96" t="inlineStr">
        <is>
          <t>AKASH</t>
        </is>
      </c>
      <c r="E159" s="96" t="inlineStr">
        <is>
          <t>SME</t>
        </is>
      </c>
    </row>
    <row r="160" ht="15" customHeight="1" s="109" thickBot="1">
      <c r="B160" s="96" t="inlineStr">
        <is>
          <t>AKASHDEEP METAL INDUSTRIES LTD</t>
        </is>
      </c>
      <c r="C160" s="97" t="n">
        <v>538778</v>
      </c>
      <c r="D160" s="96" t="inlineStr">
        <is>
          <t>Not Listed</t>
        </is>
      </c>
      <c r="E160" s="96" t="inlineStr">
        <is>
          <t>Finance (including NBFCs)</t>
        </is>
      </c>
    </row>
    <row r="161" ht="15" customHeight="1" s="109" thickBot="1">
      <c r="B161" s="96" t="inlineStr">
        <is>
          <t>AKG EXIM LTD</t>
        </is>
      </c>
      <c r="C161" s="96" t="inlineStr">
        <is>
          <t>Not Listed</t>
        </is>
      </c>
      <c r="D161" s="96" t="inlineStr">
        <is>
          <t>AKG</t>
        </is>
      </c>
      <c r="E161" s="96" t="inlineStr">
        <is>
          <t>SME</t>
        </is>
      </c>
    </row>
    <row r="162" ht="15" customHeight="1" s="109" thickBot="1">
      <c r="B162" s="96" t="inlineStr">
        <is>
          <t>AKI (INDIA) LTD</t>
        </is>
      </c>
      <c r="C162" s="97" t="n">
        <v>542020</v>
      </c>
      <c r="D162" s="96" t="inlineStr">
        <is>
          <t>Not Listed</t>
        </is>
      </c>
      <c r="E162" s="96" t="inlineStr">
        <is>
          <t>Other Apparels &amp; Accessories</t>
        </is>
      </c>
    </row>
    <row r="163" ht="15" customHeight="1" s="109" thickBot="1">
      <c r="B163" s="96" t="inlineStr">
        <is>
          <t>AKI INDIA LTD</t>
        </is>
      </c>
      <c r="C163" s="97" t="n">
        <v>542020</v>
      </c>
      <c r="D163" s="96" t="inlineStr">
        <is>
          <t>Not Listed</t>
        </is>
      </c>
      <c r="E163" s="96" t="inlineStr">
        <is>
          <t>Other Apparels &amp; Accessories</t>
        </is>
      </c>
    </row>
    <row r="164" ht="15" customHeight="1" s="109" thickBot="1">
      <c r="B164" s="96" t="inlineStr">
        <is>
          <t>AKM LACE AND EMBROTEX LTD</t>
        </is>
      </c>
      <c r="C164" s="97" t="n">
        <v>540718</v>
      </c>
      <c r="D164" s="96" t="inlineStr">
        <is>
          <t>Not Listed</t>
        </is>
      </c>
      <c r="E164" s="96" t="inlineStr">
        <is>
          <t>Textiles</t>
        </is>
      </c>
    </row>
    <row r="165" ht="15" customHeight="1" s="109" thickBot="1">
      <c r="B165" s="96" t="inlineStr">
        <is>
          <t>AKME STAR HOUSING FINANCE LTD</t>
        </is>
      </c>
      <c r="C165" s="97" t="n">
        <v>539017</v>
      </c>
      <c r="D165" s="96" t="inlineStr">
        <is>
          <t>Not Listed</t>
        </is>
      </c>
      <c r="E165" s="96" t="inlineStr">
        <is>
          <t>Housing Finance</t>
        </is>
      </c>
    </row>
    <row r="166" ht="15" customHeight="1" s="109" thickBot="1">
      <c r="B166" s="96" t="inlineStr">
        <is>
          <t>AKSH OPTIFIBRE LTD</t>
        </is>
      </c>
      <c r="C166" s="97" t="n">
        <v>532351</v>
      </c>
      <c r="D166" s="96" t="inlineStr">
        <is>
          <t>AKSHOPTFBR</t>
        </is>
      </c>
      <c r="E166" s="96" t="inlineStr">
        <is>
          <t>Telecom Cables</t>
        </is>
      </c>
    </row>
    <row r="167" ht="15" customHeight="1" s="109" thickBot="1">
      <c r="B167" s="96" t="inlineStr">
        <is>
          <t>AKSHAR SPINTEX LTD</t>
        </is>
      </c>
      <c r="C167" s="97" t="n">
        <v>541303</v>
      </c>
      <c r="D167" s="96" t="inlineStr">
        <is>
          <t>Not Listed</t>
        </is>
      </c>
      <c r="E167" s="96" t="inlineStr">
        <is>
          <t>Textiles</t>
        </is>
      </c>
    </row>
    <row r="168" ht="15" customHeight="1" s="109" thickBot="1">
      <c r="B168" s="96" t="inlineStr">
        <is>
          <t>AKSHARCHEM (INDIA) LTD</t>
        </is>
      </c>
      <c r="C168" s="97" t="n">
        <v>524598</v>
      </c>
      <c r="D168" s="96" t="inlineStr">
        <is>
          <t>AKSHARCHEM</t>
        </is>
      </c>
      <c r="E168" s="96" t="inlineStr">
        <is>
          <t>Specialty Chemicals</t>
        </is>
      </c>
    </row>
    <row r="169" ht="15" customHeight="1" s="109" thickBot="1">
      <c r="B169" s="96" t="inlineStr">
        <is>
          <t>AKSHARCHEM INDIA LTD</t>
        </is>
      </c>
      <c r="C169" s="97" t="n">
        <v>524598</v>
      </c>
      <c r="D169" s="96" t="inlineStr">
        <is>
          <t>AKSHARCHEM</t>
        </is>
      </c>
      <c r="E169" s="96" t="inlineStr">
        <is>
          <t>Specialty Chemicals</t>
        </is>
      </c>
    </row>
    <row r="170" ht="15" customHeight="1" s="109" thickBot="1">
      <c r="B170" s="96" t="inlineStr">
        <is>
          <t>AKZO NOBEL (INDIA) LTD</t>
        </is>
      </c>
      <c r="C170" s="97" t="n">
        <v>500710</v>
      </c>
      <c r="D170" s="96" t="inlineStr">
        <is>
          <t>AKZO(INDIA)</t>
        </is>
      </c>
      <c r="E170" s="96" t="inlineStr">
        <is>
          <t>Furniture-Furnishing-Paints</t>
        </is>
      </c>
    </row>
    <row r="171" ht="15" customHeight="1" s="109" thickBot="1">
      <c r="B171" s="96" t="inlineStr">
        <is>
          <t>AKZO NOBEL INDIA LTD</t>
        </is>
      </c>
      <c r="C171" s="97" t="n">
        <v>500710</v>
      </c>
      <c r="D171" s="96" t="inlineStr">
        <is>
          <t>AKZOINDIA</t>
        </is>
      </c>
      <c r="E171" s="96" t="inlineStr">
        <is>
          <t>Furniture-Furnishing-Paints</t>
        </is>
      </c>
    </row>
    <row r="172" ht="15" customHeight="1" s="109" thickBot="1">
      <c r="B172" s="96" t="inlineStr">
        <is>
          <t>ALACRITY SECURITIES LTD</t>
        </is>
      </c>
      <c r="C172" s="97" t="n">
        <v>535916</v>
      </c>
      <c r="D172" s="96" t="inlineStr">
        <is>
          <t>Not Listed</t>
        </is>
      </c>
      <c r="E172" s="96" t="inlineStr">
        <is>
          <t>Other Financial Services</t>
        </is>
      </c>
    </row>
    <row r="173" ht="15" customHeight="1" s="109" thickBot="1">
      <c r="B173" s="96" t="inlineStr">
        <is>
          <t>ALAN SCOTT INDUSTRIES LTD</t>
        </is>
      </c>
      <c r="C173" s="97" t="n">
        <v>539115</v>
      </c>
      <c r="D173" s="96" t="inlineStr">
        <is>
          <t>Not Listed</t>
        </is>
      </c>
      <c r="E173" s="96" t="inlineStr">
        <is>
          <t>Movies &amp; Entertainment</t>
        </is>
      </c>
    </row>
    <row r="174" ht="15" customHeight="1" s="109" thickBot="1">
      <c r="B174" s="96" t="inlineStr">
        <is>
          <t>ALANKIT LTD</t>
        </is>
      </c>
      <c r="C174" s="97" t="n">
        <v>531082</v>
      </c>
      <c r="D174" s="96" t="inlineStr">
        <is>
          <t>ALANKIT</t>
        </is>
      </c>
      <c r="E174" s="96" t="inlineStr">
        <is>
          <t>Other Financial Services</t>
        </is>
      </c>
    </row>
    <row r="175" ht="15" customHeight="1" s="109" thickBot="1">
      <c r="B175" s="96" t="inlineStr">
        <is>
          <t>ALBERT DAVID LTD</t>
        </is>
      </c>
      <c r="C175" s="97" t="n">
        <v>524075</v>
      </c>
      <c r="D175" s="96" t="inlineStr">
        <is>
          <t>ALBERTDAVD</t>
        </is>
      </c>
      <c r="E175" s="96" t="inlineStr">
        <is>
          <t>Pharmaceuticals</t>
        </is>
      </c>
    </row>
    <row r="176" ht="15" customHeight="1" s="109" thickBot="1">
      <c r="B176" s="96" t="inlineStr">
        <is>
          <t>ALCHEMIST CORPORATION LTD</t>
        </is>
      </c>
      <c r="C176" s="97" t="n">
        <v>531409</v>
      </c>
      <c r="D176" s="96" t="inlineStr">
        <is>
          <t>Not Listed</t>
        </is>
      </c>
      <c r="E176" s="96" t="inlineStr">
        <is>
          <t>Commodity Chemicals</t>
        </is>
      </c>
    </row>
    <row r="177" ht="15" customHeight="1" s="109" thickBot="1">
      <c r="B177" s="96" t="inlineStr">
        <is>
          <t>ALCHEMIST LTD</t>
        </is>
      </c>
      <c r="C177" s="97" t="n">
        <v>526707</v>
      </c>
      <c r="D177" s="96" t="inlineStr">
        <is>
          <t>ALCHEM</t>
        </is>
      </c>
      <c r="E177" s="96" t="inlineStr">
        <is>
          <t>Comm.Trading &amp; Distribution</t>
        </is>
      </c>
    </row>
    <row r="178" ht="15" customHeight="1" s="109" thickBot="1">
      <c r="B178" s="96" t="inlineStr">
        <is>
          <t>ALCHEMIST REALTY LTD</t>
        </is>
      </c>
      <c r="C178" s="97" t="n">
        <v>532114</v>
      </c>
      <c r="D178" s="96" t="inlineStr">
        <is>
          <t>Not Listed</t>
        </is>
      </c>
      <c r="E178" s="96" t="inlineStr">
        <is>
          <t>Realty</t>
        </is>
      </c>
    </row>
    <row r="179" ht="15" customHeight="1" s="109" thickBot="1">
      <c r="B179" s="96" t="inlineStr">
        <is>
          <t>ALEMBIC LTD</t>
        </is>
      </c>
      <c r="C179" s="97" t="n">
        <v>506235</v>
      </c>
      <c r="D179" s="96" t="inlineStr">
        <is>
          <t>ALEMBICLTD</t>
        </is>
      </c>
      <c r="E179" s="96" t="inlineStr">
        <is>
          <t>Pharmaceuticals</t>
        </is>
      </c>
    </row>
    <row r="180" ht="15" customHeight="1" s="109" thickBot="1">
      <c r="B180" s="96" t="inlineStr">
        <is>
          <t>ALEMBIC PHARMACEUTICALS LTD</t>
        </is>
      </c>
      <c r="C180" s="97" t="n">
        <v>533573</v>
      </c>
      <c r="D180" s="96" t="inlineStr">
        <is>
          <t>APLLTD</t>
        </is>
      </c>
      <c r="E180" s="96" t="inlineStr">
        <is>
          <t>Pharmaceuticals</t>
        </is>
      </c>
    </row>
    <row r="181" ht="15" customHeight="1" s="109" thickBot="1">
      <c r="B181" s="96" t="inlineStr">
        <is>
          <t>ALEXANDER STAMPS AND COIN LTD</t>
        </is>
      </c>
      <c r="C181" s="97" t="n">
        <v>511463</v>
      </c>
      <c r="D181" s="96" t="inlineStr">
        <is>
          <t>Not Listed</t>
        </is>
      </c>
      <c r="E181" s="96" t="inlineStr">
        <is>
          <t>Diversified</t>
        </is>
      </c>
    </row>
    <row r="182" ht="15" customHeight="1" s="109" thickBot="1">
      <c r="B182" s="96" t="inlineStr">
        <is>
          <t>ALFA ICA (INDIA) LTD</t>
        </is>
      </c>
      <c r="C182" s="97" t="n">
        <v>530973</v>
      </c>
      <c r="D182" s="96" t="inlineStr">
        <is>
          <t>Not Listed</t>
        </is>
      </c>
      <c r="E182" s="96" t="inlineStr">
        <is>
          <t>Plastic Products</t>
        </is>
      </c>
    </row>
    <row r="183" ht="15" customHeight="1" s="109" thickBot="1">
      <c r="B183" s="96" t="inlineStr">
        <is>
          <t>ALFA ICA INDIA LTD</t>
        </is>
      </c>
      <c r="C183" s="97" t="n">
        <v>530973</v>
      </c>
      <c r="D183" s="96" t="inlineStr">
        <is>
          <t>Not Listed</t>
        </is>
      </c>
      <c r="E183" s="96" t="inlineStr">
        <is>
          <t>Plastic Products</t>
        </is>
      </c>
    </row>
    <row r="184" ht="15" customHeight="1" s="109" thickBot="1">
      <c r="B184" s="96" t="inlineStr">
        <is>
          <t>ALFA TRANSFORMERS LTD</t>
        </is>
      </c>
      <c r="C184" s="97" t="n">
        <v>517546</v>
      </c>
      <c r="D184" s="96" t="inlineStr">
        <is>
          <t>Not Listed</t>
        </is>
      </c>
      <c r="E184" s="96" t="inlineStr">
        <is>
          <t>Other Elect.Equip./ Prod.</t>
        </is>
      </c>
    </row>
    <row r="185" ht="15" customHeight="1" s="109" thickBot="1">
      <c r="B185" s="96" t="inlineStr">
        <is>
          <t>ALFAVISION OVERSEAS (INDIA) LTD</t>
        </is>
      </c>
      <c r="C185" s="97" t="n">
        <v>531156</v>
      </c>
      <c r="D185" s="96" t="inlineStr">
        <is>
          <t>Not Listed</t>
        </is>
      </c>
      <c r="E185" s="96" t="inlineStr">
        <is>
          <t>Finance (including NBFCs)</t>
        </is>
      </c>
    </row>
    <row r="186" ht="15" customHeight="1" s="109" thickBot="1">
      <c r="B186" s="96" t="inlineStr">
        <is>
          <t>ALFAVISION OVERSEAS INDIA LTD</t>
        </is>
      </c>
      <c r="C186" s="97" t="n">
        <v>531156</v>
      </c>
      <c r="D186" s="96" t="inlineStr">
        <is>
          <t>Not Listed</t>
        </is>
      </c>
      <c r="E186" s="96" t="inlineStr">
        <is>
          <t>Finance (including NBFCs)</t>
        </is>
      </c>
    </row>
    <row r="187" ht="15" customHeight="1" s="109" thickBot="1">
      <c r="B187" s="96" t="inlineStr">
        <is>
          <t>ALFRED HERBERT (INDIA) LTD</t>
        </is>
      </c>
      <c r="C187" s="97" t="n">
        <v>505216</v>
      </c>
      <c r="D187" s="96" t="inlineStr">
        <is>
          <t>Not Listed</t>
        </is>
      </c>
      <c r="E187" s="96" t="inlineStr">
        <is>
          <t>Finance (including NBFCs)</t>
        </is>
      </c>
    </row>
    <row r="188" ht="15" customHeight="1" s="109" thickBot="1">
      <c r="B188" s="96" t="inlineStr">
        <is>
          <t>ALFRED HERBERT INDIA LTD</t>
        </is>
      </c>
      <c r="C188" s="97" t="n">
        <v>505216</v>
      </c>
      <c r="D188" s="96" t="inlineStr">
        <is>
          <t>Not Listed</t>
        </is>
      </c>
      <c r="E188" s="96" t="inlineStr">
        <is>
          <t>Finance (including NBFCs)</t>
        </is>
      </c>
    </row>
    <row r="189" ht="15" customHeight="1" s="109" thickBot="1">
      <c r="B189" s="96" t="inlineStr">
        <is>
          <t>ALICON CASTALLOY LTD</t>
        </is>
      </c>
      <c r="C189" s="97" t="n">
        <v>531147</v>
      </c>
      <c r="D189" s="96" t="inlineStr">
        <is>
          <t>ALICON</t>
        </is>
      </c>
      <c r="E189" s="96" t="inlineStr">
        <is>
          <t>Aluminium</t>
        </is>
      </c>
    </row>
    <row r="190" ht="15" customHeight="1" s="109" thickBot="1">
      <c r="B190" s="96" t="inlineStr">
        <is>
          <t>ALKA (INDIA) LTD</t>
        </is>
      </c>
      <c r="C190" s="97" t="n">
        <v>530889</v>
      </c>
      <c r="D190" s="96" t="inlineStr">
        <is>
          <t>Not Listed</t>
        </is>
      </c>
      <c r="E190" s="96" t="inlineStr">
        <is>
          <t>Textiles</t>
        </is>
      </c>
    </row>
    <row r="191" ht="15" customHeight="1" s="109" thickBot="1">
      <c r="B191" s="96" t="inlineStr">
        <is>
          <t>ALKA DIAMOND INDUSTRIES LTD</t>
        </is>
      </c>
      <c r="C191" s="97" t="n">
        <v>531581</v>
      </c>
      <c r="D191" s="96" t="inlineStr">
        <is>
          <t>Not Listed</t>
        </is>
      </c>
      <c r="E191" s="96" t="inlineStr">
        <is>
          <t>Other Apparels &amp; Accessories</t>
        </is>
      </c>
    </row>
    <row r="192" ht="15" customHeight="1" s="109" thickBot="1">
      <c r="B192" s="96" t="inlineStr">
        <is>
          <t>ALKA INDIA LTD</t>
        </is>
      </c>
      <c r="C192" s="97" t="n">
        <v>530889</v>
      </c>
      <c r="D192" s="96" t="inlineStr">
        <is>
          <t>Not Listed</t>
        </is>
      </c>
      <c r="E192" s="96" t="inlineStr">
        <is>
          <t>Textiles</t>
        </is>
      </c>
    </row>
    <row r="193" ht="15" customHeight="1" s="109" thickBot="1">
      <c r="B193" s="96" t="inlineStr">
        <is>
          <t>ALKA SECURITIES LTD</t>
        </is>
      </c>
      <c r="C193" s="97" t="n">
        <v>532166</v>
      </c>
      <c r="D193" s="96" t="inlineStr">
        <is>
          <t>Not Listed</t>
        </is>
      </c>
      <c r="E193" s="96" t="inlineStr">
        <is>
          <t>Finance (including NBFCs)</t>
        </is>
      </c>
    </row>
    <row r="194" ht="15" customHeight="1" s="109" thickBot="1">
      <c r="B194" s="96" t="inlineStr">
        <is>
          <t>ALKALI METALS LTD</t>
        </is>
      </c>
      <c r="C194" s="97" t="n">
        <v>533029</v>
      </c>
      <c r="D194" s="96" t="inlineStr">
        <is>
          <t>ALKALI</t>
        </is>
      </c>
      <c r="E194" s="96" t="inlineStr">
        <is>
          <t>Specialty Chemicals</t>
        </is>
      </c>
    </row>
    <row r="195" ht="15" customHeight="1" s="109" thickBot="1">
      <c r="B195" s="96" t="inlineStr">
        <is>
          <t>ALKEM LABORATORIES LTD</t>
        </is>
      </c>
      <c r="C195" s="97" t="n">
        <v>539523</v>
      </c>
      <c r="D195" s="96" t="inlineStr">
        <is>
          <t>ALKEM</t>
        </is>
      </c>
      <c r="E195" s="96" t="inlineStr">
        <is>
          <t>Pharmaceuticals</t>
        </is>
      </c>
    </row>
    <row r="196" ht="15" customHeight="1" s="109" thickBot="1">
      <c r="B196" s="96" t="inlineStr">
        <is>
          <t>ALKYL AMINES CHEMICALS LTD</t>
        </is>
      </c>
      <c r="C196" s="97" t="n">
        <v>506767</v>
      </c>
      <c r="D196" s="96" t="inlineStr">
        <is>
          <t>ALKYLAMINE</t>
        </is>
      </c>
      <c r="E196" s="96" t="inlineStr">
        <is>
          <t>Specialty Chemicals</t>
        </is>
      </c>
    </row>
    <row r="197" ht="15" customHeight="1" s="109" thickBot="1">
      <c r="B197" s="96" t="inlineStr">
        <is>
          <t>ALLAHABAD BANK</t>
        </is>
      </c>
      <c r="C197" s="97" t="n">
        <v>532480</v>
      </c>
      <c r="D197" s="96" t="inlineStr">
        <is>
          <t>ALBK</t>
        </is>
      </c>
      <c r="E197" s="96" t="inlineStr">
        <is>
          <t>Banks</t>
        </is>
      </c>
    </row>
    <row r="198" ht="15" customHeight="1" s="109" thickBot="1">
      <c r="B198" s="96" t="inlineStr">
        <is>
          <t>ALLCARGO LOGISTICS LTD</t>
        </is>
      </c>
      <c r="C198" s="97" t="n">
        <v>532749</v>
      </c>
      <c r="D198" s="96" t="inlineStr">
        <is>
          <t>ALLCARGO</t>
        </is>
      </c>
      <c r="E198" s="96" t="inlineStr">
        <is>
          <t>Transportation - Logistics</t>
        </is>
      </c>
    </row>
    <row r="199" ht="15" customHeight="1" s="109" thickBot="1">
      <c r="B199" s="96" t="inlineStr">
        <is>
          <t>ALLIANCE INTEGRATED METALIKS LTD</t>
        </is>
      </c>
      <c r="C199" s="97" t="n">
        <v>534064</v>
      </c>
      <c r="D199" s="96" t="inlineStr">
        <is>
          <t>Not Listed</t>
        </is>
      </c>
      <c r="E199" s="96" t="inlineStr">
        <is>
          <t>Iron &amp; Steel Products</t>
        </is>
      </c>
    </row>
    <row r="200" ht="15" customHeight="1" s="109" thickBot="1">
      <c r="B200" s="96" t="inlineStr">
        <is>
          <t>ALLIED COMPUTERS INTERNATIONAL ASIA LTD</t>
        </is>
      </c>
      <c r="C200" s="97" t="n">
        <v>532919</v>
      </c>
      <c r="D200" s="96" t="inlineStr">
        <is>
          <t>Not Listed</t>
        </is>
      </c>
      <c r="E200" s="96" t="inlineStr">
        <is>
          <t>Computer Hardware</t>
        </is>
      </c>
    </row>
    <row r="201" ht="15" customHeight="1" s="109" thickBot="1">
      <c r="B201" s="96" t="inlineStr">
        <is>
          <t>ALLIED DIGITAL SERVICES LTD</t>
        </is>
      </c>
      <c r="C201" s="97" t="n">
        <v>532875</v>
      </c>
      <c r="D201" s="96" t="inlineStr">
        <is>
          <t>ADSL</t>
        </is>
      </c>
      <c r="E201" s="96" t="inlineStr">
        <is>
          <t>IT Consulting &amp; Software</t>
        </is>
      </c>
    </row>
    <row r="202" ht="15" customHeight="1" s="109" thickBot="1">
      <c r="B202" s="96" t="inlineStr">
        <is>
          <t>ALLSEC TECHNOLOGIES LTD</t>
        </is>
      </c>
      <c r="C202" s="97" t="n">
        <v>532633</v>
      </c>
      <c r="D202" s="96" t="inlineStr">
        <is>
          <t>ALLSEC</t>
        </is>
      </c>
      <c r="E202" s="96" t="inlineStr">
        <is>
          <t>BPO/KPO</t>
        </is>
      </c>
    </row>
    <row r="203" ht="15" customHeight="1" s="109" thickBot="1">
      <c r="B203" s="96" t="inlineStr">
        <is>
          <t>ALMONDZ GLOBAL SECURITIES LTD</t>
        </is>
      </c>
      <c r="C203" s="97" t="n">
        <v>531400</v>
      </c>
      <c r="D203" s="96" t="inlineStr">
        <is>
          <t>ALMONDZ</t>
        </is>
      </c>
      <c r="E203" s="96" t="inlineStr">
        <is>
          <t>Other Financial Services</t>
        </is>
      </c>
    </row>
    <row r="204" ht="15" customHeight="1" s="109" thickBot="1">
      <c r="B204" s="96" t="inlineStr">
        <is>
          <t>ALNA TRADING &amp; EXPORTS LTD</t>
        </is>
      </c>
      <c r="C204" s="97" t="n">
        <v>506120</v>
      </c>
      <c r="D204" s="96" t="inlineStr">
        <is>
          <t>Not Listed</t>
        </is>
      </c>
      <c r="E204" s="96" t="inlineStr">
        <is>
          <t>Comm.Trading &amp; Distribution</t>
        </is>
      </c>
    </row>
    <row r="205" ht="15" customHeight="1" s="109" thickBot="1">
      <c r="B205" s="96" t="inlineStr">
        <is>
          <t>ALOK INDUSTRIES LTD</t>
        </is>
      </c>
      <c r="C205" s="97" t="n">
        <v>521070</v>
      </c>
      <c r="D205" s="96" t="inlineStr">
        <is>
          <t>ALOKTEXT</t>
        </is>
      </c>
      <c r="E205" s="96" t="inlineStr">
        <is>
          <t>Textiles</t>
        </is>
      </c>
    </row>
    <row r="206" ht="15" customHeight="1" s="109" thickBot="1">
      <c r="B206" s="96" t="inlineStr">
        <is>
          <t>ALPA LABORATORIES LTD</t>
        </is>
      </c>
      <c r="C206" s="97" t="n">
        <v>532878</v>
      </c>
      <c r="D206" s="96" t="inlineStr">
        <is>
          <t>ALPA</t>
        </is>
      </c>
      <c r="E206" s="96" t="inlineStr">
        <is>
          <t>Biotechnology</t>
        </is>
      </c>
    </row>
    <row r="207" ht="15" customHeight="1" s="109" thickBot="1">
      <c r="B207" s="96" t="inlineStr">
        <is>
          <t>ALPHAGEO (INDIA) LTD</t>
        </is>
      </c>
      <c r="C207" s="97" t="n">
        <v>526397</v>
      </c>
      <c r="D207" s="96" t="inlineStr">
        <is>
          <t>ALPHAGEO</t>
        </is>
      </c>
      <c r="E207" s="96" t="inlineStr">
        <is>
          <t>Oil Equipment &amp; Services</t>
        </is>
      </c>
    </row>
    <row r="208" ht="15" customHeight="1" s="109" thickBot="1">
      <c r="B208" s="96" t="inlineStr">
        <is>
          <t>ALPHAGEO INDIA LTD</t>
        </is>
      </c>
      <c r="C208" s="97" t="n">
        <v>526397</v>
      </c>
      <c r="D208" s="96" t="inlineStr">
        <is>
          <t>ALPHAGEO</t>
        </is>
      </c>
      <c r="E208" s="96" t="inlineStr">
        <is>
          <t>Oil Equipment &amp; Services</t>
        </is>
      </c>
    </row>
    <row r="209" ht="15" customHeight="1" s="109" thickBot="1">
      <c r="B209" s="96" t="inlineStr">
        <is>
          <t>ALPINE HOUSING DEVELOPMENT CORPORATION LTD</t>
        </is>
      </c>
      <c r="C209" s="97" t="n">
        <v>526519</v>
      </c>
      <c r="D209" s="96" t="inlineStr">
        <is>
          <t>Not Listed</t>
        </is>
      </c>
      <c r="E209" s="96" t="inlineStr">
        <is>
          <t>Realty</t>
        </is>
      </c>
    </row>
    <row r="210" ht="15" customHeight="1" s="109" thickBot="1">
      <c r="B210" s="96" t="inlineStr">
        <is>
          <t>ALPS INDUSTRIES LTD</t>
        </is>
      </c>
      <c r="C210" s="97" t="n">
        <v>530715</v>
      </c>
      <c r="D210" s="96" t="inlineStr">
        <is>
          <t>ALPSINDUS</t>
        </is>
      </c>
      <c r="E210" s="96" t="inlineStr">
        <is>
          <t>Textiles</t>
        </is>
      </c>
    </row>
    <row r="211" ht="15" customHeight="1" s="109" thickBot="1">
      <c r="B211" s="96" t="inlineStr">
        <is>
          <t>Alps Motor Finance Ltd</t>
        </is>
      </c>
      <c r="C211" s="97" t="n">
        <v>538423</v>
      </c>
      <c r="D211" s="96" t="inlineStr">
        <is>
          <t>ALPSMOTOR</t>
        </is>
      </c>
      <c r="E211" s="96" t="inlineStr">
        <is>
          <t>Other Financial Services</t>
        </is>
      </c>
    </row>
    <row r="212" ht="15" customHeight="1" s="109" thickBot="1">
      <c r="B212" s="96" t="inlineStr">
        <is>
          <t>ALSTONE TEXTILES (INDIA) LTD</t>
        </is>
      </c>
      <c r="C212" s="97" t="n">
        <v>539277</v>
      </c>
      <c r="D212" s="96" t="inlineStr">
        <is>
          <t>Not Listed</t>
        </is>
      </c>
      <c r="E212" s="96" t="inlineStr">
        <is>
          <t>Distributors</t>
        </is>
      </c>
    </row>
    <row r="213" ht="15" customHeight="1" s="109" thickBot="1">
      <c r="B213" s="96" t="inlineStr">
        <is>
          <t>ALSTONE TEXTILES INDIA LTD</t>
        </is>
      </c>
      <c r="C213" s="97" t="n">
        <v>539277</v>
      </c>
      <c r="D213" s="96" t="inlineStr">
        <is>
          <t>Not Listed</t>
        </is>
      </c>
      <c r="E213" s="96" t="inlineStr">
        <is>
          <t>Distributors</t>
        </is>
      </c>
    </row>
    <row r="214" ht="15" customHeight="1" s="109" thickBot="1">
      <c r="B214" s="96" t="inlineStr">
        <is>
          <t>ALUFLUORIDE LTD</t>
        </is>
      </c>
      <c r="C214" s="97" t="n">
        <v>524634</v>
      </c>
      <c r="D214" s="96" t="inlineStr">
        <is>
          <t>Not Listed</t>
        </is>
      </c>
      <c r="E214" s="96" t="inlineStr">
        <is>
          <t>Commodity Chemicals</t>
        </is>
      </c>
    </row>
    <row r="215" ht="15" customHeight="1" s="109" thickBot="1">
      <c r="B215" s="96" t="inlineStr">
        <is>
          <t>AMAL LTD</t>
        </is>
      </c>
      <c r="C215" s="97" t="n">
        <v>506597</v>
      </c>
      <c r="D215" s="96" t="inlineStr">
        <is>
          <t>Not Listed</t>
        </is>
      </c>
      <c r="E215" s="96" t="inlineStr">
        <is>
          <t>Specialty Chemicals</t>
        </is>
      </c>
    </row>
    <row r="216" ht="15" customHeight="1" s="109" thickBot="1">
      <c r="B216" s="96" t="inlineStr">
        <is>
          <t>AMANI TRADING &amp; EXPORTS LTD</t>
        </is>
      </c>
      <c r="C216" s="97" t="n">
        <v>512008</v>
      </c>
      <c r="D216" s="96" t="inlineStr">
        <is>
          <t>Not Listed</t>
        </is>
      </c>
      <c r="E216" s="96" t="inlineStr">
        <is>
          <t>Comm.Trading &amp; Distribution</t>
        </is>
      </c>
    </row>
    <row r="217" ht="15" customHeight="1" s="109" thickBot="1">
      <c r="B217" s="96" t="inlineStr">
        <is>
          <t>AMARA RAJA BATTERIES LTD</t>
        </is>
      </c>
      <c r="C217" s="97" t="n">
        <v>500008</v>
      </c>
      <c r="D217" s="96" t="inlineStr">
        <is>
          <t>AMARAJABAT</t>
        </is>
      </c>
      <c r="E217" s="96" t="inlineStr">
        <is>
          <t>Auto Parts &amp; Equipment</t>
        </is>
      </c>
    </row>
    <row r="218" ht="15" customHeight="1" s="109" thickBot="1">
      <c r="B218" s="96" t="inlineStr">
        <is>
          <t>AMARJOTHI SPINNING MILLS LTD</t>
        </is>
      </c>
      <c r="C218" s="97" t="n">
        <v>521097</v>
      </c>
      <c r="D218" s="96" t="inlineStr">
        <is>
          <t>Not Listed</t>
        </is>
      </c>
      <c r="E218" s="96" t="inlineStr">
        <is>
          <t>Textiles</t>
        </is>
      </c>
    </row>
    <row r="219" ht="15" customHeight="1" s="109" thickBot="1">
      <c r="B219" s="96" t="inlineStr">
        <is>
          <t>AMARNATH SECURITIES LTD</t>
        </is>
      </c>
      <c r="C219" s="97" t="n">
        <v>538465</v>
      </c>
      <c r="D219" s="96" t="inlineStr">
        <is>
          <t>Not Listed</t>
        </is>
      </c>
      <c r="E219" s="96" t="inlineStr">
        <is>
          <t>Finance (including NBFCs)</t>
        </is>
      </c>
    </row>
    <row r="220" ht="15" customHeight="1" s="109" thickBot="1">
      <c r="B220" s="96" t="inlineStr">
        <is>
          <t>AMAZE ENTERTECH LTD</t>
        </is>
      </c>
      <c r="C220" s="97" t="n">
        <v>531112</v>
      </c>
      <c r="D220" s="96" t="inlineStr">
        <is>
          <t>Not Listed</t>
        </is>
      </c>
      <c r="E220" s="96" t="inlineStr">
        <is>
          <t>Industrial Machinery</t>
        </is>
      </c>
    </row>
    <row r="221" ht="15" customHeight="1" s="109" thickBot="1">
      <c r="B221" s="96" t="inlineStr">
        <is>
          <t>AMBA ENTERPRISES LTD</t>
        </is>
      </c>
      <c r="C221" s="97" t="n">
        <v>539196</v>
      </c>
      <c r="D221" s="96" t="inlineStr">
        <is>
          <t>Not Listed</t>
        </is>
      </c>
      <c r="E221" s="96" t="inlineStr">
        <is>
          <t>Other Elect.Equip./ Prod.</t>
        </is>
      </c>
    </row>
    <row r="222" ht="15" customHeight="1" s="109" thickBot="1">
      <c r="B222" s="96" t="inlineStr">
        <is>
          <t>AMBALAL SARABHAI ENTERPRISES LTD</t>
        </is>
      </c>
      <c r="C222" s="97" t="n">
        <v>500009</v>
      </c>
      <c r="D222" s="96" t="inlineStr">
        <is>
          <t>Not Listed</t>
        </is>
      </c>
      <c r="E222" s="96" t="inlineStr">
        <is>
          <t>Pharmaceuticals</t>
        </is>
      </c>
    </row>
    <row r="223" ht="15" customHeight="1" s="109" thickBot="1">
      <c r="B223" s="96" t="inlineStr">
        <is>
          <t>AMBANI ORGANICS LTD</t>
        </is>
      </c>
      <c r="C223" s="96" t="inlineStr">
        <is>
          <t>Not Listed</t>
        </is>
      </c>
      <c r="D223" s="96" t="inlineStr">
        <is>
          <t>AMBANIORG</t>
        </is>
      </c>
      <c r="E223" s="96" t="inlineStr">
        <is>
          <t>SME</t>
        </is>
      </c>
    </row>
    <row r="224" ht="15" customHeight="1" s="109" thickBot="1">
      <c r="B224" s="96" t="inlineStr">
        <is>
          <t>AMBAR PROTEIN INDUSTRIES LTD</t>
        </is>
      </c>
      <c r="C224" s="97" t="n">
        <v>519471</v>
      </c>
      <c r="D224" s="96" t="inlineStr">
        <is>
          <t>Not Listed</t>
        </is>
      </c>
      <c r="E224" s="96" t="inlineStr">
        <is>
          <t>Edible Oils</t>
        </is>
      </c>
    </row>
    <row r="225" ht="15" customHeight="1" s="109" thickBot="1">
      <c r="B225" s="96" t="inlineStr">
        <is>
          <t>Ambassador Intra Holdings Ltd</t>
        </is>
      </c>
      <c r="C225" s="97" t="n">
        <v>542524</v>
      </c>
      <c r="D225" s="96" t="inlineStr">
        <is>
          <t>AIHL</t>
        </is>
      </c>
      <c r="E225" s="96" t="inlineStr">
        <is>
          <t>Comm.Trading &amp;amp; Distribution</t>
        </is>
      </c>
    </row>
    <row r="226" ht="15" customHeight="1" s="109" thickBot="1">
      <c r="B226" s="96" t="inlineStr">
        <is>
          <t>AMBER ENTERPRISES (INDIA) LTD</t>
        </is>
      </c>
      <c r="C226" s="97" t="n">
        <v>540902</v>
      </c>
      <c r="D226" s="96" t="inlineStr">
        <is>
          <t>AMBER</t>
        </is>
      </c>
      <c r="E226" s="96" t="inlineStr">
        <is>
          <t>Consumer Electronics</t>
        </is>
      </c>
    </row>
    <row r="227" ht="15" customHeight="1" s="109" thickBot="1">
      <c r="B227" s="96" t="inlineStr">
        <is>
          <t>AMBER ENTERPRISES INDIA LTD</t>
        </is>
      </c>
      <c r="C227" s="97" t="n">
        <v>540902</v>
      </c>
      <c r="D227" s="96" t="inlineStr">
        <is>
          <t>AMBER</t>
        </is>
      </c>
      <c r="E227" s="96" t="inlineStr">
        <is>
          <t>Consumer Electronics</t>
        </is>
      </c>
    </row>
    <row r="228" ht="15" customHeight="1" s="109" thickBot="1">
      <c r="B228" s="96" t="inlineStr">
        <is>
          <t>AMBIKA COTTON MILLS LTD</t>
        </is>
      </c>
      <c r="C228" s="97" t="n">
        <v>531978</v>
      </c>
      <c r="D228" s="96" t="inlineStr">
        <is>
          <t>AMBIKCO</t>
        </is>
      </c>
      <c r="E228" s="96" t="inlineStr">
        <is>
          <t>Textiles</t>
        </is>
      </c>
    </row>
    <row r="229" ht="15" customHeight="1" s="109" thickBot="1">
      <c r="B229" s="96" t="inlineStr">
        <is>
          <t>AMBITION MICA LTD</t>
        </is>
      </c>
      <c r="C229" s="97" t="n">
        <v>539223</v>
      </c>
      <c r="D229" s="96" t="inlineStr">
        <is>
          <t>Not Listed</t>
        </is>
      </c>
      <c r="E229" s="96" t="inlineStr">
        <is>
          <t>Paper &amp; Paper Products</t>
        </is>
      </c>
    </row>
    <row r="230" ht="15" customHeight="1" s="109" thickBot="1">
      <c r="B230" s="96" t="inlineStr">
        <is>
          <t>AMBUJA CEMENTS LTD</t>
        </is>
      </c>
      <c r="C230" s="97" t="n">
        <v>500425</v>
      </c>
      <c r="D230" s="96" t="inlineStr">
        <is>
          <t>AMBUJACEM</t>
        </is>
      </c>
      <c r="E230" s="96" t="inlineStr">
        <is>
          <t>Cement &amp; Cement Products</t>
        </is>
      </c>
    </row>
    <row r="231" ht="15" customHeight="1" s="109" thickBot="1">
      <c r="B231" s="96" t="inlineStr">
        <is>
          <t>AMCO (INDIA) LTD</t>
        </is>
      </c>
      <c r="C231" s="97" t="n">
        <v>530133</v>
      </c>
      <c r="D231" s="96" t="inlineStr">
        <is>
          <t>Not Listed</t>
        </is>
      </c>
      <c r="E231" s="96" t="inlineStr">
        <is>
          <t>Fibres &amp; Plastics</t>
        </is>
      </c>
    </row>
    <row r="232" ht="15" customHeight="1" s="109" thickBot="1">
      <c r="B232" s="96" t="inlineStr">
        <is>
          <t>AMCO INDIA LTD</t>
        </is>
      </c>
      <c r="C232" s="97" t="n">
        <v>530133</v>
      </c>
      <c r="D232" s="96" t="inlineStr">
        <is>
          <t>Not Listed</t>
        </is>
      </c>
      <c r="E232" s="96" t="inlineStr">
        <is>
          <t>Fibres &amp; Plastics</t>
        </is>
      </c>
    </row>
    <row r="233" ht="15" customHeight="1" s="109" thickBot="1">
      <c r="B233" s="96" t="inlineStr">
        <is>
          <t>AMD INDUSTRIES LTD</t>
        </is>
      </c>
      <c r="C233" s="97" t="n">
        <v>532828</v>
      </c>
      <c r="D233" s="96" t="inlineStr">
        <is>
          <t>AMDIND</t>
        </is>
      </c>
      <c r="E233" s="96" t="inlineStr">
        <is>
          <t>Other Industrial Goods</t>
        </is>
      </c>
    </row>
    <row r="234" ht="15" customHeight="1" s="109" thickBot="1">
      <c r="B234" s="96" t="inlineStr">
        <is>
          <t>AMFORGE INDUSTRIES LTD</t>
        </is>
      </c>
      <c r="C234" s="97" t="n">
        <v>513117</v>
      </c>
      <c r="D234" s="96" t="inlineStr">
        <is>
          <t>Not Listed</t>
        </is>
      </c>
      <c r="E234" s="96" t="inlineStr">
        <is>
          <t>Auto Parts &amp; Equipment</t>
        </is>
      </c>
    </row>
    <row r="235" ht="15" customHeight="1" s="109" thickBot="1">
      <c r="B235" s="96" t="inlineStr">
        <is>
          <t>AMIN TANNERY LTD</t>
        </is>
      </c>
      <c r="C235" s="97" t="n">
        <v>541771</v>
      </c>
      <c r="D235" s="96" t="inlineStr">
        <is>
          <t>Not Listed</t>
        </is>
      </c>
      <c r="E235" s="96" t="inlineStr">
        <is>
          <t>Other Apparels &amp; Accessories</t>
        </is>
      </c>
    </row>
    <row r="236" ht="15" customHeight="1" s="109" thickBot="1">
      <c r="B236" s="96" t="inlineStr">
        <is>
          <t>AMINES &amp; PLASTICIZERS LTD</t>
        </is>
      </c>
      <c r="C236" s="97" t="n">
        <v>506248</v>
      </c>
      <c r="D236" s="96" t="inlineStr">
        <is>
          <t>Not Listed</t>
        </is>
      </c>
      <c r="E236" s="96" t="inlineStr">
        <is>
          <t>Commodity Chemicals</t>
        </is>
      </c>
    </row>
    <row r="237" ht="15" customHeight="1" s="109" thickBot="1">
      <c r="B237" s="96" t="inlineStr">
        <is>
          <t>AMIT INTERNATIONAL LTD</t>
        </is>
      </c>
      <c r="C237" s="97" t="n">
        <v>531300</v>
      </c>
      <c r="D237" s="96" t="inlineStr">
        <is>
          <t>Not Listed</t>
        </is>
      </c>
      <c r="E237" s="96" t="inlineStr">
        <is>
          <t>Textiles</t>
        </is>
      </c>
    </row>
    <row r="238" ht="15" customHeight="1" s="109" thickBot="1">
      <c r="B238" s="96" t="inlineStr">
        <is>
          <t>AMIT SECURITIES LTD</t>
        </is>
      </c>
      <c r="C238" s="97" t="n">
        <v>531557</v>
      </c>
      <c r="D238" s="96" t="inlineStr">
        <is>
          <t>Not Listed</t>
        </is>
      </c>
      <c r="E238" s="96" t="inlineStr">
        <is>
          <t>Finance (including NBFCs)</t>
        </is>
      </c>
    </row>
    <row r="239" ht="15" customHeight="1" s="109" thickBot="1">
      <c r="B239" s="96" t="inlineStr">
        <is>
          <t>AMJ LAND HOLDINGS LTD</t>
        </is>
      </c>
      <c r="C239" s="97" t="n">
        <v>500343</v>
      </c>
      <c r="D239" s="96" t="inlineStr">
        <is>
          <t>AMJLAND</t>
        </is>
      </c>
      <c r="E239" s="96" t="inlineStr">
        <is>
          <t>Realty</t>
        </is>
      </c>
    </row>
    <row r="240" ht="15" customHeight="1" s="109" thickBot="1">
      <c r="B240" s="96" t="inlineStr">
        <is>
          <t>AMRADEEP INDUSTRIES LTD</t>
        </is>
      </c>
      <c r="C240" s="97" t="n">
        <v>531681</v>
      </c>
      <c r="D240" s="96" t="inlineStr">
        <is>
          <t>Not Listed</t>
        </is>
      </c>
      <c r="E240" s="96" t="inlineStr">
        <is>
          <t>Plastic Products</t>
        </is>
      </c>
    </row>
    <row r="241" ht="15" customHeight="1" s="109" thickBot="1">
      <c r="B241" s="96" t="inlineStr">
        <is>
          <t>AMRAPALI CAPITAL AND FINANCE SERVICES LTD</t>
        </is>
      </c>
      <c r="C241" s="97" t="n">
        <v>536737</v>
      </c>
      <c r="D241" s="96" t="inlineStr">
        <is>
          <t>Not Listed</t>
        </is>
      </c>
      <c r="E241" s="96" t="inlineStr">
        <is>
          <t>Finance (including NBFCs)</t>
        </is>
      </c>
    </row>
    <row r="242" ht="15" customHeight="1" s="109" thickBot="1">
      <c r="B242" s="96" t="inlineStr">
        <is>
          <t>AMRAPALI FINCAP LTD</t>
        </is>
      </c>
      <c r="C242" s="97" t="n">
        <v>539265</v>
      </c>
      <c r="D242" s="96" t="inlineStr">
        <is>
          <t>Not Listed</t>
        </is>
      </c>
      <c r="E242" s="96" t="inlineStr">
        <is>
          <t>Finance (including NBFCs)</t>
        </is>
      </c>
    </row>
    <row r="243" ht="15" customHeight="1" s="109" thickBot="1">
      <c r="B243" s="96" t="inlineStr">
        <is>
          <t>AMRAPALI INDUSTRIES LTD</t>
        </is>
      </c>
      <c r="C243" s="97" t="n">
        <v>526241</v>
      </c>
      <c r="D243" s="96" t="inlineStr">
        <is>
          <t>Not Listed</t>
        </is>
      </c>
      <c r="E243" s="96" t="inlineStr">
        <is>
          <t>Comm.Trading &amp; Distribution</t>
        </is>
      </c>
    </row>
    <row r="244" ht="15" customHeight="1" s="109" thickBot="1">
      <c r="B244" s="96" t="inlineStr">
        <is>
          <t>AMRAWORLD AGRICO LTD</t>
        </is>
      </c>
      <c r="C244" s="97" t="n">
        <v>531991</v>
      </c>
      <c r="D244" s="96" t="inlineStr">
        <is>
          <t>Not Listed</t>
        </is>
      </c>
      <c r="E244" s="96" t="inlineStr">
        <is>
          <t>Textiles</t>
        </is>
      </c>
    </row>
    <row r="245" ht="15" customHeight="1" s="109" thickBot="1">
      <c r="B245" s="96" t="inlineStr">
        <is>
          <t>AMRIT CORP LTD</t>
        </is>
      </c>
      <c r="C245" s="97" t="n">
        <v>507525</v>
      </c>
      <c r="D245" s="96" t="inlineStr">
        <is>
          <t>Not Listed</t>
        </is>
      </c>
      <c r="E245" s="96" t="inlineStr">
        <is>
          <t>Packaged Foods</t>
        </is>
      </c>
    </row>
    <row r="246" ht="15" customHeight="1" s="109" thickBot="1">
      <c r="B246" s="96" t="inlineStr">
        <is>
          <t>AMRUTANJAN HEALTH CARE LTD</t>
        </is>
      </c>
      <c r="C246" s="97" t="n">
        <v>590006</v>
      </c>
      <c r="D246" s="96" t="inlineStr">
        <is>
          <t>AMRUTANJAN</t>
        </is>
      </c>
      <c r="E246" s="96" t="inlineStr">
        <is>
          <t>Pharmaceuticals</t>
        </is>
      </c>
    </row>
    <row r="247" ht="15" customHeight="1" s="109" thickBot="1">
      <c r="B247" s="96" t="inlineStr">
        <is>
          <t>AMSONS APPARELS LTD</t>
        </is>
      </c>
      <c r="C247" s="97" t="n">
        <v>538861</v>
      </c>
      <c r="D247" s="96" t="inlineStr">
        <is>
          <t>Not Listed</t>
        </is>
      </c>
      <c r="E247" s="96" t="inlineStr">
        <is>
          <t>Comm.Trading &amp; Distribution</t>
        </is>
      </c>
    </row>
    <row r="248" ht="15" customHeight="1" s="109" thickBot="1">
      <c r="B248" s="96" t="inlineStr">
        <is>
          <t>ANAND PROJECTS LTD</t>
        </is>
      </c>
      <c r="C248" s="97" t="n">
        <v>501630</v>
      </c>
      <c r="D248" s="96" t="inlineStr">
        <is>
          <t>Not Listed</t>
        </is>
      </c>
      <c r="E248" s="96" t="inlineStr">
        <is>
          <t>Construction &amp; Engineering</t>
        </is>
      </c>
    </row>
    <row r="249" ht="15" customHeight="1" s="109" thickBot="1">
      <c r="B249" s="96" t="inlineStr">
        <is>
          <t>ANANT RAJ LTD</t>
        </is>
      </c>
      <c r="C249" s="97" t="n">
        <v>515055</v>
      </c>
      <c r="D249" s="96" t="inlineStr">
        <is>
          <t>ANANTRAJ</t>
        </is>
      </c>
      <c r="E249" s="96" t="inlineStr">
        <is>
          <t>Realty</t>
        </is>
      </c>
    </row>
    <row r="250" ht="15" customHeight="1" s="109" thickBot="1">
      <c r="B250" s="96" t="inlineStr">
        <is>
          <t>ANDHRA BANK</t>
        </is>
      </c>
      <c r="C250" s="97" t="n">
        <v>532418</v>
      </c>
      <c r="D250" s="96" t="inlineStr">
        <is>
          <t>ANDHRABANK</t>
        </is>
      </c>
      <c r="E250" s="96" t="inlineStr">
        <is>
          <t>Banks</t>
        </is>
      </c>
    </row>
    <row r="251" ht="15" customHeight="1" s="109" thickBot="1">
      <c r="B251" s="96" t="inlineStr">
        <is>
          <t>ANDHRA CEMENTS LTD</t>
        </is>
      </c>
      <c r="C251" s="97" t="n">
        <v>532141</v>
      </c>
      <c r="D251" s="96" t="inlineStr">
        <is>
          <t>ANDHRACEMT</t>
        </is>
      </c>
      <c r="E251" s="96" t="inlineStr">
        <is>
          <t>Cement &amp; Cement Products</t>
        </is>
      </c>
    </row>
    <row r="252" ht="15" customHeight="1" s="109" thickBot="1">
      <c r="B252" s="96" t="inlineStr">
        <is>
          <t>ANDHRA PETROCHEMICALS LTD</t>
        </is>
      </c>
      <c r="C252" s="97" t="n">
        <v>500012</v>
      </c>
      <c r="D252" s="96" t="inlineStr">
        <is>
          <t>Not Listed</t>
        </is>
      </c>
      <c r="E252" s="96" t="inlineStr">
        <is>
          <t>Commodity Chemicals</t>
        </is>
      </c>
    </row>
    <row r="253" ht="15" customHeight="1" s="109" thickBot="1">
      <c r="B253" s="96" t="inlineStr">
        <is>
          <t>ANDREW YULE &amp; COMPANY LTD</t>
        </is>
      </c>
      <c r="C253" s="97" t="n">
        <v>526173</v>
      </c>
      <c r="D253" s="96" t="inlineStr">
        <is>
          <t>Not Listed</t>
        </is>
      </c>
      <c r="E253" s="96" t="inlineStr">
        <is>
          <t>Tea &amp; Coffee</t>
        </is>
      </c>
    </row>
    <row r="254" ht="15" customHeight="1" s="109" thickBot="1">
      <c r="B254" s="96" t="inlineStr">
        <is>
          <t>ANERI FINCAP LTD</t>
        </is>
      </c>
      <c r="C254" s="97" t="n">
        <v>531252</v>
      </c>
      <c r="D254" s="96" t="inlineStr">
        <is>
          <t>Not Listed</t>
        </is>
      </c>
      <c r="E254" s="96" t="inlineStr">
        <is>
          <t>Finance (including NBFCs)</t>
        </is>
      </c>
    </row>
    <row r="255" ht="15" customHeight="1" s="109" thickBot="1">
      <c r="B255" s="96" t="inlineStr">
        <is>
          <t>ANG INDUSTRIES LTD</t>
        </is>
      </c>
      <c r="C255" s="97" t="n">
        <v>530721</v>
      </c>
      <c r="D255" s="96" t="inlineStr">
        <is>
          <t>ANGIND</t>
        </is>
      </c>
      <c r="E255" s="96" t="inlineStr">
        <is>
          <t>Auto Parts &amp; Equipment</t>
        </is>
      </c>
    </row>
    <row r="256" ht="15" customHeight="1" s="109" thickBot="1">
      <c r="B256" s="96" t="inlineStr">
        <is>
          <t>ANG LIFESCIENCES (INDIA) LTD</t>
        </is>
      </c>
      <c r="C256" s="97" t="n">
        <v>540694</v>
      </c>
      <c r="D256" s="96" t="inlineStr">
        <is>
          <t>Not Listed</t>
        </is>
      </c>
      <c r="E256" s="96" t="inlineStr">
        <is>
          <t>Healthcare Services</t>
        </is>
      </c>
    </row>
    <row r="257" ht="15" customHeight="1" s="109" thickBot="1">
      <c r="B257" s="96" t="inlineStr">
        <is>
          <t>ANG LIFESCIENCES INDIA LTD</t>
        </is>
      </c>
      <c r="C257" s="97" t="n">
        <v>540694</v>
      </c>
      <c r="D257" s="96" t="inlineStr">
        <is>
          <t>Not Listed</t>
        </is>
      </c>
      <c r="E257" s="96" t="inlineStr">
        <is>
          <t>Healthcare Services</t>
        </is>
      </c>
    </row>
    <row r="258" ht="15" customHeight="1" s="109" thickBot="1">
      <c r="B258" s="96" t="inlineStr">
        <is>
          <t>ANGEL FIBERS LTD</t>
        </is>
      </c>
      <c r="C258" s="97" t="n">
        <v>541006</v>
      </c>
      <c r="D258" s="96" t="inlineStr">
        <is>
          <t>Not Listed</t>
        </is>
      </c>
      <c r="E258" s="96" t="inlineStr">
        <is>
          <t>Textiles</t>
        </is>
      </c>
    </row>
    <row r="259" ht="15" customHeight="1" s="109" thickBot="1">
      <c r="B259" s="96" t="inlineStr">
        <is>
          <t>ANI INTEGRATED SERVICES LTD</t>
        </is>
      </c>
      <c r="C259" s="96" t="inlineStr">
        <is>
          <t>Not Listed</t>
        </is>
      </c>
      <c r="D259" s="96" t="inlineStr">
        <is>
          <t>AISL</t>
        </is>
      </c>
      <c r="E259" s="96" t="inlineStr">
        <is>
          <t>SME</t>
        </is>
      </c>
    </row>
    <row r="260" ht="15" customHeight="1" s="109" thickBot="1">
      <c r="B260" s="96" t="inlineStr">
        <is>
          <t>ANIK INDUSTRIES LTD</t>
        </is>
      </c>
      <c r="C260" s="97" t="n">
        <v>519383</v>
      </c>
      <c r="D260" s="96" t="inlineStr">
        <is>
          <t>ANIKINDS</t>
        </is>
      </c>
      <c r="E260" s="96" t="inlineStr">
        <is>
          <t>Other Agricultural Products</t>
        </is>
      </c>
    </row>
    <row r="261" ht="15" customHeight="1" s="109" thickBot="1">
      <c r="B261" s="96" t="inlineStr">
        <is>
          <t>ANISHA IMPEX LTD</t>
        </is>
      </c>
      <c r="C261" s="97" t="n">
        <v>537785</v>
      </c>
      <c r="D261" s="96" t="inlineStr">
        <is>
          <t>Not Listed</t>
        </is>
      </c>
      <c r="E261" s="96" t="inlineStr">
        <is>
          <t>Distributors</t>
        </is>
      </c>
    </row>
    <row r="262" ht="15" customHeight="1" s="109" thickBot="1">
      <c r="B262" s="96" t="inlineStr">
        <is>
          <t>ANJANI FINANCE LTD</t>
        </is>
      </c>
      <c r="C262" s="97" t="n">
        <v>531878</v>
      </c>
      <c r="D262" s="96" t="inlineStr">
        <is>
          <t>Not Listed</t>
        </is>
      </c>
      <c r="E262" s="96" t="inlineStr">
        <is>
          <t>Finance (including NBFCs)</t>
        </is>
      </c>
    </row>
    <row r="263" ht="15" customHeight="1" s="109" thickBot="1">
      <c r="B263" s="96" t="inlineStr">
        <is>
          <t>ANJANI FOODS LTD</t>
        </is>
      </c>
      <c r="C263" s="97" t="n">
        <v>511153</v>
      </c>
      <c r="D263" s="96" t="inlineStr">
        <is>
          <t>Not Listed</t>
        </is>
      </c>
      <c r="E263" s="96" t="inlineStr">
        <is>
          <t>Misc.Commercial Services</t>
        </is>
      </c>
    </row>
    <row r="264" ht="15" customHeight="1" s="109" thickBot="1">
      <c r="B264" s="96" t="inlineStr">
        <is>
          <t>ANJANI PORTLAND CEMENT LTD</t>
        </is>
      </c>
      <c r="C264" s="97" t="n">
        <v>518091</v>
      </c>
      <c r="D264" s="96" t="inlineStr">
        <is>
          <t>APCL</t>
        </is>
      </c>
      <c r="E264" s="96" t="inlineStr">
        <is>
          <t>Cement &amp; Cement Products</t>
        </is>
      </c>
    </row>
    <row r="265" ht="15" customHeight="1" s="109" thickBot="1">
      <c r="B265" s="96" t="inlineStr">
        <is>
          <t>ANJANI SYNTHETICS LTD</t>
        </is>
      </c>
      <c r="C265" s="97" t="n">
        <v>531223</v>
      </c>
      <c r="D265" s="96" t="inlineStr">
        <is>
          <t>Not Listed</t>
        </is>
      </c>
      <c r="E265" s="96" t="inlineStr">
        <is>
          <t>Textiles</t>
        </is>
      </c>
    </row>
    <row r="266" ht="15" customHeight="1" s="109" thickBot="1">
      <c r="B266" s="96" t="inlineStr">
        <is>
          <t>ANKA (INDIA) LTD</t>
        </is>
      </c>
      <c r="C266" s="97" t="n">
        <v>531673</v>
      </c>
      <c r="D266" s="96" t="inlineStr">
        <is>
          <t>Not Listed</t>
        </is>
      </c>
      <c r="E266" s="96" t="inlineStr">
        <is>
          <t>Footwear</t>
        </is>
      </c>
    </row>
    <row r="267" ht="15" customHeight="1" s="109" thickBot="1">
      <c r="B267" s="96" t="inlineStr">
        <is>
          <t>ANKA INDIA LTD</t>
        </is>
      </c>
      <c r="C267" s="97" t="n">
        <v>531673</v>
      </c>
      <c r="D267" s="96" t="inlineStr">
        <is>
          <t>Not Listed</t>
        </is>
      </c>
      <c r="E267" s="96" t="inlineStr">
        <is>
          <t>Footwear</t>
        </is>
      </c>
    </row>
    <row r="268" ht="15" customHeight="1" s="109" thickBot="1">
      <c r="B268" s="96" t="inlineStr">
        <is>
          <t>ANKIT METAL &amp; POWER LTD</t>
        </is>
      </c>
      <c r="C268" s="97" t="n">
        <v>532870</v>
      </c>
      <c r="D268" s="96" t="inlineStr">
        <is>
          <t>ANKITMETAL</t>
        </is>
      </c>
      <c r="E268" s="96" t="inlineStr">
        <is>
          <t>Iron &amp; Steel/Interm.Products</t>
        </is>
      </c>
    </row>
    <row r="269" ht="15" customHeight="1" s="109" thickBot="1">
      <c r="B269" s="96" t="inlineStr">
        <is>
          <t>ANKUSH FINSTOCK LTD</t>
        </is>
      </c>
      <c r="C269" s="97" t="n">
        <v>531519</v>
      </c>
      <c r="D269" s="96" t="inlineStr">
        <is>
          <t>Not Listed</t>
        </is>
      </c>
      <c r="E269" s="96" t="inlineStr">
        <is>
          <t>Other Financial Services</t>
        </is>
      </c>
    </row>
    <row r="270" ht="15" customHeight="1" s="109" thickBot="1">
      <c r="B270" s="96" t="inlineStr">
        <is>
          <t>Anmol India Ltd</t>
        </is>
      </c>
      <c r="C270" s="97" t="n">
        <v>542437</v>
      </c>
      <c r="D270" s="96" t="inlineStr">
        <is>
          <t>ANMOL</t>
        </is>
      </c>
      <c r="E270" s="96" t="inlineStr">
        <is>
          <t>Distributors</t>
        </is>
      </c>
    </row>
    <row r="271" ht="15" customHeight="1" s="109" thickBot="1">
      <c r="B271" s="96" t="inlineStr">
        <is>
          <t>ANNA INFRASTRUCTURES LTD</t>
        </is>
      </c>
      <c r="C271" s="97" t="n">
        <v>530799</v>
      </c>
      <c r="D271" s="96" t="inlineStr">
        <is>
          <t>Not Listed</t>
        </is>
      </c>
      <c r="E271" s="96" t="inlineStr">
        <is>
          <t>Finance (including NBFCs)</t>
        </is>
      </c>
    </row>
    <row r="272" ht="15" customHeight="1" s="109" thickBot="1">
      <c r="B272" s="96" t="inlineStr">
        <is>
          <t>ANS INDUSTRIES LTD</t>
        </is>
      </c>
      <c r="C272" s="97" t="n">
        <v>531406</v>
      </c>
      <c r="D272" s="96" t="inlineStr">
        <is>
          <t>Not Listed</t>
        </is>
      </c>
      <c r="E272" s="96" t="inlineStr">
        <is>
          <t>Non-alcoholic Beverages</t>
        </is>
      </c>
    </row>
    <row r="273" ht="15" customHeight="1" s="109" thickBot="1">
      <c r="B273" s="96" t="inlineStr">
        <is>
          <t>ANSAL BUILDWELL LTD</t>
        </is>
      </c>
      <c r="C273" s="97" t="n">
        <v>523007</v>
      </c>
      <c r="D273" s="96" t="inlineStr">
        <is>
          <t>Not Listed</t>
        </is>
      </c>
      <c r="E273" s="96" t="inlineStr">
        <is>
          <t>Realty</t>
        </is>
      </c>
    </row>
    <row r="274" ht="15" customHeight="1" s="109" thickBot="1">
      <c r="B274" s="96" t="inlineStr">
        <is>
          <t>ANSAL HOUSING AND CONSTRUCTION LTD</t>
        </is>
      </c>
      <c r="C274" s="97" t="n">
        <v>507828</v>
      </c>
      <c r="D274" s="96" t="inlineStr">
        <is>
          <t>ANSALHSG</t>
        </is>
      </c>
      <c r="E274" s="96" t="inlineStr">
        <is>
          <t>Realty</t>
        </is>
      </c>
    </row>
    <row r="275" ht="15" customHeight="1" s="109" thickBot="1">
      <c r="B275" s="96" t="inlineStr">
        <is>
          <t>ANSAL PROPERTIES &amp; INFRASTRUCTURE LTD</t>
        </is>
      </c>
      <c r="C275" s="97" t="n">
        <v>500013</v>
      </c>
      <c r="D275" s="96" t="inlineStr">
        <is>
          <t>ANSALAPI</t>
        </is>
      </c>
      <c r="E275" s="96" t="inlineStr">
        <is>
          <t>Realty</t>
        </is>
      </c>
    </row>
    <row r="276" ht="15" customHeight="1" s="109" thickBot="1">
      <c r="B276" s="96" t="inlineStr">
        <is>
          <t>ANSHUNI COMMERCIALS LTD</t>
        </is>
      </c>
      <c r="C276" s="97" t="n">
        <v>512091</v>
      </c>
      <c r="D276" s="96" t="inlineStr">
        <is>
          <t>Not Listed</t>
        </is>
      </c>
      <c r="E276" s="96" t="inlineStr">
        <is>
          <t>Other Apparels &amp; Accessories</t>
        </is>
      </c>
    </row>
    <row r="277" ht="15" customHeight="1" s="109" thickBot="1">
      <c r="B277" s="96" t="inlineStr">
        <is>
          <t>ANTARCTICA LTD</t>
        </is>
      </c>
      <c r="C277" s="96" t="inlineStr">
        <is>
          <t>Not Listed</t>
        </is>
      </c>
      <c r="D277" s="96" t="inlineStr">
        <is>
          <t>ANTGRAPHIC</t>
        </is>
      </c>
      <c r="E277" s="96" t="inlineStr">
        <is>
          <t>Others</t>
        </is>
      </c>
    </row>
    <row r="278" ht="15" customHeight="1" s="109" thickBot="1">
      <c r="B278" s="96" t="inlineStr">
        <is>
          <t>ANTARIKSH INDUSTRIES LTD</t>
        </is>
      </c>
      <c r="C278" s="97" t="n">
        <v>501270</v>
      </c>
      <c r="D278" s="96" t="inlineStr">
        <is>
          <t>Not Listed</t>
        </is>
      </c>
      <c r="E278" s="96" t="inlineStr">
        <is>
          <t>Realty</t>
        </is>
      </c>
    </row>
    <row r="279" ht="15" customHeight="1" s="109" thickBot="1">
      <c r="B279" s="96" t="inlineStr">
        <is>
          <t>ANUBHAV INDUSTRIAL RESOURCES LTD</t>
        </is>
      </c>
      <c r="C279" s="97" t="n">
        <v>539697</v>
      </c>
      <c r="D279" s="96" t="inlineStr">
        <is>
          <t>Not Listed</t>
        </is>
      </c>
      <c r="E279" s="96" t="inlineStr">
        <is>
          <t>Real Estate Investment</t>
        </is>
      </c>
    </row>
    <row r="280" ht="15" customHeight="1" s="109" thickBot="1">
      <c r="B280" s="96" t="inlineStr">
        <is>
          <t>ANUBHAV INFRASTRUCTURE LTD</t>
        </is>
      </c>
      <c r="C280" s="97" t="n">
        <v>538833</v>
      </c>
      <c r="D280" s="96" t="inlineStr">
        <is>
          <t>Not Listed</t>
        </is>
      </c>
      <c r="E280" s="96" t="inlineStr">
        <is>
          <t>Construction &amp; Engineering</t>
        </is>
      </c>
    </row>
    <row r="281" ht="15" customHeight="1" s="109" thickBot="1">
      <c r="B281" s="96" t="inlineStr">
        <is>
          <t>ANUH PHARMA LTD</t>
        </is>
      </c>
      <c r="C281" s="97" t="n">
        <v>506260</v>
      </c>
      <c r="D281" s="96" t="inlineStr">
        <is>
          <t>Not Listed</t>
        </is>
      </c>
      <c r="E281" s="96" t="inlineStr">
        <is>
          <t>Pharmaceuticals</t>
        </is>
      </c>
    </row>
    <row r="282" ht="15" customHeight="1" s="109" thickBot="1">
      <c r="B282" s="96" t="inlineStr">
        <is>
          <t>ANUP MALLEABLE LTD</t>
        </is>
      </c>
      <c r="C282" s="97" t="n">
        <v>506087</v>
      </c>
      <c r="D282" s="96" t="inlineStr">
        <is>
          <t>Not Listed</t>
        </is>
      </c>
      <c r="E282" s="96" t="inlineStr">
        <is>
          <t>Iron &amp; Steel Products</t>
        </is>
      </c>
    </row>
    <row r="283" ht="15" customHeight="1" s="109" thickBot="1">
      <c r="B283" s="96" t="inlineStr">
        <is>
          <t>ANUPAM FINSERV LTD</t>
        </is>
      </c>
      <c r="C283" s="97" t="n">
        <v>530109</v>
      </c>
      <c r="D283" s="96" t="inlineStr">
        <is>
          <t>Not Listed</t>
        </is>
      </c>
      <c r="E283" s="96" t="inlineStr">
        <is>
          <t>Finance (including NBFCs)</t>
        </is>
      </c>
    </row>
    <row r="284" ht="15" customHeight="1" s="109" thickBot="1">
      <c r="B284" s="96" t="inlineStr">
        <is>
          <t>APAR INDUSTRIES LTD</t>
        </is>
      </c>
      <c r="C284" s="97" t="n">
        <v>532259</v>
      </c>
      <c r="D284" s="96" t="inlineStr">
        <is>
          <t>APARINDS</t>
        </is>
      </c>
      <c r="E284" s="96" t="inlineStr">
        <is>
          <t>Other Elect.Equip./ Prod.</t>
        </is>
      </c>
    </row>
    <row r="285" ht="15" customHeight="1" s="109" thickBot="1">
      <c r="B285" s="96" t="inlineStr">
        <is>
          <t>APCOTEX INDUSTRIES LTD</t>
        </is>
      </c>
      <c r="C285" s="97" t="n">
        <v>523694</v>
      </c>
      <c r="D285" s="96" t="inlineStr">
        <is>
          <t>APCOTEXIND</t>
        </is>
      </c>
      <c r="E285" s="96" t="inlineStr">
        <is>
          <t>Other Industrial Goods</t>
        </is>
      </c>
    </row>
    <row r="286" ht="15" customHeight="1" s="109" thickBot="1">
      <c r="B286" s="96" t="inlineStr">
        <is>
          <t>APEX FROZEN FOODS LTD</t>
        </is>
      </c>
      <c r="C286" s="97" t="n">
        <v>540692</v>
      </c>
      <c r="D286" s="96" t="inlineStr">
        <is>
          <t>APEX</t>
        </is>
      </c>
      <c r="E286" s="96" t="inlineStr">
        <is>
          <t>Packaged Foods</t>
        </is>
      </c>
    </row>
    <row r="287" ht="15" customHeight="1" s="109" thickBot="1">
      <c r="B287" s="96" t="inlineStr">
        <is>
          <t>APEX HOME FINANCE LTD</t>
        </is>
      </c>
      <c r="C287" s="97" t="n">
        <v>541133</v>
      </c>
      <c r="D287" s="96" t="inlineStr">
        <is>
          <t>Not Listed</t>
        </is>
      </c>
      <c r="E287" s="96" t="inlineStr">
        <is>
          <t>Finance (including NBFCs)</t>
        </is>
      </c>
    </row>
    <row r="288" ht="15" customHeight="1" s="109" thickBot="1">
      <c r="B288" s="96" t="inlineStr">
        <is>
          <t>APIS (INDIA) LTD</t>
        </is>
      </c>
      <c r="C288" s="97" t="n">
        <v>506166</v>
      </c>
      <c r="D288" s="96" t="inlineStr">
        <is>
          <t>Not Listed</t>
        </is>
      </c>
      <c r="E288" s="96" t="inlineStr">
        <is>
          <t>Other Food Products</t>
        </is>
      </c>
    </row>
    <row r="289" ht="15" customHeight="1" s="109" thickBot="1">
      <c r="B289" s="96" t="inlineStr">
        <is>
          <t>APIS INDIA LTD</t>
        </is>
      </c>
      <c r="C289" s="97" t="n">
        <v>506166</v>
      </c>
      <c r="D289" s="96" t="inlineStr">
        <is>
          <t>Not Listed</t>
        </is>
      </c>
      <c r="E289" s="96" t="inlineStr">
        <is>
          <t>Other Food Products</t>
        </is>
      </c>
    </row>
    <row r="290" ht="15" customHeight="1" s="109" thickBot="1">
      <c r="B290" s="96" t="inlineStr">
        <is>
          <t>APL APOLLO TUBES LTD</t>
        </is>
      </c>
      <c r="C290" s="97" t="n">
        <v>533758</v>
      </c>
      <c r="D290" s="96" t="inlineStr">
        <is>
          <t>APLAPOLLO</t>
        </is>
      </c>
      <c r="E290" s="96" t="inlineStr">
        <is>
          <t>Iron &amp; Steel Products</t>
        </is>
      </c>
    </row>
    <row r="291" ht="15" customHeight="1" s="109" thickBot="1">
      <c r="B291" s="96" t="inlineStr">
        <is>
          <t>APLAB LTD</t>
        </is>
      </c>
      <c r="C291" s="97" t="n">
        <v>517096</v>
      </c>
      <c r="D291" s="96" t="inlineStr">
        <is>
          <t>Not Listed</t>
        </is>
      </c>
      <c r="E291" s="96" t="inlineStr">
        <is>
          <t>Other Elect.Equip./ Prod.</t>
        </is>
      </c>
    </row>
    <row r="292" ht="15" customHeight="1" s="109" thickBot="1">
      <c r="B292" s="96" t="inlineStr">
        <is>
          <t>Aplaya Creations Ltd</t>
        </is>
      </c>
      <c r="C292" s="97" t="n">
        <v>511064</v>
      </c>
      <c r="D292" s="96" t="inlineStr">
        <is>
          <t>APLAYA</t>
        </is>
      </c>
      <c r="E292" s="96" t="inlineStr">
        <is>
          <t>Comm.Trading &amp;amp; Distribution</t>
        </is>
      </c>
    </row>
    <row r="293" ht="15" customHeight="1" s="109" thickBot="1">
      <c r="B293" s="96" t="inlineStr">
        <is>
          <t>APM INDUSTRIES LTD</t>
        </is>
      </c>
      <c r="C293" s="97" t="n">
        <v>523537</v>
      </c>
      <c r="D293" s="96" t="inlineStr">
        <is>
          <t>Not Listed</t>
        </is>
      </c>
      <c r="E293" s="96" t="inlineStr">
        <is>
          <t>Textiles</t>
        </is>
      </c>
    </row>
    <row r="294" ht="15" customHeight="1" s="109" thickBot="1">
      <c r="B294" s="96" t="inlineStr">
        <is>
          <t>APOLLO FINVEST (INDIA) LTD</t>
        </is>
      </c>
      <c r="C294" s="97" t="n">
        <v>512437</v>
      </c>
      <c r="D294" s="96" t="inlineStr">
        <is>
          <t>Not Listed</t>
        </is>
      </c>
      <c r="E294" s="96" t="inlineStr">
        <is>
          <t>Other Financial Services</t>
        </is>
      </c>
    </row>
    <row r="295" ht="15" customHeight="1" s="109" thickBot="1">
      <c r="B295" s="96" t="inlineStr">
        <is>
          <t>APOLLO FINVEST INDIA LTD</t>
        </is>
      </c>
      <c r="C295" s="97" t="n">
        <v>512437</v>
      </c>
      <c r="D295" s="96" t="inlineStr">
        <is>
          <t>Not Listed</t>
        </is>
      </c>
      <c r="E295" s="96" t="inlineStr">
        <is>
          <t>Other Financial Services</t>
        </is>
      </c>
    </row>
    <row r="296" ht="15" customHeight="1" s="109" thickBot="1">
      <c r="B296" s="96" t="inlineStr">
        <is>
          <t>APOLLO HOSPITALS ENTERPRISE LTD</t>
        </is>
      </c>
      <c r="C296" s="97" t="n">
        <v>508869</v>
      </c>
      <c r="D296" s="96" t="inlineStr">
        <is>
          <t>APOLLOHOSP</t>
        </is>
      </c>
      <c r="E296" s="96" t="inlineStr">
        <is>
          <t>Healthcare Facilities</t>
        </is>
      </c>
    </row>
    <row r="297" ht="15" customHeight="1" s="109" thickBot="1">
      <c r="B297" s="96" t="inlineStr">
        <is>
          <t>APOLLO MICRO SYSTEMS LTD</t>
        </is>
      </c>
      <c r="C297" s="97" t="n">
        <v>540879</v>
      </c>
      <c r="D297" s="96" t="inlineStr">
        <is>
          <t>APOLLO</t>
        </is>
      </c>
      <c r="E297" s="96" t="inlineStr">
        <is>
          <t>Defence</t>
        </is>
      </c>
    </row>
    <row r="298" ht="15" customHeight="1" s="109" thickBot="1">
      <c r="B298" s="96" t="inlineStr">
        <is>
          <t>APOLLO PIPES LTD</t>
        </is>
      </c>
      <c r="C298" s="97" t="n">
        <v>531761</v>
      </c>
      <c r="D298" s="96" t="inlineStr">
        <is>
          <t>Not Listed</t>
        </is>
      </c>
      <c r="E298" s="96" t="inlineStr">
        <is>
          <t>Plastic Products</t>
        </is>
      </c>
    </row>
    <row r="299" ht="15" customHeight="1" s="109" thickBot="1">
      <c r="B299" s="96" t="inlineStr">
        <is>
          <t>APOLLO SINDOORI HOTELS LTD</t>
        </is>
      </c>
      <c r="C299" s="96" t="inlineStr">
        <is>
          <t>Not Listed</t>
        </is>
      </c>
      <c r="D299" s="96" t="inlineStr">
        <is>
          <t>APOLSINHOT</t>
        </is>
      </c>
      <c r="E299" s="96" t="inlineStr">
        <is>
          <t>Others</t>
        </is>
      </c>
    </row>
    <row r="300" ht="15" customHeight="1" s="109" thickBot="1">
      <c r="B300" s="96" t="inlineStr">
        <is>
          <t>APOLLO TRICOAT TUBES LTD</t>
        </is>
      </c>
      <c r="C300" s="97" t="n">
        <v>538566</v>
      </c>
      <c r="D300" s="96" t="inlineStr">
        <is>
          <t>Not Listed</t>
        </is>
      </c>
      <c r="E300" s="96" t="inlineStr">
        <is>
          <t>Comm.Trading &amp; Distribution</t>
        </is>
      </c>
    </row>
    <row r="301" ht="15" customHeight="1" s="109" thickBot="1">
      <c r="B301" s="96" t="inlineStr">
        <is>
          <t>APOLLO TYRES LTD</t>
        </is>
      </c>
      <c r="C301" s="97" t="n">
        <v>500877</v>
      </c>
      <c r="D301" s="96" t="inlineStr">
        <is>
          <t>APOLLOTYRE</t>
        </is>
      </c>
      <c r="E301" s="96" t="inlineStr">
        <is>
          <t>Auto Tyres &amp; Rubber Products</t>
        </is>
      </c>
    </row>
    <row r="302" ht="15" customHeight="1" s="109" thickBot="1">
      <c r="B302" s="96" t="inlineStr">
        <is>
          <t>APOORVA LEASING FINANCE AND INVESTMENT COMPANY LTD</t>
        </is>
      </c>
      <c r="C302" s="97" t="n">
        <v>539545</v>
      </c>
      <c r="D302" s="96" t="inlineStr">
        <is>
          <t>Not Listed</t>
        </is>
      </c>
      <c r="E302" s="96" t="inlineStr">
        <is>
          <t>Investment Companies</t>
        </is>
      </c>
    </row>
    <row r="303" ht="15" customHeight="1" s="109" thickBot="1">
      <c r="B303" s="96" t="inlineStr">
        <is>
          <t>APPLE FINANCE LTD</t>
        </is>
      </c>
      <c r="C303" s="97" t="n">
        <v>500014</v>
      </c>
      <c r="D303" s="96" t="inlineStr">
        <is>
          <t>Not Listed</t>
        </is>
      </c>
      <c r="E303" s="96" t="inlineStr">
        <is>
          <t>Finance (including NBFCs)</t>
        </is>
      </c>
    </row>
    <row r="304" ht="15" customHeight="1" s="109" thickBot="1">
      <c r="B304" s="96" t="inlineStr">
        <is>
          <t>APTECH LTD</t>
        </is>
      </c>
      <c r="C304" s="97" t="n">
        <v>532475</v>
      </c>
      <c r="D304" s="96" t="inlineStr">
        <is>
          <t>APTECHT</t>
        </is>
      </c>
      <c r="E304" s="96" t="inlineStr">
        <is>
          <t>IT Training Services</t>
        </is>
      </c>
    </row>
    <row r="305" ht="15" customHeight="1" s="109" thickBot="1">
      <c r="B305" s="96" t="inlineStr">
        <is>
          <t>APUNKA INVEST COMMERCIAL LTD</t>
        </is>
      </c>
      <c r="C305" s="97" t="n">
        <v>539469</v>
      </c>
      <c r="D305" s="96" t="inlineStr">
        <is>
          <t>Not Listed</t>
        </is>
      </c>
      <c r="E305" s="96" t="inlineStr">
        <is>
          <t>Comm.Trading &amp; Distribution</t>
        </is>
      </c>
    </row>
    <row r="306" ht="15" customHeight="1" s="109" thickBot="1">
      <c r="B306" s="96" t="inlineStr">
        <is>
          <t>AQUA PUMPS INFRA VENTURES LTD</t>
        </is>
      </c>
      <c r="C306" s="97" t="n">
        <v>531364</v>
      </c>
      <c r="D306" s="96" t="inlineStr">
        <is>
          <t>Not Listed</t>
        </is>
      </c>
      <c r="E306" s="96" t="inlineStr">
        <is>
          <t>Construction &amp; Engineering</t>
        </is>
      </c>
    </row>
    <row r="307" ht="15" customHeight="1" s="109" thickBot="1">
      <c r="B307" s="96" t="inlineStr">
        <is>
          <t>ARAMBHAN HOSPITALITY SERVICES LTD</t>
        </is>
      </c>
      <c r="C307" s="97" t="n">
        <v>539403</v>
      </c>
      <c r="D307" s="96" t="inlineStr">
        <is>
          <t>Not Listed</t>
        </is>
      </c>
      <c r="E307" s="96" t="inlineStr">
        <is>
          <t>Restaurants</t>
        </is>
      </c>
    </row>
    <row r="308" ht="15" customHeight="1" s="109" thickBot="1">
      <c r="B308" s="96" t="inlineStr">
        <is>
          <t>ARC FINANCE LTD</t>
        </is>
      </c>
      <c r="C308" s="97" t="n">
        <v>540135</v>
      </c>
      <c r="D308" s="96" t="inlineStr">
        <is>
          <t>Not Listed</t>
        </is>
      </c>
      <c r="E308" s="96" t="inlineStr">
        <is>
          <t>Other Financial Services</t>
        </is>
      </c>
    </row>
    <row r="309" ht="15" customHeight="1" s="109" thickBot="1">
      <c r="B309" s="96" t="inlineStr">
        <is>
          <t>ARCEE INDUSTRIES LTD</t>
        </is>
      </c>
      <c r="C309" s="97" t="n">
        <v>520121</v>
      </c>
      <c r="D309" s="96" t="inlineStr">
        <is>
          <t>Not Listed</t>
        </is>
      </c>
      <c r="E309" s="96" t="inlineStr">
        <is>
          <t>Plastic Products</t>
        </is>
      </c>
    </row>
    <row r="310" ht="15" customHeight="1" s="109" thickBot="1">
      <c r="B310" s="96" t="inlineStr">
        <is>
          <t>ARCHANA SOFTWARE LTD</t>
        </is>
      </c>
      <c r="C310" s="97" t="n">
        <v>530565</v>
      </c>
      <c r="D310" s="96" t="inlineStr">
        <is>
          <t>Not Listed</t>
        </is>
      </c>
      <c r="E310" s="96" t="inlineStr">
        <is>
          <t>IT Software Products</t>
        </is>
      </c>
    </row>
    <row r="311" ht="15" customHeight="1" s="109" thickBot="1">
      <c r="B311" s="96" t="inlineStr">
        <is>
          <t>ARCHIDPLY INDUSTRIES LTD</t>
        </is>
      </c>
      <c r="C311" s="97" t="n">
        <v>532994</v>
      </c>
      <c r="D311" s="96" t="inlineStr">
        <is>
          <t>ARCHIDPLY</t>
        </is>
      </c>
      <c r="E311" s="96" t="inlineStr">
        <is>
          <t>Forest Products</t>
        </is>
      </c>
    </row>
    <row r="312" ht="15" customHeight="1" s="109" thickBot="1">
      <c r="B312" s="96" t="inlineStr">
        <is>
          <t>ARCHIES LTD</t>
        </is>
      </c>
      <c r="C312" s="97" t="n">
        <v>532212</v>
      </c>
      <c r="D312" s="96" t="inlineStr">
        <is>
          <t>ARCHIES</t>
        </is>
      </c>
      <c r="E312" s="96" t="inlineStr">
        <is>
          <t>Gift Articles-Toys &amp; Cards</t>
        </is>
      </c>
    </row>
    <row r="313" ht="15" customHeight="1" s="109" thickBot="1">
      <c r="B313" s="96" t="inlineStr">
        <is>
          <t>ARCHIT ORGANOSYS LTD</t>
        </is>
      </c>
      <c r="C313" s="97" t="n">
        <v>524640</v>
      </c>
      <c r="D313" s="96" t="inlineStr">
        <is>
          <t>Not Listed</t>
        </is>
      </c>
      <c r="E313" s="96" t="inlineStr">
        <is>
          <t>Commodity Chemicals</t>
        </is>
      </c>
    </row>
    <row r="314" ht="15" customHeight="1" s="109" thickBot="1">
      <c r="B314" s="96" t="inlineStr">
        <is>
          <t>ARCOTECH LTD</t>
        </is>
      </c>
      <c r="C314" s="97" t="n">
        <v>532914</v>
      </c>
      <c r="D314" s="96" t="inlineStr">
        <is>
          <t>ARCOTECH</t>
        </is>
      </c>
      <c r="E314" s="96" t="inlineStr">
        <is>
          <t>Copper</t>
        </is>
      </c>
    </row>
    <row r="315" ht="15" customHeight="1" s="109" thickBot="1">
      <c r="B315" s="96" t="inlineStr">
        <is>
          <t>ARDI INVESTMENT &amp; TRADING LTD</t>
        </is>
      </c>
      <c r="C315" s="97" t="n">
        <v>504370</v>
      </c>
      <c r="D315" s="96" t="inlineStr">
        <is>
          <t>Not Listed</t>
        </is>
      </c>
      <c r="E315" s="96" t="inlineStr">
        <is>
          <t>Misc.Commercial Services</t>
        </is>
      </c>
    </row>
    <row r="316" ht="15" customHeight="1" s="109" thickBot="1">
      <c r="B316" s="96" t="inlineStr">
        <is>
          <t>AREX INDUSTRIES LTD</t>
        </is>
      </c>
      <c r="C316" s="97" t="n">
        <v>526851</v>
      </c>
      <c r="D316" s="96" t="inlineStr">
        <is>
          <t>Not Listed</t>
        </is>
      </c>
      <c r="E316" s="96" t="inlineStr">
        <is>
          <t>Textiles</t>
        </is>
      </c>
    </row>
    <row r="317" ht="15" customHeight="1" s="109" thickBot="1">
      <c r="B317" s="96" t="inlineStr">
        <is>
          <t>ARFIN (INDIA) LTD</t>
        </is>
      </c>
      <c r="C317" s="97" t="n">
        <v>539151</v>
      </c>
      <c r="D317" s="96" t="inlineStr">
        <is>
          <t>Not Listed</t>
        </is>
      </c>
      <c r="E317" s="96" t="inlineStr">
        <is>
          <t>Aluminium</t>
        </is>
      </c>
    </row>
    <row r="318" ht="15" customHeight="1" s="109" thickBot="1">
      <c r="B318" s="96" t="inlineStr">
        <is>
          <t>ARFIN INDIA LTD</t>
        </is>
      </c>
      <c r="C318" s="97" t="n">
        <v>539151</v>
      </c>
      <c r="D318" s="96" t="inlineStr">
        <is>
          <t>Not Listed</t>
        </is>
      </c>
      <c r="E318" s="96" t="inlineStr">
        <is>
          <t>Aluminium</t>
        </is>
      </c>
    </row>
    <row r="319" ht="15" customHeight="1" s="109" thickBot="1">
      <c r="B319" s="96" t="inlineStr">
        <is>
          <t>ARIES AGRO LTD</t>
        </is>
      </c>
      <c r="C319" s="97" t="n">
        <v>532935</v>
      </c>
      <c r="D319" s="96" t="inlineStr">
        <is>
          <t>ARIES</t>
        </is>
      </c>
      <c r="E319" s="96" t="inlineStr">
        <is>
          <t>Fertilizers</t>
        </is>
      </c>
    </row>
    <row r="320" ht="15" customHeight="1" s="109" thickBot="1">
      <c r="B320" s="96" t="inlineStr">
        <is>
          <t>ARIHANT CAPITAL MARKETS LTD</t>
        </is>
      </c>
      <c r="C320" s="97" t="n">
        <v>511605</v>
      </c>
      <c r="D320" s="96" t="inlineStr">
        <is>
          <t>Not Listed</t>
        </is>
      </c>
      <c r="E320" s="96" t="inlineStr">
        <is>
          <t>Other Financial Services</t>
        </is>
      </c>
    </row>
    <row r="321" ht="15" customHeight="1" s="109" thickBot="1">
      <c r="B321" s="96" t="inlineStr">
        <is>
          <t>ARIHANT FOUNDATIONS &amp; HOUSING LTD</t>
        </is>
      </c>
      <c r="C321" s="97" t="n">
        <v>531381</v>
      </c>
      <c r="D321" s="96" t="inlineStr">
        <is>
          <t>ARIHANT</t>
        </is>
      </c>
      <c r="E321" s="96" t="inlineStr">
        <is>
          <t>Realty</t>
        </is>
      </c>
    </row>
    <row r="322" ht="15" customHeight="1" s="109" thickBot="1">
      <c r="B322" s="96" t="inlineStr">
        <is>
          <t>ARIHANT INSTITUTE LTD</t>
        </is>
      </c>
      <c r="C322" s="97" t="n">
        <v>541401</v>
      </c>
      <c r="D322" s="96" t="inlineStr">
        <is>
          <t>Not Listed</t>
        </is>
      </c>
      <c r="E322" s="96" t="inlineStr">
        <is>
          <t>Education</t>
        </is>
      </c>
    </row>
    <row r="323" ht="15" customHeight="1" s="109" thickBot="1">
      <c r="B323" s="96" t="inlineStr">
        <is>
          <t>ARIHANT SUPERSTRUCTURES LTD</t>
        </is>
      </c>
      <c r="C323" s="97" t="n">
        <v>506194</v>
      </c>
      <c r="D323" s="96" t="inlineStr">
        <is>
          <t>ARIHANTSUP</t>
        </is>
      </c>
      <c r="E323" s="96" t="inlineStr">
        <is>
          <t>Realty</t>
        </is>
      </c>
    </row>
    <row r="324" ht="15" customHeight="1" s="109" thickBot="1">
      <c r="B324" s="96" t="inlineStr">
        <is>
          <t>ARIHANT TOURNESOL LTD</t>
        </is>
      </c>
      <c r="C324" s="97" t="n">
        <v>526125</v>
      </c>
      <c r="D324" s="96" t="inlineStr">
        <is>
          <t>Not Listed</t>
        </is>
      </c>
      <c r="E324" s="96" t="inlineStr">
        <is>
          <t>Comm.Trading &amp; Distribution</t>
        </is>
      </c>
    </row>
    <row r="325" ht="15" customHeight="1" s="109" thickBot="1">
      <c r="B325" s="96" t="inlineStr">
        <is>
          <t>ARIHANT'S SECURITIES LTD</t>
        </is>
      </c>
      <c r="C325" s="97" t="n">
        <v>531017</v>
      </c>
      <c r="D325" s="96" t="inlineStr">
        <is>
          <t>Not Listed</t>
        </is>
      </c>
      <c r="E325" s="96" t="inlineStr">
        <is>
          <t>Misc.Commercial Services</t>
        </is>
      </c>
    </row>
    <row r="326" ht="15" customHeight="1" s="109" thickBot="1">
      <c r="B326" s="96" t="inlineStr">
        <is>
          <t>ARIS INTERNATIONAL LTD</t>
        </is>
      </c>
      <c r="C326" s="97" t="n">
        <v>531677</v>
      </c>
      <c r="D326" s="96" t="inlineStr">
        <is>
          <t>Not Listed</t>
        </is>
      </c>
      <c r="E326" s="96" t="inlineStr">
        <is>
          <t>IT Consulting &amp; Software</t>
        </is>
      </c>
    </row>
    <row r="327" ht="15" customHeight="1" s="109" thickBot="1">
      <c r="B327" s="96" t="inlineStr">
        <is>
          <t>ARMAN FINANCIAL SERVICES LTD</t>
        </is>
      </c>
      <c r="C327" s="97" t="n">
        <v>531179</v>
      </c>
      <c r="D327" s="96" t="inlineStr">
        <is>
          <t>ARMANFIN</t>
        </is>
      </c>
      <c r="E327" s="96" t="inlineStr">
        <is>
          <t>Finance (including NBFCs)</t>
        </is>
      </c>
    </row>
    <row r="328" ht="15" customHeight="1" s="109" thickBot="1">
      <c r="B328" s="96" t="inlineStr">
        <is>
          <t>Arman Holdings Ltd</t>
        </is>
      </c>
      <c r="C328" s="97" t="n">
        <v>538556</v>
      </c>
      <c r="D328" s="96" t="inlineStr">
        <is>
          <t>ARMAN</t>
        </is>
      </c>
      <c r="E328" s="96" t="inlineStr">
        <is>
          <t>Investment Companies</t>
        </is>
      </c>
    </row>
    <row r="329" ht="15" customHeight="1" s="109" thickBot="1">
      <c r="B329" s="96" t="inlineStr">
        <is>
          <t>ARMS PAPER LTD</t>
        </is>
      </c>
      <c r="C329" s="97" t="n">
        <v>532397</v>
      </c>
      <c r="D329" s="96" t="inlineStr">
        <is>
          <t>Not Listed</t>
        </is>
      </c>
      <c r="E329" s="96" t="inlineStr">
        <is>
          <t>Paper &amp; Paper Products</t>
        </is>
      </c>
    </row>
    <row r="330" ht="15" customHeight="1" s="109" thickBot="1">
      <c r="B330" s="96" t="inlineStr">
        <is>
          <t>ARNAV CORPORATION LTD</t>
        </is>
      </c>
      <c r="C330" s="97" t="n">
        <v>531467</v>
      </c>
      <c r="D330" s="96" t="inlineStr">
        <is>
          <t>Not Listed</t>
        </is>
      </c>
      <c r="E330" s="96" t="inlineStr">
        <is>
          <t>Publishing</t>
        </is>
      </c>
    </row>
    <row r="331" ht="15" customHeight="1" s="109" thickBot="1">
      <c r="B331" s="96" t="inlineStr">
        <is>
          <t>ARNOLD HOLDINGS LTD</t>
        </is>
      </c>
      <c r="C331" s="97" t="n">
        <v>537069</v>
      </c>
      <c r="D331" s="96" t="inlineStr">
        <is>
          <t>Not Listed</t>
        </is>
      </c>
      <c r="E331" s="96" t="inlineStr">
        <is>
          <t>Finance (including NBFCs)</t>
        </is>
      </c>
    </row>
    <row r="332" ht="15" customHeight="1" s="109" thickBot="1">
      <c r="B332" s="96" t="inlineStr">
        <is>
          <t>ARO GRANITE INDUSTRIES LTD</t>
        </is>
      </c>
      <c r="C332" s="97" t="n">
        <v>513729</v>
      </c>
      <c r="D332" s="96" t="inlineStr">
        <is>
          <t>AROGRANITE</t>
        </is>
      </c>
      <c r="E332" s="96" t="inlineStr">
        <is>
          <t>Construction Materials</t>
        </is>
      </c>
    </row>
    <row r="333" ht="15" customHeight="1" s="109" thickBot="1">
      <c r="B333" s="96" t="inlineStr">
        <is>
          <t>AROMA ENTERPRISES (INDIA) LTD</t>
        </is>
      </c>
      <c r="C333" s="97" t="n">
        <v>531560</v>
      </c>
      <c r="D333" s="96" t="inlineStr">
        <is>
          <t>Not Listed</t>
        </is>
      </c>
      <c r="E333" s="96" t="inlineStr">
        <is>
          <t>Misc.Commercial Services</t>
        </is>
      </c>
    </row>
    <row r="334" ht="15" customHeight="1" s="109" thickBot="1">
      <c r="B334" s="96" t="inlineStr">
        <is>
          <t>AROMA ENTERPRISES INDIA LTD</t>
        </is>
      </c>
      <c r="C334" s="97" t="n">
        <v>531560</v>
      </c>
      <c r="D334" s="96" t="inlineStr">
        <is>
          <t>Not Listed</t>
        </is>
      </c>
      <c r="E334" s="96" t="inlineStr">
        <is>
          <t>Misc.Commercial Services</t>
        </is>
      </c>
    </row>
    <row r="335" ht="15" customHeight="1" s="109" thickBot="1">
      <c r="B335" s="96" t="inlineStr">
        <is>
          <t>ARROW GREENTECH LTD</t>
        </is>
      </c>
      <c r="C335" s="97" t="n">
        <v>516064</v>
      </c>
      <c r="D335" s="96" t="inlineStr">
        <is>
          <t>ARROWGREEN</t>
        </is>
      </c>
      <c r="E335" s="96" t="inlineStr">
        <is>
          <t>Plastic Products</t>
        </is>
      </c>
    </row>
    <row r="336" ht="15" customHeight="1" s="109" thickBot="1">
      <c r="B336" s="96" t="inlineStr">
        <is>
          <t>ARROW TEXTILES LTD</t>
        </is>
      </c>
      <c r="C336" s="97" t="n">
        <v>533068</v>
      </c>
      <c r="D336" s="96" t="inlineStr">
        <is>
          <t>ARROWTEX</t>
        </is>
      </c>
      <c r="E336" s="96" t="inlineStr">
        <is>
          <t>Other Apparels &amp; Accessories</t>
        </is>
      </c>
    </row>
    <row r="337" ht="15" customHeight="1" s="109" thickBot="1">
      <c r="B337" s="96" t="inlineStr">
        <is>
          <t>ARSHIYA LTD</t>
        </is>
      </c>
      <c r="C337" s="97" t="n">
        <v>506074</v>
      </c>
      <c r="D337" s="96" t="inlineStr">
        <is>
          <t>ARSHIYA</t>
        </is>
      </c>
      <c r="E337" s="96" t="inlineStr">
        <is>
          <t>Transportation - Logistics</t>
        </is>
      </c>
    </row>
    <row r="338" ht="15" customHeight="1" s="109" thickBot="1">
      <c r="B338" s="96" t="inlineStr">
        <is>
          <t>ARSS INFRASTRUCTURE PROJECTS LTD</t>
        </is>
      </c>
      <c r="C338" s="97" t="n">
        <v>533163</v>
      </c>
      <c r="D338" s="96" t="inlineStr">
        <is>
          <t>ARSSINFRA</t>
        </is>
      </c>
      <c r="E338" s="96" t="inlineStr">
        <is>
          <t>Construction &amp; Engineering</t>
        </is>
      </c>
    </row>
    <row r="339" ht="15" customHeight="1" s="109" thickBot="1">
      <c r="B339" s="96" t="inlineStr">
        <is>
          <t>ART NIRMAN LTD</t>
        </is>
      </c>
      <c r="C339" s="96" t="inlineStr">
        <is>
          <t>Not Listed</t>
        </is>
      </c>
      <c r="D339" s="96" t="inlineStr">
        <is>
          <t>ARTNIRMAN</t>
        </is>
      </c>
      <c r="E339" s="96" t="inlineStr">
        <is>
          <t>SME</t>
        </is>
      </c>
    </row>
    <row r="340" ht="15" customHeight="1" s="109" thickBot="1">
      <c r="B340" s="96" t="inlineStr">
        <is>
          <t>ARTECH POWER &amp; TRADING LTD</t>
        </is>
      </c>
      <c r="C340" s="97" t="n">
        <v>517481</v>
      </c>
      <c r="D340" s="96" t="inlineStr">
        <is>
          <t>Not Listed</t>
        </is>
      </c>
      <c r="E340" s="96" t="inlineStr">
        <is>
          <t>Electronic Components</t>
        </is>
      </c>
    </row>
    <row r="341" ht="15" customHeight="1" s="109" thickBot="1">
      <c r="B341" s="96" t="inlineStr">
        <is>
          <t>ARTEFACT PROJECTS LTD</t>
        </is>
      </c>
      <c r="C341" s="97" t="n">
        <v>531297</v>
      </c>
      <c r="D341" s="96" t="inlineStr">
        <is>
          <t>Not Listed</t>
        </is>
      </c>
      <c r="E341" s="96" t="inlineStr">
        <is>
          <t>Consulting Services</t>
        </is>
      </c>
    </row>
    <row r="342" ht="15" customHeight="1" s="109" thickBot="1">
      <c r="B342" s="96" t="inlineStr">
        <is>
          <t>Artemis Electricals Ltd</t>
        </is>
      </c>
      <c r="C342" s="97" t="n">
        <v>542670</v>
      </c>
      <c r="D342" s="96" t="inlineStr">
        <is>
          <t>ARTEMISELC</t>
        </is>
      </c>
      <c r="E342" s="96" t="inlineStr">
        <is>
          <t>Non-Durable Household Prod.</t>
        </is>
      </c>
    </row>
    <row r="343" ht="15" customHeight="1" s="109" thickBot="1">
      <c r="B343" s="96" t="inlineStr">
        <is>
          <t>ARTEMIS GLOBAL LIFE SCIENCES LTD</t>
        </is>
      </c>
      <c r="C343" s="97" t="n">
        <v>540616</v>
      </c>
      <c r="D343" s="96" t="inlineStr">
        <is>
          <t>AGLSL</t>
        </is>
      </c>
      <c r="E343" s="96" t="inlineStr">
        <is>
          <t>Healthcare Facilities</t>
        </is>
      </c>
    </row>
    <row r="344" ht="15" customHeight="1" s="109" thickBot="1">
      <c r="B344" s="96" t="inlineStr">
        <is>
          <t>ARTSON ENGINEERING LTD</t>
        </is>
      </c>
      <c r="C344" s="97" t="n">
        <v>522134</v>
      </c>
      <c r="D344" s="96" t="inlineStr">
        <is>
          <t>Not Listed</t>
        </is>
      </c>
      <c r="E344" s="96" t="inlineStr">
        <is>
          <t>Industrial Machinery</t>
        </is>
      </c>
    </row>
    <row r="345" ht="15" customHeight="1" s="109" thickBot="1">
      <c r="B345" s="96" t="inlineStr">
        <is>
          <t>ARUNA HOTELS LTD</t>
        </is>
      </c>
      <c r="C345" s="97" t="n">
        <v>500016</v>
      </c>
      <c r="D345" s="96" t="inlineStr">
        <is>
          <t>Not Listed</t>
        </is>
      </c>
      <c r="E345" s="96" t="inlineStr">
        <is>
          <t>Hotels</t>
        </is>
      </c>
    </row>
    <row r="346" ht="15" customHeight="1" s="109" thickBot="1">
      <c r="B346" s="96" t="inlineStr">
        <is>
          <t>ARVEE LABORATORIES (INDIA) LTD</t>
        </is>
      </c>
      <c r="C346" s="96" t="inlineStr">
        <is>
          <t>Not Listed</t>
        </is>
      </c>
      <c r="D346" s="96" t="inlineStr">
        <is>
          <t>ARVEE</t>
        </is>
      </c>
      <c r="E346" s="96" t="inlineStr">
        <is>
          <t>SME</t>
        </is>
      </c>
    </row>
    <row r="347" ht="15" customHeight="1" s="109" thickBot="1">
      <c r="B347" s="96" t="inlineStr">
        <is>
          <t>ARVEE LABORATORIES INDIA LTD</t>
        </is>
      </c>
      <c r="C347" s="96" t="inlineStr">
        <is>
          <t>Not Listed</t>
        </is>
      </c>
      <c r="D347" s="96" t="inlineStr">
        <is>
          <t>ARVEE</t>
        </is>
      </c>
      <c r="E347" s="96" t="inlineStr">
        <is>
          <t>SME</t>
        </is>
      </c>
    </row>
    <row r="348" ht="15" customHeight="1" s="109" thickBot="1">
      <c r="B348" s="96" t="inlineStr">
        <is>
          <t>Arvind Fashions Ltd</t>
        </is>
      </c>
      <c r="C348" s="97" t="n">
        <v>542484</v>
      </c>
      <c r="D348" s="96" t="inlineStr">
        <is>
          <t>ARVINDFASN</t>
        </is>
      </c>
      <c r="E348" s="96" t="inlineStr">
        <is>
          <t>Other Apparels &amp;amp; Accessories</t>
        </is>
      </c>
    </row>
    <row r="349" ht="15" customHeight="1" s="109" thickBot="1">
      <c r="B349" s="96" t="inlineStr">
        <is>
          <t>ARVIND LTD</t>
        </is>
      </c>
      <c r="C349" s="97" t="n">
        <v>500101</v>
      </c>
      <c r="D349" s="96" t="inlineStr">
        <is>
          <t>ARVIND</t>
        </is>
      </c>
      <c r="E349" s="96" t="inlineStr">
        <is>
          <t>Textiles</t>
        </is>
      </c>
    </row>
    <row r="350" ht="15" customHeight="1" s="109" thickBot="1">
      <c r="B350" s="96" t="inlineStr">
        <is>
          <t>ARVIND SMARTSPACES LTD</t>
        </is>
      </c>
      <c r="C350" s="97" t="n">
        <v>539301</v>
      </c>
      <c r="D350" s="96" t="inlineStr">
        <is>
          <t>ARVSMART</t>
        </is>
      </c>
      <c r="E350" s="96" t="inlineStr">
        <is>
          <t>Realty</t>
        </is>
      </c>
    </row>
    <row r="351" ht="15" customHeight="1" s="109" thickBot="1">
      <c r="B351" s="96" t="inlineStr">
        <is>
          <t>ARYAMAN CAPITAL MARKETS LTD</t>
        </is>
      </c>
      <c r="C351" s="97" t="n">
        <v>538716</v>
      </c>
      <c r="D351" s="96" t="inlineStr">
        <is>
          <t>Not Listed</t>
        </is>
      </c>
      <c r="E351" s="96" t="inlineStr">
        <is>
          <t>Other Financial Services</t>
        </is>
      </c>
    </row>
    <row r="352" ht="15" customHeight="1" s="109" thickBot="1">
      <c r="B352" s="96" t="inlineStr">
        <is>
          <t>ARYAMAN FINANCIAL SERVICES LTD</t>
        </is>
      </c>
      <c r="C352" s="97" t="n">
        <v>530245</v>
      </c>
      <c r="D352" s="96" t="inlineStr">
        <is>
          <t>Not Listed</t>
        </is>
      </c>
      <c r="E352" s="96" t="inlineStr">
        <is>
          <t>Finance (including NBFCs)</t>
        </is>
      </c>
    </row>
    <row r="353" ht="15" customHeight="1" s="109" thickBot="1">
      <c r="B353" s="96" t="inlineStr">
        <is>
          <t>Aryan Share and Stock Brokers Ltd</t>
        </is>
      </c>
      <c r="C353" s="97" t="n">
        <v>542176</v>
      </c>
      <c r="D353" s="96" t="inlineStr">
        <is>
          <t>ARYAN</t>
        </is>
      </c>
      <c r="E353" s="96" t="inlineStr">
        <is>
          <t>Other Financial Services</t>
        </is>
      </c>
    </row>
    <row r="354" ht="15" customHeight="1" s="109" thickBot="1">
      <c r="B354" s="96" t="inlineStr">
        <is>
          <t>ASAHI INDIA GLASS LTD</t>
        </is>
      </c>
      <c r="C354" s="97" t="n">
        <v>515030</v>
      </c>
      <c r="D354" s="96" t="inlineStr">
        <is>
          <t>ASAHIINDIA</t>
        </is>
      </c>
      <c r="E354" s="96" t="inlineStr">
        <is>
          <t>Auto Parts &amp; Equipment</t>
        </is>
      </c>
    </row>
    <row r="355" ht="15" customHeight="1" s="109" thickBot="1">
      <c r="B355" s="96" t="inlineStr">
        <is>
          <t>ASAHI INDUSTRIES LTD</t>
        </is>
      </c>
      <c r="C355" s="97" t="n">
        <v>514482</v>
      </c>
      <c r="D355" s="96" t="inlineStr">
        <is>
          <t>Not Listed</t>
        </is>
      </c>
      <c r="E355" s="96" t="inlineStr">
        <is>
          <t>Textiles</t>
        </is>
      </c>
    </row>
    <row r="356" ht="15" customHeight="1" s="109" thickBot="1">
      <c r="B356" s="96" t="inlineStr">
        <is>
          <t>ASAHI SONGWON COLORS LTD</t>
        </is>
      </c>
      <c r="C356" s="97" t="n">
        <v>532853</v>
      </c>
      <c r="D356" s="96" t="inlineStr">
        <is>
          <t>ASAHISONG</t>
        </is>
      </c>
      <c r="E356" s="96" t="inlineStr">
        <is>
          <t>Specialty Chemicals</t>
        </is>
      </c>
    </row>
    <row r="357" ht="15" customHeight="1" s="109" thickBot="1">
      <c r="B357" s="96" t="inlineStr">
        <is>
          <t>ASHAPURA INTIMATES FASHION LTD</t>
        </is>
      </c>
      <c r="C357" s="97" t="n">
        <v>535467</v>
      </c>
      <c r="D357" s="96" t="inlineStr">
        <is>
          <t>AIFL</t>
        </is>
      </c>
      <c r="E357" s="96" t="inlineStr">
        <is>
          <t>Other Apparels &amp; Accessories</t>
        </is>
      </c>
    </row>
    <row r="358" ht="15" customHeight="1" s="109" thickBot="1">
      <c r="B358" s="96" t="inlineStr">
        <is>
          <t>ASHAPURA MINECHEM LTD</t>
        </is>
      </c>
      <c r="C358" s="97" t="n">
        <v>527001</v>
      </c>
      <c r="D358" s="96" t="inlineStr">
        <is>
          <t>ASHAPURMIN</t>
        </is>
      </c>
      <c r="E358" s="96" t="inlineStr">
        <is>
          <t>Mining</t>
        </is>
      </c>
    </row>
    <row r="359" ht="15" customHeight="1" s="109" thickBot="1">
      <c r="B359" s="96" t="inlineStr">
        <is>
          <t>Ashapuri Gold Ornament Ltd</t>
        </is>
      </c>
      <c r="C359" s="97" t="n">
        <v>542579</v>
      </c>
      <c r="D359" s="96" t="inlineStr">
        <is>
          <t>AGOL</t>
        </is>
      </c>
      <c r="E359" s="96" t="inlineStr">
        <is>
          <t>Other Apparels &amp;amp; Accessories</t>
        </is>
      </c>
    </row>
    <row r="360" ht="15" customHeight="1" s="109" thickBot="1">
      <c r="B360" s="96" t="inlineStr">
        <is>
          <t>ASHARI AGENCIES LTD</t>
        </is>
      </c>
      <c r="C360" s="97" t="n">
        <v>540024</v>
      </c>
      <c r="D360" s="96" t="inlineStr">
        <is>
          <t>Not Listed</t>
        </is>
      </c>
      <c r="E360" s="96" t="inlineStr">
        <is>
          <t>Other Financial Services</t>
        </is>
      </c>
    </row>
    <row r="361" ht="15" customHeight="1" s="109" thickBot="1">
      <c r="B361" s="96" t="inlineStr">
        <is>
          <t>ASHIANA AGRO INDUSTRIES LTD</t>
        </is>
      </c>
      <c r="C361" s="97" t="n">
        <v>519174</v>
      </c>
      <c r="D361" s="96" t="inlineStr">
        <is>
          <t>Not Listed</t>
        </is>
      </c>
      <c r="E361" s="96" t="inlineStr">
        <is>
          <t>Edible Oils</t>
        </is>
      </c>
    </row>
    <row r="362" ht="15" customHeight="1" s="109" thickBot="1">
      <c r="B362" s="96" t="inlineStr">
        <is>
          <t>ASHIANA HOUSING LTD</t>
        </is>
      </c>
      <c r="C362" s="97" t="n">
        <v>523716</v>
      </c>
      <c r="D362" s="96" t="inlineStr">
        <is>
          <t>ASHIANA</t>
        </is>
      </c>
      <c r="E362" s="96" t="inlineStr">
        <is>
          <t>Realty</t>
        </is>
      </c>
    </row>
    <row r="363" ht="15" customHeight="1" s="109" thickBot="1">
      <c r="B363" s="96" t="inlineStr">
        <is>
          <t>ASHIANA ISPAT LTD</t>
        </is>
      </c>
      <c r="C363" s="97" t="n">
        <v>513401</v>
      </c>
      <c r="D363" s="96" t="inlineStr">
        <is>
          <t>Not Listed</t>
        </is>
      </c>
      <c r="E363" s="96" t="inlineStr">
        <is>
          <t>Iron &amp; Steel/Interm.Products</t>
        </is>
      </c>
    </row>
    <row r="364" ht="15" customHeight="1" s="109" thickBot="1">
      <c r="B364" s="96" t="inlineStr">
        <is>
          <t>ASHIKA CREDIT CAPITAL LTD.</t>
        </is>
      </c>
      <c r="C364" s="97" t="n">
        <v>590122</v>
      </c>
      <c r="D364" s="96" t="inlineStr">
        <is>
          <t>ASHIKACR</t>
        </is>
      </c>
      <c r="E364" s="96" t="inlineStr">
        <is>
          <t>Finance (including NBFCs)</t>
        </is>
      </c>
    </row>
    <row r="365" ht="15" customHeight="1" s="109" thickBot="1">
      <c r="B365" s="96" t="inlineStr">
        <is>
          <t>ASHIMA LTD</t>
        </is>
      </c>
      <c r="C365" s="97" t="n">
        <v>514286</v>
      </c>
      <c r="D365" s="96" t="inlineStr">
        <is>
          <t>ASHIMASYN</t>
        </is>
      </c>
      <c r="E365" s="96" t="inlineStr">
        <is>
          <t>Textiles</t>
        </is>
      </c>
    </row>
    <row r="366" ht="15" customHeight="1" s="109" thickBot="1">
      <c r="B366" s="96" t="inlineStr">
        <is>
          <t>ASHIRWAD CAPITAL LTD</t>
        </is>
      </c>
      <c r="C366" s="97" t="n">
        <v>512247</v>
      </c>
      <c r="D366" s="96" t="inlineStr">
        <is>
          <t>Not Listed</t>
        </is>
      </c>
      <c r="E366" s="96" t="inlineStr">
        <is>
          <t>Other Financial Services</t>
        </is>
      </c>
    </row>
    <row r="367" ht="15" customHeight="1" s="109" thickBot="1">
      <c r="B367" s="96" t="inlineStr">
        <is>
          <t>ASHIRWAD STEELS &amp; INDUSTRIES LTD</t>
        </is>
      </c>
      <c r="C367" s="97" t="n">
        <v>526847</v>
      </c>
      <c r="D367" s="96" t="inlineStr">
        <is>
          <t>Not Listed</t>
        </is>
      </c>
      <c r="E367" s="96" t="inlineStr">
        <is>
          <t>Iron &amp; Steel/Interm.Products</t>
        </is>
      </c>
    </row>
    <row r="368" ht="15" customHeight="1" s="109" thickBot="1">
      <c r="B368" s="96" t="inlineStr">
        <is>
          <t>ASHISH POLYPLAST LTD</t>
        </is>
      </c>
      <c r="C368" s="97" t="n">
        <v>530429</v>
      </c>
      <c r="D368" s="96" t="inlineStr">
        <is>
          <t>Not Listed</t>
        </is>
      </c>
      <c r="E368" s="96" t="inlineStr">
        <is>
          <t>Plastic Products</t>
        </is>
      </c>
    </row>
    <row r="369" ht="15" customHeight="1" s="109" thickBot="1">
      <c r="B369" s="96" t="inlineStr">
        <is>
          <t>ASHNISHA INDUSTRIES LTD</t>
        </is>
      </c>
      <c r="C369" s="97" t="n">
        <v>541702</v>
      </c>
      <c r="D369" s="96" t="inlineStr">
        <is>
          <t>Not Listed</t>
        </is>
      </c>
      <c r="E369" s="96" t="inlineStr">
        <is>
          <t>Comm.Trading &amp; Distribution</t>
        </is>
      </c>
    </row>
    <row r="370" ht="15" customHeight="1" s="109" thickBot="1">
      <c r="B370" s="96" t="inlineStr">
        <is>
          <t>ASHNOOR TEXTILE MILLS LTD</t>
        </is>
      </c>
      <c r="C370" s="97" t="n">
        <v>507872</v>
      </c>
      <c r="D370" s="96" t="inlineStr">
        <is>
          <t>Not Listed</t>
        </is>
      </c>
      <c r="E370" s="96" t="inlineStr">
        <is>
          <t>Textiles</t>
        </is>
      </c>
    </row>
    <row r="371" ht="15" customHeight="1" s="109" thickBot="1">
      <c r="B371" s="96" t="inlineStr">
        <is>
          <t>ASHOK ALCO-CHEM LTD</t>
        </is>
      </c>
      <c r="C371" s="97" t="n">
        <v>524594</v>
      </c>
      <c r="D371" s="96" t="inlineStr">
        <is>
          <t>Not Listed</t>
        </is>
      </c>
      <c r="E371" s="96" t="inlineStr">
        <is>
          <t>Commodity Chemicals</t>
        </is>
      </c>
    </row>
    <row r="372" ht="15" customHeight="1" s="109" thickBot="1">
      <c r="B372" s="96" t="inlineStr">
        <is>
          <t>ASHOK LEYLAND LTD</t>
        </is>
      </c>
      <c r="C372" s="97" t="n">
        <v>500477</v>
      </c>
      <c r="D372" s="96" t="inlineStr">
        <is>
          <t>ASHOKLEY</t>
        </is>
      </c>
      <c r="E372" s="96" t="inlineStr">
        <is>
          <t>Commercial Vehicles</t>
        </is>
      </c>
    </row>
    <row r="373" ht="15" customHeight="1" s="109" thickBot="1">
      <c r="B373" s="96" t="inlineStr">
        <is>
          <t>ASHOKA BUILDCON LTD</t>
        </is>
      </c>
      <c r="C373" s="97" t="n">
        <v>533271</v>
      </c>
      <c r="D373" s="96" t="inlineStr">
        <is>
          <t>ASHOKA</t>
        </is>
      </c>
      <c r="E373" s="96" t="inlineStr">
        <is>
          <t>Roads &amp; Highways</t>
        </is>
      </c>
    </row>
    <row r="374" ht="15" customHeight="1" s="109" thickBot="1">
      <c r="B374" s="96" t="inlineStr">
        <is>
          <t>ASHOKA METCAST LTD</t>
        </is>
      </c>
      <c r="C374" s="97" t="n">
        <v>540923</v>
      </c>
      <c r="D374" s="96" t="inlineStr">
        <is>
          <t>Not Listed</t>
        </is>
      </c>
      <c r="E374" s="96" t="inlineStr">
        <is>
          <t>Construction &amp; Engineering</t>
        </is>
      </c>
    </row>
    <row r="375" ht="15" customHeight="1" s="109" thickBot="1">
      <c r="B375" s="96" t="inlineStr">
        <is>
          <t>ASHOKA REFINERIES LTD</t>
        </is>
      </c>
      <c r="C375" s="97" t="n">
        <v>526983</v>
      </c>
      <c r="D375" s="96" t="inlineStr">
        <is>
          <t>Not Listed</t>
        </is>
      </c>
      <c r="E375" s="96" t="inlineStr">
        <is>
          <t>Other Agricultural Products</t>
        </is>
      </c>
    </row>
    <row r="376" ht="15" customHeight="1" s="109" thickBot="1">
      <c r="B376" s="96" t="inlineStr">
        <is>
          <t>ASHRAM ONLINE COM LTD</t>
        </is>
      </c>
      <c r="C376" s="97" t="n">
        <v>526187</v>
      </c>
      <c r="D376" s="96" t="inlineStr">
        <is>
          <t>Not Listed</t>
        </is>
      </c>
      <c r="E376" s="96" t="inlineStr">
        <is>
          <t>Healthcare Services</t>
        </is>
      </c>
    </row>
    <row r="377" ht="15" customHeight="1" s="109" thickBot="1">
      <c r="B377" s="96" t="inlineStr">
        <is>
          <t>ASHUTOSH PAPER MILLS LTD</t>
        </is>
      </c>
      <c r="C377" s="97" t="n">
        <v>531568</v>
      </c>
      <c r="D377" s="96" t="inlineStr">
        <is>
          <t>Not Listed</t>
        </is>
      </c>
      <c r="E377" s="96" t="inlineStr">
        <is>
          <t>Paper &amp; Paper Products</t>
        </is>
      </c>
    </row>
    <row r="378" ht="15" customHeight="1" s="109" thickBot="1">
      <c r="B378" s="96" t="inlineStr">
        <is>
          <t>ASI INDUSTRIES LTD</t>
        </is>
      </c>
      <c r="C378" s="97" t="n">
        <v>502015</v>
      </c>
      <c r="D378" s="96" t="inlineStr">
        <is>
          <t>Not Listed</t>
        </is>
      </c>
      <c r="E378" s="96" t="inlineStr">
        <is>
          <t>Mining</t>
        </is>
      </c>
    </row>
    <row r="379" ht="15" customHeight="1" s="109" thickBot="1">
      <c r="B379" s="96" t="inlineStr">
        <is>
          <t>ASIA CAPITAL LTD</t>
        </is>
      </c>
      <c r="C379" s="97" t="n">
        <v>538777</v>
      </c>
      <c r="D379" s="96" t="inlineStr">
        <is>
          <t>Not Listed</t>
        </is>
      </c>
      <c r="E379" s="96" t="inlineStr">
        <is>
          <t>Finance (including NBFCs)</t>
        </is>
      </c>
    </row>
    <row r="380" ht="15" customHeight="1" s="109" thickBot="1">
      <c r="B380" s="96" t="inlineStr">
        <is>
          <t>ASIA PACK LTD</t>
        </is>
      </c>
      <c r="C380" s="97" t="n">
        <v>530899</v>
      </c>
      <c r="D380" s="96" t="inlineStr">
        <is>
          <t>Not Listed</t>
        </is>
      </c>
      <c r="E380" s="96" t="inlineStr">
        <is>
          <t>Textiles</t>
        </is>
      </c>
    </row>
    <row r="381" ht="15" customHeight="1" s="109" thickBot="1">
      <c r="B381" s="96" t="inlineStr">
        <is>
          <t>ASIAN FLORA LTD</t>
        </is>
      </c>
      <c r="C381" s="97" t="n">
        <v>531392</v>
      </c>
      <c r="D381" s="96" t="inlineStr">
        <is>
          <t>Not Listed</t>
        </is>
      </c>
      <c r="E381" s="96" t="inlineStr">
        <is>
          <t>Other Agricultural Products</t>
        </is>
      </c>
    </row>
    <row r="382" ht="15" customHeight="1" s="109" thickBot="1">
      <c r="B382" s="96" t="inlineStr">
        <is>
          <t>ASIAN GRANITO (INDIA) LTD</t>
        </is>
      </c>
      <c r="C382" s="97" t="n">
        <v>532888</v>
      </c>
      <c r="D382" s="96" t="inlineStr">
        <is>
          <t>ASIANTILES</t>
        </is>
      </c>
      <c r="E382" s="96" t="inlineStr">
        <is>
          <t>Furniture-Furnishing-Paints</t>
        </is>
      </c>
    </row>
    <row r="383" ht="15" customHeight="1" s="109" thickBot="1">
      <c r="B383" s="96" t="inlineStr">
        <is>
          <t>ASIAN GRANITO INDIA LTD</t>
        </is>
      </c>
      <c r="C383" s="97" t="n">
        <v>532888</v>
      </c>
      <c r="D383" s="96" t="inlineStr">
        <is>
          <t>ASIANTILES</t>
        </is>
      </c>
      <c r="E383" s="96" t="inlineStr">
        <is>
          <t>Furniture-Furnishing-Paints</t>
        </is>
      </c>
    </row>
    <row r="384" ht="15" customHeight="1" s="109" thickBot="1">
      <c r="B384" s="96" t="inlineStr">
        <is>
          <t>ASIAN HOTELS EAST LTD</t>
        </is>
      </c>
      <c r="C384" s="97" t="n">
        <v>533227</v>
      </c>
      <c r="D384" s="96" t="inlineStr">
        <is>
          <t>AHLEAST</t>
        </is>
      </c>
      <c r="E384" s="96" t="inlineStr">
        <is>
          <t>Hotels</t>
        </is>
      </c>
    </row>
    <row r="385" ht="15" customHeight="1" s="109" thickBot="1">
      <c r="B385" s="96" t="inlineStr">
        <is>
          <t>ASIAN HOTELS NORTH LTD</t>
        </is>
      </c>
      <c r="C385" s="97" t="n">
        <v>500023</v>
      </c>
      <c r="D385" s="96" t="inlineStr">
        <is>
          <t>ASIANHOTNR</t>
        </is>
      </c>
      <c r="E385" s="96" t="inlineStr">
        <is>
          <t>Hotels</t>
        </is>
      </c>
    </row>
    <row r="386" ht="15" customHeight="1" s="109" thickBot="1">
      <c r="B386" s="96" t="inlineStr">
        <is>
          <t>ASIAN HOTELS WEST LTD</t>
        </is>
      </c>
      <c r="C386" s="97" t="n">
        <v>533221</v>
      </c>
      <c r="D386" s="96" t="inlineStr">
        <is>
          <t>AHLWEST</t>
        </is>
      </c>
      <c r="E386" s="96" t="inlineStr">
        <is>
          <t>Hotels</t>
        </is>
      </c>
    </row>
    <row r="387" ht="15" customHeight="1" s="109" thickBot="1">
      <c r="B387" s="96" t="inlineStr">
        <is>
          <t>ASIAN OILFIELD SERVICES LTD</t>
        </is>
      </c>
      <c r="C387" s="97" t="n">
        <v>530355</v>
      </c>
      <c r="D387" s="96" t="inlineStr">
        <is>
          <t>Not Listed</t>
        </is>
      </c>
      <c r="E387" s="96" t="inlineStr">
        <is>
          <t>Oil Equipment &amp; Services</t>
        </is>
      </c>
    </row>
    <row r="388" ht="15" customHeight="1" s="109" thickBot="1">
      <c r="B388" s="96" t="inlineStr">
        <is>
          <t>ASIAN PAINTS LTD</t>
        </is>
      </c>
      <c r="C388" s="97" t="n">
        <v>500820</v>
      </c>
      <c r="D388" s="96" t="inlineStr">
        <is>
          <t>ASIANPAINT</t>
        </is>
      </c>
      <c r="E388" s="96" t="inlineStr">
        <is>
          <t>Furniture-Furnishing-Paints</t>
        </is>
      </c>
    </row>
    <row r="389" ht="15" customHeight="1" s="109" thickBot="1">
      <c r="B389" s="96" t="inlineStr">
        <is>
          <t>ASIAN PETROPRODUCTS &amp; EXPORTS LTD</t>
        </is>
      </c>
      <c r="C389" s="97" t="n">
        <v>524434</v>
      </c>
      <c r="D389" s="96" t="inlineStr">
        <is>
          <t>Not Listed</t>
        </is>
      </c>
      <c r="E389" s="96" t="inlineStr">
        <is>
          <t>Commodity Chemicals</t>
        </is>
      </c>
    </row>
    <row r="390" ht="15" customHeight="1" s="109" thickBot="1">
      <c r="B390" s="96" t="inlineStr">
        <is>
          <t>ASIAN STAR CO LTD</t>
        </is>
      </c>
      <c r="C390" s="97" t="n">
        <v>531847</v>
      </c>
      <c r="D390" s="96" t="inlineStr">
        <is>
          <t>Not Listed</t>
        </is>
      </c>
      <c r="E390" s="96" t="inlineStr">
        <is>
          <t>Other Apparels &amp; Accessories</t>
        </is>
      </c>
    </row>
    <row r="391" ht="15" customHeight="1" s="109" thickBot="1">
      <c r="B391" s="96" t="inlineStr">
        <is>
          <t>ASIAN TEA &amp; EXPORTS LTD</t>
        </is>
      </c>
      <c r="C391" s="97" t="n">
        <v>519532</v>
      </c>
      <c r="D391" s="96" t="inlineStr">
        <is>
          <t>Not Listed</t>
        </is>
      </c>
      <c r="E391" s="96" t="inlineStr">
        <is>
          <t>Comm.Trading &amp; Distribution</t>
        </is>
      </c>
    </row>
    <row r="392" ht="15" customHeight="1" s="109" thickBot="1">
      <c r="B392" s="96" t="inlineStr">
        <is>
          <t>ASIS LOGISTICS LTD</t>
        </is>
      </c>
      <c r="C392" s="97" t="n">
        <v>506159</v>
      </c>
      <c r="D392" s="96" t="inlineStr">
        <is>
          <t>ASISL</t>
        </is>
      </c>
      <c r="E392" s="96" t="inlineStr">
        <is>
          <t>Transportation - Logistics</t>
        </is>
      </c>
    </row>
    <row r="393" ht="15" customHeight="1" s="109" thickBot="1">
      <c r="B393" s="96" t="inlineStr">
        <is>
          <t>ASIT C MEHTA FINANCIAL SERVICES LTD</t>
        </is>
      </c>
      <c r="C393" s="97" t="n">
        <v>530723</v>
      </c>
      <c r="D393" s="96" t="inlineStr">
        <is>
          <t>Not Listed</t>
        </is>
      </c>
      <c r="E393" s="96" t="inlineStr">
        <is>
          <t>Other Financial Services</t>
        </is>
      </c>
    </row>
    <row r="394" ht="15" customHeight="1" s="109" thickBot="1">
      <c r="B394" s="96" t="inlineStr">
        <is>
          <t>ASL INDUSTRIES LTD</t>
        </is>
      </c>
      <c r="C394" s="96" t="inlineStr">
        <is>
          <t>Not Listed</t>
        </is>
      </c>
      <c r="D394" s="96" t="inlineStr">
        <is>
          <t>ASLIND</t>
        </is>
      </c>
      <c r="E394" s="96" t="inlineStr">
        <is>
          <t>SME</t>
        </is>
      </c>
    </row>
    <row r="395" ht="15" customHeight="1" s="109" thickBot="1">
      <c r="B395" s="96" t="inlineStr">
        <is>
          <t>ASM TECHNOLOGIES LTD</t>
        </is>
      </c>
      <c r="C395" s="97" t="n">
        <v>526433</v>
      </c>
      <c r="D395" s="96" t="inlineStr">
        <is>
          <t>Not Listed</t>
        </is>
      </c>
      <c r="E395" s="96" t="inlineStr">
        <is>
          <t>IT Consulting &amp; Software</t>
        </is>
      </c>
    </row>
    <row r="396" ht="15" customHeight="1" s="109" thickBot="1">
      <c r="B396" s="96" t="inlineStr">
        <is>
          <t>ASPINWALL AND COMPANY LTD</t>
        </is>
      </c>
      <c r="C396" s="96" t="inlineStr">
        <is>
          <t>Not Listed</t>
        </is>
      </c>
      <c r="D396" s="96" t="inlineStr">
        <is>
          <t>ASPINWALL</t>
        </is>
      </c>
      <c r="E396" s="96" t="inlineStr">
        <is>
          <t>Others</t>
        </is>
      </c>
    </row>
    <row r="397" ht="15" customHeight="1" s="109" thickBot="1">
      <c r="B397" s="96" t="inlineStr">
        <is>
          <t>ASPIRA PATHLAB &amp; DIAGNOSTICS LTD</t>
        </is>
      </c>
      <c r="C397" s="97" t="n">
        <v>540788</v>
      </c>
      <c r="D397" s="96" t="inlineStr">
        <is>
          <t>Not Listed</t>
        </is>
      </c>
      <c r="E397" s="96" t="inlineStr">
        <is>
          <t>Healthcare Services</t>
        </is>
      </c>
    </row>
    <row r="398" ht="15" customHeight="1" s="109" thickBot="1">
      <c r="B398" s="96" t="inlineStr">
        <is>
          <t>ASSAM COMPANY (INDIA) LTD</t>
        </is>
      </c>
      <c r="C398" s="97" t="n">
        <v>500024</v>
      </c>
      <c r="D398" s="96" t="inlineStr">
        <is>
          <t>ASSAMCO</t>
        </is>
      </c>
      <c r="E398" s="96" t="inlineStr">
        <is>
          <t>Tea &amp; Coffee</t>
        </is>
      </c>
    </row>
    <row r="399" ht="15" customHeight="1" s="109" thickBot="1">
      <c r="B399" s="96" t="inlineStr">
        <is>
          <t>ASSAM COMPANY INDIA LTD</t>
        </is>
      </c>
      <c r="C399" s="97" t="n">
        <v>500024</v>
      </c>
      <c r="D399" s="96" t="inlineStr">
        <is>
          <t>ASSAMCO</t>
        </is>
      </c>
      <c r="E399" s="96" t="inlineStr">
        <is>
          <t>Tea &amp; Coffee</t>
        </is>
      </c>
    </row>
    <row r="400" ht="15" customHeight="1" s="109" thickBot="1">
      <c r="B400" s="96" t="inlineStr">
        <is>
          <t>ASSOCIATED ALCOHOLS &amp; BREWERIES LTD</t>
        </is>
      </c>
      <c r="C400" s="97" t="n">
        <v>507526</v>
      </c>
      <c r="D400" s="96" t="inlineStr">
        <is>
          <t>Not Listed</t>
        </is>
      </c>
      <c r="E400" s="96" t="inlineStr">
        <is>
          <t>Breweries &amp; Distilleries</t>
        </is>
      </c>
    </row>
    <row r="401" ht="15" customHeight="1" s="109" thickBot="1">
      <c r="B401" s="96" t="inlineStr">
        <is>
          <t>ASTEC LIFESCIENCES LTD</t>
        </is>
      </c>
      <c r="C401" s="97" t="n">
        <v>533138</v>
      </c>
      <c r="D401" s="96" t="inlineStr">
        <is>
          <t>ASTEC</t>
        </is>
      </c>
      <c r="E401" s="96" t="inlineStr">
        <is>
          <t>Agrochemicals</t>
        </is>
      </c>
    </row>
    <row r="402" ht="15" customHeight="1" s="109" thickBot="1">
      <c r="B402" s="96" t="inlineStr">
        <is>
          <t>ASTER DM HEALTHCARE LTD</t>
        </is>
      </c>
      <c r="C402" s="97" t="n">
        <v>540975</v>
      </c>
      <c r="D402" s="96" t="inlineStr">
        <is>
          <t>ASTERDM</t>
        </is>
      </c>
      <c r="E402" s="96" t="inlineStr">
        <is>
          <t>Healthcare Services</t>
        </is>
      </c>
    </row>
    <row r="403" ht="15" customHeight="1" s="109" thickBot="1">
      <c r="B403" s="96" t="inlineStr">
        <is>
          <t>ASTRA MICROWAVE PRODUCTS LTD</t>
        </is>
      </c>
      <c r="C403" s="97" t="n">
        <v>532493</v>
      </c>
      <c r="D403" s="96" t="inlineStr">
        <is>
          <t>ASTRAMICRO</t>
        </is>
      </c>
      <c r="E403" s="96" t="inlineStr">
        <is>
          <t>Defence</t>
        </is>
      </c>
    </row>
    <row r="404" ht="15" customHeight="1" s="109" thickBot="1">
      <c r="B404" s="96" t="inlineStr">
        <is>
          <t>ASTRAL POLY TECHNIK LTD</t>
        </is>
      </c>
      <c r="C404" s="97" t="n">
        <v>532830</v>
      </c>
      <c r="D404" s="96" t="inlineStr">
        <is>
          <t>ASTRAL</t>
        </is>
      </c>
      <c r="E404" s="96" t="inlineStr">
        <is>
          <t>Plastic Products</t>
        </is>
      </c>
    </row>
    <row r="405" ht="15" customHeight="1" s="109" thickBot="1">
      <c r="B405" s="96" t="inlineStr">
        <is>
          <t>ASTRAZENECA PHARMA (INDIA) LTD</t>
        </is>
      </c>
      <c r="C405" s="97" t="n">
        <v>506820</v>
      </c>
      <c r="D405" s="96" t="inlineStr">
        <is>
          <t>ASTRAZEN</t>
        </is>
      </c>
      <c r="E405" s="96" t="inlineStr">
        <is>
          <t>Pharmaceuticals</t>
        </is>
      </c>
    </row>
    <row r="406" ht="15" customHeight="1" s="109" thickBot="1">
      <c r="B406" s="96" t="inlineStr">
        <is>
          <t>ASTRAZENECA PHARMA INDIA LTD</t>
        </is>
      </c>
      <c r="C406" s="97" t="n">
        <v>506820</v>
      </c>
      <c r="D406" s="96" t="inlineStr">
        <is>
          <t>ASTRAZEN</t>
        </is>
      </c>
      <c r="E406" s="96" t="inlineStr">
        <is>
          <t>Pharmaceuticals</t>
        </is>
      </c>
    </row>
    <row r="407" ht="15" customHeight="1" s="109" thickBot="1">
      <c r="B407" s="96" t="inlineStr">
        <is>
          <t>ASTRON PAPER &amp; BOARD MILL LTD</t>
        </is>
      </c>
      <c r="C407" s="97" t="n">
        <v>540824</v>
      </c>
      <c r="D407" s="96" t="inlineStr">
        <is>
          <t>ASTRON</t>
        </is>
      </c>
      <c r="E407" s="96" t="inlineStr">
        <is>
          <t>Paper &amp; Paper Products</t>
        </is>
      </c>
    </row>
    <row r="408" ht="15" customHeight="1" s="109" thickBot="1">
      <c r="B408" s="96" t="inlineStr">
        <is>
          <t>ASUTOSH ENTERPRISES LTD</t>
        </is>
      </c>
      <c r="C408" s="97" t="n">
        <v>512433</v>
      </c>
      <c r="D408" s="96" t="inlineStr">
        <is>
          <t>Not Listed</t>
        </is>
      </c>
      <c r="E408" s="96" t="inlineStr">
        <is>
          <t>Comm.Trading &amp; Distribution</t>
        </is>
      </c>
    </row>
    <row r="409" ht="15" customHeight="1" s="109" thickBot="1">
      <c r="B409" s="96" t="inlineStr">
        <is>
          <t>ASYA INFOSOFT LTD</t>
        </is>
      </c>
      <c r="C409" s="97" t="n">
        <v>511144</v>
      </c>
      <c r="D409" s="96" t="inlineStr">
        <is>
          <t>Not Listed</t>
        </is>
      </c>
      <c r="E409" s="96" t="inlineStr">
        <is>
          <t>IT Consulting &amp; Software</t>
        </is>
      </c>
    </row>
    <row r="410" ht="15" customHeight="1" s="109" thickBot="1">
      <c r="B410" s="96" t="inlineStr">
        <is>
          <t>ATHARV ENTERPRISES LTD</t>
        </is>
      </c>
      <c r="C410" s="97" t="n">
        <v>530187</v>
      </c>
      <c r="D410" s="96" t="inlineStr">
        <is>
          <t>Not Listed</t>
        </is>
      </c>
      <c r="E410" s="96" t="inlineStr">
        <is>
          <t>Finance (including NBFCs)</t>
        </is>
      </c>
    </row>
    <row r="411" ht="15" customHeight="1" s="109" thickBot="1">
      <c r="B411" s="96" t="inlineStr">
        <is>
          <t>ATHENA CONSTRUCTIONS LTD</t>
        </is>
      </c>
      <c r="C411" s="97" t="n">
        <v>539099</v>
      </c>
      <c r="D411" s="96" t="inlineStr">
        <is>
          <t>Not Listed</t>
        </is>
      </c>
      <c r="E411" s="96" t="inlineStr">
        <is>
          <t>Realty</t>
        </is>
      </c>
    </row>
    <row r="412" ht="15" customHeight="1" s="109" thickBot="1">
      <c r="B412" s="96" t="inlineStr">
        <is>
          <t>Athena Global Technologies Ltd-$</t>
        </is>
      </c>
      <c r="C412" s="97" t="n">
        <v>517429</v>
      </c>
      <c r="D412" s="96" t="inlineStr">
        <is>
          <t>ATHENAGLO</t>
        </is>
      </c>
      <c r="E412" s="96" t="inlineStr">
        <is>
          <t>IT Software Products</t>
        </is>
      </c>
    </row>
    <row r="413" ht="15" customHeight="1" s="109" thickBot="1">
      <c r="B413" s="96" t="inlineStr">
        <is>
          <t>ATISHAY LTD</t>
        </is>
      </c>
      <c r="C413" s="97" t="n">
        <v>538713</v>
      </c>
      <c r="D413" s="96" t="inlineStr">
        <is>
          <t>Not Listed</t>
        </is>
      </c>
      <c r="E413" s="96" t="inlineStr">
        <is>
          <t>IT Software Products</t>
        </is>
      </c>
    </row>
    <row r="414" ht="15" customHeight="1" s="109" thickBot="1">
      <c r="B414" s="96" t="inlineStr">
        <is>
          <t>ATLANTA DEVCON LTD</t>
        </is>
      </c>
      <c r="C414" s="97" t="n">
        <v>526843</v>
      </c>
      <c r="D414" s="96" t="inlineStr">
        <is>
          <t>Not Listed</t>
        </is>
      </c>
      <c r="E414" s="96" t="inlineStr">
        <is>
          <t>Comm.Trading &amp; Distribution</t>
        </is>
      </c>
    </row>
    <row r="415" ht="15" customHeight="1" s="109" thickBot="1">
      <c r="B415" s="96" t="inlineStr">
        <is>
          <t>ATLANTA LTD</t>
        </is>
      </c>
      <c r="C415" s="97" t="n">
        <v>532759</v>
      </c>
      <c r="D415" s="96" t="inlineStr">
        <is>
          <t>ATLANTA</t>
        </is>
      </c>
      <c r="E415" s="96" t="inlineStr">
        <is>
          <t>Construction &amp; Engineering</t>
        </is>
      </c>
    </row>
    <row r="416" ht="15" customHeight="1" s="109" thickBot="1">
      <c r="B416" s="96" t="inlineStr">
        <is>
          <t>ATLAS CYCLES HARYANA LTD</t>
        </is>
      </c>
      <c r="C416" s="97" t="n">
        <v>505029</v>
      </c>
      <c r="D416" s="96" t="inlineStr">
        <is>
          <t>ATLASCYCLE</t>
        </is>
      </c>
      <c r="E416" s="96" t="inlineStr">
        <is>
          <t>2/3 Wheelers</t>
        </is>
      </c>
    </row>
    <row r="417" ht="15" customHeight="1" s="109" thickBot="1">
      <c r="B417" s="96" t="inlineStr">
        <is>
          <t>ATLAS JEWELLERY (INDIA) LTD</t>
        </is>
      </c>
      <c r="C417" s="97" t="n">
        <v>514394</v>
      </c>
      <c r="D417" s="96" t="inlineStr">
        <is>
          <t>Not Listed</t>
        </is>
      </c>
      <c r="E417" s="96" t="inlineStr">
        <is>
          <t>Other Apparels &amp; Accessories</t>
        </is>
      </c>
    </row>
    <row r="418" ht="15" customHeight="1" s="109" thickBot="1">
      <c r="B418" s="96" t="inlineStr">
        <is>
          <t>ATLAS JEWELLERY INDIA LTD</t>
        </is>
      </c>
      <c r="C418" s="97" t="n">
        <v>514394</v>
      </c>
      <c r="D418" s="96" t="inlineStr">
        <is>
          <t>Not Listed</t>
        </is>
      </c>
      <c r="E418" s="96" t="inlineStr">
        <is>
          <t>Other Apparels &amp; Accessories</t>
        </is>
      </c>
    </row>
    <row r="419" ht="15" customHeight="1" s="109" thickBot="1">
      <c r="B419" s="96" t="inlineStr">
        <is>
          <t>ATUL AUTO LTD</t>
        </is>
      </c>
      <c r="C419" s="97" t="n">
        <v>531795</v>
      </c>
      <c r="D419" s="96" t="inlineStr">
        <is>
          <t>ATULAUTO</t>
        </is>
      </c>
      <c r="E419" s="96" t="inlineStr">
        <is>
          <t>2/3 Wheelers</t>
        </is>
      </c>
    </row>
    <row r="420" ht="15" customHeight="1" s="109" thickBot="1">
      <c r="B420" s="96" t="inlineStr">
        <is>
          <t>ATUL LTD</t>
        </is>
      </c>
      <c r="C420" s="97" t="n">
        <v>500027</v>
      </c>
      <c r="D420" s="96" t="inlineStr">
        <is>
          <t>ATUL</t>
        </is>
      </c>
      <c r="E420" s="96" t="inlineStr">
        <is>
          <t>Agrochemicals</t>
        </is>
      </c>
    </row>
    <row r="421" ht="15" customHeight="1" s="109" thickBot="1">
      <c r="B421" s="96" t="inlineStr">
        <is>
          <t>ATV PROJECTS (INDIA) LTD</t>
        </is>
      </c>
      <c r="C421" s="97" t="n">
        <v>500028</v>
      </c>
      <c r="D421" s="96" t="inlineStr">
        <is>
          <t>Not Listed</t>
        </is>
      </c>
      <c r="E421" s="96" t="inlineStr">
        <is>
          <t>Construction &amp; Engineering</t>
        </is>
      </c>
    </row>
    <row r="422" ht="15" customHeight="1" s="109" thickBot="1">
      <c r="B422" s="96" t="inlineStr">
        <is>
          <t>ATV PROJECTS INDIA LTD</t>
        </is>
      </c>
      <c r="C422" s="97" t="n">
        <v>500028</v>
      </c>
      <c r="D422" s="96" t="inlineStr">
        <is>
          <t>Not Listed</t>
        </is>
      </c>
      <c r="E422" s="96" t="inlineStr">
        <is>
          <t>Construction &amp; Engineering</t>
        </is>
      </c>
    </row>
    <row r="423" ht="15" customHeight="1" s="109" thickBot="1">
      <c r="B423" s="96" t="inlineStr">
        <is>
          <t>AU SMALL FINANCE BANK LTD</t>
        </is>
      </c>
      <c r="C423" s="97" t="n">
        <v>540611</v>
      </c>
      <c r="D423" s="96" t="inlineStr">
        <is>
          <t>AUBANK</t>
        </is>
      </c>
      <c r="E423" s="96" t="inlineStr">
        <is>
          <t>Banks</t>
        </is>
      </c>
    </row>
    <row r="424" ht="15" customHeight="1" s="109" thickBot="1">
      <c r="B424" s="96" t="inlineStr">
        <is>
          <t>AUNDE FAZE THREE AUTOFAB LTD</t>
        </is>
      </c>
      <c r="C424" s="97" t="n">
        <v>532459</v>
      </c>
      <c r="D424" s="96" t="inlineStr">
        <is>
          <t>Not Listed</t>
        </is>
      </c>
      <c r="E424" s="96" t="inlineStr">
        <is>
          <t>Textiles</t>
        </is>
      </c>
    </row>
    <row r="425" ht="15" customHeight="1" s="109" thickBot="1">
      <c r="B425" s="96" t="inlineStr">
        <is>
          <t>AURANGABAD DISTILLERY LTD</t>
        </is>
      </c>
      <c r="C425" s="96" t="inlineStr">
        <is>
          <t>Not Listed</t>
        </is>
      </c>
      <c r="D425" s="96" t="inlineStr">
        <is>
          <t>AURDIS</t>
        </is>
      </c>
      <c r="E425" s="96" t="inlineStr">
        <is>
          <t>SME</t>
        </is>
      </c>
    </row>
    <row r="426" ht="15" customHeight="1" s="109" thickBot="1">
      <c r="B426" s="96" t="inlineStr">
        <is>
          <t>AURIONPRO SOLUTIONS LTD</t>
        </is>
      </c>
      <c r="C426" s="97" t="n">
        <v>532668</v>
      </c>
      <c r="D426" s="96" t="inlineStr">
        <is>
          <t>AURIONPRO</t>
        </is>
      </c>
      <c r="E426" s="96" t="inlineStr">
        <is>
          <t>IT Software Products</t>
        </is>
      </c>
    </row>
    <row r="427" ht="15" customHeight="1" s="109" thickBot="1">
      <c r="B427" s="96" t="inlineStr">
        <is>
          <t>AURO LABORATORIES LTD</t>
        </is>
      </c>
      <c r="C427" s="97" t="n">
        <v>530233</v>
      </c>
      <c r="D427" s="96" t="inlineStr">
        <is>
          <t>Not Listed</t>
        </is>
      </c>
      <c r="E427" s="96" t="inlineStr">
        <is>
          <t>Pharmaceuticals</t>
        </is>
      </c>
    </row>
    <row r="428" ht="15" customHeight="1" s="109" thickBot="1">
      <c r="B428" s="96" t="inlineStr">
        <is>
          <t>AUROBINDO PHARMA LTD</t>
        </is>
      </c>
      <c r="C428" s="97" t="n">
        <v>524804</v>
      </c>
      <c r="D428" s="96" t="inlineStr">
        <is>
          <t>AUROPHARMA</t>
        </is>
      </c>
      <c r="E428" s="96" t="inlineStr">
        <is>
          <t>Pharmaceuticals</t>
        </is>
      </c>
    </row>
    <row r="429" ht="15" customHeight="1" s="109" thickBot="1">
      <c r="B429" s="96" t="inlineStr">
        <is>
          <t>AUROMA COKE LTD</t>
        </is>
      </c>
      <c r="C429" s="97" t="n">
        <v>531336</v>
      </c>
      <c r="D429" s="96" t="inlineStr">
        <is>
          <t>Not Listed</t>
        </is>
      </c>
      <c r="E429" s="96" t="inlineStr">
        <is>
          <t>Coal</t>
        </is>
      </c>
    </row>
    <row r="430" ht="15" customHeight="1" s="109" thickBot="1">
      <c r="B430" s="96" t="inlineStr">
        <is>
          <t>AUSOM ENTERPRISE LTD</t>
        </is>
      </c>
      <c r="C430" s="97" t="n">
        <v>509009</v>
      </c>
      <c r="D430" s="96" t="inlineStr">
        <is>
          <t>AUSOMENT</t>
        </is>
      </c>
      <c r="E430" s="96" t="inlineStr">
        <is>
          <t>Comm.Trading &amp; Distribution</t>
        </is>
      </c>
    </row>
    <row r="431" ht="15" customHeight="1" s="109" thickBot="1">
      <c r="B431" s="96" t="inlineStr">
        <is>
          <t>AUSTIN ENGINEERING CO LTD</t>
        </is>
      </c>
      <c r="C431" s="97" t="n">
        <v>522005</v>
      </c>
      <c r="D431" s="96" t="inlineStr">
        <is>
          <t>Not Listed</t>
        </is>
      </c>
      <c r="E431" s="96" t="inlineStr">
        <is>
          <t>Industrial Machinery</t>
        </is>
      </c>
    </row>
    <row r="432" ht="15" customHeight="1" s="109" thickBot="1">
      <c r="B432" s="96" t="inlineStr">
        <is>
          <t>AUTHUM INVESTMENT &amp; INFRASTRUCTURE LTD</t>
        </is>
      </c>
      <c r="C432" s="97" t="n">
        <v>539177</v>
      </c>
      <c r="D432" s="96" t="inlineStr">
        <is>
          <t>Not Listed</t>
        </is>
      </c>
      <c r="E432" s="96" t="inlineStr">
        <is>
          <t>Finance (including NBFCs)</t>
        </is>
      </c>
    </row>
    <row r="433" ht="15" customHeight="1" s="109" thickBot="1">
      <c r="B433" s="96" t="inlineStr">
        <is>
          <t>AUTO PINS (INDIA) LTD</t>
        </is>
      </c>
      <c r="C433" s="97" t="n">
        <v>531994</v>
      </c>
      <c r="D433" s="96" t="inlineStr">
        <is>
          <t>Not Listed</t>
        </is>
      </c>
      <c r="E433" s="96" t="inlineStr">
        <is>
          <t>Auto Parts &amp; Equipment</t>
        </is>
      </c>
    </row>
    <row r="434" ht="15" customHeight="1" s="109" thickBot="1">
      <c r="B434" s="96" t="inlineStr">
        <is>
          <t>AUTO PINS INDIA LTD</t>
        </is>
      </c>
      <c r="C434" s="97" t="n">
        <v>531994</v>
      </c>
      <c r="D434" s="96" t="inlineStr">
        <is>
          <t>Not Listed</t>
        </is>
      </c>
      <c r="E434" s="96" t="inlineStr">
        <is>
          <t>Auto Parts &amp; Equipment</t>
        </is>
      </c>
    </row>
    <row r="435" ht="15" customHeight="1" s="109" thickBot="1">
      <c r="B435" s="96" t="inlineStr">
        <is>
          <t>AUTOLINE INDUSTRIES LTD</t>
        </is>
      </c>
      <c r="C435" s="97" t="n">
        <v>532797</v>
      </c>
      <c r="D435" s="96" t="inlineStr">
        <is>
          <t>AUTOIND</t>
        </is>
      </c>
      <c r="E435" s="96" t="inlineStr">
        <is>
          <t>Auto Parts &amp; Equipment</t>
        </is>
      </c>
    </row>
    <row r="436" ht="15" customHeight="1" s="109" thickBot="1">
      <c r="B436" s="96" t="inlineStr">
        <is>
          <t>AUTOLITE (INDIA) LTD</t>
        </is>
      </c>
      <c r="C436" s="97" t="n">
        <v>500029</v>
      </c>
      <c r="D436" s="96" t="inlineStr">
        <is>
          <t>AUTOLITIND</t>
        </is>
      </c>
      <c r="E436" s="96" t="inlineStr">
        <is>
          <t>Auto Parts &amp; Equipment</t>
        </is>
      </c>
    </row>
    <row r="437" ht="15" customHeight="1" s="109" thickBot="1">
      <c r="B437" s="96" t="inlineStr">
        <is>
          <t>AUTOLITE INDIA LTD</t>
        </is>
      </c>
      <c r="C437" s="97" t="n">
        <v>500029</v>
      </c>
      <c r="D437" s="96" t="inlineStr">
        <is>
          <t>AUTOLITIND</t>
        </is>
      </c>
      <c r="E437" s="96" t="inlineStr">
        <is>
          <t>Auto Parts &amp; Equipment</t>
        </is>
      </c>
    </row>
    <row r="438" ht="15" customHeight="1" s="109" thickBot="1">
      <c r="B438" s="96" t="inlineStr">
        <is>
          <t>AUTOMOBILE CORPORATION OF GOA LTD</t>
        </is>
      </c>
      <c r="C438" s="97" t="n">
        <v>505036</v>
      </c>
      <c r="D438" s="96" t="inlineStr">
        <is>
          <t>Not Listed</t>
        </is>
      </c>
      <c r="E438" s="96" t="inlineStr">
        <is>
          <t>Auto Parts &amp; Equipment</t>
        </is>
      </c>
    </row>
    <row r="439" ht="15" customHeight="1" s="109" thickBot="1">
      <c r="B439" s="96" t="inlineStr">
        <is>
          <t>AUTOMOTIVE AXLES LTD</t>
        </is>
      </c>
      <c r="C439" s="97" t="n">
        <v>505010</v>
      </c>
      <c r="D439" s="96" t="inlineStr">
        <is>
          <t>AUTOAXLES</t>
        </is>
      </c>
      <c r="E439" s="96" t="inlineStr">
        <is>
          <t>Auto Parts &amp; Equipment</t>
        </is>
      </c>
    </row>
    <row r="440" ht="15" customHeight="1" s="109" thickBot="1">
      <c r="B440" s="96" t="inlineStr">
        <is>
          <t>AUTOMOTIVE STAMPINGS AND ASSEMBLIES LTD</t>
        </is>
      </c>
      <c r="C440" s="97" t="n">
        <v>520119</v>
      </c>
      <c r="D440" s="96" t="inlineStr">
        <is>
          <t>ASAL</t>
        </is>
      </c>
      <c r="E440" s="96" t="inlineStr">
        <is>
          <t>Auto Parts &amp; Equipment</t>
        </is>
      </c>
    </row>
    <row r="441" ht="15" customHeight="1" s="109" thickBot="1">
      <c r="B441" s="96" t="inlineStr">
        <is>
          <t>AUTORIDERS INTERNATIONAL LTD</t>
        </is>
      </c>
      <c r="C441" s="97" t="n">
        <v>512277</v>
      </c>
      <c r="D441" s="96" t="inlineStr">
        <is>
          <t>Not Listed</t>
        </is>
      </c>
      <c r="E441" s="96" t="inlineStr">
        <is>
          <t>Transportation - Logistics</t>
        </is>
      </c>
    </row>
    <row r="442" ht="15" customHeight="1" s="109" thickBot="1">
      <c r="B442" s="96" t="inlineStr">
        <is>
          <t>AUTUMN BUILDERS LTD</t>
        </is>
      </c>
      <c r="C442" s="97" t="n">
        <v>780004</v>
      </c>
      <c r="D442" s="96" t="inlineStr">
        <is>
          <t>Not Listed</t>
        </is>
      </c>
      <c r="E442" s="96" t="inlineStr">
        <is>
          <t>Others</t>
        </is>
      </c>
    </row>
    <row r="443" ht="15" customHeight="1" s="109" thickBot="1">
      <c r="B443" s="96" t="inlineStr">
        <is>
          <t>AVADH SUGAR &amp; ENERGY LTD</t>
        </is>
      </c>
      <c r="C443" s="97" t="n">
        <v>540649</v>
      </c>
      <c r="D443" s="96" t="inlineStr">
        <is>
          <t>AVADHSUGAR</t>
        </is>
      </c>
      <c r="E443" s="96" t="inlineStr">
        <is>
          <t>Sugar</t>
        </is>
      </c>
    </row>
    <row r="444" ht="15" customHeight="1" s="109" thickBot="1">
      <c r="B444" s="96" t="inlineStr">
        <is>
          <t>AVAILABLE FINANCE LTD</t>
        </is>
      </c>
      <c r="C444" s="97" t="n">
        <v>531310</v>
      </c>
      <c r="D444" s="96" t="inlineStr">
        <is>
          <t>Not Listed</t>
        </is>
      </c>
      <c r="E444" s="96" t="inlineStr">
        <is>
          <t>Other Financial Services</t>
        </is>
      </c>
    </row>
    <row r="445" ht="15" customHeight="1" s="109" thickBot="1">
      <c r="B445" s="96" t="inlineStr">
        <is>
          <t>AVANCE TECHNOLOGIES LTD</t>
        </is>
      </c>
      <c r="C445" s="97" t="n">
        <v>512149</v>
      </c>
      <c r="D445" s="96" t="inlineStr">
        <is>
          <t>Not Listed</t>
        </is>
      </c>
      <c r="E445" s="96" t="inlineStr">
        <is>
          <t>IT Software Products</t>
        </is>
      </c>
    </row>
    <row r="446" ht="15" customHeight="1" s="109" thickBot="1">
      <c r="B446" s="96" t="inlineStr">
        <is>
          <t>AVANTEL LTD</t>
        </is>
      </c>
      <c r="C446" s="97" t="n">
        <v>532406</v>
      </c>
      <c r="D446" s="96" t="inlineStr">
        <is>
          <t>Not Listed</t>
        </is>
      </c>
      <c r="E446" s="96" t="inlineStr">
        <is>
          <t>Telecom Equipment</t>
        </is>
      </c>
    </row>
    <row r="447" ht="15" customHeight="1" s="109" thickBot="1">
      <c r="B447" s="96" t="inlineStr">
        <is>
          <t>AVANTI FEEDS LTD</t>
        </is>
      </c>
      <c r="C447" s="97" t="n">
        <v>512573</v>
      </c>
      <c r="D447" s="96" t="inlineStr">
        <is>
          <t>AVANTIFEED</t>
        </is>
      </c>
      <c r="E447" s="96" t="inlineStr">
        <is>
          <t>Other Food Products</t>
        </is>
      </c>
    </row>
    <row r="448" ht="15" customHeight="1" s="109" thickBot="1">
      <c r="B448" s="96" t="inlineStr">
        <is>
          <t>ITC LTD</t>
        </is>
      </c>
      <c r="C448" s="97" t="n">
        <v>540376</v>
      </c>
      <c r="D448" s="96" t="inlineStr">
        <is>
          <t>ITC</t>
        </is>
      </c>
      <c r="E448" s="96" t="inlineStr">
        <is>
          <t>Department Stores</t>
        </is>
      </c>
    </row>
    <row r="449" ht="15" customHeight="1" s="109" thickBot="1">
      <c r="B449" s="96" t="inlineStr">
        <is>
          <t>AVG LOGISTICS LTD</t>
        </is>
      </c>
      <c r="C449" s="96" t="inlineStr">
        <is>
          <t>Not Listed</t>
        </is>
      </c>
      <c r="D449" s="96" t="inlineStr">
        <is>
          <t>AVG</t>
        </is>
      </c>
      <c r="E449" s="96" t="inlineStr">
        <is>
          <t>SME</t>
        </is>
      </c>
    </row>
    <row r="450" ht="15" customHeight="1" s="109" thickBot="1">
      <c r="B450" s="96" t="inlineStr">
        <is>
          <t>AVI POLYMERS LTD</t>
        </is>
      </c>
      <c r="C450" s="97" t="n">
        <v>539288</v>
      </c>
      <c r="D450" s="96" t="inlineStr">
        <is>
          <t>Not Listed</t>
        </is>
      </c>
      <c r="E450" s="96" t="inlineStr">
        <is>
          <t>Specialty Chemicals</t>
        </is>
      </c>
    </row>
    <row r="451" ht="15" customHeight="1" s="109" thickBot="1">
      <c r="B451" s="96" t="inlineStr">
        <is>
          <t>AVI PRODUCTS (INDIA) LTD</t>
        </is>
      </c>
      <c r="C451" s="97" t="n">
        <v>523896</v>
      </c>
      <c r="D451" s="96" t="inlineStr">
        <is>
          <t>Not Listed</t>
        </is>
      </c>
      <c r="E451" s="96" t="inlineStr">
        <is>
          <t>Comm.Trading &amp; Distribution</t>
        </is>
      </c>
    </row>
    <row r="452" ht="15" customHeight="1" s="109" thickBot="1">
      <c r="B452" s="96" t="inlineStr">
        <is>
          <t>AVI PRODUCTS INDIA LTD</t>
        </is>
      </c>
      <c r="C452" s="97" t="n">
        <v>523896</v>
      </c>
      <c r="D452" s="96" t="inlineStr">
        <is>
          <t>Not Listed</t>
        </is>
      </c>
      <c r="E452" s="96" t="inlineStr">
        <is>
          <t>Comm.Trading &amp; Distribution</t>
        </is>
      </c>
    </row>
    <row r="453" ht="15" customHeight="1" s="109" thickBot="1">
      <c r="B453" s="96" t="inlineStr">
        <is>
          <t>AVIVA INDUSTRIES LTD</t>
        </is>
      </c>
      <c r="C453" s="97" t="n">
        <v>512109</v>
      </c>
      <c r="D453" s="96" t="inlineStr">
        <is>
          <t>Not Listed</t>
        </is>
      </c>
      <c r="E453" s="96" t="inlineStr">
        <is>
          <t>Comm.Trading &amp; Distribution</t>
        </is>
      </c>
    </row>
    <row r="454" ht="15" customHeight="1" s="109" thickBot="1">
      <c r="B454" s="96" t="inlineStr">
        <is>
          <t>AVON LIFESCIENCES LTD</t>
        </is>
      </c>
      <c r="C454" s="97" t="n">
        <v>531541</v>
      </c>
      <c r="D454" s="96" t="inlineStr">
        <is>
          <t>Not Listed</t>
        </is>
      </c>
      <c r="E454" s="96" t="inlineStr">
        <is>
          <t>Commodity Chemicals</t>
        </is>
      </c>
    </row>
    <row r="455" ht="15" customHeight="1" s="109" thickBot="1">
      <c r="B455" s="96" t="inlineStr">
        <is>
          <t>AVON MOLDPLAST LTD</t>
        </is>
      </c>
      <c r="C455" s="96" t="inlineStr">
        <is>
          <t>Not Listed</t>
        </is>
      </c>
      <c r="D455" s="96" t="inlineStr">
        <is>
          <t>AVONMPL</t>
        </is>
      </c>
      <c r="E455" s="96" t="inlineStr">
        <is>
          <t>SME</t>
        </is>
      </c>
    </row>
    <row r="456" ht="15" customHeight="1" s="109" thickBot="1">
      <c r="B456" s="96" t="inlineStr">
        <is>
          <t>AVONMORE CAPITAL &amp; MANAGEMENT SERVICES LTD</t>
        </is>
      </c>
      <c r="C456" s="97" t="n">
        <v>511589</v>
      </c>
      <c r="D456" s="96" t="inlineStr">
        <is>
          <t>Not Listed</t>
        </is>
      </c>
      <c r="E456" s="96" t="inlineStr">
        <is>
          <t>Finance (including NBFCs)</t>
        </is>
      </c>
    </row>
    <row r="457" ht="15" customHeight="1" s="109" thickBot="1">
      <c r="B457" s="96" t="inlineStr">
        <is>
          <t>AVSL INDUSTRIES LTD</t>
        </is>
      </c>
      <c r="C457" s="96" t="inlineStr">
        <is>
          <t>Not Listed</t>
        </is>
      </c>
      <c r="D457" s="96" t="inlineStr">
        <is>
          <t>AVSL</t>
        </is>
      </c>
      <c r="E457" s="96" t="inlineStr">
        <is>
          <t>SME</t>
        </is>
      </c>
    </row>
    <row r="458" ht="15" customHeight="1" s="109" thickBot="1">
      <c r="B458" s="96" t="inlineStr">
        <is>
          <t>AVT NATURAL PRODUCTS LTD</t>
        </is>
      </c>
      <c r="C458" s="97" t="n">
        <v>519105</v>
      </c>
      <c r="D458" s="96" t="inlineStr">
        <is>
          <t>AVTNPL</t>
        </is>
      </c>
      <c r="E458" s="96" t="inlineStr">
        <is>
          <t>Other Agricultural Products</t>
        </is>
      </c>
    </row>
    <row r="459" ht="15" customHeight="1" s="109" thickBot="1">
      <c r="B459" s="96" t="inlineStr">
        <is>
          <t>AVTIL ENTERPRISE LTD</t>
        </is>
      </c>
      <c r="C459" s="97" t="n">
        <v>504390</v>
      </c>
      <c r="D459" s="96" t="inlineStr">
        <is>
          <t>Not Listed</t>
        </is>
      </c>
      <c r="E459" s="96" t="inlineStr">
        <is>
          <t>Other Financial Services</t>
        </is>
      </c>
    </row>
    <row r="460" ht="15" customHeight="1" s="109" thickBot="1">
      <c r="B460" s="96" t="inlineStr">
        <is>
          <t>AXEL POLYMERS LTD</t>
        </is>
      </c>
      <c r="C460" s="97" t="n">
        <v>513642</v>
      </c>
      <c r="D460" s="96" t="inlineStr">
        <is>
          <t>Not Listed</t>
        </is>
      </c>
      <c r="E460" s="96" t="inlineStr">
        <is>
          <t>Plastic Products</t>
        </is>
      </c>
    </row>
    <row r="461" ht="15" customHeight="1" s="109" thickBot="1">
      <c r="B461" s="96" t="inlineStr">
        <is>
          <t>AXIS BANK LTD</t>
        </is>
      </c>
      <c r="C461" s="97" t="n">
        <v>532215</v>
      </c>
      <c r="D461" s="96" t="inlineStr">
        <is>
          <t>AXISBANK</t>
        </is>
      </c>
      <c r="E461" s="96" t="inlineStr">
        <is>
          <t>Banks</t>
        </is>
      </c>
    </row>
    <row r="462" ht="15" customHeight="1" s="109" thickBot="1">
      <c r="B462" s="96" t="inlineStr">
        <is>
          <t>AXISCADES ENGINEERING TECHNOLOGIES LTD</t>
        </is>
      </c>
      <c r="C462" s="97" t="n">
        <v>532395</v>
      </c>
      <c r="D462" s="96" t="inlineStr">
        <is>
          <t>AXISCADES</t>
        </is>
      </c>
      <c r="E462" s="96" t="inlineStr">
        <is>
          <t>BPO/KPO</t>
        </is>
      </c>
    </row>
    <row r="463" ht="15" customHeight="1" s="109" thickBot="1">
      <c r="B463" s="96" t="inlineStr">
        <is>
          <t>Axita Cotton Ltd</t>
        </is>
      </c>
      <c r="C463" s="97" t="n">
        <v>542285</v>
      </c>
      <c r="D463" s="96" t="inlineStr">
        <is>
          <t>AXITA</t>
        </is>
      </c>
      <c r="E463" s="96" t="inlineStr">
        <is>
          <t>Textiles</t>
        </is>
      </c>
    </row>
    <row r="464" ht="15" customHeight="1" s="109" thickBot="1">
      <c r="B464" s="96" t="inlineStr">
        <is>
          <t>AXON VENTURES LTD</t>
        </is>
      </c>
      <c r="C464" s="97" t="n">
        <v>505506</v>
      </c>
      <c r="D464" s="96" t="inlineStr">
        <is>
          <t>Not Listed</t>
        </is>
      </c>
      <c r="E464" s="96" t="inlineStr">
        <is>
          <t>IT Software Products</t>
        </is>
      </c>
    </row>
    <row r="465" ht="15" customHeight="1" s="109" thickBot="1">
      <c r="B465" s="96" t="inlineStr">
        <is>
          <t>AXTEL INDUSTRIES LTD</t>
        </is>
      </c>
      <c r="C465" s="97" t="n">
        <v>523850</v>
      </c>
      <c r="D465" s="96" t="inlineStr">
        <is>
          <t>Not Listed</t>
        </is>
      </c>
      <c r="E465" s="96" t="inlineStr">
        <is>
          <t>Industrial Machinery</t>
        </is>
      </c>
    </row>
    <row r="466" ht="15" customHeight="1" s="109" thickBot="1">
      <c r="B466" s="96" t="inlineStr">
        <is>
          <t>AYEPEE LAMITUBES LTD</t>
        </is>
      </c>
      <c r="C466" s="97" t="n">
        <v>523168</v>
      </c>
      <c r="D466" s="96" t="inlineStr">
        <is>
          <t>Not Listed</t>
        </is>
      </c>
      <c r="E466" s="96" t="inlineStr">
        <is>
          <t>Petrochemicals</t>
        </is>
      </c>
    </row>
    <row r="467" ht="15" customHeight="1" s="109" thickBot="1">
      <c r="B467" s="96" t="inlineStr">
        <is>
          <t>AYM SYNTEX LTD</t>
        </is>
      </c>
      <c r="C467" s="97" t="n">
        <v>508933</v>
      </c>
      <c r="D467" s="96" t="inlineStr">
        <is>
          <t>AYMSYNTEX</t>
        </is>
      </c>
      <c r="E467" s="96" t="inlineStr">
        <is>
          <t>Textiles</t>
        </is>
      </c>
    </row>
    <row r="468" ht="15" customHeight="1" s="109" thickBot="1">
      <c r="B468" s="96" t="inlineStr">
        <is>
          <t>AYOKI MERCANTILE LTD</t>
        </is>
      </c>
      <c r="C468" s="97" t="n">
        <v>512063</v>
      </c>
      <c r="D468" s="96" t="inlineStr">
        <is>
          <t>Not Listed</t>
        </is>
      </c>
      <c r="E468" s="96" t="inlineStr">
        <is>
          <t>Comm.Trading &amp; Distribution</t>
        </is>
      </c>
    </row>
    <row r="469" ht="15" customHeight="1" s="109" thickBot="1">
      <c r="B469" s="96" t="inlineStr">
        <is>
          <t>B P CAPITAL LTD</t>
        </is>
      </c>
      <c r="C469" s="97" t="n">
        <v>536965</v>
      </c>
      <c r="D469" s="96" t="inlineStr">
        <is>
          <t>Not Listed</t>
        </is>
      </c>
      <c r="E469" s="96" t="inlineStr">
        <is>
          <t>Finance (including NBFCs)</t>
        </is>
      </c>
    </row>
    <row r="470" ht="15" customHeight="1" s="109" thickBot="1">
      <c r="B470" s="96" t="inlineStr">
        <is>
          <t>B &amp; A LTD</t>
        </is>
      </c>
      <c r="C470" s="97" t="n">
        <v>508136</v>
      </c>
      <c r="D470" s="96" t="inlineStr">
        <is>
          <t>Not Listed</t>
        </is>
      </c>
      <c r="E470" s="96" t="inlineStr">
        <is>
          <t>Tea &amp; Coffee</t>
        </is>
      </c>
    </row>
    <row r="471" ht="15" customHeight="1" s="109" thickBot="1">
      <c r="B471" s="96" t="inlineStr">
        <is>
          <t>B A G FILMS AND MEDIA LTD</t>
        </is>
      </c>
      <c r="C471" s="97" t="n">
        <v>532507</v>
      </c>
      <c r="D471" s="96" t="inlineStr">
        <is>
          <t>BAGFILMS</t>
        </is>
      </c>
      <c r="E471" s="96" t="inlineStr">
        <is>
          <t>Broadcasting &amp; Cable TV</t>
        </is>
      </c>
    </row>
    <row r="472" ht="15" customHeight="1" s="109" thickBot="1">
      <c r="B472" s="96" t="inlineStr">
        <is>
          <t>B C POWER CONTROLS LTD</t>
        </is>
      </c>
      <c r="C472" s="97" t="n">
        <v>537766</v>
      </c>
      <c r="D472" s="96" t="inlineStr">
        <is>
          <t>Not Listed</t>
        </is>
      </c>
      <c r="E472" s="96" t="inlineStr">
        <is>
          <t>Other Elect.Equip./ Prod.</t>
        </is>
      </c>
    </row>
    <row r="473" ht="15" customHeight="1" s="109" thickBot="1">
      <c r="B473" s="96" t="inlineStr">
        <is>
          <t>B L KASHYAP AND SONS LTD</t>
        </is>
      </c>
      <c r="C473" s="97" t="n">
        <v>532719</v>
      </c>
      <c r="D473" s="96" t="inlineStr">
        <is>
          <t>BLKASHYAP</t>
        </is>
      </c>
      <c r="E473" s="96" t="inlineStr">
        <is>
          <t>Realty</t>
        </is>
      </c>
    </row>
    <row r="474" ht="15" customHeight="1" s="109" thickBot="1">
      <c r="B474" s="96" t="inlineStr">
        <is>
          <t>B N RATHI SECURITIES LTD</t>
        </is>
      </c>
      <c r="C474" s="97" t="n">
        <v>523019</v>
      </c>
      <c r="D474" s="96" t="inlineStr">
        <is>
          <t>Not Listed</t>
        </is>
      </c>
      <c r="E474" s="96" t="inlineStr">
        <is>
          <t>Other Financial Services</t>
        </is>
      </c>
    </row>
    <row r="475" ht="15" customHeight="1" s="109" thickBot="1">
      <c r="B475" s="96" t="inlineStr">
        <is>
          <t>B&amp;A PACKAGING (INDIA) LTD</t>
        </is>
      </c>
      <c r="C475" s="97" t="n">
        <v>523186</v>
      </c>
      <c r="D475" s="96" t="inlineStr">
        <is>
          <t>Not Listed</t>
        </is>
      </c>
      <c r="E475" s="96" t="inlineStr">
        <is>
          <t>Paper &amp; Paper Products</t>
        </is>
      </c>
    </row>
    <row r="476" ht="15" customHeight="1" s="109" thickBot="1">
      <c r="B476" s="96" t="inlineStr">
        <is>
          <t>B&amp;A PACKAGING INDIA LTD</t>
        </is>
      </c>
      <c r="C476" s="97" t="n">
        <v>523186</v>
      </c>
      <c r="D476" s="96" t="inlineStr">
        <is>
          <t>Not Listed</t>
        </is>
      </c>
      <c r="E476" s="96" t="inlineStr">
        <is>
          <t>Paper &amp; Paper Products</t>
        </is>
      </c>
    </row>
    <row r="477" ht="15" customHeight="1" s="109" thickBot="1">
      <c r="B477" s="96" t="inlineStr">
        <is>
          <t>B&amp;B TRIPLEWALL CONTAINERS LTD</t>
        </is>
      </c>
      <c r="C477" s="96" t="inlineStr">
        <is>
          <t>Not Listed</t>
        </is>
      </c>
      <c r="D477" s="96" t="inlineStr">
        <is>
          <t>BBTCL</t>
        </is>
      </c>
      <c r="E477" s="96" t="inlineStr">
        <is>
          <t>SME</t>
        </is>
      </c>
    </row>
    <row r="478" ht="15" customHeight="1" s="109" thickBot="1">
      <c r="B478" s="96" t="inlineStr">
        <is>
          <t>B.T. Syndicate Ltd</t>
        </is>
      </c>
      <c r="C478" s="97" t="n">
        <v>542206</v>
      </c>
      <c r="D478" s="96" t="inlineStr">
        <is>
          <t>BTSYN</t>
        </is>
      </c>
      <c r="E478" s="96" t="inlineStr">
        <is>
          <t>Comm.Trading &amp;amp; Distribution</t>
        </is>
      </c>
    </row>
    <row r="479" ht="15" customHeight="1" s="109" thickBot="1">
      <c r="B479" s="96" t="inlineStr">
        <is>
          <t>B2B SOFTWARE TECHNOLOGIES LTD</t>
        </is>
      </c>
      <c r="C479" s="97" t="n">
        <v>531268</v>
      </c>
      <c r="D479" s="96" t="inlineStr">
        <is>
          <t>Not Listed</t>
        </is>
      </c>
      <c r="E479" s="96" t="inlineStr">
        <is>
          <t>IT Software Products</t>
        </is>
      </c>
    </row>
    <row r="480" ht="15" customHeight="1" s="109" thickBot="1">
      <c r="B480" s="96" t="inlineStr">
        <is>
          <t>BABA ARTS LTD</t>
        </is>
      </c>
      <c r="C480" s="97" t="n">
        <v>532380</v>
      </c>
      <c r="D480" s="96" t="inlineStr">
        <is>
          <t>Not Listed</t>
        </is>
      </c>
      <c r="E480" s="96" t="inlineStr">
        <is>
          <t>Movies &amp; Entertainment</t>
        </is>
      </c>
    </row>
    <row r="481" ht="15" customHeight="1" s="109" thickBot="1">
      <c r="B481" s="96" t="inlineStr">
        <is>
          <t>BACIL PHARMA LTD</t>
        </is>
      </c>
      <c r="C481" s="97" t="n">
        <v>524516</v>
      </c>
      <c r="D481" s="96" t="inlineStr">
        <is>
          <t>Not Listed</t>
        </is>
      </c>
      <c r="E481" s="96" t="inlineStr">
        <is>
          <t>Pharmaceuticals</t>
        </is>
      </c>
    </row>
    <row r="482" ht="15" customHeight="1" s="109" thickBot="1">
      <c r="B482" s="96" t="inlineStr">
        <is>
          <t>BAFNA PHARMACEUTICALS LTD</t>
        </is>
      </c>
      <c r="C482" s="97" t="n">
        <v>532989</v>
      </c>
      <c r="D482" s="96" t="inlineStr">
        <is>
          <t>BAFNAPHARM</t>
        </is>
      </c>
      <c r="E482" s="96" t="inlineStr">
        <is>
          <t>Pharmaceuticals</t>
        </is>
      </c>
    </row>
    <row r="483" ht="15" customHeight="1" s="109" thickBot="1">
      <c r="B483" s="96" t="inlineStr">
        <is>
          <t>BAGADIA COLOURCHEM LTD</t>
        </is>
      </c>
      <c r="C483" s="97" t="n">
        <v>530197</v>
      </c>
      <c r="D483" s="96" t="inlineStr">
        <is>
          <t>Not Listed</t>
        </is>
      </c>
      <c r="E483" s="96" t="inlineStr">
        <is>
          <t>Specialty Chemicals</t>
        </is>
      </c>
    </row>
    <row r="484" ht="15" customHeight="1" s="109" thickBot="1">
      <c r="B484" s="96" t="inlineStr">
        <is>
          <t>BAID LEASING AND FINANCE CO LTD</t>
        </is>
      </c>
      <c r="C484" s="97" t="n">
        <v>511724</v>
      </c>
      <c r="D484" s="96" t="inlineStr">
        <is>
          <t>Not Listed</t>
        </is>
      </c>
      <c r="E484" s="96" t="inlineStr">
        <is>
          <t>Finance (including NBFCs)</t>
        </is>
      </c>
    </row>
    <row r="485" ht="15" customHeight="1" s="109" thickBot="1">
      <c r="B485" s="96" t="inlineStr">
        <is>
          <t>BAJAJ AUTO LTD</t>
        </is>
      </c>
      <c r="C485" s="97" t="n">
        <v>532977</v>
      </c>
      <c r="D485" s="96" t="inlineStr">
        <is>
          <t>BAJAJ-AUTO</t>
        </is>
      </c>
      <c r="E485" s="96" t="inlineStr">
        <is>
          <t>2/3 Wheelers</t>
        </is>
      </c>
    </row>
    <row r="486" ht="15" customHeight="1" s="109" thickBot="1">
      <c r="B486" s="96" t="inlineStr">
        <is>
          <t>Bajaj Consumer Care LTD</t>
        </is>
      </c>
      <c r="C486" s="96" t="inlineStr">
        <is>
          <t>Not Listed</t>
        </is>
      </c>
      <c r="D486" s="96" t="inlineStr">
        <is>
          <t>BAJAJCON</t>
        </is>
      </c>
      <c r="E486" s="96" t="inlineStr">
        <is>
          <t>Personal Products</t>
        </is>
      </c>
    </row>
    <row r="487" ht="15" customHeight="1" s="109" thickBot="1">
      <c r="B487" s="96" t="inlineStr">
        <is>
          <t>BAJAJ CORP LTD</t>
        </is>
      </c>
      <c r="C487" s="97" t="n">
        <v>533229</v>
      </c>
      <c r="D487" s="96" t="inlineStr">
        <is>
          <t>BAJAJCORP</t>
        </is>
      </c>
      <c r="E487" s="96" t="inlineStr">
        <is>
          <t>Personal Products</t>
        </is>
      </c>
    </row>
    <row r="488" ht="15" customHeight="1" s="109" thickBot="1">
      <c r="B488" s="96" t="inlineStr">
        <is>
          <t>BAJAJ ELECTRICALS LTD</t>
        </is>
      </c>
      <c r="C488" s="97" t="n">
        <v>500031</v>
      </c>
      <c r="D488" s="96" t="inlineStr">
        <is>
          <t>BAJAJELEC</t>
        </is>
      </c>
      <c r="E488" s="96" t="inlineStr">
        <is>
          <t>Household Appliances</t>
        </is>
      </c>
    </row>
    <row r="489" ht="15" customHeight="1" s="109" thickBot="1">
      <c r="B489" s="96" t="inlineStr">
        <is>
          <t>BAJAJ FINANCE LTD</t>
        </is>
      </c>
      <c r="C489" s="97" t="n">
        <v>500034</v>
      </c>
      <c r="D489" s="96" t="inlineStr">
        <is>
          <t>BAJFINANCE</t>
        </is>
      </c>
      <c r="E489" s="96" t="inlineStr">
        <is>
          <t>Finance (including NBFCs)</t>
        </is>
      </c>
    </row>
    <row r="490" ht="15" customHeight="1" s="109" thickBot="1">
      <c r="B490" s="96" t="inlineStr">
        <is>
          <t>BAJAJ FINSERV LTD</t>
        </is>
      </c>
      <c r="C490" s="97" t="n">
        <v>532978</v>
      </c>
      <c r="D490" s="96" t="inlineStr">
        <is>
          <t>BAJAJFINSV</t>
        </is>
      </c>
      <c r="E490" s="96" t="inlineStr">
        <is>
          <t>Holding Companies</t>
        </is>
      </c>
    </row>
    <row r="491" ht="15" customHeight="1" s="109" thickBot="1">
      <c r="B491" s="96" t="inlineStr">
        <is>
          <t>BAJAJ GLOBAL LTD</t>
        </is>
      </c>
      <c r="C491" s="97" t="n">
        <v>512261</v>
      </c>
      <c r="D491" s="96" t="inlineStr">
        <is>
          <t>Not Listed</t>
        </is>
      </c>
      <c r="E491" s="96" t="inlineStr">
        <is>
          <t>Comm.Trading &amp; Distribution</t>
        </is>
      </c>
    </row>
    <row r="492" ht="15" customHeight="1" s="109" thickBot="1">
      <c r="B492" s="96" t="inlineStr">
        <is>
          <t>BAJAJ HEALTHCARE LTD</t>
        </is>
      </c>
      <c r="C492" s="97" t="n">
        <v>539872</v>
      </c>
      <c r="D492" s="96" t="inlineStr">
        <is>
          <t>Not Listed</t>
        </is>
      </c>
      <c r="E492" s="96" t="inlineStr">
        <is>
          <t>Pharmaceuticals</t>
        </is>
      </c>
    </row>
    <row r="493" ht="15" customHeight="1" s="109" thickBot="1">
      <c r="B493" s="96" t="inlineStr">
        <is>
          <t>BAJAJ HINDUSTHAN SUGAR LTD</t>
        </is>
      </c>
      <c r="C493" s="97" t="n">
        <v>500032</v>
      </c>
      <c r="D493" s="96" t="inlineStr">
        <is>
          <t>BAJAJHIND</t>
        </is>
      </c>
      <c r="E493" s="96" t="inlineStr">
        <is>
          <t>Sugar</t>
        </is>
      </c>
    </row>
    <row r="494" ht="15" customHeight="1" s="109" thickBot="1">
      <c r="B494" s="96" t="inlineStr">
        <is>
          <t>BAJAJ HOLDINGS &amp; INVESTMENT LTD</t>
        </is>
      </c>
      <c r="C494" s="97" t="n">
        <v>500490</v>
      </c>
      <c r="D494" s="96" t="inlineStr">
        <is>
          <t>BAJAJHLDNG</t>
        </is>
      </c>
      <c r="E494" s="96" t="inlineStr">
        <is>
          <t>Holding Companies</t>
        </is>
      </c>
    </row>
    <row r="495" ht="15" customHeight="1" s="109" thickBot="1">
      <c r="B495" s="96" t="inlineStr">
        <is>
          <t>BAJAJ STEEL INDUSTRIES LTD</t>
        </is>
      </c>
      <c r="C495" s="97" t="n">
        <v>507944</v>
      </c>
      <c r="D495" s="96" t="inlineStr">
        <is>
          <t>Not Listed</t>
        </is>
      </c>
      <c r="E495" s="96" t="inlineStr">
        <is>
          <t>Industrial Machinery</t>
        </is>
      </c>
    </row>
    <row r="496" ht="15" customHeight="1" s="109" thickBot="1">
      <c r="B496" s="96" t="inlineStr">
        <is>
          <t>BAJRANG FINANCE LTD</t>
        </is>
      </c>
      <c r="C496" s="97" t="n">
        <v>511139</v>
      </c>
      <c r="D496" s="96" t="inlineStr">
        <is>
          <t>Not Listed</t>
        </is>
      </c>
      <c r="E496" s="96" t="inlineStr">
        <is>
          <t>Misc.Commercial Services</t>
        </is>
      </c>
    </row>
    <row r="497" ht="15" customHeight="1" s="109" thickBot="1">
      <c r="B497" s="96" t="inlineStr">
        <is>
          <t>BAL PHARMA LTD</t>
        </is>
      </c>
      <c r="C497" s="97" t="n">
        <v>524824</v>
      </c>
      <c r="D497" s="96" t="inlineStr">
        <is>
          <t>BALPHARMA</t>
        </is>
      </c>
      <c r="E497" s="96" t="inlineStr">
        <is>
          <t>Pharmaceuticals</t>
        </is>
      </c>
    </row>
    <row r="498" ht="15" customHeight="1" s="109" thickBot="1">
      <c r="B498" s="96" t="inlineStr">
        <is>
          <t>BALAJI AMINES LTD</t>
        </is>
      </c>
      <c r="C498" s="97" t="n">
        <v>530999</v>
      </c>
      <c r="D498" s="96" t="inlineStr">
        <is>
          <t>BALAMINES</t>
        </is>
      </c>
      <c r="E498" s="96" t="inlineStr">
        <is>
          <t>Commodity Chemicals</t>
        </is>
      </c>
    </row>
    <row r="499" ht="15" customHeight="1" s="109" thickBot="1">
      <c r="B499" s="96" t="inlineStr">
        <is>
          <t>BALAJI TELEFILMS LTD</t>
        </is>
      </c>
      <c r="C499" s="97" t="n">
        <v>532382</v>
      </c>
      <c r="D499" s="96" t="inlineStr">
        <is>
          <t>BALAJITELE</t>
        </is>
      </c>
      <c r="E499" s="96" t="inlineStr">
        <is>
          <t>Broadcasting &amp; Cable TV</t>
        </is>
      </c>
    </row>
    <row r="500" ht="15" customHeight="1" s="109" thickBot="1">
      <c r="B500" s="96" t="inlineStr">
        <is>
          <t>BALASORE ALLOYS LTD</t>
        </is>
      </c>
      <c r="C500" s="97" t="n">
        <v>513142</v>
      </c>
      <c r="D500" s="96" t="inlineStr">
        <is>
          <t>Not Listed</t>
        </is>
      </c>
      <c r="E500" s="96" t="inlineStr">
        <is>
          <t>Iron &amp; Steel/Interm.Products</t>
        </is>
      </c>
    </row>
    <row r="501" ht="15" customHeight="1" s="109" thickBot="1">
      <c r="B501" s="96" t="inlineStr">
        <is>
          <t>Balaxi Ventures LTD</t>
        </is>
      </c>
      <c r="C501" s="96" t="inlineStr">
        <is>
          <t>Not Listed</t>
        </is>
      </c>
      <c r="D501" s="96" t="inlineStr">
        <is>
          <t>BALAXI</t>
        </is>
      </c>
      <c r="E501" s="96" t="inlineStr">
        <is>
          <t>Unknown</t>
        </is>
      </c>
    </row>
    <row r="502" ht="15" customHeight="1" s="109" thickBot="1">
      <c r="B502" s="96" t="inlineStr">
        <is>
          <t>BALGOPAL COMMERCIAL LTD</t>
        </is>
      </c>
      <c r="C502" s="97" t="n">
        <v>539834</v>
      </c>
      <c r="D502" s="96" t="inlineStr">
        <is>
          <t>Not Listed</t>
        </is>
      </c>
      <c r="E502" s="96" t="inlineStr">
        <is>
          <t>Comm.Trading &amp; Distribution</t>
        </is>
      </c>
    </row>
    <row r="503" ht="15" customHeight="1" s="109" thickBot="1">
      <c r="B503" s="96" t="inlineStr">
        <is>
          <t>BALKRISHNA INDUSTRIES LTD</t>
        </is>
      </c>
      <c r="C503" s="97" t="n">
        <v>502355</v>
      </c>
      <c r="D503" s="96" t="inlineStr">
        <is>
          <t>BALKRISIND</t>
        </is>
      </c>
      <c r="E503" s="96" t="inlineStr">
        <is>
          <t>Auto Tyres &amp; Rubber Products</t>
        </is>
      </c>
    </row>
    <row r="504" ht="15" customHeight="1" s="109" thickBot="1">
      <c r="B504" s="96" t="inlineStr">
        <is>
          <t>BALKRISHNA PAPER MILLS LTD</t>
        </is>
      </c>
      <c r="C504" s="97" t="n">
        <v>539251</v>
      </c>
      <c r="D504" s="96" t="inlineStr">
        <is>
          <t>BALKRISHNA</t>
        </is>
      </c>
      <c r="E504" s="96" t="inlineStr">
        <is>
          <t>Containers &amp; Packaging</t>
        </is>
      </c>
    </row>
    <row r="505" ht="15" customHeight="1" s="109" thickBot="1">
      <c r="B505" s="96" t="inlineStr">
        <is>
          <t>BALLARPUR INDUSTRIES LTD</t>
        </is>
      </c>
      <c r="C505" s="97" t="n">
        <v>500102</v>
      </c>
      <c r="D505" s="96" t="inlineStr">
        <is>
          <t>BALLARPUR</t>
        </is>
      </c>
      <c r="E505" s="96" t="inlineStr">
        <is>
          <t>Paper &amp; Paper Products</t>
        </is>
      </c>
    </row>
    <row r="506" ht="15" customHeight="1" s="109" thickBot="1">
      <c r="B506" s="96" t="inlineStr">
        <is>
          <t>BALMER LAWRIE &amp; COMPANY LTD</t>
        </is>
      </c>
      <c r="C506" s="97" t="n">
        <v>523319</v>
      </c>
      <c r="D506" s="96" t="inlineStr">
        <is>
          <t>BALMLAWRIE</t>
        </is>
      </c>
      <c r="E506" s="96" t="inlineStr">
        <is>
          <t>Diversified</t>
        </is>
      </c>
    </row>
    <row r="507" ht="15" customHeight="1" s="109" thickBot="1">
      <c r="B507" s="96" t="inlineStr">
        <is>
          <t>BALMER LAWRIE INVESTMENTS LTD</t>
        </is>
      </c>
      <c r="C507" s="97" t="n">
        <v>532485</v>
      </c>
      <c r="D507" s="96" t="inlineStr">
        <is>
          <t>Not Listed</t>
        </is>
      </c>
      <c r="E507" s="96" t="inlineStr">
        <is>
          <t>Finance (including NBFCs)</t>
        </is>
      </c>
    </row>
    <row r="508" ht="15" customHeight="1" s="109" thickBot="1">
      <c r="B508" s="96" t="inlineStr">
        <is>
          <t>BALRAMPUR CHINI MILLS LTD</t>
        </is>
      </c>
      <c r="C508" s="97" t="n">
        <v>500038</v>
      </c>
      <c r="D508" s="96" t="inlineStr">
        <is>
          <t>BALRAMCHIN</t>
        </is>
      </c>
      <c r="E508" s="96" t="inlineStr">
        <is>
          <t>Sugar</t>
        </is>
      </c>
    </row>
    <row r="509" ht="15" customHeight="1" s="109" thickBot="1">
      <c r="B509" s="96" t="inlineStr">
        <is>
          <t>BALURGHAT TECHNOLOGIES LTD</t>
        </is>
      </c>
      <c r="C509" s="97" t="n">
        <v>520127</v>
      </c>
      <c r="D509" s="96" t="inlineStr">
        <is>
          <t>Not Listed</t>
        </is>
      </c>
      <c r="E509" s="96" t="inlineStr">
        <is>
          <t>Surface Transportation</t>
        </is>
      </c>
    </row>
    <row r="510" ht="15" customHeight="1" s="109" thickBot="1">
      <c r="B510" s="96" t="inlineStr">
        <is>
          <t>BAMBINO AGRO INDUSTRIES LTD</t>
        </is>
      </c>
      <c r="C510" s="97" t="n">
        <v>519295</v>
      </c>
      <c r="D510" s="96" t="inlineStr">
        <is>
          <t>Not Listed</t>
        </is>
      </c>
      <c r="E510" s="96" t="inlineStr">
        <is>
          <t>Packaged Foods</t>
        </is>
      </c>
    </row>
    <row r="511" ht="15" customHeight="1" s="109" thickBot="1">
      <c r="B511" s="96" t="inlineStr">
        <is>
          <t>BAMPSL SECURITIES LTD</t>
        </is>
      </c>
      <c r="C511" s="97" t="n">
        <v>531591</v>
      </c>
      <c r="D511" s="96" t="inlineStr">
        <is>
          <t>Not Listed</t>
        </is>
      </c>
      <c r="E511" s="96" t="inlineStr">
        <is>
          <t>Finance (including NBFCs)</t>
        </is>
      </c>
    </row>
    <row r="512" ht="15" customHeight="1" s="109" thickBot="1">
      <c r="B512" s="96" t="inlineStr">
        <is>
          <t>BANARAS BEADS LTD</t>
        </is>
      </c>
      <c r="C512" s="97" t="n">
        <v>526849</v>
      </c>
      <c r="D512" s="96" t="inlineStr">
        <is>
          <t>BANARBEADS</t>
        </is>
      </c>
      <c r="E512" s="96" t="inlineStr">
        <is>
          <t>Other Apparels &amp; Accessories</t>
        </is>
      </c>
    </row>
    <row r="513" ht="15" customHeight="1" s="109" thickBot="1">
      <c r="B513" s="96" t="inlineStr">
        <is>
          <t>BANAS FINANCE LTD</t>
        </is>
      </c>
      <c r="C513" s="97" t="n">
        <v>509053</v>
      </c>
      <c r="D513" s="96" t="inlineStr">
        <is>
          <t>Not Listed</t>
        </is>
      </c>
      <c r="E513" s="96" t="inlineStr">
        <is>
          <t>Misc.Commercial Services</t>
        </is>
      </c>
    </row>
    <row r="514" ht="15" customHeight="1" s="109" thickBot="1">
      <c r="B514" s="96" t="inlineStr">
        <is>
          <t>BANCO PRODUCTS I LTD</t>
        </is>
      </c>
      <c r="C514" s="97" t="n">
        <v>500039</v>
      </c>
      <c r="D514" s="96" t="inlineStr">
        <is>
          <t>BANCOINDIA</t>
        </is>
      </c>
      <c r="E514" s="96" t="inlineStr">
        <is>
          <t>Auto Parts &amp; Equipment</t>
        </is>
      </c>
    </row>
    <row r="515" ht="15" customHeight="1" s="109" thickBot="1">
      <c r="B515" s="96" t="inlineStr">
        <is>
          <t>BANDHAN BANK LTD</t>
        </is>
      </c>
      <c r="C515" s="97" t="n">
        <v>541153</v>
      </c>
      <c r="D515" s="96" t="inlineStr">
        <is>
          <t>BANDHANBNK</t>
        </is>
      </c>
      <c r="E515" s="96" t="inlineStr">
        <is>
          <t>Banks</t>
        </is>
      </c>
    </row>
    <row r="516" ht="15" customHeight="1" s="109" thickBot="1">
      <c r="B516" s="96" t="inlineStr">
        <is>
          <t>BANG OVERSEAS LTD</t>
        </is>
      </c>
      <c r="C516" s="97" t="n">
        <v>532946</v>
      </c>
      <c r="D516" s="96" t="inlineStr">
        <is>
          <t>BANG</t>
        </is>
      </c>
      <c r="E516" s="96" t="inlineStr">
        <is>
          <t>Other Apparels &amp; Accessories</t>
        </is>
      </c>
    </row>
    <row r="517" ht="15" customHeight="1" s="109" thickBot="1">
      <c r="B517" s="96" t="inlineStr">
        <is>
          <t>BANGALORE FORT FARMS LTD</t>
        </is>
      </c>
      <c r="C517" s="97" t="n">
        <v>539120</v>
      </c>
      <c r="D517" s="96" t="inlineStr">
        <is>
          <t>Not Listed</t>
        </is>
      </c>
      <c r="E517" s="96" t="inlineStr">
        <is>
          <t>Jute &amp; Jute Products</t>
        </is>
      </c>
    </row>
    <row r="518" ht="15" customHeight="1" s="109" thickBot="1">
      <c r="B518" s="96" t="inlineStr">
        <is>
          <t>BANK OF BARODA</t>
        </is>
      </c>
      <c r="C518" s="97" t="n">
        <v>532134</v>
      </c>
      <c r="D518" s="96" t="inlineStr">
        <is>
          <t>BANKBARODA</t>
        </is>
      </c>
      <c r="E518" s="96" t="inlineStr">
        <is>
          <t>Banks</t>
        </is>
      </c>
    </row>
    <row r="519" ht="15" customHeight="1" s="109" thickBot="1">
      <c r="B519" s="96" t="inlineStr">
        <is>
          <t>BANK OF INDIA</t>
        </is>
      </c>
      <c r="C519" s="97" t="n">
        <v>532149</v>
      </c>
      <c r="D519" s="96" t="inlineStr">
        <is>
          <t>BANKINDIA</t>
        </is>
      </c>
      <c r="E519" s="96" t="inlineStr">
        <is>
          <t>Banks</t>
        </is>
      </c>
    </row>
    <row r="520" ht="15" customHeight="1" s="109" thickBot="1">
      <c r="B520" s="96" t="inlineStr">
        <is>
          <t>BANK OF MAHARASHTRA</t>
        </is>
      </c>
      <c r="C520" s="97" t="n">
        <v>532525</v>
      </c>
      <c r="D520" s="96" t="inlineStr">
        <is>
          <t>MAHABANK</t>
        </is>
      </c>
      <c r="E520" s="96" t="inlineStr">
        <is>
          <t>Banks</t>
        </is>
      </c>
    </row>
    <row r="521" ht="15" customHeight="1" s="109" thickBot="1">
      <c r="B521" s="96" t="inlineStr">
        <is>
          <t>BANKA BIOLOO LTD</t>
        </is>
      </c>
      <c r="C521" s="96" t="inlineStr">
        <is>
          <t>Not Listed</t>
        </is>
      </c>
      <c r="D521" s="96" t="inlineStr">
        <is>
          <t>BANKA</t>
        </is>
      </c>
      <c r="E521" s="96" t="inlineStr">
        <is>
          <t>SME</t>
        </is>
      </c>
    </row>
    <row r="522" ht="15" customHeight="1" s="109" thickBot="1">
      <c r="B522" s="96" t="inlineStr">
        <is>
          <t>BANNARI AMMAN SPINNING MILLS LTD</t>
        </is>
      </c>
      <c r="C522" s="97" t="n">
        <v>532674</v>
      </c>
      <c r="D522" s="96" t="inlineStr">
        <is>
          <t>BASML</t>
        </is>
      </c>
      <c r="E522" s="96" t="inlineStr">
        <is>
          <t>Textiles</t>
        </is>
      </c>
    </row>
    <row r="523" ht="15" customHeight="1" s="109" thickBot="1">
      <c r="B523" s="96" t="inlineStr">
        <is>
          <t>BANNARI AMMAN SUGARS LTD</t>
        </is>
      </c>
      <c r="C523" s="97" t="n">
        <v>500041</v>
      </c>
      <c r="D523" s="96" t="inlineStr">
        <is>
          <t>BANARISUG</t>
        </is>
      </c>
      <c r="E523" s="96" t="inlineStr">
        <is>
          <t>Sugar</t>
        </is>
      </c>
    </row>
    <row r="524" ht="15" customHeight="1" s="109" thickBot="1">
      <c r="B524" s="96" t="inlineStr">
        <is>
          <t>BANSAL MULTIFLEX LTD</t>
        </is>
      </c>
      <c r="C524" s="96" t="inlineStr">
        <is>
          <t>Not Listed</t>
        </is>
      </c>
      <c r="D524" s="96" t="inlineStr">
        <is>
          <t>BANSAL</t>
        </is>
      </c>
      <c r="E524" s="96" t="inlineStr">
        <is>
          <t>SME</t>
        </is>
      </c>
    </row>
    <row r="525" ht="15" customHeight="1" s="109" thickBot="1">
      <c r="B525" s="96" t="inlineStr">
        <is>
          <t>BANSAL ROOFING PRODUCTS LTD</t>
        </is>
      </c>
      <c r="C525" s="97" t="n">
        <v>538546</v>
      </c>
      <c r="D525" s="96" t="inlineStr">
        <is>
          <t>Not Listed</t>
        </is>
      </c>
      <c r="E525" s="96" t="inlineStr">
        <is>
          <t>Iron &amp; Steel Products</t>
        </is>
      </c>
    </row>
    <row r="526" ht="15" customHeight="1" s="109" thickBot="1">
      <c r="B526" s="96" t="inlineStr">
        <is>
          <t>BANSISONS TEA INDUSTRIES LTD</t>
        </is>
      </c>
      <c r="C526" s="97" t="n">
        <v>519353</v>
      </c>
      <c r="D526" s="96" t="inlineStr">
        <is>
          <t>Not Listed</t>
        </is>
      </c>
      <c r="E526" s="96" t="inlineStr">
        <is>
          <t>Tea &amp; Coffee</t>
        </is>
      </c>
    </row>
    <row r="527" ht="15" customHeight="1" s="109" thickBot="1">
      <c r="B527" s="96" t="inlineStr">
        <is>
          <t>BANSWARA SYNTEX LTD</t>
        </is>
      </c>
      <c r="C527" s="97" t="n">
        <v>503722</v>
      </c>
      <c r="D527" s="96" t="inlineStr">
        <is>
          <t>BANSWRAS</t>
        </is>
      </c>
      <c r="E527" s="96" t="inlineStr">
        <is>
          <t>Textiles</t>
        </is>
      </c>
    </row>
    <row r="528" ht="15" customHeight="1" s="109" thickBot="1">
      <c r="B528" s="96" t="inlineStr">
        <is>
          <t>BARAK VALLEY CEMENTS LTD</t>
        </is>
      </c>
      <c r="C528" s="97" t="n">
        <v>532916</v>
      </c>
      <c r="D528" s="96" t="inlineStr">
        <is>
          <t>BVCL</t>
        </is>
      </c>
      <c r="E528" s="96" t="inlineStr">
        <is>
          <t>Cement &amp; Cement Products</t>
        </is>
      </c>
    </row>
    <row r="529" ht="15" customHeight="1" s="109" thickBot="1">
      <c r="B529" s="96" t="inlineStr">
        <is>
          <t>BARODA EXTRUSION LTD</t>
        </is>
      </c>
      <c r="C529" s="97" t="n">
        <v>513502</v>
      </c>
      <c r="D529" s="96" t="inlineStr">
        <is>
          <t>Not Listed</t>
        </is>
      </c>
      <c r="E529" s="96" t="inlineStr">
        <is>
          <t>Copper</t>
        </is>
      </c>
    </row>
    <row r="530" ht="15" customHeight="1" s="109" thickBot="1">
      <c r="B530" s="96" t="inlineStr">
        <is>
          <t>BARON INFOTECH LTD</t>
        </is>
      </c>
      <c r="C530" s="97" t="n">
        <v>532336</v>
      </c>
      <c r="D530" s="96" t="inlineStr">
        <is>
          <t>Not Listed</t>
        </is>
      </c>
      <c r="E530" s="96" t="inlineStr">
        <is>
          <t>IT Software Products</t>
        </is>
      </c>
    </row>
    <row r="531" ht="15" customHeight="1" s="109" thickBot="1">
      <c r="B531" s="96" t="inlineStr">
        <is>
          <t>BARTRONICS (INDIA) LTD</t>
        </is>
      </c>
      <c r="C531" s="97" t="n">
        <v>532694</v>
      </c>
      <c r="D531" s="96" t="inlineStr">
        <is>
          <t>BARTRONICS</t>
        </is>
      </c>
      <c r="E531" s="96" t="inlineStr">
        <is>
          <t>Misc.Commercial Services</t>
        </is>
      </c>
    </row>
    <row r="532" ht="15" customHeight="1" s="109" thickBot="1">
      <c r="B532" s="96" t="inlineStr">
        <is>
          <t>BARTRONICS INDIA LTD</t>
        </is>
      </c>
      <c r="C532" s="97" t="n">
        <v>532694</v>
      </c>
      <c r="D532" s="96" t="inlineStr">
        <is>
          <t>BARTRONICS</t>
        </is>
      </c>
      <c r="E532" s="96" t="inlineStr">
        <is>
          <t>Misc.Commercial Services</t>
        </is>
      </c>
    </row>
    <row r="533" ht="15" customHeight="1" s="109" thickBot="1">
      <c r="B533" s="96" t="inlineStr">
        <is>
          <t>BASANT AGRO TECH (INDIA) LTD</t>
        </is>
      </c>
      <c r="C533" s="97" t="n">
        <v>524687</v>
      </c>
      <c r="D533" s="96" t="inlineStr">
        <is>
          <t>Not Listed</t>
        </is>
      </c>
      <c r="E533" s="96" t="inlineStr">
        <is>
          <t>Fertilizers</t>
        </is>
      </c>
    </row>
    <row r="534" ht="15" customHeight="1" s="109" thickBot="1">
      <c r="B534" s="96" t="inlineStr">
        <is>
          <t>BASANT AGRO TECH INDIA LTD</t>
        </is>
      </c>
      <c r="C534" s="97" t="n">
        <v>524687</v>
      </c>
      <c r="D534" s="96" t="inlineStr">
        <is>
          <t>Not Listed</t>
        </is>
      </c>
      <c r="E534" s="96" t="inlineStr">
        <is>
          <t>Fertilizers</t>
        </is>
      </c>
    </row>
    <row r="535" ht="15" customHeight="1" s="109" thickBot="1">
      <c r="B535" s="96" t="inlineStr">
        <is>
          <t>BASF (INDIA) LTD</t>
        </is>
      </c>
      <c r="C535" s="97" t="n">
        <v>500042</v>
      </c>
      <c r="D535" s="96" t="inlineStr">
        <is>
          <t>BASF</t>
        </is>
      </c>
      <c r="E535" s="96" t="inlineStr">
        <is>
          <t>Specialty Chemicals</t>
        </is>
      </c>
    </row>
    <row r="536" ht="15" customHeight="1" s="109" thickBot="1">
      <c r="B536" s="96" t="inlineStr">
        <is>
          <t>BASF INDIA LTD</t>
        </is>
      </c>
      <c r="C536" s="97" t="n">
        <v>500042</v>
      </c>
      <c r="D536" s="96" t="inlineStr">
        <is>
          <t>BASF</t>
        </is>
      </c>
      <c r="E536" s="96" t="inlineStr">
        <is>
          <t>Specialty Chemicals</t>
        </is>
      </c>
    </row>
    <row r="537" ht="15" customHeight="1" s="109" thickBot="1">
      <c r="B537" s="96" t="inlineStr">
        <is>
          <t>BATA (INDIA) LTD</t>
        </is>
      </c>
      <c r="C537" s="97" t="n">
        <v>500043</v>
      </c>
      <c r="D537" s="96" t="inlineStr">
        <is>
          <t>BATA(INDIA)</t>
        </is>
      </c>
      <c r="E537" s="96" t="inlineStr">
        <is>
          <t>Footwear</t>
        </is>
      </c>
    </row>
    <row r="538" ht="15" customHeight="1" s="109" thickBot="1">
      <c r="B538" s="96" t="inlineStr">
        <is>
          <t>BATA INDIA LTD</t>
        </is>
      </c>
      <c r="C538" s="97" t="n">
        <v>500043</v>
      </c>
      <c r="D538" s="96" t="inlineStr">
        <is>
          <t>BATAINDIA</t>
        </is>
      </c>
      <c r="E538" s="96" t="inlineStr">
        <is>
          <t>Footwear</t>
        </is>
      </c>
    </row>
    <row r="539" ht="15" customHeight="1" s="109" thickBot="1">
      <c r="B539" s="96" t="inlineStr">
        <is>
          <t>BATLIBOI LTD</t>
        </is>
      </c>
      <c r="C539" s="97" t="n">
        <v>522004</v>
      </c>
      <c r="D539" s="96" t="inlineStr">
        <is>
          <t>Not Listed</t>
        </is>
      </c>
      <c r="E539" s="96" t="inlineStr">
        <is>
          <t>Industrial Machinery</t>
        </is>
      </c>
    </row>
    <row r="540" ht="15" customHeight="1" s="109" thickBot="1">
      <c r="B540" s="96" t="inlineStr">
        <is>
          <t>BAYER CROPSCIENCE LTD</t>
        </is>
      </c>
      <c r="C540" s="97" t="n">
        <v>506285</v>
      </c>
      <c r="D540" s="96" t="inlineStr">
        <is>
          <t>BAYERCROP</t>
        </is>
      </c>
      <c r="E540" s="96" t="inlineStr">
        <is>
          <t>Agrochemicals</t>
        </is>
      </c>
    </row>
    <row r="541" ht="15" customHeight="1" s="109" thickBot="1">
      <c r="B541" s="96" t="inlineStr">
        <is>
          <t>BAZEL INTERNATIONAL LTD</t>
        </is>
      </c>
      <c r="C541" s="97" t="n">
        <v>539946</v>
      </c>
      <c r="D541" s="96" t="inlineStr">
        <is>
          <t>Not Listed</t>
        </is>
      </c>
      <c r="E541" s="96" t="inlineStr">
        <is>
          <t>Finance (including NBFCs)</t>
        </is>
      </c>
    </row>
    <row r="542" ht="15" customHeight="1" s="109" thickBot="1">
      <c r="B542" s="96" t="inlineStr">
        <is>
          <t>BCC FUBA (INDIA) LTD</t>
        </is>
      </c>
      <c r="C542" s="97" t="n">
        <v>517246</v>
      </c>
      <c r="D542" s="96" t="inlineStr">
        <is>
          <t>Not Listed</t>
        </is>
      </c>
      <c r="E542" s="96" t="inlineStr">
        <is>
          <t>Electronic Components</t>
        </is>
      </c>
    </row>
    <row r="543" ht="15" customHeight="1" s="109" thickBot="1">
      <c r="B543" s="96" t="inlineStr">
        <is>
          <t>BCC FUBA INDIA LTD</t>
        </is>
      </c>
      <c r="C543" s="97" t="n">
        <v>517246</v>
      </c>
      <c r="D543" s="96" t="inlineStr">
        <is>
          <t>Not Listed</t>
        </is>
      </c>
      <c r="E543" s="96" t="inlineStr">
        <is>
          <t>Electronic Components</t>
        </is>
      </c>
    </row>
    <row r="544" ht="15" customHeight="1" s="109" thickBot="1">
      <c r="B544" s="96" t="inlineStr">
        <is>
          <t>BCL ENTERPRISES LTD</t>
        </is>
      </c>
      <c r="C544" s="97" t="n">
        <v>539621</v>
      </c>
      <c r="D544" s="96" t="inlineStr">
        <is>
          <t>Not Listed</t>
        </is>
      </c>
      <c r="E544" s="96" t="inlineStr">
        <is>
          <t>Finance (including NBFCs)</t>
        </is>
      </c>
    </row>
    <row r="545" ht="15" customHeight="1" s="109" thickBot="1">
      <c r="B545" s="96" t="inlineStr">
        <is>
          <t>BCL INDUSTRIES LTD</t>
        </is>
      </c>
      <c r="C545" s="97" t="n">
        <v>524332</v>
      </c>
      <c r="D545" s="96" t="inlineStr">
        <is>
          <t>Not Listed</t>
        </is>
      </c>
      <c r="E545" s="96" t="inlineStr">
        <is>
          <t>Edible Oils</t>
        </is>
      </c>
    </row>
    <row r="546" ht="15" customHeight="1" s="109" thickBot="1">
      <c r="B546" s="96" t="inlineStr">
        <is>
          <t>BCPL RAILWAY INFRASTRUCTURE LTD</t>
        </is>
      </c>
      <c r="C546" s="97" t="n">
        <v>542057</v>
      </c>
      <c r="D546" s="96" t="inlineStr">
        <is>
          <t>Not Listed</t>
        </is>
      </c>
      <c r="E546" s="96" t="inlineStr">
        <is>
          <t>Construction &amp; Engineering</t>
        </is>
      </c>
    </row>
    <row r="547" ht="15" customHeight="1" s="109" thickBot="1">
      <c r="B547" s="96" t="inlineStr">
        <is>
          <t>BDH INDUSTRIES LTD</t>
        </is>
      </c>
      <c r="C547" s="97" t="n">
        <v>524828</v>
      </c>
      <c r="D547" s="96" t="inlineStr">
        <is>
          <t>Not Listed</t>
        </is>
      </c>
      <c r="E547" s="96" t="inlineStr">
        <is>
          <t>Pharmaceuticals</t>
        </is>
      </c>
    </row>
    <row r="548" ht="15" customHeight="1" s="109" thickBot="1">
      <c r="B548" s="96" t="inlineStr">
        <is>
          <t>BEARDSELL LTD</t>
        </is>
      </c>
      <c r="C548" s="97" t="n">
        <v>539447</v>
      </c>
      <c r="D548" s="96" t="inlineStr">
        <is>
          <t>BEARDSELL</t>
        </is>
      </c>
      <c r="E548" s="96" t="inlineStr">
        <is>
          <t>Containers &amp; Packaging</t>
        </is>
      </c>
    </row>
    <row r="549" ht="15" customHeight="1" s="109" thickBot="1">
      <c r="B549" s="96" t="inlineStr">
        <is>
          <t>BEDMUTHA INDUSTRIES LTD</t>
        </is>
      </c>
      <c r="C549" s="97" t="n">
        <v>533270</v>
      </c>
      <c r="D549" s="96" t="inlineStr">
        <is>
          <t>BEDMUTHA</t>
        </is>
      </c>
      <c r="E549" s="96" t="inlineStr">
        <is>
          <t>Iron &amp; Steel Products</t>
        </is>
      </c>
    </row>
    <row r="550" ht="15" customHeight="1" s="109" thickBot="1">
      <c r="B550" s="96" t="inlineStr">
        <is>
          <t>BEEKAY NIRYAT LTD</t>
        </is>
      </c>
      <c r="C550" s="97" t="n">
        <v>539546</v>
      </c>
      <c r="D550" s="96" t="inlineStr">
        <is>
          <t>Not Listed</t>
        </is>
      </c>
      <c r="E550" s="96" t="inlineStr">
        <is>
          <t>Comm.Trading &amp; Distribution</t>
        </is>
      </c>
    </row>
    <row r="551" ht="15" customHeight="1" s="109" thickBot="1">
      <c r="B551" s="96" t="inlineStr">
        <is>
          <t>BEEKAY STEEL INDUSTRIES LTD</t>
        </is>
      </c>
      <c r="C551" s="97" t="n">
        <v>539018</v>
      </c>
      <c r="D551" s="96" t="inlineStr">
        <is>
          <t>Not Listed</t>
        </is>
      </c>
      <c r="E551" s="96" t="inlineStr">
        <is>
          <t>Iron &amp; Steel/Interm.Products</t>
        </is>
      </c>
    </row>
    <row r="552" ht="15" customHeight="1" s="109" thickBot="1">
      <c r="B552" s="96" t="inlineStr">
        <is>
          <t>BEEYU OVERSEAS LTD</t>
        </is>
      </c>
      <c r="C552" s="97" t="n">
        <v>532645</v>
      </c>
      <c r="D552" s="96" t="inlineStr">
        <is>
          <t>Not Listed</t>
        </is>
      </c>
      <c r="E552" s="96" t="inlineStr">
        <is>
          <t>Comm.Trading &amp; Distribution</t>
        </is>
      </c>
    </row>
    <row r="553" ht="15" customHeight="1" s="109" thickBot="1">
      <c r="B553" s="96" t="inlineStr">
        <is>
          <t>BELLA CASA FASHION &amp; RETAIL LTD</t>
        </is>
      </c>
      <c r="C553" s="97" t="n">
        <v>539399</v>
      </c>
      <c r="D553" s="96" t="inlineStr">
        <is>
          <t>Not Listed</t>
        </is>
      </c>
      <c r="E553" s="96" t="inlineStr">
        <is>
          <t>Textiles</t>
        </is>
      </c>
    </row>
    <row r="554" ht="15" customHeight="1" s="109" thickBot="1">
      <c r="B554" s="96" t="inlineStr">
        <is>
          <t>BEMCO HYDRAULICS LTD</t>
        </is>
      </c>
      <c r="C554" s="97" t="n">
        <v>522650</v>
      </c>
      <c r="D554" s="96" t="inlineStr">
        <is>
          <t>Not Listed</t>
        </is>
      </c>
      <c r="E554" s="96" t="inlineStr">
        <is>
          <t>Other Industrial Goods</t>
        </is>
      </c>
    </row>
    <row r="555" ht="15" customHeight="1" s="109" thickBot="1">
      <c r="B555" s="96" t="inlineStr">
        <is>
          <t>BEML LTD</t>
        </is>
      </c>
      <c r="C555" s="97" t="n">
        <v>500048</v>
      </c>
      <c r="D555" s="96" t="inlineStr">
        <is>
          <t>BEML</t>
        </is>
      </c>
      <c r="E555" s="96" t="inlineStr">
        <is>
          <t>Commercial Vehicles</t>
        </is>
      </c>
    </row>
    <row r="556" ht="15" customHeight="1" s="109" thickBot="1">
      <c r="B556" s="96" t="inlineStr">
        <is>
          <t>BENARA BEARINGS AND PISTONS LTD</t>
        </is>
      </c>
      <c r="C556" s="97" t="n">
        <v>541178</v>
      </c>
      <c r="D556" s="96" t="inlineStr">
        <is>
          <t>Not Listed</t>
        </is>
      </c>
      <c r="E556" s="96" t="inlineStr">
        <is>
          <t>Other Industrial Goods</t>
        </is>
      </c>
    </row>
    <row r="557" ht="15" customHeight="1" s="109" thickBot="1">
      <c r="B557" s="96" t="inlineStr">
        <is>
          <t>BENARES HOTELS LTD</t>
        </is>
      </c>
      <c r="C557" s="97" t="n">
        <v>509438</v>
      </c>
      <c r="D557" s="96" t="inlineStr">
        <is>
          <t>Not Listed</t>
        </is>
      </c>
      <c r="E557" s="96" t="inlineStr">
        <is>
          <t>Hotels</t>
        </is>
      </c>
    </row>
    <row r="558" ht="15" customHeight="1" s="109" thickBot="1">
      <c r="B558" s="96" t="inlineStr">
        <is>
          <t>BENGAL &amp; ASSAM COMPANY LTD</t>
        </is>
      </c>
      <c r="C558" s="97" t="n">
        <v>533095</v>
      </c>
      <c r="D558" s="96" t="inlineStr">
        <is>
          <t>Not Listed</t>
        </is>
      </c>
      <c r="E558" s="96" t="inlineStr">
        <is>
          <t>Finance (including NBFCs)</t>
        </is>
      </c>
    </row>
    <row r="559" ht="15" customHeight="1" s="109" thickBot="1">
      <c r="B559" s="96" t="inlineStr">
        <is>
          <t>BENGAL STEEL INDUSTRIES LTD</t>
        </is>
      </c>
      <c r="C559" s="97" t="n">
        <v>512404</v>
      </c>
      <c r="D559" s="96" t="inlineStr">
        <is>
          <t>Not Listed</t>
        </is>
      </c>
      <c r="E559" s="96" t="inlineStr">
        <is>
          <t>Iron &amp; Steel/Interm.Products</t>
        </is>
      </c>
    </row>
    <row r="560" ht="15" customHeight="1" s="109" thickBot="1">
      <c r="B560" s="96" t="inlineStr">
        <is>
          <t>BENGAL TEA &amp; FABRICS LTD</t>
        </is>
      </c>
      <c r="C560" s="97" t="n">
        <v>532230</v>
      </c>
      <c r="D560" s="96" t="inlineStr">
        <is>
          <t>Not Listed</t>
        </is>
      </c>
      <c r="E560" s="96" t="inlineStr">
        <is>
          <t>Textiles</t>
        </is>
      </c>
    </row>
    <row r="561" ht="15" customHeight="1" s="109" thickBot="1">
      <c r="B561" s="96" t="inlineStr">
        <is>
          <t>BENTLEY COMMERCIAL ENTERPRISES LTD</t>
        </is>
      </c>
      <c r="C561" s="97" t="n">
        <v>512195</v>
      </c>
      <c r="D561" s="96" t="inlineStr">
        <is>
          <t>Not Listed</t>
        </is>
      </c>
      <c r="E561" s="96" t="inlineStr">
        <is>
          <t>Misc.Commercial Services</t>
        </is>
      </c>
    </row>
    <row r="562" ht="15" customHeight="1" s="109" thickBot="1">
      <c r="B562" s="96" t="inlineStr">
        <is>
          <t>BERGER PAINTS I LTD</t>
        </is>
      </c>
      <c r="C562" s="97" t="n">
        <v>509480</v>
      </c>
      <c r="D562" s="96" t="inlineStr">
        <is>
          <t>BERGEPAINT</t>
        </is>
      </c>
      <c r="E562" s="96" t="inlineStr">
        <is>
          <t>Furniture-Furnishing-Paints</t>
        </is>
      </c>
    </row>
    <row r="563" ht="15" customHeight="1" s="109" thickBot="1">
      <c r="B563" s="96" t="inlineStr">
        <is>
          <t>BERVIN INVESTMENT &amp; LEASING LTD</t>
        </is>
      </c>
      <c r="C563" s="97" t="n">
        <v>531340</v>
      </c>
      <c r="D563" s="96" t="inlineStr">
        <is>
          <t>Not Listed</t>
        </is>
      </c>
      <c r="E563" s="96" t="inlineStr">
        <is>
          <t>Other Financial Services</t>
        </is>
      </c>
    </row>
    <row r="564" ht="15" customHeight="1" s="109" thickBot="1">
      <c r="B564" s="96" t="inlineStr">
        <is>
          <t>BERYL DRUGS LTD</t>
        </is>
      </c>
      <c r="C564" s="97" t="n">
        <v>524606</v>
      </c>
      <c r="D564" s="96" t="inlineStr">
        <is>
          <t>Not Listed</t>
        </is>
      </c>
      <c r="E564" s="96" t="inlineStr">
        <is>
          <t>Pharmaceuticals</t>
        </is>
      </c>
    </row>
    <row r="565" ht="15" customHeight="1" s="109" thickBot="1">
      <c r="B565" s="96" t="inlineStr">
        <is>
          <t>BERYL SECURITIES LTD</t>
        </is>
      </c>
      <c r="C565" s="97" t="n">
        <v>531582</v>
      </c>
      <c r="D565" s="96" t="inlineStr">
        <is>
          <t>Not Listed</t>
        </is>
      </c>
      <c r="E565" s="96" t="inlineStr">
        <is>
          <t>Finance (including NBFCs)</t>
        </is>
      </c>
    </row>
    <row r="566" ht="15" customHeight="1" s="109" thickBot="1">
      <c r="B566" s="96" t="inlineStr">
        <is>
          <t>BEST EASTERN HOTELS LTD</t>
        </is>
      </c>
      <c r="C566" s="97" t="n">
        <v>508664</v>
      </c>
      <c r="D566" s="96" t="inlineStr">
        <is>
          <t>Not Listed</t>
        </is>
      </c>
      <c r="E566" s="96" t="inlineStr">
        <is>
          <t>Hotels</t>
        </is>
      </c>
    </row>
    <row r="567" ht="15" customHeight="1" s="109" thickBot="1">
      <c r="B567" s="96" t="inlineStr">
        <is>
          <t>BETA DRUGS LTD</t>
        </is>
      </c>
      <c r="C567" s="96" t="inlineStr">
        <is>
          <t>Not Listed</t>
        </is>
      </c>
      <c r="D567" s="96" t="inlineStr">
        <is>
          <t>BETA</t>
        </is>
      </c>
      <c r="E567" s="96" t="inlineStr">
        <is>
          <t>SME</t>
        </is>
      </c>
    </row>
    <row r="568" ht="15" customHeight="1" s="109" thickBot="1">
      <c r="B568" s="96" t="inlineStr">
        <is>
          <t>BETEX (INDIA) LTD</t>
        </is>
      </c>
      <c r="C568" s="97" t="n">
        <v>512477</v>
      </c>
      <c r="D568" s="96" t="inlineStr">
        <is>
          <t>Not Listed</t>
        </is>
      </c>
      <c r="E568" s="96" t="inlineStr">
        <is>
          <t>Textiles</t>
        </is>
      </c>
    </row>
    <row r="569" ht="15" customHeight="1" s="109" thickBot="1">
      <c r="B569" s="96" t="inlineStr">
        <is>
          <t>BETEX INDIA LTD</t>
        </is>
      </c>
      <c r="C569" s="97" t="n">
        <v>512477</v>
      </c>
      <c r="D569" s="96" t="inlineStr">
        <is>
          <t>Not Listed</t>
        </is>
      </c>
      <c r="E569" s="96" t="inlineStr">
        <is>
          <t>Textiles</t>
        </is>
      </c>
    </row>
    <row r="570" ht="15" customHeight="1" s="109" thickBot="1">
      <c r="B570" s="96" t="inlineStr">
        <is>
          <t>BF INVESTMENT LTD</t>
        </is>
      </c>
      <c r="C570" s="97" t="n">
        <v>533303</v>
      </c>
      <c r="D570" s="96" t="inlineStr">
        <is>
          <t>BFINVEST</t>
        </is>
      </c>
      <c r="E570" s="96" t="inlineStr">
        <is>
          <t>Holding Companies</t>
        </is>
      </c>
    </row>
    <row r="571" ht="15" customHeight="1" s="109" thickBot="1">
      <c r="B571" s="96" t="inlineStr">
        <is>
          <t>BF UTILITIES LTD</t>
        </is>
      </c>
      <c r="C571" s="97" t="n">
        <v>532430</v>
      </c>
      <c r="D571" s="96" t="inlineStr">
        <is>
          <t>BFUTILITIE</t>
        </is>
      </c>
      <c r="E571" s="96" t="inlineStr">
        <is>
          <t>Electric Utilities</t>
        </is>
      </c>
    </row>
    <row r="572" ht="15" customHeight="1" s="109" thickBot="1">
      <c r="B572" s="96" t="inlineStr">
        <is>
          <t>BFL ASSET FINVEST LTD</t>
        </is>
      </c>
      <c r="C572" s="97" t="n">
        <v>539662</v>
      </c>
      <c r="D572" s="96" t="inlineStr">
        <is>
          <t>Not Listed</t>
        </is>
      </c>
      <c r="E572" s="96" t="inlineStr">
        <is>
          <t>Finance (including NBFCs)</t>
        </is>
      </c>
    </row>
    <row r="573" ht="15" customHeight="1" s="109" thickBot="1">
      <c r="B573" s="96" t="inlineStr">
        <is>
          <t>BGIL FILMS &amp; TECHNOLOGIES LTD</t>
        </is>
      </c>
      <c r="C573" s="97" t="n">
        <v>511664</v>
      </c>
      <c r="D573" s="96" t="inlineStr">
        <is>
          <t>Not Listed</t>
        </is>
      </c>
      <c r="E573" s="96" t="inlineStr">
        <is>
          <t>Movies &amp; Entertainment</t>
        </is>
      </c>
    </row>
    <row r="574" ht="15" customHeight="1" s="109" thickBot="1">
      <c r="B574" s="96" t="inlineStr">
        <is>
          <t>BGR ENERGY SYSTEMS LTD</t>
        </is>
      </c>
      <c r="C574" s="97" t="n">
        <v>532930</v>
      </c>
      <c r="D574" s="96" t="inlineStr">
        <is>
          <t>BGRENERGY</t>
        </is>
      </c>
      <c r="E574" s="96" t="inlineStr">
        <is>
          <t>Heavy Electrical Equipment</t>
        </is>
      </c>
    </row>
    <row r="575" ht="15" customHeight="1" s="109" thickBot="1">
      <c r="B575" s="96" t="inlineStr">
        <is>
          <t>BHAGERIA INDUSTRIES LTD</t>
        </is>
      </c>
      <c r="C575" s="97" t="n">
        <v>530803</v>
      </c>
      <c r="D575" s="96" t="inlineStr">
        <is>
          <t>BHAGERIA</t>
        </is>
      </c>
      <c r="E575" s="96" t="inlineStr">
        <is>
          <t>Commodity Chemicals</t>
        </is>
      </c>
    </row>
    <row r="576" ht="15" customHeight="1" s="109" thickBot="1">
      <c r="B576" s="96" t="inlineStr">
        <is>
          <t>BHAGIRADHA CHEMICALS &amp; INDUSTRIES LTD</t>
        </is>
      </c>
      <c r="C576" s="97" t="n">
        <v>531719</v>
      </c>
      <c r="D576" s="96" t="inlineStr">
        <is>
          <t>Not Listed</t>
        </is>
      </c>
      <c r="E576" s="96" t="inlineStr">
        <is>
          <t>Agrochemicals</t>
        </is>
      </c>
    </row>
    <row r="577" ht="15" customHeight="1" s="109" thickBot="1">
      <c r="B577" s="96" t="inlineStr">
        <is>
          <t>BHAGWATI AUTOCAST LTD</t>
        </is>
      </c>
      <c r="C577" s="97" t="n">
        <v>504646</v>
      </c>
      <c r="D577" s="96" t="inlineStr">
        <is>
          <t>Not Listed</t>
        </is>
      </c>
      <c r="E577" s="96" t="inlineStr">
        <is>
          <t>Auto Parts &amp; Equipment</t>
        </is>
      </c>
    </row>
    <row r="578" ht="15" customHeight="1" s="109" thickBot="1">
      <c r="B578" s="96" t="inlineStr">
        <is>
          <t>BHAGWATI OXYGEN LTD</t>
        </is>
      </c>
      <c r="C578" s="97" t="n">
        <v>509449</v>
      </c>
      <c r="D578" s="96" t="inlineStr">
        <is>
          <t>Not Listed</t>
        </is>
      </c>
      <c r="E578" s="96" t="inlineStr">
        <is>
          <t>Commodity Chemicals</t>
        </is>
      </c>
    </row>
    <row r="579" ht="15" customHeight="1" s="109" thickBot="1">
      <c r="B579" s="96" t="inlineStr">
        <is>
          <t>BHAGYANAGAR (INDIA) LTD</t>
        </is>
      </c>
      <c r="C579" s="97" t="n">
        <v>512296</v>
      </c>
      <c r="D579" s="96" t="inlineStr">
        <is>
          <t>BHAGYANGR</t>
        </is>
      </c>
      <c r="E579" s="96" t="inlineStr">
        <is>
          <t>Copper</t>
        </is>
      </c>
    </row>
    <row r="580" ht="15" customHeight="1" s="109" thickBot="1">
      <c r="B580" s="96" t="inlineStr">
        <is>
          <t>BHAGYANAGAR INDIA LTD</t>
        </is>
      </c>
      <c r="C580" s="97" t="n">
        <v>512296</v>
      </c>
      <c r="D580" s="96" t="inlineStr">
        <is>
          <t>BHAGYANGR</t>
        </is>
      </c>
      <c r="E580" s="96" t="inlineStr">
        <is>
          <t>Copper</t>
        </is>
      </c>
    </row>
    <row r="581" ht="15" customHeight="1" s="109" thickBot="1">
      <c r="B581" s="96" t="inlineStr">
        <is>
          <t>BHAGYANAGAR PROPERTIES LTD</t>
        </is>
      </c>
      <c r="C581" s="97" t="n">
        <v>540621</v>
      </c>
      <c r="D581" s="96" t="inlineStr">
        <is>
          <t>BHAGYAPROP</t>
        </is>
      </c>
      <c r="E581" s="96" t="inlineStr">
        <is>
          <t>Realty</t>
        </is>
      </c>
    </row>
    <row r="582" ht="15" customHeight="1" s="109" thickBot="1">
      <c r="B582" s="96" t="inlineStr">
        <is>
          <t>BHAKTI GEMS AND JEWELLERY LTD</t>
        </is>
      </c>
      <c r="C582" s="97" t="n">
        <v>540545</v>
      </c>
      <c r="D582" s="96" t="inlineStr">
        <is>
          <t>Not Listed</t>
        </is>
      </c>
      <c r="E582" s="96" t="inlineStr">
        <is>
          <t>Other Apparels &amp; Accessories</t>
        </is>
      </c>
    </row>
    <row r="583" ht="15" customHeight="1" s="109" thickBot="1">
      <c r="B583" s="96" t="inlineStr">
        <is>
          <t>BHANDARI HOSIERY EXPORTS LTD</t>
        </is>
      </c>
      <c r="C583" s="97" t="n">
        <v>512608</v>
      </c>
      <c r="D583" s="96" t="inlineStr">
        <is>
          <t>BHANDARI</t>
        </is>
      </c>
      <c r="E583" s="96" t="inlineStr">
        <is>
          <t>Other Apparels &amp; Accessories</t>
        </is>
      </c>
    </row>
    <row r="584" ht="15" customHeight="1" s="109" thickBot="1">
      <c r="B584" s="96" t="inlineStr">
        <is>
          <t>BHANDERI INFRACON LTD</t>
        </is>
      </c>
      <c r="C584" s="97" t="n">
        <v>538576</v>
      </c>
      <c r="D584" s="96" t="inlineStr">
        <is>
          <t>Not Listed</t>
        </is>
      </c>
      <c r="E584" s="96" t="inlineStr">
        <is>
          <t>Realty</t>
        </is>
      </c>
    </row>
    <row r="585" ht="15" customHeight="1" s="109" thickBot="1">
      <c r="B585" s="96" t="inlineStr">
        <is>
          <t>BHANSALI ENGINEERING POLYMERS LTD</t>
        </is>
      </c>
      <c r="C585" s="97" t="n">
        <v>500052</v>
      </c>
      <c r="D585" s="96" t="inlineStr">
        <is>
          <t>BEPL</t>
        </is>
      </c>
      <c r="E585" s="96" t="inlineStr">
        <is>
          <t>Specialty Chemicals</t>
        </is>
      </c>
    </row>
    <row r="586" ht="15" customHeight="1" s="109" thickBot="1">
      <c r="B586" s="96" t="inlineStr">
        <is>
          <t>BHARAT AGRI FERT &amp; REALTY LTD</t>
        </is>
      </c>
      <c r="C586" s="97" t="n">
        <v>531862</v>
      </c>
      <c r="D586" s="96" t="inlineStr">
        <is>
          <t>Not Listed</t>
        </is>
      </c>
      <c r="E586" s="96" t="inlineStr">
        <is>
          <t>Fertilizers</t>
        </is>
      </c>
    </row>
    <row r="587" ht="15" customHeight="1" s="109" thickBot="1">
      <c r="B587" s="96" t="inlineStr">
        <is>
          <t>BHARAT BHUSHAN SHARE &amp; COMMODITY BROKERS LTD</t>
        </is>
      </c>
      <c r="C587" s="97" t="n">
        <v>511501</v>
      </c>
      <c r="D587" s="96" t="inlineStr">
        <is>
          <t>Not Listed</t>
        </is>
      </c>
      <c r="E587" s="96" t="inlineStr">
        <is>
          <t>Other Financial Services</t>
        </is>
      </c>
    </row>
    <row r="588" ht="15" customHeight="1" s="109" thickBot="1">
      <c r="B588" s="96" t="inlineStr">
        <is>
          <t>BHARAT BIJLEE LTD</t>
        </is>
      </c>
      <c r="C588" s="97" t="n">
        <v>503960</v>
      </c>
      <c r="D588" s="96" t="inlineStr">
        <is>
          <t>BBL</t>
        </is>
      </c>
      <c r="E588" s="96" t="inlineStr">
        <is>
          <t>Other Elect.Equip./ Prod.</t>
        </is>
      </c>
    </row>
    <row r="589" ht="15" customHeight="1" s="109" thickBot="1">
      <c r="B589" s="96" t="inlineStr">
        <is>
          <t>BHARAT DYNAMICS LTD</t>
        </is>
      </c>
      <c r="C589" s="97" t="n">
        <v>541143</v>
      </c>
      <c r="D589" s="96" t="inlineStr">
        <is>
          <t>BDL</t>
        </is>
      </c>
      <c r="E589" s="96" t="inlineStr">
        <is>
          <t>Defence</t>
        </is>
      </c>
    </row>
    <row r="590" ht="15" customHeight="1" s="109" thickBot="1">
      <c r="B590" s="96" t="inlineStr">
        <is>
          <t>BHARAT ELECTRONICS LTD</t>
        </is>
      </c>
      <c r="C590" s="97" t="n">
        <v>500049</v>
      </c>
      <c r="D590" s="96" t="inlineStr">
        <is>
          <t>BEL</t>
        </is>
      </c>
      <c r="E590" s="96" t="inlineStr">
        <is>
          <t>Defence</t>
        </is>
      </c>
    </row>
    <row r="591" ht="15" customHeight="1" s="109" thickBot="1">
      <c r="B591" s="96" t="inlineStr">
        <is>
          <t>BHARAT FINANCIAL INCLUSION LTD</t>
        </is>
      </c>
      <c r="C591" s="97" t="n">
        <v>533228</v>
      </c>
      <c r="D591" s="96" t="inlineStr">
        <is>
          <t>BHARATFIN</t>
        </is>
      </c>
      <c r="E591" s="96" t="inlineStr">
        <is>
          <t>Finance (including NBFCs)</t>
        </is>
      </c>
    </row>
    <row r="592" ht="15" customHeight="1" s="109" thickBot="1">
      <c r="B592" s="96" t="inlineStr">
        <is>
          <t>BHARAT FORGE LTD</t>
        </is>
      </c>
      <c r="C592" s="97" t="n">
        <v>500493</v>
      </c>
      <c r="D592" s="96" t="inlineStr">
        <is>
          <t>BHARATFORG</t>
        </is>
      </c>
      <c r="E592" s="96" t="inlineStr">
        <is>
          <t>Other Industrial Products</t>
        </is>
      </c>
    </row>
    <row r="593" ht="15" customHeight="1" s="109" thickBot="1">
      <c r="B593" s="96" t="inlineStr">
        <is>
          <t>BHARAT GEARS LTD</t>
        </is>
      </c>
      <c r="C593" s="97" t="n">
        <v>505688</v>
      </c>
      <c r="D593" s="96" t="inlineStr">
        <is>
          <t>BHARATGEAR</t>
        </is>
      </c>
      <c r="E593" s="96" t="inlineStr">
        <is>
          <t>Auto Parts &amp; Equipment</t>
        </is>
      </c>
    </row>
    <row r="594" ht="15" customHeight="1" s="109" thickBot="1">
      <c r="B594" s="96" t="inlineStr">
        <is>
          <t>BHARAT HEAVY ELECTRICALS LTD</t>
        </is>
      </c>
      <c r="C594" s="97" t="n">
        <v>500103</v>
      </c>
      <c r="D594" s="96" t="inlineStr">
        <is>
          <t>BHEL</t>
        </is>
      </c>
      <c r="E594" s="96" t="inlineStr">
        <is>
          <t>Heavy Electrical Equipment</t>
        </is>
      </c>
    </row>
    <row r="595" ht="15" customHeight="1" s="109" thickBot="1">
      <c r="B595" s="96" t="inlineStr">
        <is>
          <t>BHARAT IMMUNOLOGICALS &amp; BIOLOGICALS CORPORATION LTD</t>
        </is>
      </c>
      <c r="C595" s="97" t="n">
        <v>524663</v>
      </c>
      <c r="D595" s="96" t="inlineStr">
        <is>
          <t>Not Listed</t>
        </is>
      </c>
      <c r="E595" s="96" t="inlineStr">
        <is>
          <t>Pharmaceuticals</t>
        </is>
      </c>
    </row>
    <row r="596" ht="15" customHeight="1" s="109" thickBot="1">
      <c r="B596" s="96" t="inlineStr">
        <is>
          <t>BHARAT PARENTERALS LTD</t>
        </is>
      </c>
      <c r="C596" s="97" t="n">
        <v>541096</v>
      </c>
      <c r="D596" s="96" t="inlineStr">
        <is>
          <t>Not Listed</t>
        </is>
      </c>
      <c r="E596" s="96" t="inlineStr">
        <is>
          <t>Pharmaceuticals</t>
        </is>
      </c>
    </row>
    <row r="597" ht="15" customHeight="1" s="109" thickBot="1">
      <c r="B597" s="96" t="inlineStr">
        <is>
          <t>BHARAT PETROLEUM CORPORATION LTD</t>
        </is>
      </c>
      <c r="C597" s="97" t="n">
        <v>500547</v>
      </c>
      <c r="D597" s="96" t="inlineStr">
        <is>
          <t>BPCL</t>
        </is>
      </c>
      <c r="E597" s="96" t="inlineStr">
        <is>
          <t>Refineries/ Petro-Products</t>
        </is>
      </c>
    </row>
    <row r="598" ht="15" customHeight="1" s="109" thickBot="1">
      <c r="B598" s="96" t="inlineStr">
        <is>
          <t>BHARAT RASAYAN LTD</t>
        </is>
      </c>
      <c r="C598" s="97" t="n">
        <v>590021</v>
      </c>
      <c r="D598" s="96" t="inlineStr">
        <is>
          <t>BHARATRAS</t>
        </is>
      </c>
      <c r="E598" s="96" t="inlineStr">
        <is>
          <t>Agrochemicals</t>
        </is>
      </c>
    </row>
    <row r="599" ht="15" customHeight="1" s="109" thickBot="1">
      <c r="B599" s="96" t="inlineStr">
        <is>
          <t>BHARAT ROAD NETWORK LTD</t>
        </is>
      </c>
      <c r="C599" s="97" t="n">
        <v>540700</v>
      </c>
      <c r="D599" s="96" t="inlineStr">
        <is>
          <t>BRNL</t>
        </is>
      </c>
      <c r="E599" s="96" t="inlineStr">
        <is>
          <t>Roads &amp; Highways</t>
        </is>
      </c>
    </row>
    <row r="600" ht="15" customHeight="1" s="109" thickBot="1">
      <c r="B600" s="96" t="inlineStr">
        <is>
          <t>BHARAT SEATS LTD</t>
        </is>
      </c>
      <c r="C600" s="97" t="n">
        <v>523229</v>
      </c>
      <c r="D600" s="96" t="inlineStr">
        <is>
          <t>Not Listed</t>
        </is>
      </c>
      <c r="E600" s="96" t="inlineStr">
        <is>
          <t>Auto Parts &amp; Equipment</t>
        </is>
      </c>
    </row>
    <row r="601" ht="15" customHeight="1" s="109" thickBot="1">
      <c r="B601" s="96" t="inlineStr">
        <is>
          <t>BHARAT TEXTILES &amp; PROOFING INDUSTRIES LTD</t>
        </is>
      </c>
      <c r="C601" s="97" t="n">
        <v>531029</v>
      </c>
      <c r="D601" s="96" t="inlineStr">
        <is>
          <t>Not Listed</t>
        </is>
      </c>
      <c r="E601" s="96" t="inlineStr">
        <is>
          <t>Comm.Trading &amp; Distribution</t>
        </is>
      </c>
    </row>
    <row r="602" ht="15" customHeight="1" s="109" thickBot="1">
      <c r="B602" s="96" t="inlineStr">
        <is>
          <t>BHARAT WIRE ROPES LTD</t>
        </is>
      </c>
      <c r="C602" s="97" t="n">
        <v>539799</v>
      </c>
      <c r="D602" s="96" t="inlineStr">
        <is>
          <t>BHARATWIRE</t>
        </is>
      </c>
      <c r="E602" s="96" t="inlineStr">
        <is>
          <t>Iron &amp; Steel Products</t>
        </is>
      </c>
    </row>
    <row r="603" ht="15" customHeight="1" s="109" thickBot="1">
      <c r="B603" s="96" t="inlineStr">
        <is>
          <t>BHARATI DEFENCE AND INFRASTRUCTURE LTD</t>
        </is>
      </c>
      <c r="C603" s="97" t="n">
        <v>532609</v>
      </c>
      <c r="D603" s="96" t="inlineStr">
        <is>
          <t>BHARATIDIL</t>
        </is>
      </c>
      <c r="E603" s="96" t="inlineStr">
        <is>
          <t>Commercial Vehicles</t>
        </is>
      </c>
    </row>
    <row r="604" ht="15" customHeight="1" s="109" thickBot="1">
      <c r="B604" s="96" t="inlineStr">
        <is>
          <t>BHARATIYA GLOBAL INFOMEDIA LTD</t>
        </is>
      </c>
      <c r="C604" s="97" t="n">
        <v>533499</v>
      </c>
      <c r="D604" s="96" t="inlineStr">
        <is>
          <t>BGLOBAL</t>
        </is>
      </c>
      <c r="E604" s="96" t="inlineStr">
        <is>
          <t>IT Consulting &amp; Software</t>
        </is>
      </c>
    </row>
    <row r="605" ht="15" customHeight="1" s="109" thickBot="1">
      <c r="B605" s="96" t="inlineStr">
        <is>
          <t>BHARTI AIRTEL LTD</t>
        </is>
      </c>
      <c r="C605" s="97" t="n">
        <v>532454</v>
      </c>
      <c r="D605" s="96" t="inlineStr">
        <is>
          <t>BHARTIARTL</t>
        </is>
      </c>
      <c r="E605" s="96" t="inlineStr">
        <is>
          <t>Telecom Services</t>
        </is>
      </c>
    </row>
    <row r="606" ht="15" customHeight="1" s="109" thickBot="1">
      <c r="B606" s="96" t="inlineStr">
        <is>
          <t>BHARTI INFRATEL LTD</t>
        </is>
      </c>
      <c r="C606" s="97" t="n">
        <v>534816</v>
      </c>
      <c r="D606" s="96" t="inlineStr">
        <is>
          <t>INFRATEL</t>
        </is>
      </c>
      <c r="E606" s="96" t="inlineStr">
        <is>
          <t>Other Telecom Services</t>
        </is>
      </c>
    </row>
    <row r="607" ht="15" customHeight="1" s="109" thickBot="1">
      <c r="B607" s="96" t="inlineStr">
        <is>
          <t>BHARTIYA INTERNATIONAL LTD</t>
        </is>
      </c>
      <c r="C607" s="97" t="n">
        <v>526666</v>
      </c>
      <c r="D607" s="96" t="inlineStr">
        <is>
          <t>BIL</t>
        </is>
      </c>
      <c r="E607" s="96" t="inlineStr">
        <is>
          <t>Other Apparels &amp; Accessories</t>
        </is>
      </c>
    </row>
    <row r="608" ht="15" customHeight="1" s="109" thickBot="1">
      <c r="B608" s="96" t="inlineStr">
        <is>
          <t>BHASKAR AGROCHEMICALS LTD</t>
        </is>
      </c>
      <c r="C608" s="97" t="n">
        <v>524534</v>
      </c>
      <c r="D608" s="96" t="inlineStr">
        <is>
          <t>Not Listed</t>
        </is>
      </c>
      <c r="E608" s="96" t="inlineStr">
        <is>
          <t>Agrochemicals</t>
        </is>
      </c>
    </row>
    <row r="609" ht="15" customHeight="1" s="109" thickBot="1">
      <c r="B609" s="96" t="inlineStr">
        <is>
          <t>BHATIA COMMUNICATIONS &amp; RETAIL (INDIA) LTD</t>
        </is>
      </c>
      <c r="C609" s="97" t="n">
        <v>540956</v>
      </c>
      <c r="D609" s="96" t="inlineStr">
        <is>
          <t>Not Listed</t>
        </is>
      </c>
      <c r="E609" s="96" t="inlineStr">
        <is>
          <t>Specialty Retail</t>
        </is>
      </c>
    </row>
    <row r="610" ht="15" customHeight="1" s="109" thickBot="1">
      <c r="B610" s="96" t="inlineStr">
        <is>
          <t>BHATIA COMMUNICATIONS &amp; RETAIL INDIA LTD</t>
        </is>
      </c>
      <c r="C610" s="97" t="n">
        <v>540956</v>
      </c>
      <c r="D610" s="96" t="inlineStr">
        <is>
          <t>Not Listed</t>
        </is>
      </c>
      <c r="E610" s="96" t="inlineStr">
        <is>
          <t>Specialty Retail</t>
        </is>
      </c>
    </row>
    <row r="611" ht="15" customHeight="1" s="109" thickBot="1">
      <c r="B611" s="96" t="inlineStr">
        <is>
          <t>BHILWARA SPINNERS LTD</t>
        </is>
      </c>
      <c r="C611" s="97" t="n">
        <v>514272</v>
      </c>
      <c r="D611" s="96" t="inlineStr">
        <is>
          <t>Not Listed</t>
        </is>
      </c>
      <c r="E611" s="96" t="inlineStr">
        <is>
          <t>Textiles</t>
        </is>
      </c>
    </row>
    <row r="612" ht="15" customHeight="1" s="109" thickBot="1">
      <c r="B612" s="96" t="inlineStr">
        <is>
          <t>BHILWARA TECHNICAL TEXTILES LTD</t>
        </is>
      </c>
      <c r="C612" s="97" t="n">
        <v>533108</v>
      </c>
      <c r="D612" s="96" t="inlineStr">
        <is>
          <t>Not Listed</t>
        </is>
      </c>
      <c r="E612" s="96" t="inlineStr">
        <is>
          <t>Textiles</t>
        </is>
      </c>
    </row>
    <row r="613" ht="15" customHeight="1" s="109" thickBot="1">
      <c r="B613" s="96" t="inlineStr">
        <is>
          <t>BHORUKA ALUMINIUM LTD</t>
        </is>
      </c>
      <c r="C613" s="97" t="n">
        <v>506027</v>
      </c>
      <c r="D613" s="96" t="inlineStr">
        <is>
          <t>Not Listed</t>
        </is>
      </c>
      <c r="E613" s="96" t="inlineStr">
        <is>
          <t>Aluminium</t>
        </is>
      </c>
    </row>
    <row r="614" ht="15" customHeight="1" s="109" thickBot="1">
      <c r="B614" s="96" t="inlineStr">
        <is>
          <t>BHUSHAN STEEL LTD</t>
        </is>
      </c>
      <c r="C614" s="97" t="n">
        <v>500055</v>
      </c>
      <c r="D614" s="96" t="inlineStr">
        <is>
          <t>BHUSANSTL</t>
        </is>
      </c>
      <c r="E614" s="96" t="inlineStr">
        <is>
          <t>Iron &amp; Steel/Interm.Products</t>
        </is>
      </c>
    </row>
    <row r="615" ht="15" customHeight="1" s="109" thickBot="1">
      <c r="B615" s="96" t="inlineStr">
        <is>
          <t>BIGBLOC CONSTRUCTION LTD</t>
        </is>
      </c>
      <c r="C615" s="97" t="n">
        <v>540061</v>
      </c>
      <c r="D615" s="96" t="inlineStr">
        <is>
          <t>BIGBLOC</t>
        </is>
      </c>
      <c r="E615" s="96" t="inlineStr">
        <is>
          <t>Cement &amp; Cement Products</t>
        </is>
      </c>
    </row>
    <row r="616" ht="15" customHeight="1" s="109" thickBot="1">
      <c r="B616" s="96" t="inlineStr">
        <is>
          <t>BIHAR SPONGE IRON LTD</t>
        </is>
      </c>
      <c r="C616" s="97" t="n">
        <v>500058</v>
      </c>
      <c r="D616" s="96" t="inlineStr">
        <is>
          <t>Not Listed</t>
        </is>
      </c>
      <c r="E616" s="96" t="inlineStr">
        <is>
          <t>Iron &amp; Steel/Interm.Products</t>
        </is>
      </c>
    </row>
    <row r="617" ht="15" customHeight="1" s="109" thickBot="1">
      <c r="B617" s="96" t="inlineStr">
        <is>
          <t>BIJOY HANS LTD</t>
        </is>
      </c>
      <c r="C617" s="97" t="n">
        <v>524723</v>
      </c>
      <c r="D617" s="96" t="inlineStr">
        <is>
          <t>Not Listed</t>
        </is>
      </c>
      <c r="E617" s="96" t="inlineStr">
        <is>
          <t>Comm.Trading &amp; Distribution</t>
        </is>
      </c>
    </row>
    <row r="618" ht="15" customHeight="1" s="109" thickBot="1">
      <c r="B618" s="96" t="inlineStr">
        <is>
          <t>BIL ENERGY SYSTEMS LTD</t>
        </is>
      </c>
      <c r="C618" s="97" t="n">
        <v>533321</v>
      </c>
      <c r="D618" s="96" t="inlineStr">
        <is>
          <t>BILENERGY</t>
        </is>
      </c>
      <c r="E618" s="96" t="inlineStr">
        <is>
          <t>Other Elect.Equip./ Prod.</t>
        </is>
      </c>
    </row>
    <row r="619" ht="15" customHeight="1" s="109" thickBot="1">
      <c r="B619" s="96" t="inlineStr">
        <is>
          <t>BILCARE LTD</t>
        </is>
      </c>
      <c r="C619" s="97" t="n">
        <v>526853</v>
      </c>
      <c r="D619" s="96" t="inlineStr">
        <is>
          <t>Not Listed</t>
        </is>
      </c>
      <c r="E619" s="96" t="inlineStr">
        <is>
          <t>Healthcare Supplies</t>
        </is>
      </c>
    </row>
    <row r="620" ht="15" customHeight="1" s="109" thickBot="1">
      <c r="B620" s="96" t="inlineStr">
        <is>
          <t>BIMETAL BEARINGS LTD</t>
        </is>
      </c>
      <c r="C620" s="97" t="n">
        <v>505681</v>
      </c>
      <c r="D620" s="96" t="inlineStr">
        <is>
          <t>Not Listed</t>
        </is>
      </c>
      <c r="E620" s="96" t="inlineStr">
        <is>
          <t>Auto Parts &amp; Equipment</t>
        </is>
      </c>
    </row>
    <row r="621" ht="15" customHeight="1" s="109" thickBot="1">
      <c r="B621" s="96" t="inlineStr">
        <is>
          <t>BINANI INDUSTRIES LTD</t>
        </is>
      </c>
      <c r="C621" s="97" t="n">
        <v>500059</v>
      </c>
      <c r="D621" s="96" t="inlineStr">
        <is>
          <t>BINANIIND</t>
        </is>
      </c>
      <c r="E621" s="96" t="inlineStr">
        <is>
          <t>Holding Companies</t>
        </is>
      </c>
    </row>
    <row r="622" ht="15" customHeight="1" s="109" thickBot="1">
      <c r="B622" s="96" t="inlineStr">
        <is>
          <t>BINAYAK TEX PROCESSORS LTD</t>
        </is>
      </c>
      <c r="C622" s="97" t="n">
        <v>523054</v>
      </c>
      <c r="D622" s="96" t="inlineStr">
        <is>
          <t>Not Listed</t>
        </is>
      </c>
      <c r="E622" s="96" t="inlineStr">
        <is>
          <t>Textiles</t>
        </is>
      </c>
    </row>
    <row r="623" ht="15" customHeight="1" s="109" thickBot="1">
      <c r="B623" s="96" t="inlineStr">
        <is>
          <t>BINDAL EXPORTS LTD</t>
        </is>
      </c>
      <c r="C623" s="97" t="n">
        <v>540148</v>
      </c>
      <c r="D623" s="96" t="inlineStr">
        <is>
          <t>Not Listed</t>
        </is>
      </c>
      <c r="E623" s="96" t="inlineStr">
        <is>
          <t>Other Apparels &amp; Accessories</t>
        </is>
      </c>
    </row>
    <row r="624" ht="15" customHeight="1" s="109" thickBot="1">
      <c r="B624" s="96" t="inlineStr">
        <is>
          <t>BINNY LTD</t>
        </is>
      </c>
      <c r="C624" s="97" t="n">
        <v>514215</v>
      </c>
      <c r="D624" s="96" t="inlineStr">
        <is>
          <t>Not Listed</t>
        </is>
      </c>
      <c r="E624" s="96" t="inlineStr">
        <is>
          <t>Textiles</t>
        </is>
      </c>
    </row>
    <row r="625" ht="15" customHeight="1" s="109" thickBot="1">
      <c r="B625" s="96" t="inlineStr">
        <is>
          <t>BINNY MILLS LTD</t>
        </is>
      </c>
      <c r="C625" s="97" t="n">
        <v>535620</v>
      </c>
      <c r="D625" s="96" t="inlineStr">
        <is>
          <t>Not Listed</t>
        </is>
      </c>
      <c r="E625" s="96" t="inlineStr">
        <is>
          <t>Comm.Trading &amp; Distribution</t>
        </is>
      </c>
    </row>
    <row r="626" ht="15" customHeight="1" s="109" thickBot="1">
      <c r="B626" s="96" t="inlineStr">
        <is>
          <t>BIO GREEN PAPERS LTD</t>
        </is>
      </c>
      <c r="C626" s="97" t="n">
        <v>534535</v>
      </c>
      <c r="D626" s="96" t="inlineStr">
        <is>
          <t>Not Listed</t>
        </is>
      </c>
      <c r="E626" s="96" t="inlineStr">
        <is>
          <t>Paper &amp; Paper Products</t>
        </is>
      </c>
    </row>
    <row r="627" ht="15" customHeight="1" s="109" thickBot="1">
      <c r="B627" s="96" t="inlineStr">
        <is>
          <t>BIOCON LTD</t>
        </is>
      </c>
      <c r="C627" s="97" t="n">
        <v>532523</v>
      </c>
      <c r="D627" s="96" t="inlineStr">
        <is>
          <t>BIOCON</t>
        </is>
      </c>
      <c r="E627" s="96" t="inlineStr">
        <is>
          <t>Biotechnology</t>
        </is>
      </c>
    </row>
    <row r="628" ht="15" customHeight="1" s="109" thickBot="1">
      <c r="B628" s="96" t="inlineStr">
        <is>
          <t>BIOFIL CHEMICALS &amp; PHARMACEUTICALS LTD</t>
        </is>
      </c>
      <c r="C628" s="97" t="n">
        <v>524396</v>
      </c>
      <c r="D628" s="96" t="inlineStr">
        <is>
          <t>BIOFILCHEM</t>
        </is>
      </c>
      <c r="E628" s="96" t="inlineStr">
        <is>
          <t>Pharmaceuticals</t>
        </is>
      </c>
    </row>
    <row r="629" ht="15" customHeight="1" s="109" thickBot="1">
      <c r="B629" s="96" t="inlineStr">
        <is>
          <t>BIOPAC INDIA CORPORATION LTD</t>
        </is>
      </c>
      <c r="C629" s="97" t="n">
        <v>532330</v>
      </c>
      <c r="D629" s="96" t="inlineStr">
        <is>
          <t>Not Listed</t>
        </is>
      </c>
      <c r="E629" s="96" t="inlineStr">
        <is>
          <t>Plastic Products</t>
        </is>
      </c>
    </row>
    <row r="630" ht="15" customHeight="1" s="109" thickBot="1">
      <c r="B630" s="96" t="inlineStr">
        <is>
          <t>BIRDHI CHAND PANNALAL AGENCIES LTD</t>
        </is>
      </c>
      <c r="C630" s="97" t="n">
        <v>538364</v>
      </c>
      <c r="D630" s="96" t="inlineStr">
        <is>
          <t>Not Listed</t>
        </is>
      </c>
      <c r="E630" s="96" t="inlineStr">
        <is>
          <t>Textiles</t>
        </is>
      </c>
    </row>
    <row r="631" ht="15" customHeight="1" s="109" thickBot="1">
      <c r="B631" s="96" t="inlineStr">
        <is>
          <t>BIRLA CABLE LTD</t>
        </is>
      </c>
      <c r="C631" s="97" t="n">
        <v>500060</v>
      </c>
      <c r="D631" s="96" t="inlineStr">
        <is>
          <t>BIRLACABLE</t>
        </is>
      </c>
      <c r="E631" s="96" t="inlineStr">
        <is>
          <t>Other Elect.Equip./ Prod.</t>
        </is>
      </c>
    </row>
    <row r="632" ht="15" customHeight="1" s="109" thickBot="1">
      <c r="B632" s="96" t="inlineStr">
        <is>
          <t>BIRLA CORPORATION LTD</t>
        </is>
      </c>
      <c r="C632" s="97" t="n">
        <v>500335</v>
      </c>
      <c r="D632" s="96" t="inlineStr">
        <is>
          <t>BIRLACORPN</t>
        </is>
      </c>
      <c r="E632" s="96" t="inlineStr">
        <is>
          <t>Cement &amp; Cement Products</t>
        </is>
      </c>
    </row>
    <row r="633" ht="15" customHeight="1" s="109" thickBot="1">
      <c r="B633" s="96" t="inlineStr">
        <is>
          <t>BIRLA COTSYN (INDIA) LTD</t>
        </is>
      </c>
      <c r="C633" s="97" t="n">
        <v>533006</v>
      </c>
      <c r="D633" s="96" t="inlineStr">
        <is>
          <t>Not Listed</t>
        </is>
      </c>
      <c r="E633" s="96" t="inlineStr">
        <is>
          <t>Textiles</t>
        </is>
      </c>
    </row>
    <row r="634" ht="15" customHeight="1" s="109" thickBot="1">
      <c r="B634" s="96" t="inlineStr">
        <is>
          <t>BIRLA COTSYN INDIA LTD</t>
        </is>
      </c>
      <c r="C634" s="97" t="n">
        <v>533006</v>
      </c>
      <c r="D634" s="96" t="inlineStr">
        <is>
          <t>Not Listed</t>
        </is>
      </c>
      <c r="E634" s="96" t="inlineStr">
        <is>
          <t>Textiles</t>
        </is>
      </c>
    </row>
    <row r="635" ht="15" customHeight="1" s="109" thickBot="1">
      <c r="B635" s="96" t="inlineStr">
        <is>
          <t>BIRLA PRECISION TECHNOLOGIES LTD</t>
        </is>
      </c>
      <c r="C635" s="97" t="n">
        <v>522105</v>
      </c>
      <c r="D635" s="96" t="inlineStr">
        <is>
          <t>Not Listed</t>
        </is>
      </c>
      <c r="E635" s="96" t="inlineStr">
        <is>
          <t>Industrial Machinery</t>
        </is>
      </c>
    </row>
    <row r="636" ht="15" customHeight="1" s="109" thickBot="1">
      <c r="B636" s="96" t="inlineStr">
        <is>
          <t>Birla Sun Life Mutual Fund - Birla Sun Life Gold ETF</t>
        </is>
      </c>
      <c r="C636" s="97" t="n">
        <v>533408</v>
      </c>
      <c r="D636" s="96" t="inlineStr">
        <is>
          <t>BSLGOLDETF</t>
        </is>
      </c>
      <c r="E636" s="96" t="inlineStr">
        <is>
          <t>Other Financial Services</t>
        </is>
      </c>
    </row>
    <row r="637" ht="15" customHeight="1" s="109" thickBot="1">
      <c r="B637" s="96" t="inlineStr">
        <is>
          <t>BIRLASOFT LTD</t>
        </is>
      </c>
      <c r="C637" s="96" t="inlineStr">
        <is>
          <t>Not Listed</t>
        </is>
      </c>
      <c r="D637" s="96" t="inlineStr">
        <is>
          <t>BSOFT</t>
        </is>
      </c>
      <c r="E637" s="96" t="inlineStr">
        <is>
          <t>IT Consulting &amp; Software</t>
        </is>
      </c>
    </row>
    <row r="638" ht="15" customHeight="1" s="109" thickBot="1">
      <c r="B638" s="96" t="inlineStr">
        <is>
          <t>BKM INDUSTRIES LTD</t>
        </is>
      </c>
      <c r="C638" s="97" t="n">
        <v>539043</v>
      </c>
      <c r="D638" s="96" t="inlineStr">
        <is>
          <t>BKMINDST</t>
        </is>
      </c>
      <c r="E638" s="96" t="inlineStr">
        <is>
          <t>Containers &amp; Packaging</t>
        </is>
      </c>
    </row>
    <row r="639" ht="15" customHeight="1" s="109" thickBot="1">
      <c r="B639" s="96" t="inlineStr">
        <is>
          <t>BLACK ROSE INDUSTRIES LTD</t>
        </is>
      </c>
      <c r="C639" s="97" t="n">
        <v>514183</v>
      </c>
      <c r="D639" s="96" t="inlineStr">
        <is>
          <t>Not Listed</t>
        </is>
      </c>
      <c r="E639" s="96" t="inlineStr">
        <is>
          <t>Specialty Chemicals</t>
        </is>
      </c>
    </row>
    <row r="640" ht="15" customHeight="1" s="109" thickBot="1">
      <c r="B640" s="96" t="inlineStr">
        <is>
          <t>BLB LTD</t>
        </is>
      </c>
      <c r="C640" s="97" t="n">
        <v>532290</v>
      </c>
      <c r="D640" s="96" t="inlineStr">
        <is>
          <t>BLBLIMITED</t>
        </is>
      </c>
      <c r="E640" s="96" t="inlineStr">
        <is>
          <t>Other Financial Services</t>
        </is>
      </c>
    </row>
    <row r="641" ht="15" customHeight="1" s="109" thickBot="1">
      <c r="B641" s="96" t="inlineStr">
        <is>
          <t>BLISS GVS PHARMA LTD</t>
        </is>
      </c>
      <c r="C641" s="97" t="n">
        <v>506197</v>
      </c>
      <c r="D641" s="96" t="inlineStr">
        <is>
          <t>BLISSGVS</t>
        </is>
      </c>
      <c r="E641" s="96" t="inlineStr">
        <is>
          <t>Pharmaceuticals</t>
        </is>
      </c>
    </row>
    <row r="642" ht="15" customHeight="1" s="109" thickBot="1">
      <c r="B642" s="96" t="inlineStr">
        <is>
          <t>BLOOM DEKOR LTD</t>
        </is>
      </c>
      <c r="C642" s="97" t="n">
        <v>526225</v>
      </c>
      <c r="D642" s="96" t="inlineStr">
        <is>
          <t>Not Listed</t>
        </is>
      </c>
      <c r="E642" s="96" t="inlineStr">
        <is>
          <t>Plastic Products</t>
        </is>
      </c>
    </row>
    <row r="643" ht="15" customHeight="1" s="109" thickBot="1">
      <c r="B643" s="96" t="inlineStr">
        <is>
          <t>BLOOM INDUSTRIES LTD</t>
        </is>
      </c>
      <c r="C643" s="97" t="n">
        <v>513422</v>
      </c>
      <c r="D643" s="96" t="inlineStr">
        <is>
          <t>Not Listed</t>
        </is>
      </c>
      <c r="E643" s="96" t="inlineStr">
        <is>
          <t>Iron &amp; Steel/Interm.Products</t>
        </is>
      </c>
    </row>
    <row r="644" ht="15" customHeight="1" s="109" thickBot="1">
      <c r="B644" s="96" t="inlineStr">
        <is>
          <t>BLS INFOTECH LTD</t>
        </is>
      </c>
      <c r="C644" s="97" t="n">
        <v>531175</v>
      </c>
      <c r="D644" s="96" t="inlineStr">
        <is>
          <t>Not Listed</t>
        </is>
      </c>
      <c r="E644" s="96" t="inlineStr">
        <is>
          <t>IT Software Products</t>
        </is>
      </c>
    </row>
    <row r="645" ht="15" customHeight="1" s="109" thickBot="1">
      <c r="B645" s="96" t="inlineStr">
        <is>
          <t>BLS INTERNATIONAL SERVICES LTD</t>
        </is>
      </c>
      <c r="C645" s="97" t="n">
        <v>540073</v>
      </c>
      <c r="D645" s="96" t="inlineStr">
        <is>
          <t>BLS</t>
        </is>
      </c>
      <c r="E645" s="96" t="inlineStr">
        <is>
          <t>Travel Support Services</t>
        </is>
      </c>
    </row>
    <row r="646" ht="15" customHeight="1" s="109" thickBot="1">
      <c r="B646" s="96" t="inlineStr">
        <is>
          <t>BLUE BLENDS (INDIA) LTD</t>
        </is>
      </c>
      <c r="C646" s="97" t="n">
        <v>502761</v>
      </c>
      <c r="D646" s="96" t="inlineStr">
        <is>
          <t>Not Listed</t>
        </is>
      </c>
      <c r="E646" s="96" t="inlineStr">
        <is>
          <t>Textiles</t>
        </is>
      </c>
    </row>
    <row r="647" ht="15" customHeight="1" s="109" thickBot="1">
      <c r="B647" s="96" t="inlineStr">
        <is>
          <t>BLUE BLENDS I LTD</t>
        </is>
      </c>
      <c r="C647" s="96" t="inlineStr">
        <is>
          <t>Not Listed</t>
        </is>
      </c>
      <c r="D647" s="96" t="inlineStr">
        <is>
          <t>BLUEBLENDS</t>
        </is>
      </c>
      <c r="E647" s="96" t="inlineStr">
        <is>
          <t>Others</t>
        </is>
      </c>
    </row>
    <row r="648" ht="15" customHeight="1" s="109" thickBot="1">
      <c r="B648" s="96" t="inlineStr">
        <is>
          <t>BLUE BLENDS INDIA LTD</t>
        </is>
      </c>
      <c r="C648" s="97" t="n">
        <v>502761</v>
      </c>
      <c r="D648" s="96" t="inlineStr">
        <is>
          <t>Not Listed</t>
        </is>
      </c>
      <c r="E648" s="96" t="inlineStr">
        <is>
          <t>Textiles</t>
        </is>
      </c>
    </row>
    <row r="649" ht="15" customHeight="1" s="109" thickBot="1">
      <c r="B649" s="96" t="inlineStr">
        <is>
          <t>BLUE CHIP TEX INDUSTRIES LTD</t>
        </is>
      </c>
      <c r="C649" s="97" t="n">
        <v>506981</v>
      </c>
      <c r="D649" s="96" t="inlineStr">
        <is>
          <t>Not Listed</t>
        </is>
      </c>
      <c r="E649" s="96" t="inlineStr">
        <is>
          <t>Textiles</t>
        </is>
      </c>
    </row>
    <row r="650" ht="15" customHeight="1" s="109" thickBot="1">
      <c r="B650" s="96" t="inlineStr">
        <is>
          <t>BLUE CIRCLE SERVICES LTD</t>
        </is>
      </c>
      <c r="C650" s="97" t="n">
        <v>508939</v>
      </c>
      <c r="D650" s="96" t="inlineStr">
        <is>
          <t>Not Listed</t>
        </is>
      </c>
      <c r="E650" s="96" t="inlineStr">
        <is>
          <t>Finance (including NBFCs)</t>
        </is>
      </c>
    </row>
    <row r="651" ht="15" customHeight="1" s="109" thickBot="1">
      <c r="B651" s="96" t="inlineStr">
        <is>
          <t>BLUE CLOUD SOFTECH SOLUTIONS LTD</t>
        </is>
      </c>
      <c r="C651" s="97" t="n">
        <v>539607</v>
      </c>
      <c r="D651" s="96" t="inlineStr">
        <is>
          <t>Not Listed</t>
        </is>
      </c>
      <c r="E651" s="96" t="inlineStr">
        <is>
          <t>IT Software Products</t>
        </is>
      </c>
    </row>
    <row r="652" ht="15" customHeight="1" s="109" thickBot="1">
      <c r="B652" s="96" t="inlineStr">
        <is>
          <t>BLUE COAST HOTELS LTD</t>
        </is>
      </c>
      <c r="C652" s="97" t="n">
        <v>531495</v>
      </c>
      <c r="D652" s="96" t="inlineStr">
        <is>
          <t>BLUECOAST</t>
        </is>
      </c>
      <c r="E652" s="96" t="inlineStr">
        <is>
          <t>Hotels</t>
        </is>
      </c>
    </row>
    <row r="653" ht="15" customHeight="1" s="109" thickBot="1">
      <c r="B653" s="96" t="inlineStr">
        <is>
          <t>BLUE DART EXPRESS LTD</t>
        </is>
      </c>
      <c r="C653" s="97" t="n">
        <v>526612</v>
      </c>
      <c r="D653" s="96" t="inlineStr">
        <is>
          <t>BLUEDART</t>
        </is>
      </c>
      <c r="E653" s="96" t="inlineStr">
        <is>
          <t>Transportation - Logistics</t>
        </is>
      </c>
    </row>
    <row r="654" ht="15" customHeight="1" s="109" thickBot="1">
      <c r="B654" s="96" t="inlineStr">
        <is>
          <t>BLUE PEARL TEXSPIN LTD</t>
        </is>
      </c>
      <c r="C654" s="97" t="n">
        <v>514440</v>
      </c>
      <c r="D654" s="96" t="inlineStr">
        <is>
          <t>Not Listed</t>
        </is>
      </c>
      <c r="E654" s="96" t="inlineStr">
        <is>
          <t>Commodity Chemicals</t>
        </is>
      </c>
    </row>
    <row r="655" ht="15" customHeight="1" s="109" thickBot="1">
      <c r="B655" s="96" t="inlineStr">
        <is>
          <t>BLUE STAR LTD</t>
        </is>
      </c>
      <c r="C655" s="97" t="n">
        <v>500067</v>
      </c>
      <c r="D655" s="96" t="inlineStr">
        <is>
          <t>BLUESTARCO</t>
        </is>
      </c>
      <c r="E655" s="96" t="inlineStr">
        <is>
          <t>Consumer Electronics</t>
        </is>
      </c>
    </row>
    <row r="656" ht="15" customHeight="1" s="109" thickBot="1">
      <c r="B656" s="96" t="inlineStr">
        <is>
          <t>BLUEBLOOD VENTURES LTD</t>
        </is>
      </c>
      <c r="C656" s="97" t="n">
        <v>539637</v>
      </c>
      <c r="D656" s="96" t="inlineStr">
        <is>
          <t>Not Listed</t>
        </is>
      </c>
      <c r="E656" s="96" t="inlineStr">
        <is>
          <t>Other Financial Services</t>
        </is>
      </c>
    </row>
    <row r="657" ht="15" customHeight="1" s="109" thickBot="1">
      <c r="B657" s="96" t="inlineStr">
        <is>
          <t>BLUECHIP STOCKSPIN LTD</t>
        </is>
      </c>
      <c r="C657" s="97" t="n">
        <v>531713</v>
      </c>
      <c r="D657" s="96" t="inlineStr">
        <is>
          <t>Not Listed</t>
        </is>
      </c>
      <c r="E657" s="96" t="inlineStr">
        <is>
          <t>Misc.Commercial Services</t>
        </is>
      </c>
    </row>
    <row r="658" ht="15" customHeight="1" s="109" thickBot="1">
      <c r="B658" s="96" t="inlineStr">
        <is>
          <t>BMB MUSIC &amp; MAGNETICS LTD</t>
        </is>
      </c>
      <c r="C658" s="97" t="n">
        <v>531420</v>
      </c>
      <c r="D658" s="96" t="inlineStr">
        <is>
          <t>Not Listed</t>
        </is>
      </c>
      <c r="E658" s="96" t="inlineStr">
        <is>
          <t>Movies &amp; Entertainment</t>
        </is>
      </c>
    </row>
    <row r="659" ht="15" customHeight="1" s="109" thickBot="1">
      <c r="B659" s="96" t="inlineStr">
        <is>
          <t>BMW Industries Ltd</t>
        </is>
      </c>
      <c r="C659" s="97" t="n">
        <v>542669</v>
      </c>
      <c r="D659" s="96" t="inlineStr">
        <is>
          <t>BMW</t>
        </is>
      </c>
      <c r="E659" s="96" t="inlineStr">
        <is>
          <t>Iron &amp;amp; Steel Products</t>
        </is>
      </c>
    </row>
    <row r="660" ht="15" customHeight="1" s="109" thickBot="1">
      <c r="B660" s="96" t="inlineStr">
        <is>
          <t>BNK CAPITAL MARKETS LTD</t>
        </is>
      </c>
      <c r="C660" s="97" t="n">
        <v>500069</v>
      </c>
      <c r="D660" s="96" t="inlineStr">
        <is>
          <t>Not Listed</t>
        </is>
      </c>
      <c r="E660" s="96" t="inlineStr">
        <is>
          <t>Other Financial Services</t>
        </is>
      </c>
    </row>
    <row r="661" ht="15" customHeight="1" s="109" thickBot="1">
      <c r="B661" s="96" t="inlineStr">
        <is>
          <t>BNR UDYOG LTD</t>
        </is>
      </c>
      <c r="C661" s="97" t="n">
        <v>530809</v>
      </c>
      <c r="D661" s="96" t="inlineStr">
        <is>
          <t>Not Listed</t>
        </is>
      </c>
      <c r="E661" s="96" t="inlineStr">
        <is>
          <t>BPO/KPO</t>
        </is>
      </c>
    </row>
    <row r="662" ht="15" customHeight="1" s="109" thickBot="1">
      <c r="B662" s="96" t="inlineStr">
        <is>
          <t>BODAL CHEMICALS LTD</t>
        </is>
      </c>
      <c r="C662" s="97" t="n">
        <v>524370</v>
      </c>
      <c r="D662" s="96" t="inlineStr">
        <is>
          <t>BODALCHEM</t>
        </is>
      </c>
      <c r="E662" s="96" t="inlineStr">
        <is>
          <t>Specialty Chemicals</t>
        </is>
      </c>
    </row>
    <row r="663" ht="15" customHeight="1" s="109" thickBot="1">
      <c r="B663" s="96" t="inlineStr">
        <is>
          <t>BODHTREE CONSULTING LTD</t>
        </is>
      </c>
      <c r="C663" s="97" t="n">
        <v>539122</v>
      </c>
      <c r="D663" s="96" t="inlineStr">
        <is>
          <t>Not Listed</t>
        </is>
      </c>
      <c r="E663" s="96" t="inlineStr">
        <is>
          <t>IT Consulting &amp; Software</t>
        </is>
      </c>
    </row>
    <row r="664" ht="15" customHeight="1" s="109" thickBot="1">
      <c r="B664" s="96" t="inlineStr">
        <is>
          <t>BOHRA INDUSTRIES LTD</t>
        </is>
      </c>
      <c r="C664" s="96" t="inlineStr">
        <is>
          <t>Not Listed</t>
        </is>
      </c>
      <c r="D664" s="96" t="inlineStr">
        <is>
          <t>BOHRA</t>
        </is>
      </c>
      <c r="E664" s="96" t="inlineStr">
        <is>
          <t>SME</t>
        </is>
      </c>
    </row>
    <row r="665" ht="15" customHeight="1" s="109" thickBot="1">
      <c r="B665" s="96" t="inlineStr">
        <is>
          <t>BOMBAY BURMAH TRADING CORPORATION LTD</t>
        </is>
      </c>
      <c r="C665" s="97" t="n">
        <v>501425</v>
      </c>
      <c r="D665" s="96" t="inlineStr">
        <is>
          <t>BBTC</t>
        </is>
      </c>
      <c r="E665" s="96" t="inlineStr">
        <is>
          <t>Tea &amp; Coffee</t>
        </is>
      </c>
    </row>
    <row r="666" ht="15" customHeight="1" s="109" thickBot="1">
      <c r="B666" s="96" t="inlineStr">
        <is>
          <t>BOMBAY CYCLE &amp; MOTOR AGENCY LTD</t>
        </is>
      </c>
      <c r="C666" s="97" t="n">
        <v>501430</v>
      </c>
      <c r="D666" s="96" t="inlineStr">
        <is>
          <t>Not Listed</t>
        </is>
      </c>
      <c r="E666" s="96" t="inlineStr">
        <is>
          <t>Comm.Trading &amp; Distribution</t>
        </is>
      </c>
    </row>
    <row r="667" ht="15" customHeight="1" s="109" thickBot="1">
      <c r="B667" s="96" t="inlineStr">
        <is>
          <t>BOMBAY DYEING &amp; MFG COMPANY LTD</t>
        </is>
      </c>
      <c r="C667" s="97" t="n">
        <v>500020</v>
      </c>
      <c r="D667" s="96" t="inlineStr">
        <is>
          <t>BOMDYEING</t>
        </is>
      </c>
      <c r="E667" s="96" t="inlineStr">
        <is>
          <t>Textiles</t>
        </is>
      </c>
    </row>
    <row r="668" ht="15" customHeight="1" s="109" thickBot="1">
      <c r="B668" s="96" t="inlineStr">
        <is>
          <t>BOMBAY OXYGEN INVESTMENTS LTD</t>
        </is>
      </c>
      <c r="C668" s="97" t="n">
        <v>509470</v>
      </c>
      <c r="D668" s="96" t="inlineStr">
        <is>
          <t>Not Listed</t>
        </is>
      </c>
      <c r="E668" s="96" t="inlineStr">
        <is>
          <t>Industrial Gases</t>
        </is>
      </c>
    </row>
    <row r="669" ht="15" customHeight="1" s="109" thickBot="1">
      <c r="B669" s="96" t="inlineStr">
        <is>
          <t>BOMBAY POTTERIES &amp; TILES LTD</t>
        </is>
      </c>
      <c r="C669" s="97" t="n">
        <v>502216</v>
      </c>
      <c r="D669" s="96" t="inlineStr">
        <is>
          <t>Not Listed</t>
        </is>
      </c>
      <c r="E669" s="96" t="inlineStr">
        <is>
          <t>Realty</t>
        </is>
      </c>
    </row>
    <row r="670" ht="15" customHeight="1" s="109" thickBot="1">
      <c r="B670" s="96" t="inlineStr">
        <is>
          <t>BOMBAY RAYON FASHIONS LTD</t>
        </is>
      </c>
      <c r="C670" s="97" t="n">
        <v>532678</v>
      </c>
      <c r="D670" s="96" t="inlineStr">
        <is>
          <t>BRFL</t>
        </is>
      </c>
      <c r="E670" s="96" t="inlineStr">
        <is>
          <t>Textiles</t>
        </is>
      </c>
    </row>
    <row r="671" ht="15" customHeight="1" s="109" thickBot="1">
      <c r="B671" s="96" t="inlineStr">
        <is>
          <t>BOMBAY SUPER HYBRID SEEDS LTD</t>
        </is>
      </c>
      <c r="C671" s="96" t="inlineStr">
        <is>
          <t>Not Listed</t>
        </is>
      </c>
      <c r="D671" s="96" t="inlineStr">
        <is>
          <t>BSHSL</t>
        </is>
      </c>
      <c r="E671" s="96" t="inlineStr">
        <is>
          <t>SME</t>
        </is>
      </c>
    </row>
    <row r="672" ht="15" customHeight="1" s="109" thickBot="1">
      <c r="B672" s="96" t="inlineStr">
        <is>
          <t>BOMBAY WIRE ROPES LTD</t>
        </is>
      </c>
      <c r="C672" s="97" t="n">
        <v>504648</v>
      </c>
      <c r="D672" s="96" t="inlineStr">
        <is>
          <t>Not Listed</t>
        </is>
      </c>
      <c r="E672" s="96" t="inlineStr">
        <is>
          <t>Iron &amp; Steel Products</t>
        </is>
      </c>
    </row>
    <row r="673" ht="15" customHeight="1" s="109" thickBot="1">
      <c r="B673" s="96" t="inlineStr">
        <is>
          <t>BONANZA INDUSTRIES LTD</t>
        </is>
      </c>
      <c r="C673" s="97" t="n">
        <v>523133</v>
      </c>
      <c r="D673" s="96" t="inlineStr">
        <is>
          <t>Not Listed</t>
        </is>
      </c>
      <c r="E673" s="96" t="inlineStr">
        <is>
          <t>Textiles</t>
        </is>
      </c>
    </row>
    <row r="674" ht="15" customHeight="1" s="109" thickBot="1">
      <c r="B674" s="96" t="inlineStr">
        <is>
          <t>BOROSIL GLASS WORKS LTD</t>
        </is>
      </c>
      <c r="C674" s="97" t="n">
        <v>502219</v>
      </c>
      <c r="D674" s="96" t="inlineStr">
        <is>
          <t>BOROSIL</t>
        </is>
      </c>
      <c r="E674" s="96" t="inlineStr">
        <is>
          <t>Houseware</t>
        </is>
      </c>
    </row>
    <row r="675" ht="15" customHeight="1" s="109" thickBot="1">
      <c r="B675" s="96" t="inlineStr">
        <is>
          <t>BOSCH LTD</t>
        </is>
      </c>
      <c r="C675" s="97" t="n">
        <v>500530</v>
      </c>
      <c r="D675" s="96" t="inlineStr">
        <is>
          <t>BOSCHLTD</t>
        </is>
      </c>
      <c r="E675" s="96" t="inlineStr">
        <is>
          <t>Auto Parts &amp; Equipment</t>
        </is>
      </c>
    </row>
    <row r="676" ht="15" customHeight="1" s="109" thickBot="1">
      <c r="B676" s="96" t="inlineStr">
        <is>
          <t>BOSTON TEKNOWSYS (INDIA) LTD</t>
        </is>
      </c>
      <c r="C676" s="97" t="n">
        <v>536820</v>
      </c>
      <c r="D676" s="96" t="inlineStr">
        <is>
          <t>Not Listed</t>
        </is>
      </c>
      <c r="E676" s="96" t="inlineStr">
        <is>
          <t>IT Software Products</t>
        </is>
      </c>
    </row>
    <row r="677" ht="15" customHeight="1" s="109" thickBot="1">
      <c r="B677" s="96" t="inlineStr">
        <is>
          <t>BOSTON TEKNOWSYS INDIA LTD</t>
        </is>
      </c>
      <c r="C677" s="97" t="n">
        <v>536820</v>
      </c>
      <c r="D677" s="96" t="inlineStr">
        <is>
          <t>Not Listed</t>
        </is>
      </c>
      <c r="E677" s="96" t="inlineStr">
        <is>
          <t>IT Software Products</t>
        </is>
      </c>
    </row>
    <row r="678" ht="15" customHeight="1" s="109" thickBot="1">
      <c r="B678" s="96" t="inlineStr">
        <is>
          <t>BOTHRA METALS &amp; ALLOYS LTD</t>
        </is>
      </c>
      <c r="C678" s="97" t="n">
        <v>535279</v>
      </c>
      <c r="D678" s="96" t="inlineStr">
        <is>
          <t>Not Listed</t>
        </is>
      </c>
      <c r="E678" s="96" t="inlineStr">
        <is>
          <t>Aluminium</t>
        </is>
      </c>
    </row>
    <row r="679" ht="15" customHeight="1" s="109" thickBot="1">
      <c r="B679" s="96" t="inlineStr">
        <is>
          <t>BPL LTD</t>
        </is>
      </c>
      <c r="C679" s="97" t="n">
        <v>500074</v>
      </c>
      <c r="D679" s="96" t="inlineStr">
        <is>
          <t>BPL</t>
        </is>
      </c>
      <c r="E679" s="96" t="inlineStr">
        <is>
          <t>Consumer Electronics</t>
        </is>
      </c>
    </row>
    <row r="680" ht="15" customHeight="1" s="109" thickBot="1">
      <c r="B680" s="96" t="inlineStr">
        <is>
          <t>BRADY &amp; MORRIS ENGINEERING CO LTD</t>
        </is>
      </c>
      <c r="C680" s="97" t="n">
        <v>505690</v>
      </c>
      <c r="D680" s="96" t="inlineStr">
        <is>
          <t>Not Listed</t>
        </is>
      </c>
      <c r="E680" s="96" t="inlineStr">
        <is>
          <t>Commercial Vehicles</t>
        </is>
      </c>
    </row>
    <row r="681" ht="15" customHeight="1" s="109" thickBot="1">
      <c r="B681" s="96" t="inlineStr">
        <is>
          <t>BRAHMAPUTRA INFRASTRUCTURE LTD</t>
        </is>
      </c>
      <c r="C681" s="97" t="n">
        <v>535693</v>
      </c>
      <c r="D681" s="96" t="inlineStr">
        <is>
          <t>Not Listed</t>
        </is>
      </c>
      <c r="E681" s="96" t="inlineStr">
        <is>
          <t>Construction &amp; Engineering</t>
        </is>
      </c>
    </row>
    <row r="682" ht="15" customHeight="1" s="109" thickBot="1">
      <c r="B682" s="96" t="inlineStr">
        <is>
          <t>BRAND CONCEPTS LTD</t>
        </is>
      </c>
      <c r="C682" s="96" t="inlineStr">
        <is>
          <t>Not Listed</t>
        </is>
      </c>
      <c r="D682" s="96" t="inlineStr">
        <is>
          <t>BCONCEPTS</t>
        </is>
      </c>
      <c r="E682" s="96" t="inlineStr">
        <is>
          <t>SME</t>
        </is>
      </c>
    </row>
    <row r="683" ht="15" customHeight="1" s="109" thickBot="1">
      <c r="B683" s="96" t="inlineStr">
        <is>
          <t>BRAND REALTY SERVICES LTD</t>
        </is>
      </c>
      <c r="C683" s="97" t="n">
        <v>531203</v>
      </c>
      <c r="D683" s="96" t="inlineStr">
        <is>
          <t>Not Listed</t>
        </is>
      </c>
      <c r="E683" s="96" t="inlineStr">
        <is>
          <t>Consulting Services</t>
        </is>
      </c>
    </row>
    <row r="684" ht="15" customHeight="1" s="109" thickBot="1">
      <c r="B684" s="96" t="inlineStr">
        <is>
          <t>BRAWN BIOTECH LTD</t>
        </is>
      </c>
      <c r="C684" s="97" t="n">
        <v>530207</v>
      </c>
      <c r="D684" s="96" t="inlineStr">
        <is>
          <t>Not Listed</t>
        </is>
      </c>
      <c r="E684" s="96" t="inlineStr">
        <is>
          <t>Pharmaceuticals</t>
        </is>
      </c>
    </row>
    <row r="685" ht="15" customHeight="1" s="109" thickBot="1">
      <c r="B685" s="96" t="inlineStr">
        <is>
          <t>BRIDGE SECURITIES LTD</t>
        </is>
      </c>
      <c r="C685" s="97" t="n">
        <v>530249</v>
      </c>
      <c r="D685" s="96" t="inlineStr">
        <is>
          <t>Not Listed</t>
        </is>
      </c>
      <c r="E685" s="96" t="inlineStr">
        <is>
          <t>Other Financial Services</t>
        </is>
      </c>
    </row>
    <row r="686" ht="15" customHeight="1" s="109" thickBot="1">
      <c r="B686" s="96" t="inlineStr">
        <is>
          <t>BRIGADE ENTERPRISES LTD</t>
        </is>
      </c>
      <c r="C686" s="97" t="n">
        <v>532929</v>
      </c>
      <c r="D686" s="96" t="inlineStr">
        <is>
          <t>BRIGADE</t>
        </is>
      </c>
      <c r="E686" s="96" t="inlineStr">
        <is>
          <t>Realty</t>
        </is>
      </c>
    </row>
    <row r="687" ht="15" customHeight="1" s="109" thickBot="1">
      <c r="B687" s="96" t="inlineStr">
        <is>
          <t>BRIGHT BROTHERS LTD</t>
        </is>
      </c>
      <c r="C687" s="97" t="n">
        <v>526731</v>
      </c>
      <c r="D687" s="96" t="inlineStr">
        <is>
          <t>Not Listed</t>
        </is>
      </c>
      <c r="E687" s="96" t="inlineStr">
        <is>
          <t>Containers &amp; Packaging</t>
        </is>
      </c>
    </row>
    <row r="688" ht="15" customHeight="1" s="109" thickBot="1">
      <c r="B688" s="96" t="inlineStr">
        <is>
          <t>BRIGHT SOLAR LTD</t>
        </is>
      </c>
      <c r="C688" s="96" t="inlineStr">
        <is>
          <t>Not Listed</t>
        </is>
      </c>
      <c r="D688" s="96" t="inlineStr">
        <is>
          <t>BRIGHT</t>
        </is>
      </c>
      <c r="E688" s="96" t="inlineStr">
        <is>
          <t>SME</t>
        </is>
      </c>
    </row>
    <row r="689" ht="15" customHeight="1" s="109" thickBot="1">
      <c r="B689" s="96" t="inlineStr">
        <is>
          <t>BRIGHTCOM GROUP LTD</t>
        </is>
      </c>
      <c r="C689" s="97" t="n">
        <v>532368</v>
      </c>
      <c r="D689" s="96" t="inlineStr">
        <is>
          <t>BCG</t>
        </is>
      </c>
      <c r="E689" s="96" t="inlineStr">
        <is>
          <t>IT Software Products</t>
        </is>
      </c>
    </row>
    <row r="690" ht="15" customHeight="1" s="109" thickBot="1">
      <c r="B690" s="96" t="inlineStr">
        <is>
          <t>BRIJLAXMI LEASING &amp;amp; FINANCE LTD.</t>
        </is>
      </c>
      <c r="C690" s="97" t="n">
        <v>532113</v>
      </c>
      <c r="D690" s="96" t="inlineStr">
        <is>
          <t>BRIJLEAS</t>
        </is>
      </c>
      <c r="E690" s="96" t="inlineStr">
        <is>
          <t>Finance (including NBFCs)</t>
        </is>
      </c>
    </row>
    <row r="691" ht="15" customHeight="1" s="109" thickBot="1">
      <c r="B691" s="96" t="inlineStr">
        <is>
          <t>BRILLIANT PORTFOLIOS LTD</t>
        </is>
      </c>
      <c r="C691" s="97" t="n">
        <v>539434</v>
      </c>
      <c r="D691" s="96" t="inlineStr">
        <is>
          <t>Not Listed</t>
        </is>
      </c>
      <c r="E691" s="96" t="inlineStr">
        <is>
          <t>Finance (including NBFCs)</t>
        </is>
      </c>
    </row>
    <row r="692" ht="15" customHeight="1" s="109" thickBot="1">
      <c r="B692" s="96" t="inlineStr">
        <is>
          <t>BRITANNIA INDUSTRIES LTD</t>
        </is>
      </c>
      <c r="C692" s="97" t="n">
        <v>500825</v>
      </c>
      <c r="D692" s="96" t="inlineStr">
        <is>
          <t>BRITANNIA</t>
        </is>
      </c>
      <c r="E692" s="96" t="inlineStr">
        <is>
          <t>Packaged Foods</t>
        </is>
      </c>
    </row>
    <row r="693" ht="15" customHeight="1" s="109" thickBot="1">
      <c r="B693" s="96" t="inlineStr">
        <is>
          <t>BRONZE INFRA-TECH LTD</t>
        </is>
      </c>
      <c r="C693" s="97" t="n">
        <v>534731</v>
      </c>
      <c r="D693" s="96" t="inlineStr">
        <is>
          <t>Not Listed</t>
        </is>
      </c>
      <c r="E693" s="96" t="inlineStr">
        <is>
          <t>Construction &amp; Engineering</t>
        </is>
      </c>
    </row>
    <row r="694" ht="15" customHeight="1" s="109" thickBot="1">
      <c r="B694" s="96" t="inlineStr">
        <is>
          <t>BROOKS LABORATORIES LTD</t>
        </is>
      </c>
      <c r="C694" s="97" t="n">
        <v>533543</v>
      </c>
      <c r="D694" s="96" t="inlineStr">
        <is>
          <t>BROOKS</t>
        </is>
      </c>
      <c r="E694" s="96" t="inlineStr">
        <is>
          <t>Pharmaceuticals</t>
        </is>
      </c>
    </row>
    <row r="695" ht="15" customHeight="1" s="109" thickBot="1">
      <c r="B695" s="96" t="inlineStr">
        <is>
          <t>BSE LTD</t>
        </is>
      </c>
      <c r="C695" s="96" t="inlineStr">
        <is>
          <t>Not Listed</t>
        </is>
      </c>
      <c r="D695" s="96" t="inlineStr">
        <is>
          <t>BSE</t>
        </is>
      </c>
      <c r="E695" s="96" t="inlineStr">
        <is>
          <t>Others</t>
        </is>
      </c>
    </row>
    <row r="696" ht="15" customHeight="1" s="109" thickBot="1">
      <c r="B696" s="96" t="inlineStr">
        <is>
          <t>BSEL INFRASTRUCTURE REALTY LTD</t>
        </is>
      </c>
      <c r="C696" s="97" t="n">
        <v>532123</v>
      </c>
      <c r="D696" s="96" t="inlineStr">
        <is>
          <t>BSELINFRA</t>
        </is>
      </c>
      <c r="E696" s="96" t="inlineStr">
        <is>
          <t>Realty</t>
        </is>
      </c>
    </row>
    <row r="697" ht="15" customHeight="1" s="109" thickBot="1">
      <c r="B697" s="96" t="inlineStr">
        <is>
          <t>BSL LTD</t>
        </is>
      </c>
      <c r="C697" s="97" t="n">
        <v>514045</v>
      </c>
      <c r="D697" s="96" t="inlineStr">
        <is>
          <t>BSL</t>
        </is>
      </c>
      <c r="E697" s="96" t="inlineStr">
        <is>
          <t>Textiles</t>
        </is>
      </c>
    </row>
    <row r="698" ht="15" customHeight="1" s="109" thickBot="1">
      <c r="B698" s="96" t="inlineStr">
        <is>
          <t>BUDGE BUDGE COMPANY LTD</t>
        </is>
      </c>
      <c r="C698" s="97" t="n">
        <v>538789</v>
      </c>
      <c r="D698" s="96" t="inlineStr">
        <is>
          <t>Not Listed</t>
        </is>
      </c>
      <c r="E698" s="96" t="inlineStr">
        <is>
          <t>Jute &amp; Jute Products</t>
        </is>
      </c>
    </row>
    <row r="699" ht="15" customHeight="1" s="109" thickBot="1">
      <c r="B699" s="96" t="inlineStr">
        <is>
          <t>BULLISH BONDS &amp; HOLDINGS LTD</t>
        </is>
      </c>
      <c r="C699" s="97" t="n">
        <v>540006</v>
      </c>
      <c r="D699" s="96" t="inlineStr">
        <is>
          <t>Not Listed</t>
        </is>
      </c>
      <c r="E699" s="96" t="inlineStr">
        <is>
          <t>Other Financial Services</t>
        </is>
      </c>
    </row>
    <row r="700" ht="15" customHeight="1" s="109" thickBot="1">
      <c r="B700" s="96" t="inlineStr">
        <is>
          <t>BURNPUR CEMENT LTD</t>
        </is>
      </c>
      <c r="C700" s="97" t="n">
        <v>532931</v>
      </c>
      <c r="D700" s="96" t="inlineStr">
        <is>
          <t>BURNPUR</t>
        </is>
      </c>
      <c r="E700" s="96" t="inlineStr">
        <is>
          <t>Cement &amp; Cement Products</t>
        </is>
      </c>
    </row>
    <row r="701" ht="15" customHeight="1" s="109" thickBot="1">
      <c r="B701" s="96" t="inlineStr">
        <is>
          <t>BUTTERFLY GANDHIMATHI APPLIANCES LTD</t>
        </is>
      </c>
      <c r="C701" s="97" t="n">
        <v>517421</v>
      </c>
      <c r="D701" s="96" t="inlineStr">
        <is>
          <t>BUTTERFLY</t>
        </is>
      </c>
      <c r="E701" s="96" t="inlineStr">
        <is>
          <t>Household Appliances</t>
        </is>
      </c>
    </row>
    <row r="702" ht="15" customHeight="1" s="109" thickBot="1">
      <c r="B702" s="96" t="inlineStr">
        <is>
          <t>BWL LTD</t>
        </is>
      </c>
      <c r="C702" s="97" t="n">
        <v>504643</v>
      </c>
      <c r="D702" s="96" t="inlineStr">
        <is>
          <t>Not Listed</t>
        </is>
      </c>
      <c r="E702" s="96" t="inlineStr">
        <is>
          <t>Iron &amp; Steel Products</t>
        </is>
      </c>
    </row>
    <row r="703" ht="15" customHeight="1" s="109" thickBot="1">
      <c r="B703" s="96" t="inlineStr">
        <is>
          <t>C &amp; C CONSTRUCTIONS LTD</t>
        </is>
      </c>
      <c r="C703" s="97" t="n">
        <v>532813</v>
      </c>
      <c r="D703" s="96" t="inlineStr">
        <is>
          <t>CANDC</t>
        </is>
      </c>
      <c r="E703" s="96" t="inlineStr">
        <is>
          <t>Construction &amp; Engineering</t>
        </is>
      </c>
    </row>
    <row r="704" ht="15" customHeight="1" s="109" thickBot="1">
      <c r="B704" s="96" t="inlineStr">
        <is>
          <t>C J GELATINE PRODUCTS LTD</t>
        </is>
      </c>
      <c r="C704" s="97" t="n">
        <v>507515</v>
      </c>
      <c r="D704" s="96" t="inlineStr">
        <is>
          <t>Not Listed</t>
        </is>
      </c>
      <c r="E704" s="96" t="inlineStr">
        <is>
          <t>Specialty Chemicals</t>
        </is>
      </c>
    </row>
    <row r="705" ht="15" customHeight="1" s="109" thickBot="1">
      <c r="B705" s="96" t="inlineStr">
        <is>
          <t>CADILA HEALTHCARE LTD</t>
        </is>
      </c>
      <c r="C705" s="97" t="n">
        <v>532321</v>
      </c>
      <c r="D705" s="96" t="inlineStr">
        <is>
          <t>CADILAHC</t>
        </is>
      </c>
      <c r="E705" s="96" t="inlineStr">
        <is>
          <t>Pharmaceuticals</t>
        </is>
      </c>
    </row>
    <row r="706" ht="15" customHeight="1" s="109" thickBot="1">
      <c r="B706" s="96" t="inlineStr">
        <is>
          <t>CADSYS (INDIA) LTD</t>
        </is>
      </c>
      <c r="C706" s="96" t="inlineStr">
        <is>
          <t>Not Listed</t>
        </is>
      </c>
      <c r="D706" s="96" t="inlineStr">
        <is>
          <t>CADSYS</t>
        </is>
      </c>
      <c r="E706" s="96" t="inlineStr">
        <is>
          <t>SME</t>
        </is>
      </c>
    </row>
    <row r="707" ht="15" customHeight="1" s="109" thickBot="1">
      <c r="B707" s="96" t="inlineStr">
        <is>
          <t>CADSYS INDIA LTD</t>
        </is>
      </c>
      <c r="C707" s="96" t="inlineStr">
        <is>
          <t>Not Listed</t>
        </is>
      </c>
      <c r="D707" s="96" t="inlineStr">
        <is>
          <t>CADSYS</t>
        </is>
      </c>
      <c r="E707" s="96" t="inlineStr">
        <is>
          <t>SME</t>
        </is>
      </c>
    </row>
    <row r="708" ht="15" customHeight="1" s="109" thickBot="1">
      <c r="B708" s="96" t="inlineStr">
        <is>
          <t>CALCOM VISION LTD</t>
        </is>
      </c>
      <c r="C708" s="97" t="n">
        <v>517236</v>
      </c>
      <c r="D708" s="96" t="inlineStr">
        <is>
          <t>Not Listed</t>
        </is>
      </c>
      <c r="E708" s="96" t="inlineStr">
        <is>
          <t>Consumer Electronics</t>
        </is>
      </c>
    </row>
    <row r="709" ht="15" customHeight="1" s="109" thickBot="1">
      <c r="B709" s="96" t="inlineStr">
        <is>
          <t>CALIFORNIA SOFTWARE COMPANY LTD</t>
        </is>
      </c>
      <c r="C709" s="97" t="n">
        <v>532386</v>
      </c>
      <c r="D709" s="96" t="inlineStr">
        <is>
          <t>CALSOFT</t>
        </is>
      </c>
      <c r="E709" s="96" t="inlineStr">
        <is>
          <t>IT Software Products</t>
        </is>
      </c>
    </row>
    <row r="710" ht="15" customHeight="1" s="109" thickBot="1">
      <c r="B710" s="96" t="inlineStr">
        <is>
          <t>CAMBRIDGE TECHNOLOGY ENTERPRISES LTD</t>
        </is>
      </c>
      <c r="C710" s="97" t="n">
        <v>532801</v>
      </c>
      <c r="D710" s="96" t="inlineStr">
        <is>
          <t>CTE</t>
        </is>
      </c>
      <c r="E710" s="96" t="inlineStr">
        <is>
          <t>IT Software Products</t>
        </is>
      </c>
    </row>
    <row r="711" ht="15" customHeight="1" s="109" thickBot="1">
      <c r="B711" s="96" t="inlineStr">
        <is>
          <t>CAMEX LTD</t>
        </is>
      </c>
      <c r="C711" s="97" t="n">
        <v>524440</v>
      </c>
      <c r="D711" s="96" t="inlineStr">
        <is>
          <t>Not Listed</t>
        </is>
      </c>
      <c r="E711" s="96" t="inlineStr">
        <is>
          <t>Commodity Chemicals</t>
        </is>
      </c>
    </row>
    <row r="712" ht="15" customHeight="1" s="109" thickBot="1">
      <c r="B712" s="96" t="inlineStr">
        <is>
          <t>CAMLIN FINE SCIENCES LTD</t>
        </is>
      </c>
      <c r="C712" s="97" t="n">
        <v>532834</v>
      </c>
      <c r="D712" s="96" t="inlineStr">
        <is>
          <t>CAMLINFINE</t>
        </is>
      </c>
      <c r="E712" s="96" t="inlineStr">
        <is>
          <t>Specialty Chemicals</t>
        </is>
      </c>
    </row>
    <row r="713" ht="15" customHeight="1" s="109" thickBot="1">
      <c r="B713" s="96" t="inlineStr">
        <is>
          <t>CAMSON BIO TECHNOLOGIES LTD</t>
        </is>
      </c>
      <c r="C713" s="97" t="n">
        <v>538858</v>
      </c>
      <c r="D713" s="96" t="inlineStr">
        <is>
          <t>Not Listed</t>
        </is>
      </c>
      <c r="E713" s="96" t="inlineStr">
        <is>
          <t>Biotechnology</t>
        </is>
      </c>
    </row>
    <row r="714" ht="15" customHeight="1" s="109" thickBot="1">
      <c r="B714" s="96" t="inlineStr">
        <is>
          <t>CAMSON SEEDS LTD</t>
        </is>
      </c>
      <c r="C714" s="97" t="n">
        <v>540071</v>
      </c>
      <c r="D714" s="96" t="inlineStr">
        <is>
          <t>Not Listed</t>
        </is>
      </c>
      <c r="E714" s="96" t="inlineStr">
        <is>
          <t>Other Agricultural Products</t>
        </is>
      </c>
    </row>
    <row r="715" ht="15" customHeight="1" s="109" thickBot="1">
      <c r="B715" s="96" t="inlineStr">
        <is>
          <t>CAN FIN HOMES LTD</t>
        </is>
      </c>
      <c r="C715" s="97" t="n">
        <v>511196</v>
      </c>
      <c r="D715" s="96" t="inlineStr">
        <is>
          <t>CANFINHOME</t>
        </is>
      </c>
      <c r="E715" s="96" t="inlineStr">
        <is>
          <t>Housing Finance</t>
        </is>
      </c>
    </row>
    <row r="716" ht="15" customHeight="1" s="109" thickBot="1">
      <c r="B716" s="96" t="inlineStr">
        <is>
          <t>CANARA BANK</t>
        </is>
      </c>
      <c r="C716" s="97" t="n">
        <v>532483</v>
      </c>
      <c r="D716" s="96" t="inlineStr">
        <is>
          <t>CANBK</t>
        </is>
      </c>
      <c r="E716" s="96" t="inlineStr">
        <is>
          <t>Banks</t>
        </is>
      </c>
    </row>
    <row r="717" ht="15" customHeight="1" s="109" thickBot="1">
      <c r="B717" s="96" t="inlineStr">
        <is>
          <t>CANOPY FINANCE LTD</t>
        </is>
      </c>
      <c r="C717" s="97" t="n">
        <v>539304</v>
      </c>
      <c r="D717" s="96" t="inlineStr">
        <is>
          <t>Not Listed</t>
        </is>
      </c>
      <c r="E717" s="96" t="inlineStr">
        <is>
          <t>Other Financial Services</t>
        </is>
      </c>
    </row>
    <row r="718" ht="15" customHeight="1" s="109" thickBot="1">
      <c r="B718" s="96" t="inlineStr">
        <is>
          <t>CANTABIL RETAIL (INDIA) LTD</t>
        </is>
      </c>
      <c r="C718" s="97" t="n">
        <v>533267</v>
      </c>
      <c r="D718" s="96" t="inlineStr">
        <is>
          <t>CANTABIL</t>
        </is>
      </c>
      <c r="E718" s="96" t="inlineStr">
        <is>
          <t>Other Apparels &amp; Accessories</t>
        </is>
      </c>
    </row>
    <row r="719" ht="15" customHeight="1" s="109" thickBot="1">
      <c r="B719" s="96" t="inlineStr">
        <is>
          <t>CANTABIL RETAIL INDIA LTD</t>
        </is>
      </c>
      <c r="C719" s="97" t="n">
        <v>533267</v>
      </c>
      <c r="D719" s="96" t="inlineStr">
        <is>
          <t>CANTABIL</t>
        </is>
      </c>
      <c r="E719" s="96" t="inlineStr">
        <is>
          <t>Other Apparels &amp; Accessories</t>
        </is>
      </c>
    </row>
    <row r="720" ht="15" customHeight="1" s="109" thickBot="1">
      <c r="B720" s="96" t="inlineStr">
        <is>
          <t>CAPACIT'E INFRAPROJECTS LTD</t>
        </is>
      </c>
      <c r="C720" s="97" t="n">
        <v>540710</v>
      </c>
      <c r="D720" s="96" t="inlineStr">
        <is>
          <t>CAPACITE</t>
        </is>
      </c>
      <c r="E720" s="96" t="inlineStr">
        <is>
          <t>Realty</t>
        </is>
      </c>
    </row>
    <row r="721" ht="15" customHeight="1" s="109" thickBot="1">
      <c r="B721" s="96" t="inlineStr">
        <is>
          <t>CAPFIN (INDIA) LTD</t>
        </is>
      </c>
      <c r="C721" s="97" t="n">
        <v>539198</v>
      </c>
      <c r="D721" s="96" t="inlineStr">
        <is>
          <t>Not Listed</t>
        </is>
      </c>
      <c r="E721" s="96" t="inlineStr">
        <is>
          <t>Other Financial Services</t>
        </is>
      </c>
    </row>
    <row r="722" ht="15" customHeight="1" s="109" thickBot="1">
      <c r="B722" s="96" t="inlineStr">
        <is>
          <t>CAPFIN INDIA LTD</t>
        </is>
      </c>
      <c r="C722" s="97" t="n">
        <v>539198</v>
      </c>
      <c r="D722" s="96" t="inlineStr">
        <is>
          <t>Not Listed</t>
        </is>
      </c>
      <c r="E722" s="96" t="inlineStr">
        <is>
          <t>Other Financial Services</t>
        </is>
      </c>
    </row>
    <row r="723" ht="15" customHeight="1" s="109" thickBot="1">
      <c r="B723" s="96" t="inlineStr">
        <is>
          <t>CAPITAL FIRST LTD</t>
        </is>
      </c>
      <c r="C723" s="97" t="n">
        <v>532938</v>
      </c>
      <c r="D723" s="96" t="inlineStr">
        <is>
          <t>CAPF</t>
        </is>
      </c>
      <c r="E723" s="96" t="inlineStr">
        <is>
          <t>Other Financial Services</t>
        </is>
      </c>
    </row>
    <row r="724" ht="15" customHeight="1" s="109" thickBot="1">
      <c r="B724" s="96" t="inlineStr">
        <is>
          <t>CAPITAL INDIA FINANCE LTD</t>
        </is>
      </c>
      <c r="C724" s="97" t="n">
        <v>530879</v>
      </c>
      <c r="D724" s="96" t="inlineStr">
        <is>
          <t>Not Listed</t>
        </is>
      </c>
      <c r="E724" s="96" t="inlineStr">
        <is>
          <t>Other Financial Services</t>
        </is>
      </c>
    </row>
    <row r="725" ht="15" customHeight="1" s="109" thickBot="1">
      <c r="B725" s="96" t="inlineStr">
        <is>
          <t>CAPITAL TRADE LINKS LTD</t>
        </is>
      </c>
      <c r="C725" s="97" t="n">
        <v>538476</v>
      </c>
      <c r="D725" s="96" t="inlineStr">
        <is>
          <t>Not Listed</t>
        </is>
      </c>
      <c r="E725" s="96" t="inlineStr">
        <is>
          <t>Finance (including NBFCs)</t>
        </is>
      </c>
    </row>
    <row r="726" ht="15" customHeight="1" s="109" thickBot="1">
      <c r="B726" s="96" t="inlineStr">
        <is>
          <t>CAPITAL TRUST LTD</t>
        </is>
      </c>
      <c r="C726" s="97" t="n">
        <v>511505</v>
      </c>
      <c r="D726" s="96" t="inlineStr">
        <is>
          <t>CAPTRUST</t>
        </is>
      </c>
      <c r="E726" s="96" t="inlineStr">
        <is>
          <t>Finance (including NBFCs)</t>
        </is>
      </c>
    </row>
    <row r="727" ht="15" customHeight="1" s="109" thickBot="1">
      <c r="B727" s="96" t="inlineStr">
        <is>
          <t>CAPLIN POINT LABORATORIES LTD</t>
        </is>
      </c>
      <c r="C727" s="97" t="n">
        <v>524742</v>
      </c>
      <c r="D727" s="96" t="inlineStr">
        <is>
          <t>CAPLIPOINT</t>
        </is>
      </c>
      <c r="E727" s="96" t="inlineStr">
        <is>
          <t>Pharmaceuticals</t>
        </is>
      </c>
    </row>
    <row r="728" ht="15" customHeight="1" s="109" thickBot="1">
      <c r="B728" s="96" t="inlineStr">
        <is>
          <t>CAPRI GLOBAL CAPITAL LTD</t>
        </is>
      </c>
      <c r="C728" s="97" t="n">
        <v>531595</v>
      </c>
      <c r="D728" s="96" t="inlineStr">
        <is>
          <t>CGCL</t>
        </is>
      </c>
      <c r="E728" s="96" t="inlineStr">
        <is>
          <t>Finance (including NBFCs)</t>
        </is>
      </c>
    </row>
    <row r="729" ht="15" customHeight="1" s="109" thickBot="1">
      <c r="B729" s="96" t="inlineStr">
        <is>
          <t>CAPRICORN SYSTEMS GLOBAL SOLUTIONS LTD</t>
        </is>
      </c>
      <c r="C729" s="97" t="n">
        <v>512169</v>
      </c>
      <c r="D729" s="96" t="inlineStr">
        <is>
          <t>Not Listed</t>
        </is>
      </c>
      <c r="E729" s="96" t="inlineStr">
        <is>
          <t>Misc.Commercial Services</t>
        </is>
      </c>
    </row>
    <row r="730" ht="15" customHeight="1" s="109" thickBot="1">
      <c r="B730" s="96" t="inlineStr">
        <is>
          <t>CAPRIHANS (INDIA) LTD</t>
        </is>
      </c>
      <c r="C730" s="97" t="n">
        <v>509486</v>
      </c>
      <c r="D730" s="96" t="inlineStr">
        <is>
          <t>Not Listed</t>
        </is>
      </c>
      <c r="E730" s="96" t="inlineStr">
        <is>
          <t>Plastic Products</t>
        </is>
      </c>
    </row>
    <row r="731" ht="15" customHeight="1" s="109" thickBot="1">
      <c r="B731" s="96" t="inlineStr">
        <is>
          <t>CAPRIHANS INDIA LTD</t>
        </is>
      </c>
      <c r="C731" s="97" t="n">
        <v>509486</v>
      </c>
      <c r="D731" s="96" t="inlineStr">
        <is>
          <t>Not Listed</t>
        </is>
      </c>
      <c r="E731" s="96" t="inlineStr">
        <is>
          <t>Plastic Products</t>
        </is>
      </c>
    </row>
    <row r="732" ht="15" customHeight="1" s="109" thickBot="1">
      <c r="B732" s="96" t="inlineStr">
        <is>
          <t>CAPROLACTAM CHEMICALS LTD</t>
        </is>
      </c>
      <c r="C732" s="97" t="n">
        <v>507486</v>
      </c>
      <c r="D732" s="96" t="inlineStr">
        <is>
          <t>Not Listed</t>
        </is>
      </c>
      <c r="E732" s="96" t="inlineStr">
        <is>
          <t>Commodity Chemicals</t>
        </is>
      </c>
    </row>
    <row r="733" ht="15" customHeight="1" s="109" thickBot="1">
      <c r="B733" s="96" t="inlineStr">
        <is>
          <t>CAPTAIN PIPES LTD</t>
        </is>
      </c>
      <c r="C733" s="97" t="n">
        <v>538817</v>
      </c>
      <c r="D733" s="96" t="inlineStr">
        <is>
          <t>Not Listed</t>
        </is>
      </c>
      <c r="E733" s="96" t="inlineStr">
        <is>
          <t>Plastic Products</t>
        </is>
      </c>
    </row>
    <row r="734" ht="15" customHeight="1" s="109" thickBot="1">
      <c r="B734" s="96" t="inlineStr">
        <is>
          <t>CAPTAIN POLYPLAST LTD</t>
        </is>
      </c>
      <c r="C734" s="97" t="n">
        <v>536974</v>
      </c>
      <c r="D734" s="96" t="inlineStr">
        <is>
          <t>Not Listed</t>
        </is>
      </c>
      <c r="E734" s="96" t="inlineStr">
        <is>
          <t>Plastic Products</t>
        </is>
      </c>
    </row>
    <row r="735" ht="15" customHeight="1" s="109" thickBot="1">
      <c r="B735" s="96" t="inlineStr">
        <is>
          <t>CAPTAIN TECHNOCAST LTD</t>
        </is>
      </c>
      <c r="C735" s="97" t="n">
        <v>540652</v>
      </c>
      <c r="D735" s="96" t="inlineStr">
        <is>
          <t>Not Listed</t>
        </is>
      </c>
      <c r="E735" s="96" t="inlineStr">
        <is>
          <t>Other Industrial Goods</t>
        </is>
      </c>
    </row>
    <row r="736" ht="15" customHeight="1" s="109" thickBot="1">
      <c r="B736" s="96" t="inlineStr">
        <is>
          <t>CARBORUNDUM UNIVERSAL LTD</t>
        </is>
      </c>
      <c r="C736" s="97" t="n">
        <v>513375</v>
      </c>
      <c r="D736" s="96" t="inlineStr">
        <is>
          <t>CARBORUNIV</t>
        </is>
      </c>
      <c r="E736" s="96" t="inlineStr">
        <is>
          <t>Other Industrial Products</t>
        </is>
      </c>
    </row>
    <row r="737" ht="15" customHeight="1" s="109" thickBot="1">
      <c r="B737" s="96" t="inlineStr">
        <is>
          <t>CARE RATINGS LTD</t>
        </is>
      </c>
      <c r="C737" s="97" t="n">
        <v>534804</v>
      </c>
      <c r="D737" s="96" t="inlineStr">
        <is>
          <t>CARERATING</t>
        </is>
      </c>
      <c r="E737" s="96" t="inlineStr">
        <is>
          <t>Other Financial Services</t>
        </is>
      </c>
    </row>
    <row r="738" ht="15" customHeight="1" s="109" thickBot="1">
      <c r="B738" s="96" t="inlineStr">
        <is>
          <t>CAREER POINT LTD</t>
        </is>
      </c>
      <c r="C738" s="97" t="n">
        <v>533260</v>
      </c>
      <c r="D738" s="96" t="inlineStr">
        <is>
          <t>CAREERP</t>
        </is>
      </c>
      <c r="E738" s="96" t="inlineStr">
        <is>
          <t>Education</t>
        </is>
      </c>
    </row>
    <row r="739" ht="15" customHeight="1" s="109" thickBot="1">
      <c r="B739" s="96" t="inlineStr">
        <is>
          <t>CARNATION INDUSTRIES LTD</t>
        </is>
      </c>
      <c r="C739" s="97" t="n">
        <v>530609</v>
      </c>
      <c r="D739" s="96" t="inlineStr">
        <is>
          <t>Not Listed</t>
        </is>
      </c>
      <c r="E739" s="96" t="inlineStr">
        <is>
          <t>Other Industrial Products</t>
        </is>
      </c>
    </row>
    <row r="740" ht="15" customHeight="1" s="109" thickBot="1">
      <c r="B740" s="96" t="inlineStr">
        <is>
          <t>CASTEX TECHNOLOGIES LTD</t>
        </is>
      </c>
      <c r="C740" s="97" t="n">
        <v>532282</v>
      </c>
      <c r="D740" s="96" t="inlineStr">
        <is>
          <t>CASTEXTECH</t>
        </is>
      </c>
      <c r="E740" s="96" t="inlineStr">
        <is>
          <t>Auto Parts &amp; Equipment</t>
        </is>
      </c>
    </row>
    <row r="741" ht="15" customHeight="1" s="109" thickBot="1">
      <c r="B741" s="96" t="inlineStr">
        <is>
          <t>CASTROL (INDIA) LTD</t>
        </is>
      </c>
      <c r="C741" s="97" t="n">
        <v>500870</v>
      </c>
      <c r="D741" s="96" t="inlineStr">
        <is>
          <t>CASTROLIND</t>
        </is>
      </c>
      <c r="E741" s="96" t="inlineStr">
        <is>
          <t>Oil Marketing &amp; Distribution</t>
        </is>
      </c>
    </row>
    <row r="742" ht="15" customHeight="1" s="109" thickBot="1">
      <c r="B742" s="96" t="inlineStr">
        <is>
          <t>CASTROL INDIA LTD</t>
        </is>
      </c>
      <c r="C742" s="97" t="n">
        <v>500870</v>
      </c>
      <c r="D742" s="96" t="inlineStr">
        <is>
          <t>CASTROLIND</t>
        </is>
      </c>
      <c r="E742" s="96" t="inlineStr">
        <is>
          <t>Oil Marketing &amp; Distribution</t>
        </is>
      </c>
    </row>
    <row r="743" ht="15" customHeight="1" s="109" thickBot="1">
      <c r="B743" s="96" t="inlineStr">
        <is>
          <t>CAT TECHNOLOGIES LTD</t>
        </is>
      </c>
      <c r="C743" s="97" t="n">
        <v>531682</v>
      </c>
      <c r="D743" s="96" t="inlineStr">
        <is>
          <t>Not Listed</t>
        </is>
      </c>
      <c r="E743" s="96" t="inlineStr">
        <is>
          <t>IT Consulting &amp; Software</t>
        </is>
      </c>
    </row>
    <row r="744" ht="15" customHeight="1" s="109" thickBot="1">
      <c r="B744" s="96" t="inlineStr">
        <is>
          <t>CATVISION LTD</t>
        </is>
      </c>
      <c r="C744" s="97" t="n">
        <v>531158</v>
      </c>
      <c r="D744" s="96" t="inlineStr">
        <is>
          <t>Not Listed</t>
        </is>
      </c>
      <c r="E744" s="96" t="inlineStr">
        <is>
          <t>Comm.Trading &amp; Distribution</t>
        </is>
      </c>
    </row>
    <row r="745" ht="15" customHeight="1" s="109" thickBot="1">
      <c r="B745" s="96" t="inlineStr">
        <is>
          <t>CCL INTERNATIONAL LTD</t>
        </is>
      </c>
      <c r="C745" s="97" t="n">
        <v>531900</v>
      </c>
      <c r="D745" s="96" t="inlineStr">
        <is>
          <t>Not Listed</t>
        </is>
      </c>
      <c r="E745" s="96" t="inlineStr">
        <is>
          <t>Comm.Trading &amp; Distribution</t>
        </is>
      </c>
    </row>
    <row r="746" ht="15" customHeight="1" s="109" thickBot="1">
      <c r="B746" s="96" t="inlineStr">
        <is>
          <t>CCL PRODUCTS (INDIA) LTD</t>
        </is>
      </c>
      <c r="C746" s="97" t="n">
        <v>519600</v>
      </c>
      <c r="D746" s="96" t="inlineStr">
        <is>
          <t>CCL</t>
        </is>
      </c>
      <c r="E746" s="96" t="inlineStr">
        <is>
          <t>Tea &amp; Coffee</t>
        </is>
      </c>
    </row>
    <row r="747" ht="15" customHeight="1" s="109" thickBot="1">
      <c r="B747" s="96" t="inlineStr">
        <is>
          <t>CCL PRODUCTS INDIA LTD</t>
        </is>
      </c>
      <c r="C747" s="97" t="n">
        <v>519600</v>
      </c>
      <c r="D747" s="96" t="inlineStr">
        <is>
          <t>CCL</t>
        </is>
      </c>
      <c r="E747" s="96" t="inlineStr">
        <is>
          <t>Tea &amp; Coffee</t>
        </is>
      </c>
    </row>
    <row r="748" ht="15" customHeight="1" s="109" thickBot="1">
      <c r="B748" s="96" t="inlineStr">
        <is>
          <t>CEAT LTD</t>
        </is>
      </c>
      <c r="C748" s="97" t="n">
        <v>500878</v>
      </c>
      <c r="D748" s="96" t="inlineStr">
        <is>
          <t>CEATLTD</t>
        </is>
      </c>
      <c r="E748" s="96" t="inlineStr">
        <is>
          <t>Auto Tyres &amp; Rubber Products</t>
        </is>
      </c>
    </row>
    <row r="749" ht="15" customHeight="1" s="109" thickBot="1">
      <c r="B749" s="96" t="inlineStr">
        <is>
          <t>CEEJAY FINANCE LTD</t>
        </is>
      </c>
      <c r="C749" s="97" t="n">
        <v>530789</v>
      </c>
      <c r="D749" s="96" t="inlineStr">
        <is>
          <t>Not Listed</t>
        </is>
      </c>
      <c r="E749" s="96" t="inlineStr">
        <is>
          <t>Plastic Products</t>
        </is>
      </c>
    </row>
    <row r="750" ht="15" customHeight="1" s="109" thickBot="1">
      <c r="B750" s="96" t="inlineStr">
        <is>
          <t>CEENIK EXPORTS (INDIA) LTD</t>
        </is>
      </c>
      <c r="C750" s="97" t="n">
        <v>531119</v>
      </c>
      <c r="D750" s="96" t="inlineStr">
        <is>
          <t>Not Listed</t>
        </is>
      </c>
      <c r="E750" s="96" t="inlineStr">
        <is>
          <t>Other Apparels &amp; Accessories</t>
        </is>
      </c>
    </row>
    <row r="751" ht="15" customHeight="1" s="109" thickBot="1">
      <c r="B751" s="96" t="inlineStr">
        <is>
          <t>CEENIK EXPORTS INDIA LTD</t>
        </is>
      </c>
      <c r="C751" s="97" t="n">
        <v>531119</v>
      </c>
      <c r="D751" s="96" t="inlineStr">
        <is>
          <t>Not Listed</t>
        </is>
      </c>
      <c r="E751" s="96" t="inlineStr">
        <is>
          <t>Other Apparels &amp; Accessories</t>
        </is>
      </c>
    </row>
    <row r="752" ht="15" customHeight="1" s="109" thickBot="1">
      <c r="B752" s="96" t="inlineStr">
        <is>
          <t>CEETA INDUSTRIES LTD</t>
        </is>
      </c>
      <c r="C752" s="97" t="n">
        <v>514171</v>
      </c>
      <c r="D752" s="96" t="inlineStr">
        <is>
          <t>Not Listed</t>
        </is>
      </c>
      <c r="E752" s="96" t="inlineStr">
        <is>
          <t>Construction Materials</t>
        </is>
      </c>
    </row>
    <row r="753" ht="15" customHeight="1" s="109" thickBot="1">
      <c r="B753" s="96" t="inlineStr">
        <is>
          <t>CEINSYS TECH LTD</t>
        </is>
      </c>
      <c r="C753" s="97" t="n">
        <v>538734</v>
      </c>
      <c r="D753" s="96" t="inlineStr">
        <is>
          <t>Not Listed</t>
        </is>
      </c>
      <c r="E753" s="96" t="inlineStr">
        <is>
          <t>IT Consulting &amp; Software</t>
        </is>
      </c>
    </row>
    <row r="754" ht="15" customHeight="1" s="109" thickBot="1">
      <c r="B754" s="96" t="inlineStr">
        <is>
          <t>CELEBRITY FASHIONS LTD</t>
        </is>
      </c>
      <c r="C754" s="97" t="n">
        <v>532695</v>
      </c>
      <c r="D754" s="96" t="inlineStr">
        <is>
          <t>CELEBRITY</t>
        </is>
      </c>
      <c r="E754" s="96" t="inlineStr">
        <is>
          <t>Other Apparels &amp; Accessories</t>
        </is>
      </c>
    </row>
    <row r="755" ht="15" customHeight="1" s="109" thickBot="1">
      <c r="B755" s="96" t="inlineStr">
        <is>
          <t>CELESTIAL BIOLABS LTD</t>
        </is>
      </c>
      <c r="C755" s="97" t="n">
        <v>532871</v>
      </c>
      <c r="D755" s="96" t="inlineStr">
        <is>
          <t>CELESTIAL</t>
        </is>
      </c>
      <c r="E755" s="96" t="inlineStr">
        <is>
          <t>Biotechnology</t>
        </is>
      </c>
    </row>
    <row r="756" ht="15" customHeight="1" s="109" thickBot="1">
      <c r="B756" s="96" t="inlineStr">
        <is>
          <t>CELLA SPACE LTD</t>
        </is>
      </c>
      <c r="C756" s="97" t="n">
        <v>532701</v>
      </c>
      <c r="D756" s="96" t="inlineStr">
        <is>
          <t>Not Listed</t>
        </is>
      </c>
      <c r="E756" s="96" t="inlineStr">
        <is>
          <t>Paper &amp; Paper Products</t>
        </is>
      </c>
    </row>
    <row r="757" ht="15" customHeight="1" s="109" thickBot="1">
      <c r="B757" s="96" t="inlineStr">
        <is>
          <t>CENLUB INDUSTRIES LTD</t>
        </is>
      </c>
      <c r="C757" s="97" t="n">
        <v>522251</v>
      </c>
      <c r="D757" s="96" t="inlineStr">
        <is>
          <t>Not Listed</t>
        </is>
      </c>
      <c r="E757" s="96" t="inlineStr">
        <is>
          <t>Industrial Machinery</t>
        </is>
      </c>
    </row>
    <row r="758" ht="15" customHeight="1" s="109" thickBot="1">
      <c r="B758" s="96" t="inlineStr">
        <is>
          <t>CENTENIAL SURGICAL SUTURE LTD</t>
        </is>
      </c>
      <c r="C758" s="97" t="n">
        <v>531380</v>
      </c>
      <c r="D758" s="96" t="inlineStr">
        <is>
          <t>Not Listed</t>
        </is>
      </c>
      <c r="E758" s="96" t="inlineStr">
        <is>
          <t>Medical Equipment</t>
        </is>
      </c>
    </row>
    <row r="759" ht="15" customHeight="1" s="109" thickBot="1">
      <c r="B759" s="96" t="inlineStr">
        <is>
          <t>CENTRAL BANK OF INDIA</t>
        </is>
      </c>
      <c r="C759" s="97" t="n">
        <v>532885</v>
      </c>
      <c r="D759" s="96" t="inlineStr">
        <is>
          <t>CENTRALBK</t>
        </is>
      </c>
      <c r="E759" s="96" t="inlineStr">
        <is>
          <t>Banks</t>
        </is>
      </c>
    </row>
    <row r="760" ht="15" customHeight="1" s="109" thickBot="1">
      <c r="B760" s="96" t="inlineStr">
        <is>
          <t>CENTRAL DEPOSITORY SERVICES (INDIA) LTD</t>
        </is>
      </c>
      <c r="C760" s="96" t="inlineStr">
        <is>
          <t>Not Listed</t>
        </is>
      </c>
      <c r="D760" s="96" t="inlineStr">
        <is>
          <t>CDSL</t>
        </is>
      </c>
      <c r="E760" s="96" t="inlineStr">
        <is>
          <t>Others</t>
        </is>
      </c>
    </row>
    <row r="761" ht="15" customHeight="1" s="109" thickBot="1">
      <c r="B761" s="96" t="inlineStr">
        <is>
          <t>CENTRAL DEPOSITORY SERVICES INDIA LTD</t>
        </is>
      </c>
      <c r="C761" s="96" t="inlineStr">
        <is>
          <t>Not Listed</t>
        </is>
      </c>
      <c r="D761" s="96" t="inlineStr">
        <is>
          <t>CDSL</t>
        </is>
      </c>
      <c r="E761" s="96" t="inlineStr">
        <is>
          <t>Others</t>
        </is>
      </c>
    </row>
    <row r="762" ht="15" customHeight="1" s="109" thickBot="1">
      <c r="B762" s="96" t="inlineStr">
        <is>
          <t>CENTRAL PROVINCES RAILWAYS CO LTD</t>
        </is>
      </c>
      <c r="C762" s="97" t="n">
        <v>501827</v>
      </c>
      <c r="D762" s="96" t="inlineStr">
        <is>
          <t>Not Listed</t>
        </is>
      </c>
      <c r="E762" s="96" t="inlineStr">
        <is>
          <t>Surface Transportation</t>
        </is>
      </c>
    </row>
    <row r="763" ht="15" customHeight="1" s="109" thickBot="1">
      <c r="B763" s="96" t="inlineStr">
        <is>
          <t>CENTRUM CAPITAL LTD</t>
        </is>
      </c>
      <c r="C763" s="97" t="n">
        <v>501150</v>
      </c>
      <c r="D763" s="96" t="inlineStr">
        <is>
          <t>CENTRUM</t>
        </is>
      </c>
      <c r="E763" s="96" t="inlineStr">
        <is>
          <t>Other Financial Services</t>
        </is>
      </c>
    </row>
    <row r="764" ht="15" customHeight="1" s="109" thickBot="1">
      <c r="B764" s="96" t="inlineStr">
        <is>
          <t>CENTUM ELECTRONICS LTD</t>
        </is>
      </c>
      <c r="C764" s="97" t="n">
        <v>517544</v>
      </c>
      <c r="D764" s="96" t="inlineStr">
        <is>
          <t>CENTUM</t>
        </is>
      </c>
      <c r="E764" s="96" t="inlineStr">
        <is>
          <t>Misc.Commercial Services</t>
        </is>
      </c>
    </row>
    <row r="765" ht="15" customHeight="1" s="109" thickBot="1">
      <c r="B765" s="96" t="inlineStr">
        <is>
          <t>CENTURY ENKA LTD</t>
        </is>
      </c>
      <c r="C765" s="97" t="n">
        <v>500280</v>
      </c>
      <c r="D765" s="96" t="inlineStr">
        <is>
          <t>CENTENKA</t>
        </is>
      </c>
      <c r="E765" s="96" t="inlineStr">
        <is>
          <t>Textiles</t>
        </is>
      </c>
    </row>
    <row r="766" ht="15" customHeight="1" s="109" thickBot="1">
      <c r="B766" s="96" t="inlineStr">
        <is>
          <t>CENTURY EXTRUSIONS LTD</t>
        </is>
      </c>
      <c r="C766" s="97" t="n">
        <v>500083</v>
      </c>
      <c r="D766" s="96" t="inlineStr">
        <is>
          <t>CENTEXT</t>
        </is>
      </c>
      <c r="E766" s="96" t="inlineStr">
        <is>
          <t>Aluminium</t>
        </is>
      </c>
    </row>
    <row r="767" ht="15" customHeight="1" s="109" thickBot="1">
      <c r="B767" s="96" t="inlineStr">
        <is>
          <t>CENTURY PLYBOARDS (INDIA) LTD</t>
        </is>
      </c>
      <c r="C767" s="97" t="n">
        <v>532548</v>
      </c>
      <c r="D767" s="96" t="inlineStr">
        <is>
          <t>CENTURYPLY</t>
        </is>
      </c>
      <c r="E767" s="96" t="inlineStr">
        <is>
          <t>Forest Products</t>
        </is>
      </c>
    </row>
    <row r="768" ht="15" customHeight="1" s="109" thickBot="1">
      <c r="B768" s="96" t="inlineStr">
        <is>
          <t>CENTURY PLYBOARDS INDIA LTD</t>
        </is>
      </c>
      <c r="C768" s="97" t="n">
        <v>532548</v>
      </c>
      <c r="D768" s="96" t="inlineStr">
        <is>
          <t>CENTURYPLY</t>
        </is>
      </c>
      <c r="E768" s="96" t="inlineStr">
        <is>
          <t>Forest Products</t>
        </is>
      </c>
    </row>
    <row r="769" ht="15" customHeight="1" s="109" thickBot="1">
      <c r="B769" s="96" t="inlineStr">
        <is>
          <t>CENTURY TEXTILES &amp; INDUSTRIES LTD</t>
        </is>
      </c>
      <c r="C769" s="97" t="n">
        <v>500040</v>
      </c>
      <c r="D769" s="96" t="inlineStr">
        <is>
          <t>CENTURYTEX</t>
        </is>
      </c>
      <c r="E769" s="96" t="inlineStr">
        <is>
          <t>Cement &amp; Cement Products</t>
        </is>
      </c>
    </row>
    <row r="770" ht="15" customHeight="1" s="109" thickBot="1">
      <c r="B770" s="96" t="inlineStr">
        <is>
          <t>CENTURY TWENTYFIRST PORTFOLIO LTD</t>
        </is>
      </c>
      <c r="C770" s="97" t="n">
        <v>530881</v>
      </c>
      <c r="D770" s="96" t="inlineStr">
        <is>
          <t>Not Listed</t>
        </is>
      </c>
      <c r="E770" s="96" t="inlineStr">
        <is>
          <t>Other Financial Services</t>
        </is>
      </c>
    </row>
    <row r="771" ht="15" customHeight="1" s="109" thickBot="1">
      <c r="B771" s="96" t="inlineStr">
        <is>
          <t>CERA SANITARYWARE LTD</t>
        </is>
      </c>
      <c r="C771" s="97" t="n">
        <v>532443</v>
      </c>
      <c r="D771" s="96" t="inlineStr">
        <is>
          <t>CERA</t>
        </is>
      </c>
      <c r="E771" s="96" t="inlineStr">
        <is>
          <t>Furniture-Furnishing-Paints</t>
        </is>
      </c>
    </row>
    <row r="772" ht="15" customHeight="1" s="109" thickBot="1">
      <c r="B772" s="96" t="inlineStr">
        <is>
          <t>CEREBRA INTEGRATED TECHNOLOGIES LTD</t>
        </is>
      </c>
      <c r="C772" s="97" t="n">
        <v>532413</v>
      </c>
      <c r="D772" s="96" t="inlineStr">
        <is>
          <t>CEREBRAINT</t>
        </is>
      </c>
      <c r="E772" s="96" t="inlineStr">
        <is>
          <t>Computer Hardware</t>
        </is>
      </c>
    </row>
    <row r="773" ht="15" customHeight="1" s="109" thickBot="1">
      <c r="B773" s="96" t="inlineStr">
        <is>
          <t>CES LTD</t>
        </is>
      </c>
      <c r="C773" s="97" t="n">
        <v>512341</v>
      </c>
      <c r="D773" s="96" t="inlineStr">
        <is>
          <t>Not Listed</t>
        </is>
      </c>
      <c r="E773" s="96" t="inlineStr">
        <is>
          <t>BPO/KPO</t>
        </is>
      </c>
    </row>
    <row r="774" ht="15" customHeight="1" s="109" thickBot="1">
      <c r="B774" s="96" t="inlineStr">
        <is>
          <t>CESC LTD</t>
        </is>
      </c>
      <c r="C774" s="97" t="n">
        <v>500084</v>
      </c>
      <c r="D774" s="96" t="inlineStr">
        <is>
          <t>CESC</t>
        </is>
      </c>
      <c r="E774" s="96" t="inlineStr">
        <is>
          <t>Electric Utilities</t>
        </is>
      </c>
    </row>
    <row r="775" ht="15" customHeight="1" s="109" thickBot="1">
      <c r="B775" s="96" t="inlineStr">
        <is>
          <t>CESC Ventures LTD</t>
        </is>
      </c>
      <c r="C775" s="96" t="inlineStr">
        <is>
          <t>Not Listed</t>
        </is>
      </c>
      <c r="D775" s="96" t="inlineStr">
        <is>
          <t>CESCVENT</t>
        </is>
      </c>
      <c r="E775" s="96" t="inlineStr">
        <is>
          <t>IT Consulting &amp;amp; Software</t>
        </is>
      </c>
    </row>
    <row r="776" ht="15" customHeight="1" s="109" thickBot="1">
      <c r="B776" s="96" t="inlineStr">
        <is>
          <t>CESC Ventures Ltd</t>
        </is>
      </c>
      <c r="C776" s="97" t="n">
        <v>542333</v>
      </c>
      <c r="D776" s="96" t="inlineStr">
        <is>
          <t>CESCVENTURE</t>
        </is>
      </c>
      <c r="E776" s="96" t="inlineStr">
        <is>
          <t>IT Consulting &amp;amp; Software</t>
        </is>
      </c>
    </row>
    <row r="777" ht="15" customHeight="1" s="109" thickBot="1">
      <c r="B777" s="96" t="inlineStr">
        <is>
          <t>CG POWER AND INDUSTRIAL SOLUTIONS LTD</t>
        </is>
      </c>
      <c r="C777" s="97" t="n">
        <v>500093</v>
      </c>
      <c r="D777" s="96" t="inlineStr">
        <is>
          <t>CGPOWER</t>
        </is>
      </c>
      <c r="E777" s="96" t="inlineStr">
        <is>
          <t>Heavy Electrical Equipment</t>
        </is>
      </c>
    </row>
    <row r="778" ht="15" customHeight="1" s="109" thickBot="1">
      <c r="B778" s="96" t="inlineStr">
        <is>
          <t>CG-VAK SOFTWARE &amp; EXPORTS LTD</t>
        </is>
      </c>
      <c r="C778" s="97" t="n">
        <v>531489</v>
      </c>
      <c r="D778" s="96" t="inlineStr">
        <is>
          <t>Not Listed</t>
        </is>
      </c>
      <c r="E778" s="96" t="inlineStr">
        <is>
          <t>IT Software Products</t>
        </is>
      </c>
    </row>
    <row r="779" ht="15" customHeight="1" s="109" thickBot="1">
      <c r="B779" s="96" t="inlineStr">
        <is>
          <t>CHADHA PAPERS LTD</t>
        </is>
      </c>
      <c r="C779" s="97" t="n">
        <v>531946</v>
      </c>
      <c r="D779" s="96" t="inlineStr">
        <is>
          <t>Not Listed</t>
        </is>
      </c>
      <c r="E779" s="96" t="inlineStr">
        <is>
          <t>Paper &amp; Paper Products</t>
        </is>
      </c>
    </row>
    <row r="780" ht="15" customHeight="1" s="109" thickBot="1">
      <c r="B780" s="96" t="inlineStr">
        <is>
          <t>Chalet Hotels Ltd</t>
        </is>
      </c>
      <c r="C780" s="97" t="n">
        <v>542399</v>
      </c>
      <c r="D780" s="96" t="inlineStr">
        <is>
          <t>CHALET</t>
        </is>
      </c>
      <c r="E780" s="96" t="inlineStr">
        <is>
          <t>Hotels</t>
        </is>
      </c>
    </row>
    <row r="781" ht="15" customHeight="1" s="109" thickBot="1">
      <c r="B781" s="96" t="inlineStr">
        <is>
          <t>CHAMAK HOLDINGS LTD</t>
        </is>
      </c>
      <c r="C781" s="97" t="n">
        <v>539600</v>
      </c>
      <c r="D781" s="96" t="inlineStr">
        <is>
          <t>Not Listed</t>
        </is>
      </c>
      <c r="E781" s="96" t="inlineStr">
        <is>
          <t>Comm.Trading &amp; Distribution</t>
        </is>
      </c>
    </row>
    <row r="782" ht="15" customHeight="1" s="109" thickBot="1">
      <c r="B782" s="96" t="inlineStr">
        <is>
          <t>CHAMAN LAL SETIA EXPORTS LTD</t>
        </is>
      </c>
      <c r="C782" s="97" t="n">
        <v>530307</v>
      </c>
      <c r="D782" s="96" t="inlineStr">
        <is>
          <t>Not Listed</t>
        </is>
      </c>
      <c r="E782" s="96" t="inlineStr">
        <is>
          <t>Other Agricultural Products</t>
        </is>
      </c>
    </row>
    <row r="783" ht="15" customHeight="1" s="109" thickBot="1">
      <c r="B783" s="96" t="inlineStr">
        <is>
          <t>CHAMBAL BREWERIES &amp; DISTILLERIES LTD</t>
        </is>
      </c>
      <c r="C783" s="97" t="n">
        <v>512301</v>
      </c>
      <c r="D783" s="96" t="inlineStr">
        <is>
          <t>Not Listed</t>
        </is>
      </c>
      <c r="E783" s="96" t="inlineStr">
        <is>
          <t>Comm.Trading &amp; Distribution</t>
        </is>
      </c>
    </row>
    <row r="784" ht="15" customHeight="1" s="109" thickBot="1">
      <c r="B784" s="96" t="inlineStr">
        <is>
          <t>CHAMBAL FERTILIZERS &amp; CHEMICALS LTD</t>
        </is>
      </c>
      <c r="C784" s="97" t="n">
        <v>500085</v>
      </c>
      <c r="D784" s="96" t="inlineStr">
        <is>
          <t>CHAMBLFERT</t>
        </is>
      </c>
      <c r="E784" s="96" t="inlineStr">
        <is>
          <t>Fertilizers</t>
        </is>
      </c>
    </row>
    <row r="785" ht="15" customHeight="1" s="109" thickBot="1">
      <c r="B785" s="96" t="inlineStr">
        <is>
          <t>Chandni Machines Ltd</t>
        </is>
      </c>
      <c r="C785" s="97" t="n">
        <v>542627</v>
      </c>
      <c r="D785" s="96" t="inlineStr">
        <is>
          <t>CHANDNIMACH</t>
        </is>
      </c>
      <c r="E785" s="96" t="inlineStr">
        <is>
          <t>Comm.Trading &amp;amp; Distribution</t>
        </is>
      </c>
    </row>
    <row r="786" ht="15" customHeight="1" s="109" thickBot="1">
      <c r="B786" s="96" t="inlineStr">
        <is>
          <t>CHANDNI TEXTILES ENGINEERING IND LTD</t>
        </is>
      </c>
      <c r="C786" s="97" t="n">
        <v>522292</v>
      </c>
      <c r="D786" s="96" t="inlineStr">
        <is>
          <t>Not Listed</t>
        </is>
      </c>
      <c r="E786" s="96" t="inlineStr">
        <is>
          <t>Textiles</t>
        </is>
      </c>
    </row>
    <row r="787" ht="15" customHeight="1" s="109" thickBot="1">
      <c r="B787" s="96" t="inlineStr">
        <is>
          <t>CHANDRA PRABHU INTERNATIONAL LTD</t>
        </is>
      </c>
      <c r="C787" s="97" t="n">
        <v>530309</v>
      </c>
      <c r="D787" s="96" t="inlineStr">
        <is>
          <t>Not Listed</t>
        </is>
      </c>
      <c r="E787" s="96" t="inlineStr">
        <is>
          <t>Comm.Trading &amp; Distribution</t>
        </is>
      </c>
    </row>
    <row r="788" ht="15" customHeight="1" s="109" thickBot="1">
      <c r="B788" s="96" t="inlineStr">
        <is>
          <t>CHANDRIMA MERCANTILES LTD</t>
        </is>
      </c>
      <c r="C788" s="97" t="n">
        <v>540829</v>
      </c>
      <c r="D788" s="96" t="inlineStr">
        <is>
          <t>Not Listed</t>
        </is>
      </c>
      <c r="E788" s="96" t="inlineStr">
        <is>
          <t>Comm.Trading &amp; Distribution</t>
        </is>
      </c>
    </row>
    <row r="789" ht="15" customHeight="1" s="109" thickBot="1">
      <c r="B789" s="96" t="inlineStr">
        <is>
          <t>CHANNEL NINE ENTERTAINMENT LTD</t>
        </is>
      </c>
      <c r="C789" s="97" t="n">
        <v>535142</v>
      </c>
      <c r="D789" s="96" t="inlineStr">
        <is>
          <t>Not Listed</t>
        </is>
      </c>
      <c r="E789" s="96" t="inlineStr">
        <is>
          <t>Movies &amp; Entertainment</t>
        </is>
      </c>
    </row>
    <row r="790" ht="15" customHeight="1" s="109" thickBot="1">
      <c r="B790" s="96" t="inlineStr">
        <is>
          <t>CHARMS INDUSTRIES LTD</t>
        </is>
      </c>
      <c r="C790" s="97" t="n">
        <v>531327</v>
      </c>
      <c r="D790" s="96" t="inlineStr">
        <is>
          <t>Not Listed</t>
        </is>
      </c>
      <c r="E790" s="96" t="inlineStr">
        <is>
          <t>Other Financial Services</t>
        </is>
      </c>
    </row>
    <row r="791" ht="15" customHeight="1" s="109" thickBot="1">
      <c r="B791" s="96" t="inlineStr">
        <is>
          <t>CHARTERED CAPITAL &amp; INVESTMENT LTD</t>
        </is>
      </c>
      <c r="C791" s="97" t="n">
        <v>511696</v>
      </c>
      <c r="D791" s="96" t="inlineStr">
        <is>
          <t>Not Listed</t>
        </is>
      </c>
      <c r="E791" s="96" t="inlineStr">
        <is>
          <t>Other Financial Services</t>
        </is>
      </c>
    </row>
    <row r="792" ht="15" customHeight="1" s="109" thickBot="1">
      <c r="B792" s="96" t="inlineStr">
        <is>
          <t>CHARTERED LOGISTICS LTD</t>
        </is>
      </c>
      <c r="C792" s="97" t="n">
        <v>531977</v>
      </c>
      <c r="D792" s="96" t="inlineStr">
        <is>
          <t>Not Listed</t>
        </is>
      </c>
      <c r="E792" s="96" t="inlineStr">
        <is>
          <t>Surface Transportation</t>
        </is>
      </c>
    </row>
    <row r="793" ht="15" customHeight="1" s="109" thickBot="1">
      <c r="B793" s="96" t="inlineStr">
        <is>
          <t>CHASE BRIGHT STEEL LTD</t>
        </is>
      </c>
      <c r="C793" s="97" t="n">
        <v>504671</v>
      </c>
      <c r="D793" s="96" t="inlineStr">
        <is>
          <t>Not Listed</t>
        </is>
      </c>
      <c r="E793" s="96" t="inlineStr">
        <is>
          <t>Iron &amp; Steel/Interm.Products</t>
        </is>
      </c>
    </row>
    <row r="794" ht="15" customHeight="1" s="109" thickBot="1">
      <c r="B794" s="96" t="inlineStr">
        <is>
          <t>CHD CHEMICALS LTD</t>
        </is>
      </c>
      <c r="C794" s="97" t="n">
        <v>539800</v>
      </c>
      <c r="D794" s="96" t="inlineStr">
        <is>
          <t>Not Listed</t>
        </is>
      </c>
      <c r="E794" s="96" t="inlineStr">
        <is>
          <t>Comm.Trading &amp; Distribution</t>
        </is>
      </c>
    </row>
    <row r="795" ht="15" customHeight="1" s="109" thickBot="1">
      <c r="B795" s="96" t="inlineStr">
        <is>
          <t>CHD DEVELOPERS LTD</t>
        </is>
      </c>
      <c r="C795" s="97" t="n">
        <v>526917</v>
      </c>
      <c r="D795" s="96" t="inlineStr">
        <is>
          <t>Not Listed</t>
        </is>
      </c>
      <c r="E795" s="96" t="inlineStr">
        <is>
          <t>Realty</t>
        </is>
      </c>
    </row>
    <row r="796" ht="15" customHeight="1" s="109" thickBot="1">
      <c r="B796" s="96" t="inlineStr">
        <is>
          <t>CHEMBOND CHEMICALS LTD</t>
        </is>
      </c>
      <c r="C796" s="97" t="n">
        <v>530871</v>
      </c>
      <c r="D796" s="96" t="inlineStr">
        <is>
          <t>Not Listed</t>
        </is>
      </c>
      <c r="E796" s="96" t="inlineStr">
        <is>
          <t>Specialty Chemicals</t>
        </is>
      </c>
    </row>
    <row r="797" ht="15" customHeight="1" s="109" thickBot="1">
      <c r="B797" s="96" t="inlineStr">
        <is>
          <t>CHEMCRUX ENTERPRISES LTD</t>
        </is>
      </c>
      <c r="C797" s="97" t="n">
        <v>540395</v>
      </c>
      <c r="D797" s="96" t="inlineStr">
        <is>
          <t>Not Listed</t>
        </is>
      </c>
      <c r="E797" s="96" t="inlineStr">
        <is>
          <t>Specialty Chemicals</t>
        </is>
      </c>
    </row>
    <row r="798" ht="15" customHeight="1" s="109" thickBot="1">
      <c r="B798" s="96" t="inlineStr">
        <is>
          <t>CHEMFAB ALKALIS LTD</t>
        </is>
      </c>
      <c r="C798" s="97" t="n">
        <v>541269</v>
      </c>
      <c r="D798" s="96" t="inlineStr">
        <is>
          <t>CHEMFAB</t>
        </is>
      </c>
      <c r="E798" s="96" t="inlineStr">
        <is>
          <t>Commodity Chemicals</t>
        </is>
      </c>
    </row>
    <row r="799" ht="15" customHeight="1" s="109" thickBot="1">
      <c r="B799" s="96" t="inlineStr">
        <is>
          <t>CHEMIESYNTH VAPI LTD</t>
        </is>
      </c>
      <c r="C799" s="97" t="n">
        <v>539230</v>
      </c>
      <c r="D799" s="96" t="inlineStr">
        <is>
          <t>Not Listed</t>
        </is>
      </c>
      <c r="E799" s="96" t="inlineStr">
        <is>
          <t>Specialty Chemicals</t>
        </is>
      </c>
    </row>
    <row r="800" ht="15" customHeight="1" s="109" thickBot="1">
      <c r="B800" s="96" t="inlineStr">
        <is>
          <t>CHEMO PHARMA LABORATORIES LTD</t>
        </is>
      </c>
      <c r="C800" s="97" t="n">
        <v>506365</v>
      </c>
      <c r="D800" s="96" t="inlineStr">
        <is>
          <t>Not Listed</t>
        </is>
      </c>
      <c r="E800" s="96" t="inlineStr">
        <is>
          <t>Pharmaceuticals</t>
        </is>
      </c>
    </row>
    <row r="801" ht="15" customHeight="1" s="109" thickBot="1">
      <c r="B801" s="96" t="inlineStr">
        <is>
          <t>CHEMTECH INDUSTRIAL VALVES LTD</t>
        </is>
      </c>
      <c r="C801" s="97" t="n">
        <v>537326</v>
      </c>
      <c r="D801" s="96" t="inlineStr">
        <is>
          <t>Not Listed</t>
        </is>
      </c>
      <c r="E801" s="96" t="inlineStr">
        <is>
          <t>Industrial Machinery</t>
        </is>
      </c>
    </row>
    <row r="802" ht="15" customHeight="1" s="109" thickBot="1">
      <c r="B802" s="96" t="inlineStr">
        <is>
          <t>CHENNAI FERROUS INDUSTRIES LTD</t>
        </is>
      </c>
      <c r="C802" s="97" t="n">
        <v>539011</v>
      </c>
      <c r="D802" s="96" t="inlineStr">
        <is>
          <t>Not Listed</t>
        </is>
      </c>
      <c r="E802" s="96" t="inlineStr">
        <is>
          <t>Iron &amp; Steel/Interm.Products</t>
        </is>
      </c>
    </row>
    <row r="803" ht="15" customHeight="1" s="109" thickBot="1">
      <c r="B803" s="96" t="inlineStr">
        <is>
          <t>CHENNAI MEENAKSHI MULTISPECIALITY HOSPITAL LTD</t>
        </is>
      </c>
      <c r="C803" s="97" t="n">
        <v>523489</v>
      </c>
      <c r="D803" s="96" t="inlineStr">
        <is>
          <t>Not Listed</t>
        </is>
      </c>
      <c r="E803" s="96" t="inlineStr">
        <is>
          <t>Healthcare Services</t>
        </is>
      </c>
    </row>
    <row r="804" ht="15" customHeight="1" s="109" thickBot="1">
      <c r="B804" s="96" t="inlineStr">
        <is>
          <t>CHENNAI PETROLEUM CORPORATION LTD</t>
        </is>
      </c>
      <c r="C804" s="97" t="n">
        <v>500110</v>
      </c>
      <c r="D804" s="96" t="inlineStr">
        <is>
          <t>CHENNPETRO</t>
        </is>
      </c>
      <c r="E804" s="96" t="inlineStr">
        <is>
          <t>Refineries/ Petro-Products</t>
        </is>
      </c>
    </row>
    <row r="805" ht="15" customHeight="1" s="109" thickBot="1">
      <c r="B805" s="96" t="inlineStr">
        <is>
          <t>CHEVIOT CO LTD</t>
        </is>
      </c>
      <c r="C805" s="97" t="n">
        <v>526817</v>
      </c>
      <c r="D805" s="96" t="inlineStr">
        <is>
          <t>Not Listed</t>
        </is>
      </c>
      <c r="E805" s="96" t="inlineStr">
        <is>
          <t>Jute &amp; Jute Products</t>
        </is>
      </c>
    </row>
    <row r="806" ht="15" customHeight="1" s="109" thickBot="1">
      <c r="B806" s="96" t="inlineStr">
        <is>
          <t>CHITRADURGA SPINTEX LTD</t>
        </is>
      </c>
      <c r="C806" s="97" t="n">
        <v>521244</v>
      </c>
      <c r="D806" s="96" t="inlineStr">
        <is>
          <t>Not Listed</t>
        </is>
      </c>
      <c r="E806" s="96" t="inlineStr">
        <is>
          <t>Textiles</t>
        </is>
      </c>
    </row>
    <row r="807" ht="15" customHeight="1" s="109" thickBot="1">
      <c r="B807" s="96" t="inlineStr">
        <is>
          <t>CHL LTD</t>
        </is>
      </c>
      <c r="C807" s="97" t="n">
        <v>532992</v>
      </c>
      <c r="D807" s="96" t="inlineStr">
        <is>
          <t>Not Listed</t>
        </is>
      </c>
      <c r="E807" s="96" t="inlineStr">
        <is>
          <t>Hotels</t>
        </is>
      </c>
    </row>
    <row r="808" ht="15" customHeight="1" s="109" thickBot="1">
      <c r="B808" s="96" t="inlineStr">
        <is>
          <t>CHOICE INTERNATIONAL LTD</t>
        </is>
      </c>
      <c r="C808" s="97" t="n">
        <v>531358</v>
      </c>
      <c r="D808" s="96" t="inlineStr">
        <is>
          <t>Not Listed</t>
        </is>
      </c>
      <c r="E808" s="96" t="inlineStr">
        <is>
          <t>Finance (including NBFCs)</t>
        </is>
      </c>
    </row>
    <row r="809" ht="15" customHeight="1" s="109" thickBot="1">
      <c r="B809" s="96" t="inlineStr">
        <is>
          <t>CHOKSI IMAGING LTD</t>
        </is>
      </c>
      <c r="C809" s="97" t="n">
        <v>530427</v>
      </c>
      <c r="D809" s="96" t="inlineStr">
        <is>
          <t>Not Listed</t>
        </is>
      </c>
      <c r="E809" s="96" t="inlineStr">
        <is>
          <t>Photographic Products</t>
        </is>
      </c>
    </row>
    <row r="810" ht="15" customHeight="1" s="109" thickBot="1">
      <c r="B810" s="96" t="inlineStr">
        <is>
          <t>CHOKSI LABORATORIES LTD</t>
        </is>
      </c>
      <c r="C810" s="97" t="n">
        <v>526546</v>
      </c>
      <c r="D810" s="96" t="inlineStr">
        <is>
          <t>Not Listed</t>
        </is>
      </c>
      <c r="E810" s="96" t="inlineStr">
        <is>
          <t>Healthcare Services</t>
        </is>
      </c>
    </row>
    <row r="811" ht="15" customHeight="1" s="109" thickBot="1">
      <c r="B811" s="96" t="inlineStr">
        <is>
          <t>Cholamandalam Financial Holdings LTD</t>
        </is>
      </c>
      <c r="C811" s="97" t="n">
        <v>511243</v>
      </c>
      <c r="D811" s="96" t="inlineStr">
        <is>
          <t>CHOLAHLDNG</t>
        </is>
      </c>
      <c r="E811" s="96" t="inlineStr">
        <is>
          <t>Finance (including NBFCs)</t>
        </is>
      </c>
    </row>
    <row r="812" ht="15" customHeight="1" s="109" thickBot="1">
      <c r="B812" s="96" t="inlineStr">
        <is>
          <t>CHOLAMANDALAM INVESTMENT AND FINANCE COMPANY LTD</t>
        </is>
      </c>
      <c r="C812" s="97" t="n">
        <v>511243</v>
      </c>
      <c r="D812" s="96" t="inlineStr">
        <is>
          <t>CHOLAFIN</t>
        </is>
      </c>
      <c r="E812" s="96" t="inlineStr">
        <is>
          <t>Finance (including NBFCs)</t>
        </is>
      </c>
    </row>
    <row r="813" ht="15" customHeight="1" s="109" thickBot="1">
      <c r="B813" s="96" t="inlineStr">
        <is>
          <t>CHORDIA FOOD PRODUCTS LTD</t>
        </is>
      </c>
      <c r="C813" s="97" t="n">
        <v>519475</v>
      </c>
      <c r="D813" s="96" t="inlineStr">
        <is>
          <t>Not Listed</t>
        </is>
      </c>
      <c r="E813" s="96" t="inlineStr">
        <is>
          <t>Other Food Products</t>
        </is>
      </c>
    </row>
    <row r="814" ht="15" customHeight="1" s="109" thickBot="1">
      <c r="B814" s="96" t="inlineStr">
        <is>
          <t>CHOTHANI FOODS LTD</t>
        </is>
      </c>
      <c r="C814" s="97" t="n">
        <v>540681</v>
      </c>
      <c r="D814" s="96" t="inlineStr">
        <is>
          <t>Not Listed</t>
        </is>
      </c>
      <c r="E814" s="96" t="inlineStr">
        <is>
          <t>Packaged Foods</t>
        </is>
      </c>
    </row>
    <row r="815" ht="15" customHeight="1" s="109" thickBot="1">
      <c r="B815" s="96" t="inlineStr">
        <is>
          <t>CHOWGULE STEAMSHIPS LTD</t>
        </is>
      </c>
      <c r="C815" s="97" t="n">
        <v>501833</v>
      </c>
      <c r="D815" s="96" t="inlineStr">
        <is>
          <t>Not Listed</t>
        </is>
      </c>
      <c r="E815" s="96" t="inlineStr">
        <is>
          <t>Shipping</t>
        </is>
      </c>
    </row>
    <row r="816" ht="15" customHeight="1" s="109" thickBot="1">
      <c r="B816" s="96" t="inlineStr">
        <is>
          <t>CHPL INDUSTRIES LTD</t>
        </is>
      </c>
      <c r="C816" s="97" t="n">
        <v>539335</v>
      </c>
      <c r="D816" s="96" t="inlineStr">
        <is>
          <t>Not Listed</t>
        </is>
      </c>
      <c r="E816" s="96" t="inlineStr">
        <is>
          <t>Comm.Trading &amp; Distribution</t>
        </is>
      </c>
    </row>
    <row r="817" ht="15" customHeight="1" s="109" thickBot="1">
      <c r="B817" s="96" t="inlineStr">
        <is>
          <t>CHROMATIC (INDIA) LTD</t>
        </is>
      </c>
      <c r="C817" s="97" t="n">
        <v>530191</v>
      </c>
      <c r="D817" s="96" t="inlineStr">
        <is>
          <t>CHROMATIC</t>
        </is>
      </c>
      <c r="E817" s="96" t="inlineStr">
        <is>
          <t>Specialty Chemicals</t>
        </is>
      </c>
    </row>
    <row r="818" ht="15" customHeight="1" s="109" thickBot="1">
      <c r="B818" s="96" t="inlineStr">
        <is>
          <t>CHROMATIC INDIA LTD</t>
        </is>
      </c>
      <c r="C818" s="97" t="n">
        <v>530191</v>
      </c>
      <c r="D818" s="96" t="inlineStr">
        <is>
          <t>CHROMATIC</t>
        </is>
      </c>
      <c r="E818" s="96" t="inlineStr">
        <is>
          <t>Specialty Chemicals</t>
        </is>
      </c>
    </row>
    <row r="819" ht="15" customHeight="1" s="109" thickBot="1">
      <c r="B819" s="96" t="inlineStr">
        <is>
          <t>CIAN AGRO INDUSTRIES &amp; INFRASTRUCTURE LTD</t>
        </is>
      </c>
      <c r="C819" s="97" t="n">
        <v>519477</v>
      </c>
      <c r="D819" s="96" t="inlineStr">
        <is>
          <t>Not Listed</t>
        </is>
      </c>
      <c r="E819" s="96" t="inlineStr">
        <is>
          <t>Edible Oils</t>
        </is>
      </c>
    </row>
    <row r="820" ht="15" customHeight="1" s="109" thickBot="1">
      <c r="B820" s="96" t="inlineStr">
        <is>
          <t>Cian Healthcare Ltd</t>
        </is>
      </c>
      <c r="C820" s="97" t="n">
        <v>542678</v>
      </c>
      <c r="D820" s="96" t="inlineStr">
        <is>
          <t>CHCL</t>
        </is>
      </c>
      <c r="E820" s="96" t="inlineStr">
        <is>
          <t>Pharmaceuticals</t>
        </is>
      </c>
    </row>
    <row r="821" ht="15" customHeight="1" s="109" thickBot="1">
      <c r="B821" s="96" t="inlineStr">
        <is>
          <t>CIGNITI TECHNOLOGIES LTD</t>
        </is>
      </c>
      <c r="C821" s="97" t="n">
        <v>534758</v>
      </c>
      <c r="D821" s="96" t="inlineStr">
        <is>
          <t>CIGNITITEC</t>
        </is>
      </c>
      <c r="E821" s="96" t="inlineStr">
        <is>
          <t>IT Consulting &amp; Software</t>
        </is>
      </c>
    </row>
    <row r="822" ht="15" customHeight="1" s="109" thickBot="1">
      <c r="B822" s="96" t="inlineStr">
        <is>
          <t>CIL NOVA PETROCHEMICALS LTD</t>
        </is>
      </c>
      <c r="C822" s="97" t="n">
        <v>533407</v>
      </c>
      <c r="D822" s="96" t="inlineStr">
        <is>
          <t>CNOVAPETRO</t>
        </is>
      </c>
      <c r="E822" s="96" t="inlineStr">
        <is>
          <t>Textiles</t>
        </is>
      </c>
    </row>
    <row r="823" ht="15" customHeight="1" s="109" thickBot="1">
      <c r="B823" s="96" t="inlineStr">
        <is>
          <t>CIL SECURITIES LTD</t>
        </is>
      </c>
      <c r="C823" s="97" t="n">
        <v>530829</v>
      </c>
      <c r="D823" s="96" t="inlineStr">
        <is>
          <t>Not Listed</t>
        </is>
      </c>
      <c r="E823" s="96" t="inlineStr">
        <is>
          <t>Finance (including NBFCs)</t>
        </is>
      </c>
    </row>
    <row r="824" ht="15" customHeight="1" s="109" thickBot="1">
      <c r="B824" s="96" t="inlineStr">
        <is>
          <t>CIMMCO LTD</t>
        </is>
      </c>
      <c r="C824" s="97" t="n">
        <v>505230</v>
      </c>
      <c r="D824" s="96" t="inlineStr">
        <is>
          <t>CIMMCO</t>
        </is>
      </c>
      <c r="E824" s="96" t="inlineStr">
        <is>
          <t>Diversified</t>
        </is>
      </c>
    </row>
    <row r="825" ht="15" customHeight="1" s="109" thickBot="1">
      <c r="B825" s="96" t="inlineStr">
        <is>
          <t>CINDRELLA FINANCIAL SERVICES LTD</t>
        </is>
      </c>
      <c r="C825" s="97" t="n">
        <v>531283</v>
      </c>
      <c r="D825" s="96" t="inlineStr">
        <is>
          <t>Not Listed</t>
        </is>
      </c>
      <c r="E825" s="96" t="inlineStr">
        <is>
          <t>Finance (including NBFCs)</t>
        </is>
      </c>
    </row>
    <row r="826" ht="15" customHeight="1" s="109" thickBot="1">
      <c r="B826" s="96" t="inlineStr">
        <is>
          <t>CINDRELLA HOTELS LTD</t>
        </is>
      </c>
      <c r="C826" s="97" t="n">
        <v>526373</v>
      </c>
      <c r="D826" s="96" t="inlineStr">
        <is>
          <t>Not Listed</t>
        </is>
      </c>
      <c r="E826" s="96" t="inlineStr">
        <is>
          <t>Hotels</t>
        </is>
      </c>
    </row>
    <row r="827" ht="15" customHeight="1" s="109" thickBot="1">
      <c r="B827" s="96" t="inlineStr">
        <is>
          <t>CINELINE (INDIA) LTD</t>
        </is>
      </c>
      <c r="C827" s="97" t="n">
        <v>532807</v>
      </c>
      <c r="D827" s="96" t="inlineStr">
        <is>
          <t>CINELINE</t>
        </is>
      </c>
      <c r="E827" s="96" t="inlineStr">
        <is>
          <t>Specialty Retail</t>
        </is>
      </c>
    </row>
    <row r="828" ht="15" customHeight="1" s="109" thickBot="1">
      <c r="B828" s="96" t="inlineStr">
        <is>
          <t>CINELINE INDIA LTD</t>
        </is>
      </c>
      <c r="C828" s="97" t="n">
        <v>532807</v>
      </c>
      <c r="D828" s="96" t="inlineStr">
        <is>
          <t>CINELINE</t>
        </is>
      </c>
      <c r="E828" s="96" t="inlineStr">
        <is>
          <t>Specialty Retail</t>
        </is>
      </c>
    </row>
    <row r="829" ht="15" customHeight="1" s="109" thickBot="1">
      <c r="B829" s="96" t="inlineStr">
        <is>
          <t>CINERAD COMMUNICATIONS LTD</t>
        </is>
      </c>
      <c r="C829" s="97" t="n">
        <v>530457</v>
      </c>
      <c r="D829" s="96" t="inlineStr">
        <is>
          <t>Not Listed</t>
        </is>
      </c>
      <c r="E829" s="96" t="inlineStr">
        <is>
          <t>Movies &amp; Entertainment</t>
        </is>
      </c>
    </row>
    <row r="830" ht="15" customHeight="1" s="109" thickBot="1">
      <c r="B830" s="96" t="inlineStr">
        <is>
          <t>CINEVISTA LTD</t>
        </is>
      </c>
      <c r="C830" s="97" t="n">
        <v>532324</v>
      </c>
      <c r="D830" s="96" t="inlineStr">
        <is>
          <t>CINEVISTA</t>
        </is>
      </c>
      <c r="E830" s="96" t="inlineStr">
        <is>
          <t>Movies &amp; Entertainment</t>
        </is>
      </c>
    </row>
    <row r="831" ht="15" customHeight="1" s="109" thickBot="1">
      <c r="B831" s="96" t="inlineStr">
        <is>
          <t>CIPLA LTD</t>
        </is>
      </c>
      <c r="C831" s="97" t="n">
        <v>500087</v>
      </c>
      <c r="D831" s="96" t="inlineStr">
        <is>
          <t>CIPLA</t>
        </is>
      </c>
      <c r="E831" s="96" t="inlineStr">
        <is>
          <t>Pharmaceuticals</t>
        </is>
      </c>
    </row>
    <row r="832" ht="15" customHeight="1" s="109" thickBot="1">
      <c r="B832" s="96" t="inlineStr">
        <is>
          <t>CISTRO TELELINK LTD</t>
        </is>
      </c>
      <c r="C832" s="97" t="n">
        <v>531775</v>
      </c>
      <c r="D832" s="96" t="inlineStr">
        <is>
          <t>Not Listed</t>
        </is>
      </c>
      <c r="E832" s="96" t="inlineStr">
        <is>
          <t>Comm.Trading &amp; Distribution</t>
        </is>
      </c>
    </row>
    <row r="833" ht="15" customHeight="1" s="109" thickBot="1">
      <c r="B833" s="96" t="inlineStr">
        <is>
          <t>CITADEL REALTY AND DEVELOPERS LTD</t>
        </is>
      </c>
      <c r="C833" s="97" t="n">
        <v>502445</v>
      </c>
      <c r="D833" s="96" t="inlineStr">
        <is>
          <t>Not Listed</t>
        </is>
      </c>
      <c r="E833" s="96" t="inlineStr">
        <is>
          <t>Realty</t>
        </is>
      </c>
    </row>
    <row r="834" ht="15" customHeight="1" s="109" thickBot="1">
      <c r="B834" s="96" t="inlineStr">
        <is>
          <t>CITIPORT FINANCIAL SERVICES LTD</t>
        </is>
      </c>
      <c r="C834" s="97" t="n">
        <v>531235</v>
      </c>
      <c r="D834" s="96" t="inlineStr">
        <is>
          <t>Not Listed</t>
        </is>
      </c>
      <c r="E834" s="96" t="inlineStr">
        <is>
          <t>Finance (including NBFCs)</t>
        </is>
      </c>
    </row>
    <row r="835" ht="15" customHeight="1" s="109" thickBot="1">
      <c r="B835" s="96" t="inlineStr">
        <is>
          <t>CITIZEN INFOLINE LTD</t>
        </is>
      </c>
      <c r="C835" s="97" t="n">
        <v>538786</v>
      </c>
      <c r="D835" s="96" t="inlineStr">
        <is>
          <t>Not Listed</t>
        </is>
      </c>
      <c r="E835" s="96" t="inlineStr">
        <is>
          <t>Publishing</t>
        </is>
      </c>
    </row>
    <row r="836" ht="15" customHeight="1" s="109" thickBot="1">
      <c r="B836" s="96" t="inlineStr">
        <is>
          <t>CITY ONLINE SERVICES LTD</t>
        </is>
      </c>
      <c r="C836" s="97" t="n">
        <v>538674</v>
      </c>
      <c r="D836" s="96" t="inlineStr">
        <is>
          <t>Not Listed</t>
        </is>
      </c>
      <c r="E836" s="96" t="inlineStr">
        <is>
          <t>Telecom Services</t>
        </is>
      </c>
    </row>
    <row r="837" ht="15" customHeight="1" s="109" thickBot="1">
      <c r="B837" s="96" t="inlineStr">
        <is>
          <t>CITY UNION BANK LTD</t>
        </is>
      </c>
      <c r="C837" s="97" t="n">
        <v>532210</v>
      </c>
      <c r="D837" s="96" t="inlineStr">
        <is>
          <t>CUB</t>
        </is>
      </c>
      <c r="E837" s="96" t="inlineStr">
        <is>
          <t>Banks</t>
        </is>
      </c>
    </row>
    <row r="838" ht="15" customHeight="1" s="109" thickBot="1">
      <c r="B838" s="96" t="inlineStr">
        <is>
          <t>CITYMAN LTD</t>
        </is>
      </c>
      <c r="C838" s="97" t="n">
        <v>521210</v>
      </c>
      <c r="D838" s="96" t="inlineStr">
        <is>
          <t>Not Listed</t>
        </is>
      </c>
      <c r="E838" s="96" t="inlineStr">
        <is>
          <t>Other Apparels &amp; Accessories</t>
        </is>
      </c>
    </row>
    <row r="839" ht="15" customHeight="1" s="109" thickBot="1">
      <c r="B839" s="96" t="inlineStr">
        <is>
          <t>CITYON SYSTEMS (INDIA) LTD</t>
        </is>
      </c>
      <c r="C839" s="97" t="n">
        <v>780013</v>
      </c>
      <c r="D839" s="96" t="inlineStr">
        <is>
          <t>Not Listed</t>
        </is>
      </c>
      <c r="E839" s="96" t="inlineStr">
        <is>
          <t>Others</t>
        </is>
      </c>
    </row>
    <row r="840" ht="15" customHeight="1" s="109" thickBot="1">
      <c r="B840" s="96" t="inlineStr">
        <is>
          <t>CITYON SYSTEMS INDIA LTD</t>
        </is>
      </c>
      <c r="C840" s="97" t="n">
        <v>780013</v>
      </c>
      <c r="D840" s="96" t="inlineStr">
        <is>
          <t>Not Listed</t>
        </is>
      </c>
      <c r="E840" s="96" t="inlineStr">
        <is>
          <t>Others</t>
        </is>
      </c>
    </row>
    <row r="841" ht="15" customHeight="1" s="109" thickBot="1">
      <c r="B841" s="96" t="inlineStr">
        <is>
          <t>CKP LEISURE LTD</t>
        </is>
      </c>
      <c r="C841" s="96" t="inlineStr">
        <is>
          <t>Not Listed</t>
        </is>
      </c>
      <c r="D841" s="96" t="inlineStr">
        <is>
          <t>CKPLEISURE</t>
        </is>
      </c>
      <c r="E841" s="96" t="inlineStr">
        <is>
          <t>SME</t>
        </is>
      </c>
    </row>
    <row r="842" ht="15" customHeight="1" s="109" thickBot="1">
      <c r="B842" s="96" t="inlineStr">
        <is>
          <t>CKP PRODUCTS LTD</t>
        </is>
      </c>
      <c r="C842" s="96" t="inlineStr">
        <is>
          <t>Not Listed</t>
        </is>
      </c>
      <c r="D842" s="96" t="inlineStr">
        <is>
          <t>CKPPRODUCT</t>
        </is>
      </c>
      <c r="E842" s="96" t="inlineStr">
        <is>
          <t>SME</t>
        </is>
      </c>
    </row>
    <row r="843" ht="15" customHeight="1" s="109" thickBot="1">
      <c r="B843" s="96" t="inlineStr">
        <is>
          <t>CL EDUCATE LTD</t>
        </is>
      </c>
      <c r="C843" s="97" t="n">
        <v>540403</v>
      </c>
      <c r="D843" s="96" t="inlineStr">
        <is>
          <t>CLEDUCATE</t>
        </is>
      </c>
      <c r="E843" s="96" t="inlineStr">
        <is>
          <t>Education</t>
        </is>
      </c>
    </row>
    <row r="844" ht="15" customHeight="1" s="109" thickBot="1">
      <c r="B844" s="96" t="inlineStr">
        <is>
          <t>CLARIANT CHEMICALS (INDIA) LTD</t>
        </is>
      </c>
      <c r="C844" s="97" t="n">
        <v>506390</v>
      </c>
      <c r="D844" s="96" t="inlineStr">
        <is>
          <t>CLN(INDIA)</t>
        </is>
      </c>
      <c r="E844" s="96" t="inlineStr">
        <is>
          <t>Specialty Chemicals</t>
        </is>
      </c>
    </row>
    <row r="845" ht="15" customHeight="1" s="109" thickBot="1">
      <c r="B845" s="96" t="inlineStr">
        <is>
          <t>CLARIANT CHEMICALS INDIA LTD</t>
        </is>
      </c>
      <c r="C845" s="97" t="n">
        <v>506390</v>
      </c>
      <c r="D845" s="96" t="inlineStr">
        <is>
          <t>CLNINDIA</t>
        </is>
      </c>
      <c r="E845" s="96" t="inlineStr">
        <is>
          <t>Specialty Chemicals</t>
        </is>
      </c>
    </row>
    <row r="846" ht="15" customHeight="1" s="109" thickBot="1">
      <c r="B846" s="96" t="inlineStr">
        <is>
          <t>CLASSIC ELECTRICALS LTD</t>
        </is>
      </c>
      <c r="C846" s="97" t="n">
        <v>512213</v>
      </c>
      <c r="D846" s="96" t="inlineStr">
        <is>
          <t>Not Listed</t>
        </is>
      </c>
      <c r="E846" s="96" t="inlineStr">
        <is>
          <t>Comm.Trading &amp; Distribution</t>
        </is>
      </c>
    </row>
    <row r="847" ht="15" customHeight="1" s="109" thickBot="1">
      <c r="B847" s="96" t="inlineStr">
        <is>
          <t>CLASSIC FILAMENTS LTD</t>
        </is>
      </c>
      <c r="C847" s="97" t="n">
        <v>540310</v>
      </c>
      <c r="D847" s="96" t="inlineStr">
        <is>
          <t>Not Listed</t>
        </is>
      </c>
      <c r="E847" s="96" t="inlineStr">
        <is>
          <t>Textiles</t>
        </is>
      </c>
    </row>
    <row r="848" ht="15" customHeight="1" s="109" thickBot="1">
      <c r="B848" s="96" t="inlineStr">
        <is>
          <t>CLASSIC GLOBAL FINANCE &amp; CAPITAL LTD</t>
        </is>
      </c>
      <c r="C848" s="97" t="n">
        <v>538433</v>
      </c>
      <c r="D848" s="96" t="inlineStr">
        <is>
          <t>Not Listed</t>
        </is>
      </c>
      <c r="E848" s="96" t="inlineStr">
        <is>
          <t>Other Financial Services</t>
        </is>
      </c>
    </row>
    <row r="849" ht="15" customHeight="1" s="109" thickBot="1">
      <c r="B849" s="96" t="inlineStr">
        <is>
          <t>CLASSIC LEASING &amp; FINANCE LTD</t>
        </is>
      </c>
      <c r="C849" s="97" t="n">
        <v>540481</v>
      </c>
      <c r="D849" s="96" t="inlineStr">
        <is>
          <t>Not Listed</t>
        </is>
      </c>
      <c r="E849" s="96" t="inlineStr">
        <is>
          <t>Other Financial Services</t>
        </is>
      </c>
    </row>
    <row r="850" ht="15" customHeight="1" s="109" thickBot="1">
      <c r="B850" s="96" t="inlineStr">
        <is>
          <t>CLIO INFOTECH LTD</t>
        </is>
      </c>
      <c r="C850" s="97" t="n">
        <v>530839</v>
      </c>
      <c r="D850" s="96" t="inlineStr">
        <is>
          <t>Not Listed</t>
        </is>
      </c>
      <c r="E850" s="96" t="inlineStr">
        <is>
          <t>IT Software Products</t>
        </is>
      </c>
    </row>
    <row r="851" ht="15" customHeight="1" s="109" thickBot="1">
      <c r="B851" s="96" t="inlineStr">
        <is>
          <t>CMI FPE LTD</t>
        </is>
      </c>
      <c r="C851" s="97" t="n">
        <v>500147</v>
      </c>
      <c r="D851" s="96" t="inlineStr">
        <is>
          <t>Not Listed</t>
        </is>
      </c>
      <c r="E851" s="96" t="inlineStr">
        <is>
          <t>Industrial Machinery</t>
        </is>
      </c>
    </row>
    <row r="852" ht="15" customHeight="1" s="109" thickBot="1">
      <c r="B852" s="96" t="inlineStr">
        <is>
          <t>CMI LTD</t>
        </is>
      </c>
      <c r="C852" s="97" t="n">
        <v>517330</v>
      </c>
      <c r="D852" s="96" t="inlineStr">
        <is>
          <t>CMICABLES</t>
        </is>
      </c>
      <c r="E852" s="96" t="inlineStr">
        <is>
          <t>Other Elect.Equip./ Prod.</t>
        </is>
      </c>
    </row>
    <row r="853" ht="15" customHeight="1" s="109" thickBot="1">
      <c r="B853" s="96" t="inlineStr">
        <is>
          <t>CMM INFRAPROJECTS LTD</t>
        </is>
      </c>
      <c r="C853" s="96" t="inlineStr">
        <is>
          <t>Not Listed</t>
        </is>
      </c>
      <c r="D853" s="96" t="inlineStr">
        <is>
          <t>CMMIPL</t>
        </is>
      </c>
      <c r="E853" s="96" t="inlineStr">
        <is>
          <t>SME</t>
        </is>
      </c>
    </row>
    <row r="854" ht="15" customHeight="1" s="109" thickBot="1">
      <c r="B854" s="96" t="inlineStr">
        <is>
          <t>CNI RESEARCH LTD</t>
        </is>
      </c>
      <c r="C854" s="97" t="n">
        <v>512018</v>
      </c>
      <c r="D854" s="96" t="inlineStr">
        <is>
          <t>Not Listed</t>
        </is>
      </c>
      <c r="E854" s="96" t="inlineStr">
        <is>
          <t>Internet Software &amp; Services</t>
        </is>
      </c>
    </row>
    <row r="855" ht="15" customHeight="1" s="109" thickBot="1">
      <c r="B855" s="96" t="inlineStr">
        <is>
          <t>COAL (INDIA) LTD</t>
        </is>
      </c>
      <c r="C855" s="97" t="n">
        <v>533278</v>
      </c>
      <c r="D855" s="96" t="inlineStr">
        <is>
          <t>COAL(INDIA)</t>
        </is>
      </c>
      <c r="E855" s="96" t="inlineStr">
        <is>
          <t>Coal</t>
        </is>
      </c>
    </row>
    <row r="856" ht="15" customHeight="1" s="109" thickBot="1">
      <c r="B856" s="96" t="inlineStr">
        <is>
          <t>COAL INDIA LTD</t>
        </is>
      </c>
      <c r="C856" s="97" t="n">
        <v>533278</v>
      </c>
      <c r="D856" s="96" t="inlineStr">
        <is>
          <t>COALINDIA</t>
        </is>
      </c>
      <c r="E856" s="96" t="inlineStr">
        <is>
          <t>Coal</t>
        </is>
      </c>
    </row>
    <row r="857" ht="15" customHeight="1" s="109" thickBot="1">
      <c r="B857" s="96" t="inlineStr">
        <is>
          <t>COASTAL CORPORATION LTD</t>
        </is>
      </c>
      <c r="C857" s="97" t="n">
        <v>501831</v>
      </c>
      <c r="D857" s="96" t="inlineStr">
        <is>
          <t>Not Listed</t>
        </is>
      </c>
      <c r="E857" s="96" t="inlineStr">
        <is>
          <t>Packaged Foods</t>
        </is>
      </c>
    </row>
    <row r="858" ht="15" customHeight="1" s="109" thickBot="1">
      <c r="B858" s="96" t="inlineStr">
        <is>
          <t>COASTAL ROADWAYS LTD</t>
        </is>
      </c>
      <c r="C858" s="97" t="n">
        <v>520131</v>
      </c>
      <c r="D858" s="96" t="inlineStr">
        <is>
          <t>Not Listed</t>
        </is>
      </c>
      <c r="E858" s="96" t="inlineStr">
        <is>
          <t>Surface Transportation</t>
        </is>
      </c>
    </row>
    <row r="859" ht="15" customHeight="1" s="109" thickBot="1">
      <c r="B859" s="96" t="inlineStr">
        <is>
          <t>COCHIN MALABAR ESTATES &amp; INDUSTRIES LTD</t>
        </is>
      </c>
      <c r="C859" s="97" t="n">
        <v>508571</v>
      </c>
      <c r="D859" s="96" t="inlineStr">
        <is>
          <t>Not Listed</t>
        </is>
      </c>
      <c r="E859" s="96" t="inlineStr">
        <is>
          <t>Auto Tyres &amp; Rubber Products</t>
        </is>
      </c>
    </row>
    <row r="860" ht="15" customHeight="1" s="109" thickBot="1">
      <c r="B860" s="96" t="inlineStr">
        <is>
          <t>COCHIN MINERALS &amp; RUTILE LTD</t>
        </is>
      </c>
      <c r="C860" s="97" t="n">
        <v>513353</v>
      </c>
      <c r="D860" s="96" t="inlineStr">
        <is>
          <t>Not Listed</t>
        </is>
      </c>
      <c r="E860" s="96" t="inlineStr">
        <is>
          <t>Specialty Chemicals</t>
        </is>
      </c>
    </row>
    <row r="861" ht="15" customHeight="1" s="109" thickBot="1">
      <c r="B861" s="96" t="inlineStr">
        <is>
          <t>COCHIN SHIPYARD LTD</t>
        </is>
      </c>
      <c r="C861" s="97" t="n">
        <v>540678</v>
      </c>
      <c r="D861" s="96" t="inlineStr">
        <is>
          <t>COCHINSHIP</t>
        </is>
      </c>
      <c r="E861" s="96" t="inlineStr">
        <is>
          <t>Shipping</t>
        </is>
      </c>
    </row>
    <row r="862" ht="15" customHeight="1" s="109" thickBot="1">
      <c r="B862" s="96" t="inlineStr">
        <is>
          <t>COFFEE DAY ENTERPRISES LTD</t>
        </is>
      </c>
      <c r="C862" s="97" t="n">
        <v>539436</v>
      </c>
      <c r="D862" s="96" t="inlineStr">
        <is>
          <t>COFFEEDAY</t>
        </is>
      </c>
      <c r="E862" s="96" t="inlineStr">
        <is>
          <t>Restaurants</t>
        </is>
      </c>
    </row>
    <row r="863" ht="15" customHeight="1" s="109" thickBot="1">
      <c r="B863" s="96" t="inlineStr">
        <is>
          <t>COLGATE PALMOLIVE (INDIA) LTD</t>
        </is>
      </c>
      <c r="C863" s="97" t="n">
        <v>500830</v>
      </c>
      <c r="D863" s="96" t="inlineStr">
        <is>
          <t>COLPAL</t>
        </is>
      </c>
      <c r="E863" s="96" t="inlineStr">
        <is>
          <t>Personal Products</t>
        </is>
      </c>
    </row>
    <row r="864" ht="15" customHeight="1" s="109" thickBot="1">
      <c r="B864" s="96" t="inlineStr">
        <is>
          <t>COLGATE PALMOLIVE INDIA LTD</t>
        </is>
      </c>
      <c r="C864" s="97" t="n">
        <v>500830</v>
      </c>
      <c r="D864" s="96" t="inlineStr">
        <is>
          <t>COLPAL</t>
        </is>
      </c>
      <c r="E864" s="96" t="inlineStr">
        <is>
          <t>Personal Products</t>
        </is>
      </c>
    </row>
    <row r="865" ht="15" customHeight="1" s="109" thickBot="1">
      <c r="B865" s="96" t="inlineStr">
        <is>
          <t>COLINZ LABORATORIES LTD</t>
        </is>
      </c>
      <c r="C865" s="97" t="n">
        <v>531210</v>
      </c>
      <c r="D865" s="96" t="inlineStr">
        <is>
          <t>Not Listed</t>
        </is>
      </c>
      <c r="E865" s="96" t="inlineStr">
        <is>
          <t>Pharmaceuticals</t>
        </is>
      </c>
    </row>
    <row r="866" ht="15" customHeight="1" s="109" thickBot="1">
      <c r="B866" s="96" t="inlineStr">
        <is>
          <t>COLORCHIPS NEW MEDIA LTD</t>
        </is>
      </c>
      <c r="C866" s="97" t="n">
        <v>540023</v>
      </c>
      <c r="D866" s="96" t="inlineStr">
        <is>
          <t>Not Listed</t>
        </is>
      </c>
      <c r="E866" s="96" t="inlineStr">
        <is>
          <t>Broadcasting &amp; Cable TV</t>
        </is>
      </c>
    </row>
    <row r="867" ht="15" customHeight="1" s="109" thickBot="1">
      <c r="B867" s="96" t="inlineStr">
        <is>
          <t>COMBAT DRUGS LTD</t>
        </is>
      </c>
      <c r="C867" s="97" t="n">
        <v>524752</v>
      </c>
      <c r="D867" s="96" t="inlineStr">
        <is>
          <t>Not Listed</t>
        </is>
      </c>
      <c r="E867" s="96" t="inlineStr">
        <is>
          <t>Pharmaceuticals</t>
        </is>
      </c>
    </row>
    <row r="868" ht="15" customHeight="1" s="109" thickBot="1">
      <c r="B868" s="96" t="inlineStr">
        <is>
          <t>COMFORT COMMOTRADE LTD</t>
        </is>
      </c>
      <c r="C868" s="97" t="n">
        <v>534691</v>
      </c>
      <c r="D868" s="96" t="inlineStr">
        <is>
          <t>Not Listed</t>
        </is>
      </c>
      <c r="E868" s="96" t="inlineStr">
        <is>
          <t>Other Financial Services</t>
        </is>
      </c>
    </row>
    <row r="869" ht="15" customHeight="1" s="109" thickBot="1">
      <c r="B869" s="96" t="inlineStr">
        <is>
          <t>COMFORT FINCAP LTD</t>
        </is>
      </c>
      <c r="C869" s="97" t="n">
        <v>535267</v>
      </c>
      <c r="D869" s="96" t="inlineStr">
        <is>
          <t>Not Listed</t>
        </is>
      </c>
      <c r="E869" s="96" t="inlineStr">
        <is>
          <t>Finance (including NBFCs)</t>
        </is>
      </c>
    </row>
    <row r="870" ht="15" customHeight="1" s="109" thickBot="1">
      <c r="B870" s="96" t="inlineStr">
        <is>
          <t>COMFORT INTECH LTD</t>
        </is>
      </c>
      <c r="C870" s="97" t="n">
        <v>531216</v>
      </c>
      <c r="D870" s="96" t="inlineStr">
        <is>
          <t>Not Listed</t>
        </is>
      </c>
      <c r="E870" s="96" t="inlineStr">
        <is>
          <t>Finance (including NBFCs)</t>
        </is>
      </c>
    </row>
    <row r="871" ht="15" customHeight="1" s="109" thickBot="1">
      <c r="B871" s="96" t="inlineStr">
        <is>
          <t>COMMERCIAL ENGINEERS &amp; BODY BUILDERS CO LTD</t>
        </is>
      </c>
      <c r="C871" s="97" t="n">
        <v>533272</v>
      </c>
      <c r="D871" s="96" t="inlineStr">
        <is>
          <t>CEBBCO</t>
        </is>
      </c>
      <c r="E871" s="96" t="inlineStr">
        <is>
          <t>Commercial Vehicles</t>
        </is>
      </c>
    </row>
    <row r="872" ht="15" customHeight="1" s="109" thickBot="1">
      <c r="B872" s="96" t="inlineStr">
        <is>
          <t>COMMERCIAL SYN BAGS LTD</t>
        </is>
      </c>
      <c r="C872" s="97" t="n">
        <v>539986</v>
      </c>
      <c r="D872" s="96" t="inlineStr">
        <is>
          <t>Not Listed</t>
        </is>
      </c>
      <c r="E872" s="96" t="inlineStr">
        <is>
          <t>Containers &amp; Packaging</t>
        </is>
      </c>
    </row>
    <row r="873" ht="15" customHeight="1" s="109" thickBot="1">
      <c r="B873" s="96" t="inlineStr">
        <is>
          <t>COMMEX TECHNOLOGY LTD</t>
        </is>
      </c>
      <c r="C873" s="97" t="n">
        <v>532342</v>
      </c>
      <c r="D873" s="96" t="inlineStr">
        <is>
          <t>Not Listed</t>
        </is>
      </c>
      <c r="E873" s="96" t="inlineStr">
        <is>
          <t>IT Consulting &amp; Software</t>
        </is>
      </c>
    </row>
    <row r="874" ht="15" customHeight="1" s="109" thickBot="1">
      <c r="B874" s="96" t="inlineStr">
        <is>
          <t>COMPETENT AUTOMOBILES CO LTD</t>
        </is>
      </c>
      <c r="C874" s="97" t="n">
        <v>531041</v>
      </c>
      <c r="D874" s="96" t="inlineStr">
        <is>
          <t>Not Listed</t>
        </is>
      </c>
      <c r="E874" s="96" t="inlineStr">
        <is>
          <t>Comm.Trading &amp; Distribution</t>
        </is>
      </c>
    </row>
    <row r="875" ht="15" customHeight="1" s="109" thickBot="1">
      <c r="B875" s="96" t="inlineStr">
        <is>
          <t>COMPUAGE INFOCOM LTD</t>
        </is>
      </c>
      <c r="C875" s="97" t="n">
        <v>532456</v>
      </c>
      <c r="D875" s="96" t="inlineStr">
        <is>
          <t>COMPINFO</t>
        </is>
      </c>
      <c r="E875" s="96" t="inlineStr">
        <is>
          <t>Storage Media &amp; Peripherals</t>
        </is>
      </c>
    </row>
    <row r="876" ht="15" customHeight="1" s="109" thickBot="1">
      <c r="B876" s="96" t="inlineStr">
        <is>
          <t>COMPUCOM SOFTWARE LTD</t>
        </is>
      </c>
      <c r="C876" s="97" t="n">
        <v>532339</v>
      </c>
      <c r="D876" s="96" t="inlineStr">
        <is>
          <t>COMPUSOFT</t>
        </is>
      </c>
      <c r="E876" s="96" t="inlineStr">
        <is>
          <t>IT Training Services</t>
        </is>
      </c>
    </row>
    <row r="877" ht="15" customHeight="1" s="109" thickBot="1">
      <c r="B877" s="96" t="inlineStr">
        <is>
          <t>COMPUTER POINT LTD</t>
        </is>
      </c>
      <c r="C877" s="97" t="n">
        <v>507833</v>
      </c>
      <c r="D877" s="96" t="inlineStr">
        <is>
          <t>Not Listed</t>
        </is>
      </c>
      <c r="E877" s="96" t="inlineStr">
        <is>
          <t>Computer Hardware</t>
        </is>
      </c>
    </row>
    <row r="878" ht="15" customHeight="1" s="109" thickBot="1">
      <c r="B878" s="96" t="inlineStr">
        <is>
          <t>CONART ENGINEERS LTD</t>
        </is>
      </c>
      <c r="C878" s="97" t="n">
        <v>522231</v>
      </c>
      <c r="D878" s="96" t="inlineStr">
        <is>
          <t>Not Listed</t>
        </is>
      </c>
      <c r="E878" s="96" t="inlineStr">
        <is>
          <t>Construction &amp; Engineering</t>
        </is>
      </c>
    </row>
    <row r="879" ht="15" customHeight="1" s="109" thickBot="1">
      <c r="B879" s="96" t="inlineStr">
        <is>
          <t>CONCORD DRUGS LTD</t>
        </is>
      </c>
      <c r="C879" s="97" t="n">
        <v>538965</v>
      </c>
      <c r="D879" s="96" t="inlineStr">
        <is>
          <t>Not Listed</t>
        </is>
      </c>
      <c r="E879" s="96" t="inlineStr">
        <is>
          <t>Pharmaceuticals</t>
        </is>
      </c>
    </row>
    <row r="880" ht="15" customHeight="1" s="109" thickBot="1">
      <c r="B880" s="96" t="inlineStr">
        <is>
          <t>CONCRETE CREDIT LTD</t>
        </is>
      </c>
      <c r="C880" s="97" t="n">
        <v>539266</v>
      </c>
      <c r="D880" s="96" t="inlineStr">
        <is>
          <t>Not Listed</t>
        </is>
      </c>
      <c r="E880" s="96" t="inlineStr">
        <is>
          <t>Investment Companies</t>
        </is>
      </c>
    </row>
    <row r="881" ht="15" customHeight="1" s="109" thickBot="1">
      <c r="B881" s="96" t="inlineStr">
        <is>
          <t>CONFIDENCE FINANCE AND TRADING LTD</t>
        </is>
      </c>
      <c r="C881" s="97" t="n">
        <v>504340</v>
      </c>
      <c r="D881" s="96" t="inlineStr">
        <is>
          <t>Not Listed</t>
        </is>
      </c>
      <c r="E881" s="96" t="inlineStr">
        <is>
          <t>Other Financial Services</t>
        </is>
      </c>
    </row>
    <row r="882" ht="15" customHeight="1" s="109" thickBot="1">
      <c r="B882" s="96" t="inlineStr">
        <is>
          <t>Confidence Futuristic Energetech Ltd</t>
        </is>
      </c>
      <c r="C882" s="97" t="n">
        <v>539991</v>
      </c>
      <c r="D882" s="96" t="inlineStr">
        <is>
          <t>CFEL</t>
        </is>
      </c>
      <c r="E882" s="96" t="inlineStr">
        <is>
          <t>Comm.Trading &amp;amp; Distribution</t>
        </is>
      </c>
    </row>
    <row r="883" ht="15" customHeight="1" s="109" thickBot="1">
      <c r="B883" s="96" t="inlineStr">
        <is>
          <t>CONFIDENCE PETROLEUM (INDIA) LTD</t>
        </is>
      </c>
      <c r="C883" s="97" t="n">
        <v>526829</v>
      </c>
      <c r="D883" s="96" t="inlineStr">
        <is>
          <t>Not Listed</t>
        </is>
      </c>
      <c r="E883" s="96" t="inlineStr">
        <is>
          <t>Oil Marketing &amp; Distribution</t>
        </is>
      </c>
    </row>
    <row r="884" ht="15" customHeight="1" s="109" thickBot="1">
      <c r="B884" s="96" t="inlineStr">
        <is>
          <t>Confidence Petroleum India LTD</t>
        </is>
      </c>
      <c r="C884" s="97" t="n">
        <v>526829</v>
      </c>
      <c r="D884" s="96" t="inlineStr">
        <is>
          <t>CONFIPET</t>
        </is>
      </c>
      <c r="E884" s="96" t="inlineStr">
        <is>
          <t>Oil Marketing &amp; Distribution</t>
        </is>
      </c>
    </row>
    <row r="885" ht="15" customHeight="1" s="109" thickBot="1">
      <c r="B885" s="96" t="inlineStr">
        <is>
          <t>CONFIDENCE PETROLEUM INDIA LTD</t>
        </is>
      </c>
      <c r="C885" s="97" t="n">
        <v>526829</v>
      </c>
      <c r="D885" s="96" t="inlineStr">
        <is>
          <t>Not Listed</t>
        </is>
      </c>
      <c r="E885" s="96" t="inlineStr">
        <is>
          <t>Oil Marketing &amp; Distribution</t>
        </is>
      </c>
    </row>
    <row r="886" ht="15" customHeight="1" s="109" thickBot="1">
      <c r="B886" s="96" t="inlineStr">
        <is>
          <t>CONSECUTIVE INVESTMENT &amp; TRADING COMPANY LTD</t>
        </is>
      </c>
      <c r="C886" s="97" t="n">
        <v>539091</v>
      </c>
      <c r="D886" s="96" t="inlineStr">
        <is>
          <t>Not Listed</t>
        </is>
      </c>
      <c r="E886" s="96" t="inlineStr">
        <is>
          <t>Investment Companies</t>
        </is>
      </c>
    </row>
    <row r="887" ht="15" customHeight="1" s="109" thickBot="1">
      <c r="B887" s="96" t="inlineStr">
        <is>
          <t>CONSOLIDATED CONSTRUCTION CONSORTIUM LTD</t>
        </is>
      </c>
      <c r="C887" s="97" t="n">
        <v>532902</v>
      </c>
      <c r="D887" s="96" t="inlineStr">
        <is>
          <t>CCCL</t>
        </is>
      </c>
      <c r="E887" s="96" t="inlineStr">
        <is>
          <t>Realty</t>
        </is>
      </c>
    </row>
    <row r="888" ht="15" customHeight="1" s="109" thickBot="1">
      <c r="B888" s="96" t="inlineStr">
        <is>
          <t>CONSOLIDATED FINVEST &amp; HOLDINGS LTD</t>
        </is>
      </c>
      <c r="C888" s="96" t="inlineStr">
        <is>
          <t>Not Listed</t>
        </is>
      </c>
      <c r="D888" s="96" t="inlineStr">
        <is>
          <t>CONSOFINVT</t>
        </is>
      </c>
      <c r="E888" s="96" t="inlineStr">
        <is>
          <t>Others</t>
        </is>
      </c>
    </row>
    <row r="889" ht="15" customHeight="1" s="109" thickBot="1">
      <c r="B889" s="96" t="inlineStr">
        <is>
          <t>CONTAINER CORPORATION OF (INDIA) LTD</t>
        </is>
      </c>
      <c r="C889" s="97" t="n">
        <v>531344</v>
      </c>
      <c r="D889" s="96" t="inlineStr">
        <is>
          <t>CONCOR</t>
        </is>
      </c>
      <c r="E889" s="96" t="inlineStr">
        <is>
          <t>Transport Related Services</t>
        </is>
      </c>
    </row>
    <row r="890" ht="15" customHeight="1" s="109" thickBot="1">
      <c r="B890" s="96" t="inlineStr">
        <is>
          <t>CONTAINER CORPORATION OF INDIA LTD</t>
        </is>
      </c>
      <c r="C890" s="97" t="n">
        <v>531344</v>
      </c>
      <c r="D890" s="96" t="inlineStr">
        <is>
          <t>CONCOR</t>
        </is>
      </c>
      <c r="E890" s="96" t="inlineStr">
        <is>
          <t>Transport Related Services</t>
        </is>
      </c>
    </row>
    <row r="891" ht="15" customHeight="1" s="109" thickBot="1">
      <c r="B891" s="96" t="inlineStr">
        <is>
          <t>CONTAINERWAY INTERNATIONAL LTD</t>
        </is>
      </c>
      <c r="C891" s="97" t="n">
        <v>540597</v>
      </c>
      <c r="D891" s="96" t="inlineStr">
        <is>
          <t>Not Listed</t>
        </is>
      </c>
      <c r="E891" s="96" t="inlineStr">
        <is>
          <t>Transportation - Logistics</t>
        </is>
      </c>
    </row>
    <row r="892" ht="15" customHeight="1" s="109" thickBot="1">
      <c r="B892" s="96" t="inlineStr">
        <is>
          <t>CONTIL (INDIA) LTD</t>
        </is>
      </c>
      <c r="C892" s="97" t="n">
        <v>531067</v>
      </c>
      <c r="D892" s="96" t="inlineStr">
        <is>
          <t>Not Listed</t>
        </is>
      </c>
      <c r="E892" s="96" t="inlineStr">
        <is>
          <t>Finance (including NBFCs)</t>
        </is>
      </c>
    </row>
    <row r="893" ht="15" customHeight="1" s="109" thickBot="1">
      <c r="B893" s="96" t="inlineStr">
        <is>
          <t>CONTIL INDIA LTD</t>
        </is>
      </c>
      <c r="C893" s="97" t="n">
        <v>531067</v>
      </c>
      <c r="D893" s="96" t="inlineStr">
        <is>
          <t>Not Listed</t>
        </is>
      </c>
      <c r="E893" s="96" t="inlineStr">
        <is>
          <t>Finance (including NBFCs)</t>
        </is>
      </c>
    </row>
    <row r="894" ht="15" customHeight="1" s="109" thickBot="1">
      <c r="B894" s="96" t="inlineStr">
        <is>
          <t>CONTINENTAL CHEMICALS LTD</t>
        </is>
      </c>
      <c r="C894" s="97" t="n">
        <v>506935</v>
      </c>
      <c r="D894" s="96" t="inlineStr">
        <is>
          <t>Not Listed</t>
        </is>
      </c>
      <c r="E894" s="96" t="inlineStr">
        <is>
          <t>IT Software Products</t>
        </is>
      </c>
    </row>
    <row r="895" ht="15" customHeight="1" s="109" thickBot="1">
      <c r="B895" s="96" t="inlineStr">
        <is>
          <t>CONTINENTAL CONTROLS LTD</t>
        </is>
      </c>
      <c r="C895" s="97" t="n">
        <v>531460</v>
      </c>
      <c r="D895" s="96" t="inlineStr">
        <is>
          <t>Not Listed</t>
        </is>
      </c>
      <c r="E895" s="96" t="inlineStr">
        <is>
          <t>Other Elect.Equip./ Prod.</t>
        </is>
      </c>
    </row>
    <row r="896" ht="15" customHeight="1" s="109" thickBot="1">
      <c r="B896" s="96" t="inlineStr">
        <is>
          <t>CONTINENTAL PETROLEUMS LTD</t>
        </is>
      </c>
      <c r="C896" s="97" t="n">
        <v>523232</v>
      </c>
      <c r="D896" s="96" t="inlineStr">
        <is>
          <t>Not Listed</t>
        </is>
      </c>
      <c r="E896" s="96" t="inlineStr">
        <is>
          <t>Oil Marketing &amp; Distribution</t>
        </is>
      </c>
    </row>
    <row r="897" ht="15" customHeight="1" s="109" thickBot="1">
      <c r="B897" s="96" t="inlineStr">
        <is>
          <t>CONTINENTAL SECURITIES LTD</t>
        </is>
      </c>
      <c r="C897" s="97" t="n">
        <v>538868</v>
      </c>
      <c r="D897" s="96" t="inlineStr">
        <is>
          <t>Not Listed</t>
        </is>
      </c>
      <c r="E897" s="96" t="inlineStr">
        <is>
          <t>Finance (including NBFCs)</t>
        </is>
      </c>
    </row>
    <row r="898" ht="15" customHeight="1" s="109" thickBot="1">
      <c r="B898" s="96" t="inlineStr">
        <is>
          <t>CONTINENTAL SEEDS AND CHEMICALS LTD</t>
        </is>
      </c>
      <c r="C898" s="96" t="inlineStr">
        <is>
          <t>Not Listed</t>
        </is>
      </c>
      <c r="D898" s="96" t="inlineStr">
        <is>
          <t>CONTI</t>
        </is>
      </c>
      <c r="E898" s="96" t="inlineStr">
        <is>
          <t>SME</t>
        </is>
      </c>
    </row>
    <row r="899" ht="15" customHeight="1" s="109" thickBot="1">
      <c r="B899" s="96" t="inlineStr">
        <is>
          <t>CONTROL PRINT LTD</t>
        </is>
      </c>
      <c r="C899" s="97" t="n">
        <v>522295</v>
      </c>
      <c r="D899" s="96" t="inlineStr">
        <is>
          <t>CONTROLPR</t>
        </is>
      </c>
      <c r="E899" s="96" t="inlineStr">
        <is>
          <t>Containers &amp; Packaging</t>
        </is>
      </c>
    </row>
    <row r="900" ht="15" customHeight="1" s="109" thickBot="1">
      <c r="B900" s="96" t="inlineStr">
        <is>
          <t>CORAL INDIA FINANCE &amp; HOUSING LTD</t>
        </is>
      </c>
      <c r="C900" s="97" t="n">
        <v>531556</v>
      </c>
      <c r="D900" s="96" t="inlineStr">
        <is>
          <t>CORALFINAC</t>
        </is>
      </c>
      <c r="E900" s="96" t="inlineStr">
        <is>
          <t>Housing Finance</t>
        </is>
      </c>
    </row>
    <row r="901" ht="15" customHeight="1" s="109" thickBot="1">
      <c r="B901" s="96" t="inlineStr">
        <is>
          <t>CORAL LABORATORIES LTD</t>
        </is>
      </c>
      <c r="C901" s="97" t="n">
        <v>524506</v>
      </c>
      <c r="D901" s="96" t="inlineStr">
        <is>
          <t>Not Listed</t>
        </is>
      </c>
      <c r="E901" s="96" t="inlineStr">
        <is>
          <t>Pharmaceuticals</t>
        </is>
      </c>
    </row>
    <row r="902" ht="15" customHeight="1" s="109" thickBot="1">
      <c r="B902" s="96" t="inlineStr">
        <is>
          <t>CORAL NEWSPRINTS LTD.</t>
        </is>
      </c>
      <c r="C902" s="97" t="n">
        <v>530755</v>
      </c>
      <c r="D902" s="96" t="inlineStr">
        <is>
          <t>CORNE</t>
        </is>
      </c>
      <c r="E902" s="96" t="inlineStr">
        <is>
          <t>Paper &amp;amp; Paper Products</t>
        </is>
      </c>
    </row>
    <row r="903" ht="15" customHeight="1" s="109" thickBot="1">
      <c r="B903" s="96" t="inlineStr">
        <is>
          <t>CORDS CABLE INDUSTRIES LTD</t>
        </is>
      </c>
      <c r="C903" s="97" t="n">
        <v>532941</v>
      </c>
      <c r="D903" s="96" t="inlineStr">
        <is>
          <t>CORDSCABLE</t>
        </is>
      </c>
      <c r="E903" s="96" t="inlineStr">
        <is>
          <t>Other Elect.Equip./ Prod.</t>
        </is>
      </c>
    </row>
    <row r="904" ht="15" customHeight="1" s="109" thickBot="1">
      <c r="B904" s="96" t="inlineStr">
        <is>
          <t>COROMANDEL AGRO PRODUCTS &amp; OILS LTD</t>
        </is>
      </c>
      <c r="C904" s="97" t="n">
        <v>507543</v>
      </c>
      <c r="D904" s="96" t="inlineStr">
        <is>
          <t>Not Listed</t>
        </is>
      </c>
      <c r="E904" s="96" t="inlineStr">
        <is>
          <t>Edible Oils</t>
        </is>
      </c>
    </row>
    <row r="905" ht="15" customHeight="1" s="109" thickBot="1">
      <c r="B905" s="96" t="inlineStr">
        <is>
          <t>COROMANDEL ENGINEERING COMPANY LTD</t>
        </is>
      </c>
      <c r="C905" s="97" t="n">
        <v>533167</v>
      </c>
      <c r="D905" s="96" t="inlineStr">
        <is>
          <t>Not Listed</t>
        </is>
      </c>
      <c r="E905" s="96" t="inlineStr">
        <is>
          <t>Construction &amp; Engineering</t>
        </is>
      </c>
    </row>
    <row r="906" ht="15" customHeight="1" s="109" thickBot="1">
      <c r="B906" s="96" t="inlineStr">
        <is>
          <t>COROMANDEL INTERNATIONAL LTD</t>
        </is>
      </c>
      <c r="C906" s="97" t="n">
        <v>506395</v>
      </c>
      <c r="D906" s="96" t="inlineStr">
        <is>
          <t>COROMANDEL</t>
        </is>
      </c>
      <c r="E906" s="96" t="inlineStr">
        <is>
          <t>Fertilizers</t>
        </is>
      </c>
    </row>
    <row r="907" ht="15" customHeight="1" s="109" thickBot="1">
      <c r="B907" s="96" t="inlineStr">
        <is>
          <t>CORPORATE COURIER AND CARGO LTD</t>
        </is>
      </c>
      <c r="C907" s="97" t="n">
        <v>526737</v>
      </c>
      <c r="D907" s="96" t="inlineStr">
        <is>
          <t>Not Listed</t>
        </is>
      </c>
      <c r="E907" s="96" t="inlineStr">
        <is>
          <t>Transportation - Logistics</t>
        </is>
      </c>
    </row>
    <row r="908" ht="15" customHeight="1" s="109" thickBot="1">
      <c r="B908" s="96" t="inlineStr">
        <is>
          <t>CORPORATE MERCHANT BANKERS LTD</t>
        </is>
      </c>
      <c r="C908" s="97" t="n">
        <v>540199</v>
      </c>
      <c r="D908" s="96" t="inlineStr">
        <is>
          <t>Not Listed</t>
        </is>
      </c>
      <c r="E908" s="96" t="inlineStr">
        <is>
          <t>Other Financial Services</t>
        </is>
      </c>
    </row>
    <row r="909" ht="15" customHeight="1" s="109" thickBot="1">
      <c r="B909" s="96" t="inlineStr">
        <is>
          <t>CORPORATION BANK</t>
        </is>
      </c>
      <c r="C909" s="97" t="n">
        <v>532179</v>
      </c>
      <c r="D909" s="96" t="inlineStr">
        <is>
          <t>CORPBANK</t>
        </is>
      </c>
      <c r="E909" s="96" t="inlineStr">
        <is>
          <t>Banks</t>
        </is>
      </c>
    </row>
    <row r="910" ht="15" customHeight="1" s="109" thickBot="1">
      <c r="B910" s="96" t="inlineStr">
        <is>
          <t>COSBOARD INDUSTRIES LTD</t>
        </is>
      </c>
      <c r="C910" s="97" t="n">
        <v>530859</v>
      </c>
      <c r="D910" s="96" t="inlineStr">
        <is>
          <t>Not Listed</t>
        </is>
      </c>
      <c r="E910" s="96" t="inlineStr">
        <is>
          <t>Paper &amp; Paper Products</t>
        </is>
      </c>
    </row>
    <row r="911" ht="15" customHeight="1" s="109" thickBot="1">
      <c r="B911" s="96" t="inlineStr">
        <is>
          <t>COSCO (INDIA) LTD</t>
        </is>
      </c>
      <c r="C911" s="97" t="n">
        <v>530545</v>
      </c>
      <c r="D911" s="96" t="inlineStr">
        <is>
          <t>Not Listed</t>
        </is>
      </c>
      <c r="E911" s="96" t="inlineStr">
        <is>
          <t>Diversified</t>
        </is>
      </c>
    </row>
    <row r="912" ht="15" customHeight="1" s="109" thickBot="1">
      <c r="B912" s="96" t="inlineStr">
        <is>
          <t>COSCO INDIA LTD</t>
        </is>
      </c>
      <c r="C912" s="97" t="n">
        <v>530545</v>
      </c>
      <c r="D912" s="96" t="inlineStr">
        <is>
          <t>Not Listed</t>
        </is>
      </c>
      <c r="E912" s="96" t="inlineStr">
        <is>
          <t>Diversified</t>
        </is>
      </c>
    </row>
    <row r="913" ht="15" customHeight="1" s="109" thickBot="1">
      <c r="B913" s="96" t="inlineStr">
        <is>
          <t>COSMO FERRITES LTD</t>
        </is>
      </c>
      <c r="C913" s="97" t="n">
        <v>523100</v>
      </c>
      <c r="D913" s="96" t="inlineStr">
        <is>
          <t>Not Listed</t>
        </is>
      </c>
      <c r="E913" s="96" t="inlineStr">
        <is>
          <t>Iron &amp; Steel/Interm.Products</t>
        </is>
      </c>
    </row>
    <row r="914" ht="15" customHeight="1" s="109" thickBot="1">
      <c r="B914" s="96" t="inlineStr">
        <is>
          <t>COSMO FILMS LTD</t>
        </is>
      </c>
      <c r="C914" s="97" t="n">
        <v>508814</v>
      </c>
      <c r="D914" s="96" t="inlineStr">
        <is>
          <t>COSMOFILMS</t>
        </is>
      </c>
      <c r="E914" s="96" t="inlineStr">
        <is>
          <t>Commodity Chemicals</t>
        </is>
      </c>
    </row>
    <row r="915" ht="15" customHeight="1" s="109" thickBot="1">
      <c r="B915" s="96" t="inlineStr">
        <is>
          <t>COSYN LTD</t>
        </is>
      </c>
      <c r="C915" s="97" t="n">
        <v>538922</v>
      </c>
      <c r="D915" s="96" t="inlineStr">
        <is>
          <t>Not Listed</t>
        </is>
      </c>
      <c r="E915" s="96" t="inlineStr">
        <is>
          <t>IT Software Products</t>
        </is>
      </c>
    </row>
    <row r="916" ht="15" customHeight="1" s="109" thickBot="1">
      <c r="B916" s="96" t="inlineStr">
        <is>
          <t>COUNTRY CLUB HOSPITALITY &amp; HOLIDAYS LTD</t>
        </is>
      </c>
      <c r="C916" s="97" t="n">
        <v>526550</v>
      </c>
      <c r="D916" s="96" t="inlineStr">
        <is>
          <t>CCHHL</t>
        </is>
      </c>
      <c r="E916" s="96" t="inlineStr">
        <is>
          <t>Hotels</t>
        </is>
      </c>
    </row>
    <row r="917" ht="15" customHeight="1" s="109" thickBot="1">
      <c r="B917" s="96" t="inlineStr">
        <is>
          <t>COUNTRY CONDO'S LTD</t>
        </is>
      </c>
      <c r="C917" s="97" t="n">
        <v>531624</v>
      </c>
      <c r="D917" s="96" t="inlineStr">
        <is>
          <t>COUNCODOS</t>
        </is>
      </c>
      <c r="E917" s="96" t="inlineStr">
        <is>
          <t>Realty</t>
        </is>
      </c>
    </row>
    <row r="918" ht="15" customHeight="1" s="109" thickBot="1">
      <c r="B918" s="96" t="inlineStr">
        <is>
          <t>COVENTRY COIL-O-MATIC HARYANA LTD</t>
        </is>
      </c>
      <c r="C918" s="97" t="n">
        <v>523415</v>
      </c>
      <c r="D918" s="96" t="inlineStr">
        <is>
          <t>Not Listed</t>
        </is>
      </c>
      <c r="E918" s="96" t="inlineStr">
        <is>
          <t>Iron &amp; Steel/Interm.Products</t>
        </is>
      </c>
    </row>
    <row r="919" ht="15" customHeight="1" s="109" thickBot="1">
      <c r="B919" s="96" t="inlineStr">
        <is>
          <t>COVIDH TECHNOLOGIES LTD</t>
        </is>
      </c>
      <c r="C919" s="97" t="n">
        <v>534920</v>
      </c>
      <c r="D919" s="96" t="inlineStr">
        <is>
          <t>Not Listed</t>
        </is>
      </c>
      <c r="E919" s="96" t="inlineStr">
        <is>
          <t>IT Consulting &amp; Software</t>
        </is>
      </c>
    </row>
    <row r="920" ht="15" customHeight="1" s="109" thickBot="1">
      <c r="B920" s="96" t="inlineStr">
        <is>
          <t>COX &amp; KINGS LTD</t>
        </is>
      </c>
      <c r="C920" s="97" t="n">
        <v>533144</v>
      </c>
      <c r="D920" s="96" t="inlineStr">
        <is>
          <t>COX&amp;KINGS</t>
        </is>
      </c>
      <c r="E920" s="96" t="inlineStr">
        <is>
          <t>Travel Support Services</t>
        </is>
      </c>
    </row>
    <row r="921" ht="15" customHeight="1" s="109" thickBot="1">
      <c r="B921" s="96" t="inlineStr">
        <is>
          <t>Cox &amp;amp; Kings Financial Service Ltd</t>
        </is>
      </c>
      <c r="C921" s="97" t="n">
        <v>542641</v>
      </c>
      <c r="D921" s="96" t="inlineStr">
        <is>
          <t>CKFSL</t>
        </is>
      </c>
      <c r="E921" s="96" t="inlineStr">
        <is>
          <t>Finance (including NBFCs)</t>
        </is>
      </c>
    </row>
    <row r="922" ht="15" customHeight="1" s="109" thickBot="1">
      <c r="B922" s="96" t="inlineStr">
        <is>
          <t>CRANE INFRASTRUCTURE LTD</t>
        </is>
      </c>
      <c r="C922" s="97" t="n">
        <v>538770</v>
      </c>
      <c r="D922" s="96" t="inlineStr">
        <is>
          <t>Not Listed</t>
        </is>
      </c>
      <c r="E922" s="96" t="inlineStr">
        <is>
          <t>Realty</t>
        </is>
      </c>
    </row>
    <row r="923" ht="15" customHeight="1" s="109" thickBot="1">
      <c r="B923" s="96" t="inlineStr">
        <is>
          <t>CRANES SOFTWARE INTERNATIONAL LTD</t>
        </is>
      </c>
      <c r="C923" s="97" t="n">
        <v>512093</v>
      </c>
      <c r="D923" s="96" t="inlineStr">
        <is>
          <t>Not Listed</t>
        </is>
      </c>
      <c r="E923" s="96" t="inlineStr">
        <is>
          <t>IT Software Products</t>
        </is>
      </c>
    </row>
    <row r="924" ht="15" customHeight="1" s="109" thickBot="1">
      <c r="B924" s="96" t="inlineStr">
        <is>
          <t>CRANEX LTD</t>
        </is>
      </c>
      <c r="C924" s="97" t="n">
        <v>522001</v>
      </c>
      <c r="D924" s="96" t="inlineStr">
        <is>
          <t>Not Listed</t>
        </is>
      </c>
      <c r="E924" s="96" t="inlineStr">
        <is>
          <t>Commercial Vehicles</t>
        </is>
      </c>
    </row>
    <row r="925" ht="15" customHeight="1" s="109" thickBot="1">
      <c r="B925" s="96" t="inlineStr">
        <is>
          <t>CRAVATEX LTD</t>
        </is>
      </c>
      <c r="C925" s="97" t="n">
        <v>509472</v>
      </c>
      <c r="D925" s="96" t="inlineStr">
        <is>
          <t>Not Listed</t>
        </is>
      </c>
      <c r="E925" s="96" t="inlineStr">
        <is>
          <t>Comm.Trading &amp; Distribution</t>
        </is>
      </c>
    </row>
    <row r="926" ht="15" customHeight="1" s="109" thickBot="1">
      <c r="B926" s="96" t="inlineStr">
        <is>
          <t>CRAZY INFOTECH LTD</t>
        </is>
      </c>
      <c r="C926" s="97" t="n">
        <v>524388</v>
      </c>
      <c r="D926" s="96" t="inlineStr">
        <is>
          <t>Not Listed</t>
        </is>
      </c>
      <c r="E926" s="96" t="inlineStr">
        <is>
          <t>Computer Hardware</t>
        </is>
      </c>
    </row>
    <row r="927" ht="15" customHeight="1" s="109" thickBot="1">
      <c r="B927" s="96" t="inlineStr">
        <is>
          <t>CREATIVE CASTINGS LTD</t>
        </is>
      </c>
      <c r="C927" s="97" t="n">
        <v>539527</v>
      </c>
      <c r="D927" s="96" t="inlineStr">
        <is>
          <t>Not Listed</t>
        </is>
      </c>
      <c r="E927" s="96" t="inlineStr">
        <is>
          <t>Other Industrial Products</t>
        </is>
      </c>
    </row>
    <row r="928" ht="15" customHeight="1" s="109" thickBot="1">
      <c r="B928" s="96" t="inlineStr">
        <is>
          <t>CREATIVE EYE LTD</t>
        </is>
      </c>
      <c r="C928" s="97" t="n">
        <v>532392</v>
      </c>
      <c r="D928" s="96" t="inlineStr">
        <is>
          <t>CREATIVEYE</t>
        </is>
      </c>
      <c r="E928" s="96" t="inlineStr">
        <is>
          <t>Movies &amp; Entertainment</t>
        </is>
      </c>
    </row>
    <row r="929" ht="15" customHeight="1" s="109" thickBot="1">
      <c r="B929" s="96" t="inlineStr">
        <is>
          <t>CREATIVE PERIPHERALS AND DISTRIBUTION LTD</t>
        </is>
      </c>
      <c r="C929" s="96" t="inlineStr">
        <is>
          <t>Not Listed</t>
        </is>
      </c>
      <c r="D929" s="96" t="inlineStr">
        <is>
          <t>CREATIVE</t>
        </is>
      </c>
      <c r="E929" s="96" t="inlineStr">
        <is>
          <t>SME</t>
        </is>
      </c>
    </row>
    <row r="930" ht="15" customHeight="1" s="109" thickBot="1">
      <c r="B930" s="96" t="inlineStr">
        <is>
          <t>CREDITACCESS GRAMEEN LTD</t>
        </is>
      </c>
      <c r="C930" s="97" t="n">
        <v>541770</v>
      </c>
      <c r="D930" s="96" t="inlineStr">
        <is>
          <t>CREDITACC</t>
        </is>
      </c>
      <c r="E930" s="96" t="inlineStr">
        <is>
          <t>Finance (including NBFCs)</t>
        </is>
      </c>
    </row>
    <row r="931" ht="15" customHeight="1" s="109" thickBot="1">
      <c r="B931" s="96" t="inlineStr">
        <is>
          <t>CRESCENT LEASING LTD</t>
        </is>
      </c>
      <c r="C931" s="97" t="n">
        <v>539131</v>
      </c>
      <c r="D931" s="96" t="inlineStr">
        <is>
          <t>Not Listed</t>
        </is>
      </c>
      <c r="E931" s="96" t="inlineStr">
        <is>
          <t>Investment Companies</t>
        </is>
      </c>
    </row>
    <row r="932" ht="15" customHeight="1" s="109" thickBot="1">
      <c r="B932" s="96" t="inlineStr">
        <is>
          <t>CRESSANDA SOLUTIONS LTD</t>
        </is>
      </c>
      <c r="C932" s="97" t="n">
        <v>512379</v>
      </c>
      <c r="D932" s="96" t="inlineStr">
        <is>
          <t>Not Listed</t>
        </is>
      </c>
      <c r="E932" s="96" t="inlineStr">
        <is>
          <t>IT Software Products</t>
        </is>
      </c>
    </row>
    <row r="933" ht="15" customHeight="1" s="109" thickBot="1">
      <c r="B933" s="96" t="inlineStr">
        <is>
          <t>CREST VENTURES LTD</t>
        </is>
      </c>
      <c r="C933" s="97" t="n">
        <v>511413</v>
      </c>
      <c r="D933" s="96" t="inlineStr">
        <is>
          <t>CREST</t>
        </is>
      </c>
      <c r="E933" s="96" t="inlineStr">
        <is>
          <t>Finance (including NBFCs)</t>
        </is>
      </c>
    </row>
    <row r="934" ht="15" customHeight="1" s="109" thickBot="1">
      <c r="B934" s="96" t="inlineStr">
        <is>
          <t>CRESTCHEM LTD</t>
        </is>
      </c>
      <c r="C934" s="97" t="n">
        <v>526269</v>
      </c>
      <c r="D934" s="96" t="inlineStr">
        <is>
          <t>Not Listed</t>
        </is>
      </c>
      <c r="E934" s="96" t="inlineStr">
        <is>
          <t>Specialty Chemicals</t>
        </is>
      </c>
    </row>
    <row r="935" ht="15" customHeight="1" s="109" thickBot="1">
      <c r="B935" s="96" t="inlineStr">
        <is>
          <t>CRIMSON METAL ENGINEERING COMPANY LTD</t>
        </is>
      </c>
      <c r="C935" s="97" t="n">
        <v>526977</v>
      </c>
      <c r="D935" s="96" t="inlineStr">
        <is>
          <t>Not Listed</t>
        </is>
      </c>
      <c r="E935" s="96" t="inlineStr">
        <is>
          <t>Iron &amp; Steel Products</t>
        </is>
      </c>
    </row>
    <row r="936" ht="15" customHeight="1" s="109" thickBot="1">
      <c r="B936" s="96" t="inlineStr">
        <is>
          <t>CRISIL LTD</t>
        </is>
      </c>
      <c r="C936" s="97" t="n">
        <v>500092</v>
      </c>
      <c r="D936" s="96" t="inlineStr">
        <is>
          <t>CRISIL</t>
        </is>
      </c>
      <c r="E936" s="96" t="inlineStr">
        <is>
          <t>Other Financial Services</t>
        </is>
      </c>
    </row>
    <row r="937" ht="15" customHeight="1" s="109" thickBot="1">
      <c r="B937" s="96" t="inlineStr">
        <is>
          <t>CROMPTON GREAVES CONSUMER ELECTRICALS LTD</t>
        </is>
      </c>
      <c r="C937" s="97" t="n">
        <v>539876</v>
      </c>
      <c r="D937" s="96" t="inlineStr">
        <is>
          <t>CROMPTON</t>
        </is>
      </c>
      <c r="E937" s="96" t="inlineStr">
        <is>
          <t>Household Appliances</t>
        </is>
      </c>
    </row>
    <row r="938" ht="15" customHeight="1" s="109" thickBot="1">
      <c r="B938" s="96" t="inlineStr">
        <is>
          <t>CROWN LIFTERS LTD</t>
        </is>
      </c>
      <c r="C938" s="96" t="inlineStr">
        <is>
          <t>Not Listed</t>
        </is>
      </c>
      <c r="D938" s="96" t="inlineStr">
        <is>
          <t>CROWN</t>
        </is>
      </c>
      <c r="E938" s="96" t="inlineStr">
        <is>
          <t>SME</t>
        </is>
      </c>
    </row>
    <row r="939" ht="15" customHeight="1" s="109" thickBot="1">
      <c r="B939" s="96" t="inlineStr">
        <is>
          <t>CROWN TOURS LTD</t>
        </is>
      </c>
      <c r="C939" s="97" t="n">
        <v>538521</v>
      </c>
      <c r="D939" s="96" t="inlineStr">
        <is>
          <t>Not Listed</t>
        </is>
      </c>
      <c r="E939" s="96" t="inlineStr">
        <is>
          <t>Travel Support Services</t>
        </is>
      </c>
    </row>
    <row r="940" ht="15" customHeight="1" s="109" thickBot="1">
      <c r="B940" s="96" t="inlineStr">
        <is>
          <t>CRP RISK MANAGEMENT LTD</t>
        </is>
      </c>
      <c r="C940" s="97" t="n">
        <v>540903</v>
      </c>
      <c r="D940" s="96" t="inlineStr">
        <is>
          <t>Not Listed</t>
        </is>
      </c>
      <c r="E940" s="96" t="inlineStr">
        <is>
          <t>Consulting Services</t>
        </is>
      </c>
    </row>
    <row r="941" ht="15" customHeight="1" s="109" thickBot="1">
      <c r="B941" s="96" t="inlineStr">
        <is>
          <t>CSL FINANCE LTD</t>
        </is>
      </c>
      <c r="C941" s="97" t="n">
        <v>530067</v>
      </c>
      <c r="D941" s="96" t="inlineStr">
        <is>
          <t>Not Listed</t>
        </is>
      </c>
      <c r="E941" s="96" t="inlineStr">
        <is>
          <t>Finance (including NBFCs)</t>
        </is>
      </c>
    </row>
    <row r="942" ht="15" customHeight="1" s="109" thickBot="1">
      <c r="B942" s="96" t="inlineStr">
        <is>
          <t>CUBEX TUBINGS LTD</t>
        </is>
      </c>
      <c r="C942" s="97" t="n">
        <v>526027</v>
      </c>
      <c r="D942" s="96" t="inlineStr">
        <is>
          <t>CUBEXTUB</t>
        </is>
      </c>
      <c r="E942" s="96" t="inlineStr">
        <is>
          <t>Copper</t>
        </is>
      </c>
    </row>
    <row r="943" ht="15" customHeight="1" s="109" thickBot="1">
      <c r="B943" s="96" t="inlineStr">
        <is>
          <t>CUBICAL FINANCIAL SERVICES LTD</t>
        </is>
      </c>
      <c r="C943" s="97" t="n">
        <v>511710</v>
      </c>
      <c r="D943" s="96" t="inlineStr">
        <is>
          <t>Not Listed</t>
        </is>
      </c>
      <c r="E943" s="96" t="inlineStr">
        <is>
          <t>Finance (including NBFCs)</t>
        </is>
      </c>
    </row>
    <row r="944" ht="15" customHeight="1" s="109" thickBot="1">
      <c r="B944" s="96" t="inlineStr">
        <is>
          <t>CUMMINS (INDIA) LTD</t>
        </is>
      </c>
      <c r="C944" s="97" t="n">
        <v>500480</v>
      </c>
      <c r="D944" s="96" t="inlineStr">
        <is>
          <t>CUMMINSIND</t>
        </is>
      </c>
      <c r="E944" s="96" t="inlineStr">
        <is>
          <t>Industrial Machinery</t>
        </is>
      </c>
    </row>
    <row r="945" ht="15" customHeight="1" s="109" thickBot="1">
      <c r="B945" s="96" t="inlineStr">
        <is>
          <t>CUMMINS INDIA LTD</t>
        </is>
      </c>
      <c r="C945" s="97" t="n">
        <v>500480</v>
      </c>
      <c r="D945" s="96" t="inlineStr">
        <is>
          <t>CUMMINSIND</t>
        </is>
      </c>
      <c r="E945" s="96" t="inlineStr">
        <is>
          <t>Industrial Machinery</t>
        </is>
      </c>
    </row>
    <row r="946" ht="15" customHeight="1" s="109" thickBot="1">
      <c r="B946" s="96" t="inlineStr">
        <is>
          <t>CUPID LTD</t>
        </is>
      </c>
      <c r="C946" s="97" t="n">
        <v>530843</v>
      </c>
      <c r="D946" s="96" t="inlineStr">
        <is>
          <t>CUPID</t>
        </is>
      </c>
      <c r="E946" s="96" t="inlineStr">
        <is>
          <t>Personal Products</t>
        </is>
      </c>
    </row>
    <row r="947" ht="15" customHeight="1" s="109" thickBot="1">
      <c r="B947" s="96" t="inlineStr">
        <is>
          <t>CURA TECHNOLOGIES LTD</t>
        </is>
      </c>
      <c r="C947" s="97" t="n">
        <v>532332</v>
      </c>
      <c r="D947" s="96" t="inlineStr">
        <is>
          <t>CURATECH</t>
        </is>
      </c>
      <c r="E947" s="96" t="inlineStr">
        <is>
          <t>IT Software Products</t>
        </is>
      </c>
    </row>
    <row r="948" ht="15" customHeight="1" s="109" thickBot="1">
      <c r="B948" s="96" t="inlineStr">
        <is>
          <t>CYBELE INDUSTRIES LTD</t>
        </is>
      </c>
      <c r="C948" s="97" t="n">
        <v>531472</v>
      </c>
      <c r="D948" s="96" t="inlineStr">
        <is>
          <t>Not Listed</t>
        </is>
      </c>
      <c r="E948" s="96" t="inlineStr">
        <is>
          <t>Other Elect.Equip./ Prod.</t>
        </is>
      </c>
    </row>
    <row r="949" ht="15" customHeight="1" s="109" thickBot="1">
      <c r="B949" s="96" t="inlineStr">
        <is>
          <t>CYBER MEDIA (INDIA) LTD</t>
        </is>
      </c>
      <c r="C949" s="97" t="n">
        <v>532640</v>
      </c>
      <c r="D949" s="96" t="inlineStr">
        <is>
          <t>CYBERMEDIA</t>
        </is>
      </c>
      <c r="E949" s="96" t="inlineStr">
        <is>
          <t>Publishing</t>
        </is>
      </c>
    </row>
    <row r="950" ht="15" customHeight="1" s="109" thickBot="1">
      <c r="B950" s="96" t="inlineStr">
        <is>
          <t>CYBER MEDIA INDIA LTD</t>
        </is>
      </c>
      <c r="C950" s="97" t="n">
        <v>532640</v>
      </c>
      <c r="D950" s="96" t="inlineStr">
        <is>
          <t>CYBERMEDIA</t>
        </is>
      </c>
      <c r="E950" s="96" t="inlineStr">
        <is>
          <t>Publishing</t>
        </is>
      </c>
    </row>
    <row r="951" ht="15" customHeight="1" s="109" thickBot="1">
      <c r="B951" s="96" t="inlineStr">
        <is>
          <t>CYBERMATE INFOTEK LTD</t>
        </is>
      </c>
      <c r="C951" s="97" t="n">
        <v>532271</v>
      </c>
      <c r="D951" s="96" t="inlineStr">
        <is>
          <t>Not Listed</t>
        </is>
      </c>
      <c r="E951" s="96" t="inlineStr">
        <is>
          <t>IT Software Products</t>
        </is>
      </c>
    </row>
    <row r="952" ht="15" customHeight="1" s="109" thickBot="1">
      <c r="B952" s="96" t="inlineStr">
        <is>
          <t>CYBERTECH SYSTEMS AND SOFTWARE LTD</t>
        </is>
      </c>
      <c r="C952" s="97" t="n">
        <v>532173</v>
      </c>
      <c r="D952" s="96" t="inlineStr">
        <is>
          <t>CYBERTECH</t>
        </is>
      </c>
      <c r="E952" s="96" t="inlineStr">
        <is>
          <t>IT Software Products</t>
        </is>
      </c>
    </row>
    <row r="953" ht="15" customHeight="1" s="109" thickBot="1">
      <c r="B953" s="96" t="inlineStr">
        <is>
          <t>CYIENT LTD</t>
        </is>
      </c>
      <c r="C953" s="97" t="n">
        <v>532175</v>
      </c>
      <c r="D953" s="96" t="inlineStr">
        <is>
          <t>CYIENT</t>
        </is>
      </c>
      <c r="E953" s="96" t="inlineStr">
        <is>
          <t>IT Consulting &amp; Software</t>
        </is>
      </c>
    </row>
    <row r="954" ht="15" customHeight="1" s="109" thickBot="1">
      <c r="B954" s="96" t="inlineStr">
        <is>
          <t>D B CORP LTD</t>
        </is>
      </c>
      <c r="C954" s="97" t="n">
        <v>533151</v>
      </c>
      <c r="D954" s="96" t="inlineStr">
        <is>
          <t>DBCORP</t>
        </is>
      </c>
      <c r="E954" s="96" t="inlineStr">
        <is>
          <t>Publishing</t>
        </is>
      </c>
    </row>
    <row r="955" ht="15" customHeight="1" s="109" thickBot="1">
      <c r="B955" s="96" t="inlineStr">
        <is>
          <t>D B REALTY LTD</t>
        </is>
      </c>
      <c r="C955" s="97" t="n">
        <v>533160</v>
      </c>
      <c r="D955" s="96" t="inlineStr">
        <is>
          <t>DBREALTY</t>
        </is>
      </c>
      <c r="E955" s="96" t="inlineStr">
        <is>
          <t>Realty</t>
        </is>
      </c>
    </row>
    <row r="956" ht="15" customHeight="1" s="109" thickBot="1">
      <c r="B956" s="96" t="inlineStr">
        <is>
          <t>D P ABHUSHAN LTD</t>
        </is>
      </c>
      <c r="C956" s="96" t="inlineStr">
        <is>
          <t>Not Listed</t>
        </is>
      </c>
      <c r="D956" s="96" t="inlineStr">
        <is>
          <t>DPABHUSHAN</t>
        </is>
      </c>
      <c r="E956" s="96" t="inlineStr">
        <is>
          <t>SME</t>
        </is>
      </c>
    </row>
    <row r="957" ht="15" customHeight="1" s="109" thickBot="1">
      <c r="B957" s="96" t="inlineStr">
        <is>
          <t>D P WIRES LTD</t>
        </is>
      </c>
      <c r="C957" s="96" t="inlineStr">
        <is>
          <t>Not Listed</t>
        </is>
      </c>
      <c r="D957" s="96" t="inlineStr">
        <is>
          <t>DPWIRES</t>
        </is>
      </c>
      <c r="E957" s="96" t="inlineStr">
        <is>
          <t>SME</t>
        </is>
      </c>
    </row>
    <row r="958" ht="15" customHeight="1" s="109" thickBot="1">
      <c r="B958" s="96" t="inlineStr">
        <is>
          <t>D&amp;H (INDIA) LTD</t>
        </is>
      </c>
      <c r="C958" s="97" t="n">
        <v>517514</v>
      </c>
      <c r="D958" s="96" t="inlineStr">
        <is>
          <t>Not Listed</t>
        </is>
      </c>
      <c r="E958" s="96" t="inlineStr">
        <is>
          <t>Other Industrial Goods</t>
        </is>
      </c>
    </row>
    <row r="959" ht="15" customHeight="1" s="109" thickBot="1">
      <c r="B959" s="96" t="inlineStr">
        <is>
          <t>D&amp;H INDIA LTD</t>
        </is>
      </c>
      <c r="C959" s="97" t="n">
        <v>517514</v>
      </c>
      <c r="D959" s="96" t="inlineStr">
        <is>
          <t>Not Listed</t>
        </is>
      </c>
      <c r="E959" s="96" t="inlineStr">
        <is>
          <t>Other Industrial Goods</t>
        </is>
      </c>
    </row>
    <row r="960" ht="15" customHeight="1" s="109" thickBot="1">
      <c r="B960" s="96" t="inlineStr">
        <is>
          <t>DABUR (INDIA) LTD</t>
        </is>
      </c>
      <c r="C960" s="97" t="n">
        <v>500096</v>
      </c>
      <c r="D960" s="96" t="inlineStr">
        <is>
          <t>DABUR</t>
        </is>
      </c>
      <c r="E960" s="96" t="inlineStr">
        <is>
          <t>Personal Products</t>
        </is>
      </c>
    </row>
    <row r="961" ht="15" customHeight="1" s="109" thickBot="1">
      <c r="B961" s="96" t="inlineStr">
        <is>
          <t>DABUR INDIA LTD</t>
        </is>
      </c>
      <c r="C961" s="97" t="n">
        <v>500096</v>
      </c>
      <c r="D961" s="96" t="inlineStr">
        <is>
          <t>DABUR</t>
        </is>
      </c>
      <c r="E961" s="96" t="inlineStr">
        <is>
          <t>Personal Products</t>
        </is>
      </c>
    </row>
    <row r="962" ht="15" customHeight="1" s="109" thickBot="1">
      <c r="B962" s="96" t="inlineStr">
        <is>
          <t>DAI-ICHI KARKARIA LTD</t>
        </is>
      </c>
      <c r="C962" s="97" t="n">
        <v>526821</v>
      </c>
      <c r="D962" s="96" t="inlineStr">
        <is>
          <t>Not Listed</t>
        </is>
      </c>
      <c r="E962" s="96" t="inlineStr">
        <is>
          <t>Specialty Chemicals</t>
        </is>
      </c>
    </row>
    <row r="963" ht="15" customHeight="1" s="109" thickBot="1">
      <c r="B963" s="96" t="inlineStr">
        <is>
          <t>DAIKAFFIL CHEMICALS (INDIA) LTD</t>
        </is>
      </c>
      <c r="C963" s="97" t="n">
        <v>530825</v>
      </c>
      <c r="D963" s="96" t="inlineStr">
        <is>
          <t>Not Listed</t>
        </is>
      </c>
      <c r="E963" s="96" t="inlineStr">
        <is>
          <t>Specialty Chemicals</t>
        </is>
      </c>
    </row>
    <row r="964" ht="15" customHeight="1" s="109" thickBot="1">
      <c r="B964" s="96" t="inlineStr">
        <is>
          <t>DAIKAFFIL CHEMICALS INDIA LTD</t>
        </is>
      </c>
      <c r="C964" s="97" t="n">
        <v>530825</v>
      </c>
      <c r="D964" s="96" t="inlineStr">
        <is>
          <t>Not Listed</t>
        </is>
      </c>
      <c r="E964" s="96" t="inlineStr">
        <is>
          <t>Specialty Chemicals</t>
        </is>
      </c>
    </row>
    <row r="965" ht="15" customHeight="1" s="109" thickBot="1">
      <c r="B965" s="96" t="inlineStr">
        <is>
          <t>DALAL STREET INVESTMENTS LTD</t>
        </is>
      </c>
      <c r="C965" s="97" t="n">
        <v>501148</v>
      </c>
      <c r="D965" s="96" t="inlineStr">
        <is>
          <t>Not Listed</t>
        </is>
      </c>
      <c r="E965" s="96" t="inlineStr">
        <is>
          <t>Investment Companies</t>
        </is>
      </c>
    </row>
    <row r="966" ht="15" customHeight="1" s="109" thickBot="1">
      <c r="B966" s="96" t="inlineStr">
        <is>
          <t>Dalmia Bharat Ltd</t>
        </is>
      </c>
      <c r="C966" s="97" t="n">
        <v>542216</v>
      </c>
      <c r="D966" s="96" t="inlineStr">
        <is>
          <t>DALBHARAT</t>
        </is>
      </c>
      <c r="E966" s="96" t="inlineStr">
        <is>
          <t>Cement &amp;amp; Cement Products</t>
        </is>
      </c>
    </row>
    <row r="967" ht="15" customHeight="1" s="109" thickBot="1">
      <c r="B967" s="96" t="inlineStr">
        <is>
          <t>DALMIA BHARAT SUGAR AND INDUSTRIES LTD</t>
        </is>
      </c>
      <c r="C967" s="97" t="n">
        <v>500097</v>
      </c>
      <c r="D967" s="96" t="inlineStr">
        <is>
          <t>DALMIASUG</t>
        </is>
      </c>
      <c r="E967" s="96" t="inlineStr">
        <is>
          <t>Sugar</t>
        </is>
      </c>
    </row>
    <row r="968" ht="15" customHeight="1" s="109" thickBot="1">
      <c r="B968" s="96" t="inlineStr">
        <is>
          <t>DALMIA INDUSTRIAL DEVELOPMENT LTD</t>
        </is>
      </c>
      <c r="C968" s="97" t="n">
        <v>539900</v>
      </c>
      <c r="D968" s="96" t="inlineStr">
        <is>
          <t>Not Listed</t>
        </is>
      </c>
      <c r="E968" s="96" t="inlineStr">
        <is>
          <t>Comm.Trading &amp; Distribution</t>
        </is>
      </c>
    </row>
    <row r="969" ht="15" customHeight="1" s="109" thickBot="1">
      <c r="B969" s="96" t="inlineStr">
        <is>
          <t>DAMODAR INDUSTRIES LTD</t>
        </is>
      </c>
      <c r="C969" s="97" t="n">
        <v>521220</v>
      </c>
      <c r="D969" s="96" t="inlineStr">
        <is>
          <t>DAMODARIND</t>
        </is>
      </c>
      <c r="E969" s="96" t="inlineStr">
        <is>
          <t>Textiles</t>
        </is>
      </c>
    </row>
    <row r="970" ht="15" customHeight="1" s="109" thickBot="1">
      <c r="B970" s="96" t="inlineStr">
        <is>
          <t>DANGEE DUMS LTD</t>
        </is>
      </c>
      <c r="C970" s="96" t="inlineStr">
        <is>
          <t>Not Listed</t>
        </is>
      </c>
      <c r="D970" s="96" t="inlineStr">
        <is>
          <t>DANGEE</t>
        </is>
      </c>
      <c r="E970" s="96" t="inlineStr">
        <is>
          <t>SME</t>
        </is>
      </c>
    </row>
    <row r="971" ht="15" customHeight="1" s="109" thickBot="1">
      <c r="B971" s="96" t="inlineStr">
        <is>
          <t>DANLAW TECHNOLOGIES (INDIA) LTD</t>
        </is>
      </c>
      <c r="C971" s="97" t="n">
        <v>532329</v>
      </c>
      <c r="D971" s="96" t="inlineStr">
        <is>
          <t>Not Listed</t>
        </is>
      </c>
      <c r="E971" s="96" t="inlineStr">
        <is>
          <t>IT Software Products</t>
        </is>
      </c>
    </row>
    <row r="972" ht="15" customHeight="1" s="109" thickBot="1">
      <c r="B972" s="96" t="inlineStr">
        <is>
          <t>DANLAW TECHNOLOGIES INDIA LTD</t>
        </is>
      </c>
      <c r="C972" s="97" t="n">
        <v>532329</v>
      </c>
      <c r="D972" s="96" t="inlineStr">
        <is>
          <t>Not Listed</t>
        </is>
      </c>
      <c r="E972" s="96" t="inlineStr">
        <is>
          <t>IT Software Products</t>
        </is>
      </c>
    </row>
    <row r="973" ht="15" customHeight="1" s="109" thickBot="1">
      <c r="B973" s="96" t="inlineStr">
        <is>
          <t>DANUBE INDUSTRIES LTD</t>
        </is>
      </c>
      <c r="C973" s="97" t="n">
        <v>540361</v>
      </c>
      <c r="D973" s="96" t="inlineStr">
        <is>
          <t>Not Listed</t>
        </is>
      </c>
      <c r="E973" s="96" t="inlineStr">
        <is>
          <t>Comm.Trading &amp; Distribution</t>
        </is>
      </c>
    </row>
    <row r="974" ht="15" customHeight="1" s="109" thickBot="1">
      <c r="B974" s="96" t="inlineStr">
        <is>
          <t>DARJEELING ROPEWAY COMPANY LTD</t>
        </is>
      </c>
      <c r="C974" s="97" t="n">
        <v>539770</v>
      </c>
      <c r="D974" s="96" t="inlineStr">
        <is>
          <t>Not Listed</t>
        </is>
      </c>
      <c r="E974" s="96" t="inlineStr">
        <is>
          <t>Other Financial Services</t>
        </is>
      </c>
    </row>
    <row r="975" ht="15" customHeight="1" s="109" thickBot="1">
      <c r="B975" s="96" t="inlineStr">
        <is>
          <t>DARSHAN ORNA LTD</t>
        </is>
      </c>
      <c r="C975" s="97" t="n">
        <v>539884</v>
      </c>
      <c r="D975" s="96" t="inlineStr">
        <is>
          <t>Not Listed</t>
        </is>
      </c>
      <c r="E975" s="96" t="inlineStr">
        <is>
          <t>Other Apparels &amp; Accessories</t>
        </is>
      </c>
    </row>
    <row r="976" ht="15" customHeight="1" s="109" thickBot="1">
      <c r="B976" s="96" t="inlineStr">
        <is>
          <t>DATAMATICS GLOBAL SERVICES LTD</t>
        </is>
      </c>
      <c r="C976" s="97" t="n">
        <v>532528</v>
      </c>
      <c r="D976" s="96" t="inlineStr">
        <is>
          <t>DATAMATICS</t>
        </is>
      </c>
      <c r="E976" s="96" t="inlineStr">
        <is>
          <t>IT Software Products</t>
        </is>
      </c>
    </row>
    <row r="977" ht="15" customHeight="1" s="109" thickBot="1">
      <c r="B977" s="96" t="inlineStr">
        <is>
          <t>DAULAT SECURITIES LTD</t>
        </is>
      </c>
      <c r="C977" s="97" t="n">
        <v>530171</v>
      </c>
      <c r="D977" s="96" t="inlineStr">
        <is>
          <t>Not Listed</t>
        </is>
      </c>
      <c r="E977" s="96" t="inlineStr">
        <is>
          <t>Other Financial Services</t>
        </is>
      </c>
    </row>
    <row r="978" ht="15" customHeight="1" s="109" thickBot="1">
      <c r="B978" s="96" t="inlineStr">
        <is>
          <t>DB INTERNATIONAL STOCK BROKERS LTD</t>
        </is>
      </c>
      <c r="C978" s="97" t="n">
        <v>530393</v>
      </c>
      <c r="D978" s="96" t="inlineStr">
        <is>
          <t>DBSTOCKBRO</t>
        </is>
      </c>
      <c r="E978" s="96" t="inlineStr">
        <is>
          <t>Other Financial Services</t>
        </is>
      </c>
    </row>
    <row r="979" ht="15" customHeight="1" s="109" thickBot="1">
      <c r="B979" s="96" t="inlineStr">
        <is>
          <t>DCB BANK LTD</t>
        </is>
      </c>
      <c r="C979" s="97" t="n">
        <v>532772</v>
      </c>
      <c r="D979" s="96" t="inlineStr">
        <is>
          <t>DCBBANK</t>
        </is>
      </c>
      <c r="E979" s="96" t="inlineStr">
        <is>
          <t>Banks</t>
        </is>
      </c>
    </row>
    <row r="980" ht="15" customHeight="1" s="109" thickBot="1">
      <c r="B980" s="96" t="inlineStr">
        <is>
          <t>DCM FINANCIAL SERVICES LTD</t>
        </is>
      </c>
      <c r="C980" s="97" t="n">
        <v>511611</v>
      </c>
      <c r="D980" s="96" t="inlineStr">
        <is>
          <t>DCMFINSERV</t>
        </is>
      </c>
      <c r="E980" s="96" t="inlineStr">
        <is>
          <t>Finance (including NBFCs)</t>
        </is>
      </c>
    </row>
    <row r="981" ht="15" customHeight="1" s="109" thickBot="1">
      <c r="B981" s="96" t="inlineStr">
        <is>
          <t>DCM LTD</t>
        </is>
      </c>
      <c r="C981" s="97" t="n">
        <v>502820</v>
      </c>
      <c r="D981" s="96" t="inlineStr">
        <is>
          <t>DCM</t>
        </is>
      </c>
      <c r="E981" s="96" t="inlineStr">
        <is>
          <t>Textiles</t>
        </is>
      </c>
    </row>
    <row r="982" ht="15" customHeight="1" s="109" thickBot="1">
      <c r="B982" s="96" t="inlineStr">
        <is>
          <t>DCM SHRIRAM INDUSTRIES LTD</t>
        </is>
      </c>
      <c r="C982" s="97" t="n">
        <v>523369</v>
      </c>
      <c r="D982" s="96" t="inlineStr">
        <is>
          <t>Not Listed</t>
        </is>
      </c>
      <c r="E982" s="96" t="inlineStr">
        <is>
          <t>Sugar</t>
        </is>
      </c>
    </row>
    <row r="983" ht="15" customHeight="1" s="109" thickBot="1">
      <c r="B983" s="96" t="inlineStr">
        <is>
          <t>DCM SHRIRAM LTD</t>
        </is>
      </c>
      <c r="C983" s="97" t="n">
        <v>523367</v>
      </c>
      <c r="D983" s="96" t="inlineStr">
        <is>
          <t>DCMSHRIRAM</t>
        </is>
      </c>
      <c r="E983" s="96" t="inlineStr">
        <is>
          <t>Diversified</t>
        </is>
      </c>
    </row>
    <row r="984" ht="15" customHeight="1" s="109" thickBot="1">
      <c r="B984" s="96" t="inlineStr">
        <is>
          <t>DCW LTD</t>
        </is>
      </c>
      <c r="C984" s="97" t="n">
        <v>500117</v>
      </c>
      <c r="D984" s="96" t="inlineStr">
        <is>
          <t>DCW</t>
        </is>
      </c>
      <c r="E984" s="96" t="inlineStr">
        <is>
          <t>Petrochemicals</t>
        </is>
      </c>
    </row>
    <row r="985" ht="15" customHeight="1" s="109" thickBot="1">
      <c r="B985" s="96" t="inlineStr">
        <is>
          <t>DE NORA (INDIA) LTD</t>
        </is>
      </c>
      <c r="C985" s="97" t="n">
        <v>590031</v>
      </c>
      <c r="D985" s="96" t="inlineStr">
        <is>
          <t>DENORA</t>
        </is>
      </c>
      <c r="E985" s="96" t="inlineStr">
        <is>
          <t>Other Industrial Goods</t>
        </is>
      </c>
    </row>
    <row r="986" ht="15" customHeight="1" s="109" thickBot="1">
      <c r="B986" s="96" t="inlineStr">
        <is>
          <t>DE NORA INDIA LTD</t>
        </is>
      </c>
      <c r="C986" s="97" t="n">
        <v>590031</v>
      </c>
      <c r="D986" s="96" t="inlineStr">
        <is>
          <t>DENORA</t>
        </is>
      </c>
      <c r="E986" s="96" t="inlineStr">
        <is>
          <t>Other Industrial Goods</t>
        </is>
      </c>
    </row>
    <row r="987" ht="15" customHeight="1" s="109" thickBot="1">
      <c r="B987" s="96" t="inlineStr">
        <is>
          <t>DEBOCK SALES AND MARKETING LTD</t>
        </is>
      </c>
      <c r="C987" s="96" t="inlineStr">
        <is>
          <t>Not Listed</t>
        </is>
      </c>
      <c r="D987" s="96" t="inlineStr">
        <is>
          <t>DSML</t>
        </is>
      </c>
      <c r="E987" s="96" t="inlineStr">
        <is>
          <t>SME</t>
        </is>
      </c>
    </row>
    <row r="988" ht="15" customHeight="1" s="109" thickBot="1">
      <c r="B988" s="96" t="inlineStr">
        <is>
          <t>DECCAN BEARINGS LTD</t>
        </is>
      </c>
      <c r="C988" s="97" t="n">
        <v>505703</v>
      </c>
      <c r="D988" s="96" t="inlineStr">
        <is>
          <t>Not Listed</t>
        </is>
      </c>
      <c r="E988" s="96" t="inlineStr">
        <is>
          <t>Industrial Machinery</t>
        </is>
      </c>
    </row>
    <row r="989" ht="15" customHeight="1" s="109" thickBot="1">
      <c r="B989" s="96" t="inlineStr">
        <is>
          <t>DECCAN CEMENTS LTD</t>
        </is>
      </c>
      <c r="C989" s="97" t="n">
        <v>502137</v>
      </c>
      <c r="D989" s="96" t="inlineStr">
        <is>
          <t>DECCANCE</t>
        </is>
      </c>
      <c r="E989" s="96" t="inlineStr">
        <is>
          <t>Cement &amp; Cement Products</t>
        </is>
      </c>
    </row>
    <row r="990" ht="15" customHeight="1" s="109" thickBot="1">
      <c r="B990" s="96" t="inlineStr">
        <is>
          <t>DECCAN GOLD MINES LTD</t>
        </is>
      </c>
      <c r="C990" s="97" t="n">
        <v>512068</v>
      </c>
      <c r="D990" s="96" t="inlineStr">
        <is>
          <t>Not Listed</t>
        </is>
      </c>
      <c r="E990" s="96" t="inlineStr">
        <is>
          <t>Mining</t>
        </is>
      </c>
    </row>
    <row r="991" ht="15" customHeight="1" s="109" thickBot="1">
      <c r="B991" s="96" t="inlineStr">
        <is>
          <t>Deccan Health Care Ltd</t>
        </is>
      </c>
      <c r="C991" s="97" t="n">
        <v>542248</v>
      </c>
      <c r="D991" s="96" t="inlineStr">
        <is>
          <t>DECCAN</t>
        </is>
      </c>
      <c r="E991" s="96" t="inlineStr">
        <is>
          <t>Healthcare Services</t>
        </is>
      </c>
    </row>
    <row r="992" ht="15" customHeight="1" s="109" thickBot="1">
      <c r="B992" s="96" t="inlineStr">
        <is>
          <t>DECCAN POLYPACKS LTD</t>
        </is>
      </c>
      <c r="C992" s="97" t="n">
        <v>531989</v>
      </c>
      <c r="D992" s="96" t="inlineStr">
        <is>
          <t>Not Listed</t>
        </is>
      </c>
      <c r="E992" s="96" t="inlineStr">
        <is>
          <t>Containers &amp; Packaging</t>
        </is>
      </c>
    </row>
    <row r="993" ht="15" customHeight="1" s="109" thickBot="1">
      <c r="B993" s="96" t="inlineStr">
        <is>
          <t>DECILLION FINANCE LTD</t>
        </is>
      </c>
      <c r="C993" s="97" t="n">
        <v>539190</v>
      </c>
      <c r="D993" s="96" t="inlineStr">
        <is>
          <t>Not Listed</t>
        </is>
      </c>
      <c r="E993" s="96" t="inlineStr">
        <is>
          <t>Finance (including NBFCs)</t>
        </is>
      </c>
    </row>
    <row r="994" ht="15" customHeight="1" s="109" thickBot="1">
      <c r="B994" s="96" t="inlineStr">
        <is>
          <t>DECO-MICA LTD</t>
        </is>
      </c>
      <c r="C994" s="97" t="n">
        <v>531227</v>
      </c>
      <c r="D994" s="96" t="inlineStr">
        <is>
          <t>Not Listed</t>
        </is>
      </c>
      <c r="E994" s="96" t="inlineStr">
        <is>
          <t>Commodity Chemicals</t>
        </is>
      </c>
    </row>
    <row r="995" ht="15" customHeight="1" s="109" thickBot="1">
      <c r="B995" s="96" t="inlineStr">
        <is>
          <t>DECOROUS INVESTMENT &amp; TRADING CO LTD</t>
        </is>
      </c>
      <c r="C995" s="97" t="n">
        <v>539405</v>
      </c>
      <c r="D995" s="96" t="inlineStr">
        <is>
          <t>Not Listed</t>
        </is>
      </c>
      <c r="E995" s="96" t="inlineStr">
        <is>
          <t>Other Apparels &amp; Accessories</t>
        </is>
      </c>
    </row>
    <row r="996" ht="15" customHeight="1" s="109" thickBot="1">
      <c r="B996" s="96" t="inlineStr">
        <is>
          <t>DEEP DIAMOND (INDIA) LTD</t>
        </is>
      </c>
      <c r="C996" s="97" t="n">
        <v>539559</v>
      </c>
      <c r="D996" s="96" t="inlineStr">
        <is>
          <t>Not Listed</t>
        </is>
      </c>
      <c r="E996" s="96" t="inlineStr">
        <is>
          <t>Other Apparels &amp; Accessories</t>
        </is>
      </c>
    </row>
    <row r="997" ht="15" customHeight="1" s="109" thickBot="1">
      <c r="B997" s="96" t="inlineStr">
        <is>
          <t>DEEP DIAMOND INDIA LTD</t>
        </is>
      </c>
      <c r="C997" s="97" t="n">
        <v>539559</v>
      </c>
      <c r="D997" s="96" t="inlineStr">
        <is>
          <t>Not Listed</t>
        </is>
      </c>
      <c r="E997" s="96" t="inlineStr">
        <is>
          <t>Other Apparels &amp; Accessories</t>
        </is>
      </c>
    </row>
    <row r="998" ht="15" customHeight="1" s="109" thickBot="1">
      <c r="B998" s="96" t="inlineStr">
        <is>
          <t>DEEP INDUSTRIES LTD</t>
        </is>
      </c>
      <c r="C998" s="97" t="n">
        <v>532760</v>
      </c>
      <c r="D998" s="96" t="inlineStr">
        <is>
          <t>DEEPIND</t>
        </is>
      </c>
      <c r="E998" s="96" t="inlineStr">
        <is>
          <t>Integrated Oil &amp; Gas</t>
        </is>
      </c>
    </row>
    <row r="999" ht="15" customHeight="1" s="109" thickBot="1">
      <c r="B999" s="96" t="inlineStr">
        <is>
          <t>DEEP POLYMERS LTD</t>
        </is>
      </c>
      <c r="C999" s="97" t="n">
        <v>541778</v>
      </c>
      <c r="D999" s="96" t="inlineStr">
        <is>
          <t>Not Listed</t>
        </is>
      </c>
      <c r="E999" s="96" t="inlineStr">
        <is>
          <t>Specialty Chemicals</t>
        </is>
      </c>
    </row>
    <row r="1000" ht="15" customHeight="1" s="109" thickBot="1">
      <c r="B1000" s="96" t="inlineStr">
        <is>
          <t>DEEPAK FERTILIZERS AND PETROCHEMICALS CORPORATION LTD</t>
        </is>
      </c>
      <c r="C1000" s="97" t="n">
        <v>500645</v>
      </c>
      <c r="D1000" s="96" t="inlineStr">
        <is>
          <t>DEEPAKFERT</t>
        </is>
      </c>
      <c r="E1000" s="96" t="inlineStr">
        <is>
          <t>Commodity Chemicals</t>
        </is>
      </c>
    </row>
    <row r="1001" ht="15" customHeight="1" s="109" thickBot="1">
      <c r="B1001" s="96" t="inlineStr">
        <is>
          <t>DEEPAK NITRITE LTD</t>
        </is>
      </c>
      <c r="C1001" s="97" t="n">
        <v>506401</v>
      </c>
      <c r="D1001" s="96" t="inlineStr">
        <is>
          <t>DEEPAKNTR</t>
        </is>
      </c>
      <c r="E1001" s="96" t="inlineStr">
        <is>
          <t>Commodity Chemicals</t>
        </is>
      </c>
    </row>
    <row r="1002" ht="15" customHeight="1" s="109" thickBot="1">
      <c r="B1002" s="96" t="inlineStr">
        <is>
          <t>DEEPAK SPINNERS LTD</t>
        </is>
      </c>
      <c r="C1002" s="97" t="n">
        <v>514030</v>
      </c>
      <c r="D1002" s="96" t="inlineStr">
        <is>
          <t>Not Listed</t>
        </is>
      </c>
      <c r="E1002" s="96" t="inlineStr">
        <is>
          <t>Textiles</t>
        </is>
      </c>
    </row>
    <row r="1003" ht="15" customHeight="1" s="109" thickBot="1">
      <c r="B1003" s="96" t="inlineStr">
        <is>
          <t>DEEPTI ALLOY STEEL LTD</t>
        </is>
      </c>
      <c r="C1003" s="97" t="n">
        <v>539455</v>
      </c>
      <c r="D1003" s="96" t="inlineStr">
        <is>
          <t>Not Listed</t>
        </is>
      </c>
      <c r="E1003" s="96" t="inlineStr">
        <is>
          <t>Iron &amp; Steel/Interm.Products</t>
        </is>
      </c>
    </row>
    <row r="1004" ht="15" customHeight="1" s="109" thickBot="1">
      <c r="B1004" s="96" t="inlineStr">
        <is>
          <t>DEKSON CASTINGS LTD</t>
        </is>
      </c>
      <c r="C1004" s="97" t="n">
        <v>780006</v>
      </c>
      <c r="D1004" s="96" t="inlineStr">
        <is>
          <t>Not Listed</t>
        </is>
      </c>
      <c r="E1004" s="96" t="inlineStr">
        <is>
          <t>Others</t>
        </is>
      </c>
    </row>
    <row r="1005" ht="15" customHeight="1" s="109" thickBot="1">
      <c r="B1005" s="96" t="inlineStr">
        <is>
          <t>DELTA CORP LTD</t>
        </is>
      </c>
      <c r="C1005" s="97" t="n">
        <v>532848</v>
      </c>
      <c r="D1005" s="96" t="inlineStr">
        <is>
          <t>DELTACORP</t>
        </is>
      </c>
      <c r="E1005" s="96" t="inlineStr">
        <is>
          <t>Misc.Commercial Services</t>
        </is>
      </c>
    </row>
    <row r="1006" ht="15" customHeight="1" s="109" thickBot="1">
      <c r="B1006" s="96" t="inlineStr">
        <is>
          <t>DELTA INDUSTRIAL RESOURCES LTD</t>
        </is>
      </c>
      <c r="C1006" s="97" t="n">
        <v>539596</v>
      </c>
      <c r="D1006" s="96" t="inlineStr">
        <is>
          <t>Not Listed</t>
        </is>
      </c>
      <c r="E1006" s="96" t="inlineStr">
        <is>
          <t>Other Financial Services</t>
        </is>
      </c>
    </row>
    <row r="1007" ht="15" customHeight="1" s="109" thickBot="1">
      <c r="B1007" s="96" t="inlineStr">
        <is>
          <t>DELTA MAGNETS LTD</t>
        </is>
      </c>
      <c r="C1007" s="97" t="n">
        <v>504286</v>
      </c>
      <c r="D1007" s="96" t="inlineStr">
        <is>
          <t>DELTAMAGNT</t>
        </is>
      </c>
      <c r="E1007" s="96" t="inlineStr">
        <is>
          <t>Other Elect.Equip./ Prod.</t>
        </is>
      </c>
    </row>
    <row r="1008" ht="15" customHeight="1" s="109" thickBot="1">
      <c r="B1008" s="96" t="inlineStr">
        <is>
          <t>DELTON CABLES LTD</t>
        </is>
      </c>
      <c r="C1008" s="97" t="n">
        <v>504240</v>
      </c>
      <c r="D1008" s="96" t="inlineStr">
        <is>
          <t>Not Listed</t>
        </is>
      </c>
      <c r="E1008" s="96" t="inlineStr">
        <is>
          <t>Other Elect.Equip./ Prod.</t>
        </is>
      </c>
    </row>
    <row r="1009" ht="15" customHeight="1" s="109" thickBot="1">
      <c r="B1009" s="96" t="inlineStr">
        <is>
          <t>DELTRON LTD</t>
        </is>
      </c>
      <c r="C1009" s="97" t="n">
        <v>504256</v>
      </c>
      <c r="D1009" s="96" t="inlineStr">
        <is>
          <t>Not Listed</t>
        </is>
      </c>
      <c r="E1009" s="96" t="inlineStr">
        <is>
          <t>Electronic Components</t>
        </is>
      </c>
    </row>
    <row r="1010" ht="15" customHeight="1" s="109" thickBot="1">
      <c r="B1010" s="96" t="inlineStr">
        <is>
          <t>DEN NETWORKS LTD</t>
        </is>
      </c>
      <c r="C1010" s="97" t="n">
        <v>533137</v>
      </c>
      <c r="D1010" s="96" t="inlineStr">
        <is>
          <t>DEN</t>
        </is>
      </c>
      <c r="E1010" s="96" t="inlineStr">
        <is>
          <t>Broadcasting &amp; Cable TV</t>
        </is>
      </c>
    </row>
    <row r="1011" ht="15" customHeight="1" s="109" thickBot="1">
      <c r="B1011" s="96" t="inlineStr">
        <is>
          <t>DENA BANK</t>
        </is>
      </c>
      <c r="C1011" s="97" t="n">
        <v>532121</v>
      </c>
      <c r="D1011" s="96" t="inlineStr">
        <is>
          <t>DENABANK</t>
        </is>
      </c>
      <c r="E1011" s="96" t="inlineStr">
        <is>
          <t>Banks</t>
        </is>
      </c>
    </row>
    <row r="1012" ht="15" customHeight="1" s="109" thickBot="1">
      <c r="B1012" s="96" t="inlineStr">
        <is>
          <t>DENIS CHEM LAB LTD</t>
        </is>
      </c>
      <c r="C1012" s="97" t="n">
        <v>537536</v>
      </c>
      <c r="D1012" s="96" t="inlineStr">
        <is>
          <t>Not Listed</t>
        </is>
      </c>
      <c r="E1012" s="96" t="inlineStr">
        <is>
          <t>Pharmaceuticals</t>
        </is>
      </c>
    </row>
    <row r="1013" ht="15" customHeight="1" s="109" thickBot="1">
      <c r="B1013" s="96" t="inlineStr">
        <is>
          <t>DESH RAKSHAK AUSHDHALAYA LTD</t>
        </is>
      </c>
      <c r="C1013" s="97" t="n">
        <v>531521</v>
      </c>
      <c r="D1013" s="96" t="inlineStr">
        <is>
          <t>Not Listed</t>
        </is>
      </c>
      <c r="E1013" s="96" t="inlineStr">
        <is>
          <t>Pharmaceuticals</t>
        </is>
      </c>
    </row>
    <row r="1014" ht="15" customHeight="1" s="109" thickBot="1">
      <c r="B1014" s="96" t="inlineStr">
        <is>
          <t>DEV INFORMATION TECHNOLOGY LTD</t>
        </is>
      </c>
      <c r="C1014" s="96" t="inlineStr">
        <is>
          <t>Not Listed</t>
        </is>
      </c>
      <c r="D1014" s="96" t="inlineStr">
        <is>
          <t>DEVIT</t>
        </is>
      </c>
      <c r="E1014" s="96" t="inlineStr">
        <is>
          <t>SME</t>
        </is>
      </c>
    </row>
    <row r="1015" ht="15" customHeight="1" s="109" thickBot="1">
      <c r="B1015" s="96" t="inlineStr">
        <is>
          <t>DEVHARI EXPORTS (INDIA) LTD</t>
        </is>
      </c>
      <c r="C1015" s="97" t="n">
        <v>539197</v>
      </c>
      <c r="D1015" s="96" t="inlineStr">
        <is>
          <t>Not Listed</t>
        </is>
      </c>
      <c r="E1015" s="96" t="inlineStr">
        <is>
          <t>Comm.Trading &amp; Distribution</t>
        </is>
      </c>
    </row>
    <row r="1016" ht="15" customHeight="1" s="109" thickBot="1">
      <c r="B1016" s="96" t="inlineStr">
        <is>
          <t>DEVHARI EXPORTS INDIA LTD</t>
        </is>
      </c>
      <c r="C1016" s="97" t="n">
        <v>539197</v>
      </c>
      <c r="D1016" s="96" t="inlineStr">
        <is>
          <t>Not Listed</t>
        </is>
      </c>
      <c r="E1016" s="96" t="inlineStr">
        <is>
          <t>Comm.Trading &amp; Distribution</t>
        </is>
      </c>
    </row>
    <row r="1017" ht="15" customHeight="1" s="109" thickBot="1">
      <c r="B1017" s="96" t="inlineStr">
        <is>
          <t>DEVINE IMPEX LTD</t>
        </is>
      </c>
      <c r="C1017" s="97" t="n">
        <v>531585</v>
      </c>
      <c r="D1017" s="96" t="inlineStr">
        <is>
          <t>Not Listed</t>
        </is>
      </c>
      <c r="E1017" s="96" t="inlineStr">
        <is>
          <t>Comm.Trading &amp; Distribution</t>
        </is>
      </c>
    </row>
    <row r="1018" ht="15" customHeight="1" s="109" thickBot="1">
      <c r="B1018" s="96" t="inlineStr">
        <is>
          <t>DEVINSU TRADING LTD</t>
        </is>
      </c>
      <c r="C1018" s="97" t="n">
        <v>512445</v>
      </c>
      <c r="D1018" s="96" t="inlineStr">
        <is>
          <t>Not Listed</t>
        </is>
      </c>
      <c r="E1018" s="96" t="inlineStr">
        <is>
          <t>Other Financial Services</t>
        </is>
      </c>
    </row>
    <row r="1019" ht="15" customHeight="1" s="109" thickBot="1">
      <c r="B1019" s="96" t="inlineStr">
        <is>
          <t>DEVKI LEASING &amp; FINANCE LTD</t>
        </is>
      </c>
      <c r="C1019" s="97" t="n">
        <v>530765</v>
      </c>
      <c r="D1019" s="96" t="inlineStr">
        <is>
          <t>Not Listed</t>
        </is>
      </c>
      <c r="E1019" s="96" t="inlineStr">
        <is>
          <t>Finance (including NBFCs)</t>
        </is>
      </c>
    </row>
    <row r="1020" ht="15" customHeight="1" s="109" thickBot="1">
      <c r="B1020" s="96" t="inlineStr">
        <is>
          <t>DEVOTED CONSTRUCTION LTD</t>
        </is>
      </c>
      <c r="C1020" s="97" t="n">
        <v>542002</v>
      </c>
      <c r="D1020" s="96" t="inlineStr">
        <is>
          <t>Not Listed</t>
        </is>
      </c>
      <c r="E1020" s="96" t="inlineStr">
        <is>
          <t>Realty</t>
        </is>
      </c>
    </row>
    <row r="1021" ht="15" customHeight="1" s="109" thickBot="1">
      <c r="B1021" s="96" t="inlineStr">
        <is>
          <t>DEWAN HOUSING FINANCE CORPORATION LTD</t>
        </is>
      </c>
      <c r="C1021" s="97" t="n">
        <v>511072</v>
      </c>
      <c r="D1021" s="96" t="inlineStr">
        <is>
          <t>DHFL</t>
        </is>
      </c>
      <c r="E1021" s="96" t="inlineStr">
        <is>
          <t>Housing Finance</t>
        </is>
      </c>
    </row>
    <row r="1022" ht="15" customHeight="1" s="109" thickBot="1">
      <c r="B1022" s="96" t="inlineStr">
        <is>
          <t>DFM FOODS LTD</t>
        </is>
      </c>
      <c r="C1022" s="97" t="n">
        <v>519588</v>
      </c>
      <c r="D1022" s="96" t="inlineStr">
        <is>
          <t>DFMFOODS</t>
        </is>
      </c>
      <c r="E1022" s="96" t="inlineStr">
        <is>
          <t>Packaged Foods</t>
        </is>
      </c>
    </row>
    <row r="1023" ht="15" customHeight="1" s="109" thickBot="1">
      <c r="B1023" s="96" t="inlineStr">
        <is>
          <t>DHABRIYA POLYWOOD LTD</t>
        </is>
      </c>
      <c r="C1023" s="97" t="n">
        <v>538715</v>
      </c>
      <c r="D1023" s="96" t="inlineStr">
        <is>
          <t>Not Listed</t>
        </is>
      </c>
      <c r="E1023" s="96" t="inlineStr">
        <is>
          <t>Plastic Products</t>
        </is>
      </c>
    </row>
    <row r="1024" ht="15" customHeight="1" s="109" thickBot="1">
      <c r="B1024" s="96" t="inlineStr">
        <is>
          <t>DHAMPUR SUGAR MILLS LTD</t>
        </is>
      </c>
      <c r="C1024" s="97" t="n">
        <v>500119</v>
      </c>
      <c r="D1024" s="96" t="inlineStr">
        <is>
          <t>DHAMPURSUG</t>
        </is>
      </c>
      <c r="E1024" s="96" t="inlineStr">
        <is>
          <t>Sugar</t>
        </is>
      </c>
    </row>
    <row r="1025" ht="15" customHeight="1" s="109" thickBot="1">
      <c r="B1025" s="96" t="inlineStr">
        <is>
          <t>DHAMPURE SPECIALITY SUGARS LTD</t>
        </is>
      </c>
      <c r="C1025" s="97" t="n">
        <v>531923</v>
      </c>
      <c r="D1025" s="96" t="inlineStr">
        <is>
          <t>Not Listed</t>
        </is>
      </c>
      <c r="E1025" s="96" t="inlineStr">
        <is>
          <t>Sugar</t>
        </is>
      </c>
    </row>
    <row r="1026" ht="15" customHeight="1" s="109" thickBot="1">
      <c r="B1026" s="96" t="inlineStr">
        <is>
          <t>DHANADA CORPORATION LTD</t>
        </is>
      </c>
      <c r="C1026" s="97" t="n">
        <v>531198</v>
      </c>
      <c r="D1026" s="96" t="inlineStr">
        <is>
          <t>Not Listed</t>
        </is>
      </c>
      <c r="E1026" s="96" t="inlineStr">
        <is>
          <t>Hotels</t>
        </is>
      </c>
    </row>
    <row r="1027" ht="15" customHeight="1" s="109" thickBot="1">
      <c r="B1027" s="96" t="inlineStr">
        <is>
          <t>DHANALAXMI ROTO SPINNERS LTD</t>
        </is>
      </c>
      <c r="C1027" s="97" t="n">
        <v>521216</v>
      </c>
      <c r="D1027" s="96" t="inlineStr">
        <is>
          <t>Not Listed</t>
        </is>
      </c>
      <c r="E1027" s="96" t="inlineStr">
        <is>
          <t>Textiles</t>
        </is>
      </c>
    </row>
    <row r="1028" ht="15" customHeight="1" s="109" thickBot="1">
      <c r="B1028" s="96" t="inlineStr">
        <is>
          <t>Dhanashree Electronics Ltd</t>
        </is>
      </c>
      <c r="C1028" s="97" t="n">
        <v>542679</v>
      </c>
      <c r="D1028" s="96" t="inlineStr">
        <is>
          <t>DEL</t>
        </is>
      </c>
      <c r="E1028" s="96" t="inlineStr">
        <is>
          <t>Other Elect.Equip./ Prod.</t>
        </is>
      </c>
    </row>
    <row r="1029" ht="15" customHeight="1" s="109" thickBot="1">
      <c r="B1029" s="96" t="inlineStr">
        <is>
          <t>DHANLAXMI BANK LTD</t>
        </is>
      </c>
      <c r="C1029" s="97" t="n">
        <v>532180</v>
      </c>
      <c r="D1029" s="96" t="inlineStr">
        <is>
          <t>DHANBANK</t>
        </is>
      </c>
      <c r="E1029" s="96" t="inlineStr">
        <is>
          <t>Banks</t>
        </is>
      </c>
    </row>
    <row r="1030" ht="15" customHeight="1" s="109" thickBot="1">
      <c r="B1030" s="96" t="inlineStr">
        <is>
          <t>DHANLAXMI COTEX LTD</t>
        </is>
      </c>
      <c r="C1030" s="97" t="n">
        <v>512485</v>
      </c>
      <c r="D1030" s="96" t="inlineStr">
        <is>
          <t>Not Listed</t>
        </is>
      </c>
      <c r="E1030" s="96" t="inlineStr">
        <is>
          <t>Comm.Trading &amp; Distribution</t>
        </is>
      </c>
    </row>
    <row r="1031" ht="15" customHeight="1" s="109" thickBot="1">
      <c r="B1031" s="96" t="inlineStr">
        <is>
          <t>DHANLAXMI FABRICS LTD</t>
        </is>
      </c>
      <c r="C1031" s="97" t="n">
        <v>521151</v>
      </c>
      <c r="D1031" s="96" t="inlineStr">
        <is>
          <t>Not Listed</t>
        </is>
      </c>
      <c r="E1031" s="96" t="inlineStr">
        <is>
          <t>Textiles</t>
        </is>
      </c>
    </row>
    <row r="1032" ht="15" customHeight="1" s="109" thickBot="1">
      <c r="B1032" s="96" t="inlineStr">
        <is>
          <t>DHANLEELA INVESTMENTS &amp; TRADING COMPANY LTD</t>
        </is>
      </c>
      <c r="C1032" s="97" t="n">
        <v>503637</v>
      </c>
      <c r="D1032" s="96" t="inlineStr">
        <is>
          <t>Not Listed</t>
        </is>
      </c>
      <c r="E1032" s="96" t="inlineStr">
        <is>
          <t>Other Financial Services</t>
        </is>
      </c>
    </row>
    <row r="1033" ht="15" customHeight="1" s="109" thickBot="1">
      <c r="B1033" s="96" t="inlineStr">
        <is>
          <t>DHANUKA AGRITECH LTD</t>
        </is>
      </c>
      <c r="C1033" s="97" t="n">
        <v>507717</v>
      </c>
      <c r="D1033" s="96" t="inlineStr">
        <is>
          <t>DHANUKA</t>
        </is>
      </c>
      <c r="E1033" s="96" t="inlineStr">
        <is>
          <t>Agrochemicals</t>
        </is>
      </c>
    </row>
    <row r="1034" ht="15" customHeight="1" s="109" thickBot="1">
      <c r="B1034" s="96" t="inlineStr">
        <is>
          <t>DHANUKA COMMERCIAL LTD</t>
        </is>
      </c>
      <c r="C1034" s="97" t="n">
        <v>538446</v>
      </c>
      <c r="D1034" s="96" t="inlineStr">
        <is>
          <t>Not Listed</t>
        </is>
      </c>
      <c r="E1034" s="96" t="inlineStr">
        <is>
          <t>Other Financial Services</t>
        </is>
      </c>
    </row>
    <row r="1035" ht="15" customHeight="1" s="109" thickBot="1">
      <c r="B1035" s="96" t="inlineStr">
        <is>
          <t>DHANUKA REALTY LTD</t>
        </is>
      </c>
      <c r="C1035" s="96" t="inlineStr">
        <is>
          <t>Not Listed</t>
        </is>
      </c>
      <c r="D1035" s="96" t="inlineStr">
        <is>
          <t>DRL</t>
        </is>
      </c>
      <c r="E1035" s="96" t="inlineStr">
        <is>
          <t>SME</t>
        </is>
      </c>
    </row>
    <row r="1036" ht="15" customHeight="1" s="109" thickBot="1">
      <c r="B1036" s="96" t="inlineStr">
        <is>
          <t>DHANVANTRI JEEVAN REKHA LTD</t>
        </is>
      </c>
      <c r="C1036" s="97" t="n">
        <v>531043</v>
      </c>
      <c r="D1036" s="96" t="inlineStr">
        <is>
          <t>Not Listed</t>
        </is>
      </c>
      <c r="E1036" s="96" t="inlineStr">
        <is>
          <t>Healthcare Services</t>
        </is>
      </c>
    </row>
    <row r="1037" ht="15" customHeight="1" s="109" thickBot="1">
      <c r="B1037" s="96" t="inlineStr">
        <is>
          <t>DHANVARSHA FINVEST LTD</t>
        </is>
      </c>
      <c r="C1037" s="97" t="n">
        <v>540268</v>
      </c>
      <c r="D1037" s="96" t="inlineStr">
        <is>
          <t>Not Listed</t>
        </is>
      </c>
      <c r="E1037" s="96" t="inlineStr">
        <is>
          <t>Other Financial Services</t>
        </is>
      </c>
    </row>
    <row r="1038" ht="15" customHeight="1" s="109" thickBot="1">
      <c r="B1038" s="96" t="inlineStr">
        <is>
          <t>DHARAMSI MORARJI CHEMICAL CO LTD</t>
        </is>
      </c>
      <c r="C1038" s="97" t="n">
        <v>506405</v>
      </c>
      <c r="D1038" s="96" t="inlineStr">
        <is>
          <t>Not Listed</t>
        </is>
      </c>
      <c r="E1038" s="96" t="inlineStr">
        <is>
          <t>Specialty Chemicals</t>
        </is>
      </c>
    </row>
    <row r="1039" ht="15" customHeight="1" s="109" thickBot="1">
      <c r="B1039" s="96" t="inlineStr">
        <is>
          <t>DHARANI FINANCE LTD</t>
        </is>
      </c>
      <c r="C1039" s="97" t="n">
        <v>511451</v>
      </c>
      <c r="D1039" s="96" t="inlineStr">
        <is>
          <t>Not Listed</t>
        </is>
      </c>
      <c r="E1039" s="96" t="inlineStr">
        <is>
          <t>Finance (including NBFCs)</t>
        </is>
      </c>
    </row>
    <row r="1040" ht="15" customHeight="1" s="109" thickBot="1">
      <c r="B1040" s="96" t="inlineStr">
        <is>
          <t>DHARANI SUGARS &amp; CHEMICALS LTD</t>
        </is>
      </c>
      <c r="C1040" s="97" t="n">
        <v>507442</v>
      </c>
      <c r="D1040" s="96" t="inlineStr">
        <is>
          <t>DHARSUGAR</t>
        </is>
      </c>
      <c r="E1040" s="96" t="inlineStr">
        <is>
          <t>Sugar</t>
        </is>
      </c>
    </row>
    <row r="1041" ht="15" customHeight="1" s="109" thickBot="1">
      <c r="B1041" s="96" t="inlineStr">
        <is>
          <t>DHENU BUILDCON INFRA LTD</t>
        </is>
      </c>
      <c r="C1041" s="97" t="n">
        <v>501945</v>
      </c>
      <c r="D1041" s="96" t="inlineStr">
        <is>
          <t>Not Listed</t>
        </is>
      </c>
      <c r="E1041" s="96" t="inlineStr">
        <is>
          <t>Finance (including NBFCs)</t>
        </is>
      </c>
    </row>
    <row r="1042" ht="15" customHeight="1" s="109" thickBot="1">
      <c r="B1042" s="96" t="inlineStr">
        <is>
          <t>DHOOT INDUSTRIAL FINANCE LTD</t>
        </is>
      </c>
      <c r="C1042" s="97" t="n">
        <v>526971</v>
      </c>
      <c r="D1042" s="96" t="inlineStr">
        <is>
          <t>Not Listed</t>
        </is>
      </c>
      <c r="E1042" s="96" t="inlineStr">
        <is>
          <t>Comm.Trading &amp; Distribution</t>
        </is>
      </c>
    </row>
    <row r="1043" ht="15" customHeight="1" s="109" thickBot="1">
      <c r="B1043" s="96" t="inlineStr">
        <is>
          <t>DHP (INDIA) LTD</t>
        </is>
      </c>
      <c r="C1043" s="97" t="n">
        <v>531306</v>
      </c>
      <c r="D1043" s="96" t="inlineStr">
        <is>
          <t>Not Listed</t>
        </is>
      </c>
      <c r="E1043" s="96" t="inlineStr">
        <is>
          <t>Industrial Machinery</t>
        </is>
      </c>
    </row>
    <row r="1044" ht="15" customHeight="1" s="109" thickBot="1">
      <c r="B1044" s="96" t="inlineStr">
        <is>
          <t>DHP INDIA LTD</t>
        </is>
      </c>
      <c r="C1044" s="97" t="n">
        <v>531306</v>
      </c>
      <c r="D1044" s="96" t="inlineStr">
        <is>
          <t>Not Listed</t>
        </is>
      </c>
      <c r="E1044" s="96" t="inlineStr">
        <is>
          <t>Industrial Machinery</t>
        </is>
      </c>
    </row>
    <row r="1045" ht="15" customHeight="1" s="109" thickBot="1">
      <c r="B1045" s="96" t="inlineStr">
        <is>
          <t>DHRUV CONSULTANCY SERVICES LTD</t>
        </is>
      </c>
      <c r="C1045" s="97" t="n">
        <v>541302</v>
      </c>
      <c r="D1045" s="96" t="inlineStr">
        <is>
          <t>Not Listed</t>
        </is>
      </c>
      <c r="E1045" s="96" t="inlineStr">
        <is>
          <t>Construction &amp; Engineering</t>
        </is>
      </c>
    </row>
    <row r="1046" ht="15" customHeight="1" s="109" thickBot="1">
      <c r="B1046" s="96" t="inlineStr">
        <is>
          <t>DHRUV ESTATES LTD</t>
        </is>
      </c>
      <c r="C1046" s="97" t="n">
        <v>507886</v>
      </c>
      <c r="D1046" s="96" t="inlineStr">
        <is>
          <t>Not Listed</t>
        </is>
      </c>
      <c r="E1046" s="96" t="inlineStr">
        <is>
          <t>Realty</t>
        </is>
      </c>
    </row>
    <row r="1047" ht="15" customHeight="1" s="109" thickBot="1">
      <c r="B1047" s="96" t="inlineStr">
        <is>
          <t>DHRUV WELLNESS LTD</t>
        </is>
      </c>
      <c r="C1047" s="97" t="n">
        <v>540695</v>
      </c>
      <c r="D1047" s="96" t="inlineStr">
        <is>
          <t>Not Listed</t>
        </is>
      </c>
      <c r="E1047" s="96" t="inlineStr">
        <is>
          <t>Comm.Trading &amp; Distribution</t>
        </is>
      </c>
    </row>
    <row r="1048" ht="15" customHeight="1" s="109" thickBot="1">
      <c r="B1048" s="96" t="inlineStr">
        <is>
          <t>DHRUVA CAPITAL SERVICES LTD</t>
        </is>
      </c>
      <c r="C1048" s="97" t="n">
        <v>531237</v>
      </c>
      <c r="D1048" s="96" t="inlineStr">
        <is>
          <t>Not Listed</t>
        </is>
      </c>
      <c r="E1048" s="96" t="inlineStr">
        <is>
          <t>Finance (including NBFCs)</t>
        </is>
      </c>
    </row>
    <row r="1049" ht="15" customHeight="1" s="109" thickBot="1">
      <c r="B1049" s="96" t="inlineStr">
        <is>
          <t>DHUNSERI INVESTMENTS LTD</t>
        </is>
      </c>
      <c r="C1049" s="97" t="n">
        <v>533336</v>
      </c>
      <c r="D1049" s="96" t="inlineStr">
        <is>
          <t>DHUNINV</t>
        </is>
      </c>
      <c r="E1049" s="96" t="inlineStr">
        <is>
          <t>Investment Companies</t>
        </is>
      </c>
    </row>
    <row r="1050" ht="15" customHeight="1" s="109" thickBot="1">
      <c r="B1050" s="96" t="inlineStr">
        <is>
          <t>DHUNSERI PETROCHEM LTD</t>
        </is>
      </c>
      <c r="C1050" s="97" t="n">
        <v>523736</v>
      </c>
      <c r="D1050" s="96" t="inlineStr">
        <is>
          <t>DPL</t>
        </is>
      </c>
      <c r="E1050" s="96" t="inlineStr">
        <is>
          <t>Fibres &amp; Plastics</t>
        </is>
      </c>
    </row>
    <row r="1051" ht="15" customHeight="1" s="109" thickBot="1">
      <c r="B1051" s="96" t="inlineStr">
        <is>
          <t>DHUNSERI TEA &amp; INDUSTRIES LTD</t>
        </is>
      </c>
      <c r="C1051" s="97" t="n">
        <v>538902</v>
      </c>
      <c r="D1051" s="96" t="inlineStr">
        <is>
          <t>DTIL</t>
        </is>
      </c>
      <c r="E1051" s="96" t="inlineStr">
        <is>
          <t>Tea &amp; Coffee</t>
        </is>
      </c>
    </row>
    <row r="1052" ht="15" customHeight="1" s="109" thickBot="1">
      <c r="B1052" s="96" t="inlineStr">
        <is>
          <t>Dhunseri Ventures LTD</t>
        </is>
      </c>
      <c r="C1052" s="96" t="inlineStr">
        <is>
          <t>Not Listed</t>
        </is>
      </c>
      <c r="D1052" s="96" t="inlineStr">
        <is>
          <t>DVL</t>
        </is>
      </c>
      <c r="E1052" s="96" t="inlineStr">
        <is>
          <t>Tea &amp; Coffee</t>
        </is>
      </c>
    </row>
    <row r="1053" ht="15" customHeight="1" s="109" thickBot="1">
      <c r="B1053" s="96" t="inlineStr">
        <is>
          <t>DIAMANT INFRASTRUCTURE LTD</t>
        </is>
      </c>
      <c r="C1053" s="97" t="n">
        <v>508860</v>
      </c>
      <c r="D1053" s="96" t="inlineStr">
        <is>
          <t>Not Listed</t>
        </is>
      </c>
      <c r="E1053" s="96" t="inlineStr">
        <is>
          <t>Construction &amp; Engineering</t>
        </is>
      </c>
    </row>
    <row r="1054" ht="15" customHeight="1" s="109" thickBot="1">
      <c r="B1054" s="96" t="inlineStr">
        <is>
          <t>DIAMINES &amp; CHEMICALS LTD</t>
        </is>
      </c>
      <c r="C1054" s="97" t="n">
        <v>500120</v>
      </c>
      <c r="D1054" s="96" t="inlineStr">
        <is>
          <t>Not Listed</t>
        </is>
      </c>
      <c r="E1054" s="96" t="inlineStr">
        <is>
          <t>Commodity Chemicals</t>
        </is>
      </c>
    </row>
    <row r="1055" ht="15" customHeight="1" s="109" thickBot="1">
      <c r="B1055" s="96" t="inlineStr">
        <is>
          <t>DIAMOND POWER INFRA LTD</t>
        </is>
      </c>
      <c r="C1055" s="97" t="n">
        <v>522163</v>
      </c>
      <c r="D1055" s="96" t="inlineStr">
        <is>
          <t>DIAPOWER</t>
        </is>
      </c>
      <c r="E1055" s="96" t="inlineStr">
        <is>
          <t>Other Elect.Equip./ Prod.</t>
        </is>
      </c>
    </row>
    <row r="1056" ht="15" customHeight="1" s="109" thickBot="1">
      <c r="B1056" s="96" t="inlineStr">
        <is>
          <t>DIANA TEA CO LTD</t>
        </is>
      </c>
      <c r="C1056" s="97" t="n">
        <v>530959</v>
      </c>
      <c r="D1056" s="96" t="inlineStr">
        <is>
          <t>Not Listed</t>
        </is>
      </c>
      <c r="E1056" s="96" t="inlineStr">
        <is>
          <t>Tea &amp; Coffee</t>
        </is>
      </c>
    </row>
    <row r="1057" ht="15" customHeight="1" s="109" thickBot="1">
      <c r="B1057" s="96" t="inlineStr">
        <is>
          <t>DIC (INDIA) LTD</t>
        </is>
      </c>
      <c r="C1057" s="97" t="n">
        <v>500089</v>
      </c>
      <c r="D1057" s="96" t="inlineStr">
        <is>
          <t>DICIND</t>
        </is>
      </c>
      <c r="E1057" s="96" t="inlineStr">
        <is>
          <t>Specialty Chemicals</t>
        </is>
      </c>
    </row>
    <row r="1058" ht="15" customHeight="1" s="109" thickBot="1">
      <c r="B1058" s="96" t="inlineStr">
        <is>
          <t>DIC INDIA LTD</t>
        </is>
      </c>
      <c r="C1058" s="97" t="n">
        <v>500089</v>
      </c>
      <c r="D1058" s="96" t="inlineStr">
        <is>
          <t>DICIND</t>
        </is>
      </c>
      <c r="E1058" s="96" t="inlineStr">
        <is>
          <t>Specialty Chemicals</t>
        </is>
      </c>
    </row>
    <row r="1059" ht="15" customHeight="1" s="109" thickBot="1">
      <c r="B1059" s="96" t="inlineStr">
        <is>
          <t>DIGGI MULTITRADE LTD</t>
        </is>
      </c>
      <c r="C1059" s="97" t="n">
        <v>540811</v>
      </c>
      <c r="D1059" s="96" t="inlineStr">
        <is>
          <t>Not Listed</t>
        </is>
      </c>
      <c r="E1059" s="96" t="inlineStr">
        <is>
          <t>Comm.Trading &amp; Distribution</t>
        </is>
      </c>
    </row>
    <row r="1060" ht="15" customHeight="1" s="109" thickBot="1">
      <c r="B1060" s="96" t="inlineStr">
        <is>
          <t>Digicontent Ltd</t>
        </is>
      </c>
      <c r="C1060" s="97" t="n">
        <v>542685</v>
      </c>
      <c r="D1060" s="96" t="inlineStr">
        <is>
          <t>DGCONTENT</t>
        </is>
      </c>
      <c r="E1060" s="96" t="inlineStr">
        <is>
          <t>Publishing</t>
        </is>
      </c>
    </row>
    <row r="1061" ht="15" customHeight="1" s="109" thickBot="1">
      <c r="B1061" s="96" t="inlineStr">
        <is>
          <t>DIGJAM LTD</t>
        </is>
      </c>
      <c r="C1061" s="97" t="n">
        <v>539979</v>
      </c>
      <c r="D1061" s="96" t="inlineStr">
        <is>
          <t>DIGJAMLTD</t>
        </is>
      </c>
      <c r="E1061" s="96" t="inlineStr">
        <is>
          <t>Textiles</t>
        </is>
      </c>
    </row>
    <row r="1062" ht="15" customHeight="1" s="109" thickBot="1">
      <c r="B1062" s="96" t="inlineStr">
        <is>
          <t>DIKSAT TRANSWORLD LTD</t>
        </is>
      </c>
      <c r="C1062" s="97" t="n">
        <v>540151</v>
      </c>
      <c r="D1062" s="96" t="inlineStr">
        <is>
          <t>Not Listed</t>
        </is>
      </c>
      <c r="E1062" s="96" t="inlineStr">
        <is>
          <t>Movies &amp; Entertainment</t>
        </is>
      </c>
    </row>
    <row r="1063" ht="15" customHeight="1" s="109" thickBot="1">
      <c r="B1063" s="96" t="inlineStr">
        <is>
          <t>Diksha Greens Ltd</t>
        </is>
      </c>
      <c r="C1063" s="97" t="n">
        <v>542155</v>
      </c>
      <c r="D1063" s="96" t="inlineStr">
        <is>
          <t>DGL</t>
        </is>
      </c>
      <c r="E1063" s="96" t="inlineStr">
        <is>
          <t>Comm.Trading &amp;amp; Distribution</t>
        </is>
      </c>
    </row>
    <row r="1064" ht="15" customHeight="1" s="109" thickBot="1">
      <c r="B1064" s="96" t="inlineStr">
        <is>
          <t>DIL LTD</t>
        </is>
      </c>
      <c r="C1064" s="97" t="n">
        <v>506414</v>
      </c>
      <c r="D1064" s="96" t="inlineStr">
        <is>
          <t>Not Listed</t>
        </is>
      </c>
      <c r="E1064" s="96" t="inlineStr">
        <is>
          <t>Pharmaceuticals</t>
        </is>
      </c>
    </row>
    <row r="1065" ht="15" customHeight="1" s="109" thickBot="1">
      <c r="B1065" s="96" t="inlineStr">
        <is>
          <t>DILIGENT INDUSTRIES LTD</t>
        </is>
      </c>
      <c r="C1065" s="97" t="n">
        <v>531153</v>
      </c>
      <c r="D1065" s="96" t="inlineStr">
        <is>
          <t>Not Listed</t>
        </is>
      </c>
      <c r="E1065" s="96" t="inlineStr">
        <is>
          <t>Edible Oils</t>
        </is>
      </c>
    </row>
    <row r="1066" ht="15" customHeight="1" s="109" thickBot="1">
      <c r="B1066" s="96" t="inlineStr">
        <is>
          <t>DILIGENT MEDIA CORPORATION LTD</t>
        </is>
      </c>
      <c r="C1066" s="97" t="n">
        <v>540789</v>
      </c>
      <c r="D1066" s="96" t="inlineStr">
        <is>
          <t>DNAMEDIA</t>
        </is>
      </c>
      <c r="E1066" s="96" t="inlineStr">
        <is>
          <t>Advertising &amp; Media</t>
        </is>
      </c>
    </row>
    <row r="1067" ht="15" customHeight="1" s="109" thickBot="1">
      <c r="B1067" s="96" t="inlineStr">
        <is>
          <t>DILIP BUILDCON LTD</t>
        </is>
      </c>
      <c r="C1067" s="97" t="n">
        <v>540047</v>
      </c>
      <c r="D1067" s="96" t="inlineStr">
        <is>
          <t>DBL</t>
        </is>
      </c>
      <c r="E1067" s="96" t="inlineStr">
        <is>
          <t>Roads &amp; Highways</t>
        </is>
      </c>
    </row>
    <row r="1068" ht="15" customHeight="1" s="109" thickBot="1">
      <c r="B1068" s="96" t="inlineStr">
        <is>
          <t>DION GLOBAL SOLUTIONS LTD</t>
        </is>
      </c>
      <c r="C1068" s="97" t="n">
        <v>526927</v>
      </c>
      <c r="D1068" s="96" t="inlineStr">
        <is>
          <t>Not Listed</t>
        </is>
      </c>
      <c r="E1068" s="96" t="inlineStr">
        <is>
          <t>IT Software Products</t>
        </is>
      </c>
    </row>
    <row r="1069" ht="15" customHeight="1" s="109" thickBot="1">
      <c r="B1069" s="96" t="inlineStr">
        <is>
          <t>DISA (INDIA) LTD</t>
        </is>
      </c>
      <c r="C1069" s="97" t="n">
        <v>500068</v>
      </c>
      <c r="D1069" s="96" t="inlineStr">
        <is>
          <t>Not Listed</t>
        </is>
      </c>
      <c r="E1069" s="96" t="inlineStr">
        <is>
          <t>Industrial Machinery</t>
        </is>
      </c>
    </row>
    <row r="1070" ht="15" customHeight="1" s="109" thickBot="1">
      <c r="B1070" s="96" t="inlineStr">
        <is>
          <t>DISA INDIA LTD</t>
        </is>
      </c>
      <c r="C1070" s="97" t="n">
        <v>500068</v>
      </c>
      <c r="D1070" s="96" t="inlineStr">
        <is>
          <t>Not Listed</t>
        </is>
      </c>
      <c r="E1070" s="96" t="inlineStr">
        <is>
          <t>Industrial Machinery</t>
        </is>
      </c>
    </row>
    <row r="1071" ht="15" customHeight="1" s="109" thickBot="1">
      <c r="B1071" s="96" t="inlineStr">
        <is>
          <t>DISH TV (INDIA) LTD</t>
        </is>
      </c>
      <c r="C1071" s="97" t="n">
        <v>532839</v>
      </c>
      <c r="D1071" s="96" t="inlineStr">
        <is>
          <t>DISHTV</t>
        </is>
      </c>
      <c r="E1071" s="96" t="inlineStr">
        <is>
          <t>Broadcasting &amp; Cable TV</t>
        </is>
      </c>
    </row>
    <row r="1072" ht="15" customHeight="1" s="109" thickBot="1">
      <c r="B1072" s="96" t="inlineStr">
        <is>
          <t>DISH TV INDIA LTD</t>
        </is>
      </c>
      <c r="C1072" s="97" t="n">
        <v>532839</v>
      </c>
      <c r="D1072" s="96" t="inlineStr">
        <is>
          <t>DISHTV</t>
        </is>
      </c>
      <c r="E1072" s="96" t="inlineStr">
        <is>
          <t>Broadcasting &amp; Cable TV</t>
        </is>
      </c>
    </row>
    <row r="1073" ht="15" customHeight="1" s="109" thickBot="1">
      <c r="B1073" s="96" t="inlineStr">
        <is>
          <t>DISHA RESOURCES LTD</t>
        </is>
      </c>
      <c r="C1073" s="97" t="n">
        <v>531553</v>
      </c>
      <c r="D1073" s="96" t="inlineStr">
        <is>
          <t>Not Listed</t>
        </is>
      </c>
      <c r="E1073" s="96" t="inlineStr">
        <is>
          <t>Misc.Commercial Services</t>
        </is>
      </c>
    </row>
    <row r="1074" ht="15" customHeight="1" s="109" thickBot="1">
      <c r="B1074" s="96" t="inlineStr">
        <is>
          <t>DISHMAN CARBOGEN AMCIS LTD</t>
        </is>
      </c>
      <c r="C1074" s="97" t="n">
        <v>540701</v>
      </c>
      <c r="D1074" s="96" t="inlineStr">
        <is>
          <t>DCAL</t>
        </is>
      </c>
      <c r="E1074" s="96" t="inlineStr">
        <is>
          <t>Pharmaceuticals</t>
        </is>
      </c>
    </row>
    <row r="1075" ht="15" customHeight="1" s="109" thickBot="1">
      <c r="B1075" s="96" t="inlineStr">
        <is>
          <t>DIVINUS FABRICS LTD</t>
        </is>
      </c>
      <c r="C1075" s="97" t="n">
        <v>538432</v>
      </c>
      <c r="D1075" s="96" t="inlineStr">
        <is>
          <t>Not Listed</t>
        </is>
      </c>
      <c r="E1075" s="96" t="inlineStr">
        <is>
          <t>Comm.Trading &amp; Distribution</t>
        </is>
      </c>
    </row>
    <row r="1076" ht="15" customHeight="1" s="109" thickBot="1">
      <c r="B1076" s="96" t="inlineStr">
        <is>
          <t>DIVI'S LABORATORIES LTD</t>
        </is>
      </c>
      <c r="C1076" s="97" t="n">
        <v>532488</v>
      </c>
      <c r="D1076" s="96" t="inlineStr">
        <is>
          <t>DIVISLAB</t>
        </is>
      </c>
      <c r="E1076" s="96" t="inlineStr">
        <is>
          <t>Pharmaceuticals</t>
        </is>
      </c>
    </row>
    <row r="1077" ht="15" customHeight="1" s="109" thickBot="1">
      <c r="B1077" s="96" t="inlineStr">
        <is>
          <t>DIVYA JYOTI INDUSTRIES LTD</t>
        </is>
      </c>
      <c r="C1077" s="97" t="n">
        <v>526285</v>
      </c>
      <c r="D1077" s="96" t="inlineStr">
        <is>
          <t>Not Listed</t>
        </is>
      </c>
      <c r="E1077" s="96" t="inlineStr">
        <is>
          <t>Edible Oils</t>
        </is>
      </c>
    </row>
    <row r="1078" ht="15" customHeight="1" s="109" thickBot="1">
      <c r="B1078" s="96" t="inlineStr">
        <is>
          <t>DIVYASHAKTI GRANITES LTD</t>
        </is>
      </c>
      <c r="C1078" s="97" t="n">
        <v>526315</v>
      </c>
      <c r="D1078" s="96" t="inlineStr">
        <is>
          <t>Not Listed</t>
        </is>
      </c>
      <c r="E1078" s="96" t="inlineStr">
        <is>
          <t>Construction Materials</t>
        </is>
      </c>
    </row>
    <row r="1079" ht="15" customHeight="1" s="109" thickBot="1">
      <c r="B1079" s="96" t="inlineStr">
        <is>
          <t>DIXON TECHNOLOGIES (INDIA) LTD</t>
        </is>
      </c>
      <c r="C1079" s="97" t="n">
        <v>540699</v>
      </c>
      <c r="D1079" s="96" t="inlineStr">
        <is>
          <t>DIXON</t>
        </is>
      </c>
      <c r="E1079" s="96" t="inlineStr">
        <is>
          <t>Consumer Electronics</t>
        </is>
      </c>
    </row>
    <row r="1080" ht="15" customHeight="1" s="109" thickBot="1">
      <c r="B1080" s="96" t="inlineStr">
        <is>
          <t>DIXON TECHNOLOGIES INDIA LTD</t>
        </is>
      </c>
      <c r="C1080" s="97" t="n">
        <v>540699</v>
      </c>
      <c r="D1080" s="96" t="inlineStr">
        <is>
          <t>DIXON</t>
        </is>
      </c>
      <c r="E1080" s="96" t="inlineStr">
        <is>
          <t>Consumer Electronics</t>
        </is>
      </c>
    </row>
    <row r="1081" ht="15" customHeight="1" s="109" thickBot="1">
      <c r="B1081" s="96" t="inlineStr">
        <is>
          <t>DLF LTD</t>
        </is>
      </c>
      <c r="C1081" s="97" t="n">
        <v>532868</v>
      </c>
      <c r="D1081" s="96" t="inlineStr">
        <is>
          <t>DLF</t>
        </is>
      </c>
      <c r="E1081" s="96" t="inlineStr">
        <is>
          <t>Realty</t>
        </is>
      </c>
    </row>
    <row r="1082" ht="15" customHeight="1" s="109" thickBot="1">
      <c r="B1082" s="96" t="inlineStr">
        <is>
          <t>D-LINK (INDIA) LTD</t>
        </is>
      </c>
      <c r="C1082" s="97" t="n">
        <v>533146</v>
      </c>
      <c r="D1082" s="96" t="inlineStr">
        <is>
          <t>DLINK(INDIA)</t>
        </is>
      </c>
      <c r="E1082" s="96" t="inlineStr">
        <is>
          <t>IT Networking Equipment</t>
        </is>
      </c>
    </row>
    <row r="1083" ht="15" customHeight="1" s="109" thickBot="1">
      <c r="B1083" s="96" t="inlineStr">
        <is>
          <t>D-LINK INDIA LTD</t>
        </is>
      </c>
      <c r="C1083" s="97" t="n">
        <v>533146</v>
      </c>
      <c r="D1083" s="96" t="inlineStr">
        <is>
          <t>DLINKINDIA</t>
        </is>
      </c>
      <c r="E1083" s="96" t="inlineStr">
        <is>
          <t>IT Networking Equipment</t>
        </is>
      </c>
    </row>
    <row r="1084" ht="15" customHeight="1" s="109" thickBot="1">
      <c r="B1084" s="96" t="inlineStr">
        <is>
          <t>DOLAT INVESTMENTS LTD</t>
        </is>
      </c>
      <c r="C1084" s="97" t="n">
        <v>505526</v>
      </c>
      <c r="D1084" s="96" t="inlineStr">
        <is>
          <t>Not Listed</t>
        </is>
      </c>
      <c r="E1084" s="96" t="inlineStr">
        <is>
          <t>Investment Companies</t>
        </is>
      </c>
    </row>
    <row r="1085" ht="15" customHeight="1" s="109" thickBot="1">
      <c r="B1085" s="96" t="inlineStr">
        <is>
          <t>DOLFIN RUBBERS LTD</t>
        </is>
      </c>
      <c r="C1085" s="97" t="n">
        <v>542013</v>
      </c>
      <c r="D1085" s="96" t="inlineStr">
        <is>
          <t>Not Listed</t>
        </is>
      </c>
      <c r="E1085" s="96" t="inlineStr">
        <is>
          <t>Auto Tyres &amp; Rubber Products</t>
        </is>
      </c>
    </row>
    <row r="1086" ht="15" customHeight="1" s="109" thickBot="1">
      <c r="B1086" s="96" t="inlineStr">
        <is>
          <t>DOLLAR INDUSTRIES LTD</t>
        </is>
      </c>
      <c r="C1086" s="97" t="n">
        <v>541403</v>
      </c>
      <c r="D1086" s="96" t="inlineStr">
        <is>
          <t>DOLLAR</t>
        </is>
      </c>
      <c r="E1086" s="96" t="inlineStr">
        <is>
          <t>Other Apparels &amp; Accessories</t>
        </is>
      </c>
    </row>
    <row r="1087" ht="15" customHeight="1" s="109" thickBot="1">
      <c r="B1087" s="96" t="inlineStr">
        <is>
          <t>DOLPHIN MEDICAL SERVICES LTD</t>
        </is>
      </c>
      <c r="C1087" s="97" t="n">
        <v>526504</v>
      </c>
      <c r="D1087" s="96" t="inlineStr">
        <is>
          <t>Not Listed</t>
        </is>
      </c>
      <c r="E1087" s="96" t="inlineStr">
        <is>
          <t>Healthcare Services</t>
        </is>
      </c>
    </row>
    <row r="1088" ht="15" customHeight="1" s="109" thickBot="1">
      <c r="B1088" s="96" t="inlineStr">
        <is>
          <t>DOLPHIN OFFSHORE ENTERPRISES (INDIA) LTD</t>
        </is>
      </c>
      <c r="C1088" s="97" t="n">
        <v>522261</v>
      </c>
      <c r="D1088" s="96" t="inlineStr">
        <is>
          <t>DOLPHINOFF</t>
        </is>
      </c>
      <c r="E1088" s="96" t="inlineStr">
        <is>
          <t>Oil Equipment &amp; Services</t>
        </is>
      </c>
    </row>
    <row r="1089" ht="15" customHeight="1" s="109" thickBot="1">
      <c r="B1089" s="96" t="inlineStr">
        <is>
          <t>DOLPHIN OFFSHORE ENTERPRISES INDIA LTD</t>
        </is>
      </c>
      <c r="C1089" s="97" t="n">
        <v>522261</v>
      </c>
      <c r="D1089" s="96" t="inlineStr">
        <is>
          <t>DOLPHINOFF</t>
        </is>
      </c>
      <c r="E1089" s="96" t="inlineStr">
        <is>
          <t>Oil Equipment &amp; Services</t>
        </is>
      </c>
    </row>
    <row r="1090" ht="15" customHeight="1" s="109" thickBot="1">
      <c r="B1090" s="96" t="inlineStr">
        <is>
          <t>DONEAR INDUSTRIES LTD</t>
        </is>
      </c>
      <c r="C1090" s="97" t="n">
        <v>512519</v>
      </c>
      <c r="D1090" s="96" t="inlineStr">
        <is>
          <t>DONEAR</t>
        </is>
      </c>
      <c r="E1090" s="96" t="inlineStr">
        <is>
          <t>Textiles</t>
        </is>
      </c>
    </row>
    <row r="1091" ht="15" customHeight="1" s="109" thickBot="1">
      <c r="B1091" s="96" t="inlineStr">
        <is>
          <t>DPSC LTD</t>
        </is>
      </c>
      <c r="C1091" s="96" t="inlineStr">
        <is>
          <t>Not Listed</t>
        </is>
      </c>
      <c r="D1091" s="96" t="inlineStr">
        <is>
          <t>DPSCLTD</t>
        </is>
      </c>
      <c r="E1091" s="96" t="inlineStr">
        <is>
          <t>Others</t>
        </is>
      </c>
    </row>
    <row r="1092" ht="15" customHeight="1" s="109" thickBot="1">
      <c r="B1092" s="96" t="inlineStr">
        <is>
          <t>DQ ENTERTAINMENT INTERNATIONAL LTD</t>
        </is>
      </c>
      <c r="C1092" s="97" t="n">
        <v>533176</v>
      </c>
      <c r="D1092" s="96" t="inlineStr">
        <is>
          <t>DQE</t>
        </is>
      </c>
      <c r="E1092" s="96" t="inlineStr">
        <is>
          <t>Movies &amp; Entertainment</t>
        </is>
      </c>
    </row>
    <row r="1093" ht="15" customHeight="1" s="109" thickBot="1">
      <c r="B1093" s="96" t="inlineStr">
        <is>
          <t>DR AGARWALS EYE HOSPITAL LTD</t>
        </is>
      </c>
      <c r="C1093" s="97" t="n">
        <v>526783</v>
      </c>
      <c r="D1093" s="96" t="inlineStr">
        <is>
          <t>Not Listed</t>
        </is>
      </c>
      <c r="E1093" s="96" t="inlineStr">
        <is>
          <t>Healthcare Services</t>
        </is>
      </c>
    </row>
    <row r="1094" ht="15" customHeight="1" s="109" thickBot="1">
      <c r="B1094" s="96" t="inlineStr">
        <is>
          <t>DR HABEEBULLAH LIFE SCIENCES LTD</t>
        </is>
      </c>
      <c r="C1094" s="97" t="n">
        <v>539267</v>
      </c>
      <c r="D1094" s="96" t="inlineStr">
        <is>
          <t>Not Listed</t>
        </is>
      </c>
      <c r="E1094" s="96" t="inlineStr">
        <is>
          <t>Comm.Trading &amp; Distribution</t>
        </is>
      </c>
    </row>
    <row r="1095" ht="15" customHeight="1" s="109" thickBot="1">
      <c r="B1095" s="96" t="inlineStr">
        <is>
          <t>DR LAL PATH LABS LTD</t>
        </is>
      </c>
      <c r="C1095" s="97" t="n">
        <v>539524</v>
      </c>
      <c r="D1095" s="96" t="inlineStr">
        <is>
          <t>LALPATHLAB</t>
        </is>
      </c>
      <c r="E1095" s="96" t="inlineStr">
        <is>
          <t>Healthcare Services</t>
        </is>
      </c>
    </row>
    <row r="1096" ht="15" customHeight="1" s="109" thickBot="1">
      <c r="B1096" s="96" t="inlineStr">
        <is>
          <t>DR LALCHANDANI LABS LTD</t>
        </is>
      </c>
      <c r="C1096" s="97" t="n">
        <v>541299</v>
      </c>
      <c r="D1096" s="96" t="inlineStr">
        <is>
          <t>Not Listed</t>
        </is>
      </c>
      <c r="E1096" s="96" t="inlineStr">
        <is>
          <t>Healthcare Services</t>
        </is>
      </c>
    </row>
    <row r="1097" ht="15" customHeight="1" s="109" thickBot="1">
      <c r="B1097" s="96" t="inlineStr">
        <is>
          <t>DR REDDY'S LABORATORIES LTD</t>
        </is>
      </c>
      <c r="C1097" s="97" t="n">
        <v>500124</v>
      </c>
      <c r="D1097" s="96" t="inlineStr">
        <is>
          <t>DRREDDY</t>
        </is>
      </c>
      <c r="E1097" s="96" t="inlineStr">
        <is>
          <t>Pharmaceuticals</t>
        </is>
      </c>
    </row>
    <row r="1098" ht="15" customHeight="1" s="109" thickBot="1">
      <c r="B1098" s="96" t="inlineStr">
        <is>
          <t>DRA CONSULTANTS LTD</t>
        </is>
      </c>
      <c r="C1098" s="97" t="n">
        <v>540144</v>
      </c>
      <c r="D1098" s="96" t="inlineStr">
        <is>
          <t>Not Listed</t>
        </is>
      </c>
      <c r="E1098" s="96" t="inlineStr">
        <is>
          <t>Consulting Services</t>
        </is>
      </c>
    </row>
    <row r="1099" ht="15" customHeight="1" s="109" thickBot="1">
      <c r="B1099" s="96" t="inlineStr">
        <is>
          <t>DREDGING CORPORATION OF (INDIA) LTD</t>
        </is>
      </c>
      <c r="C1099" s="97" t="n">
        <v>523618</v>
      </c>
      <c r="D1099" s="96" t="inlineStr">
        <is>
          <t>DREDGECORP</t>
        </is>
      </c>
      <c r="E1099" s="96" t="inlineStr">
        <is>
          <t>Shipping</t>
        </is>
      </c>
    </row>
    <row r="1100" ht="15" customHeight="1" s="109" thickBot="1">
      <c r="B1100" s="96" t="inlineStr">
        <is>
          <t>DREDGING CORPORATION OF INDIA LTD</t>
        </is>
      </c>
      <c r="C1100" s="97" t="n">
        <v>523618</v>
      </c>
      <c r="D1100" s="96" t="inlineStr">
        <is>
          <t>DREDGECORP</t>
        </is>
      </c>
      <c r="E1100" s="96" t="inlineStr">
        <is>
          <t>Shipping</t>
        </is>
      </c>
    </row>
    <row r="1101" ht="15" customHeight="1" s="109" thickBot="1">
      <c r="B1101" s="96" t="inlineStr">
        <is>
          <t>DUCON INFRATECHNOLOGIES LTD</t>
        </is>
      </c>
      <c r="C1101" s="97" t="n">
        <v>534674</v>
      </c>
      <c r="D1101" s="96" t="inlineStr">
        <is>
          <t>DUCON</t>
        </is>
      </c>
      <c r="E1101" s="96" t="inlineStr">
        <is>
          <t>Comm.Trading &amp; Distribution</t>
        </is>
      </c>
    </row>
    <row r="1102" ht="15" customHeight="1" s="109" thickBot="1">
      <c r="B1102" s="96" t="inlineStr">
        <is>
          <t>DUGAR HOUSING DEVELOPMENTS LTD</t>
        </is>
      </c>
      <c r="C1102" s="97" t="n">
        <v>511634</v>
      </c>
      <c r="D1102" s="96" t="inlineStr">
        <is>
          <t>Not Listed</t>
        </is>
      </c>
      <c r="E1102" s="96" t="inlineStr">
        <is>
          <t>Construction &amp; Engineering</t>
        </is>
      </c>
    </row>
    <row r="1103" ht="15" customHeight="1" s="109" thickBot="1">
      <c r="B1103" s="96" t="inlineStr">
        <is>
          <t>DUKE OFFSHORE LTD</t>
        </is>
      </c>
      <c r="C1103" s="97" t="n">
        <v>531471</v>
      </c>
      <c r="D1103" s="96" t="inlineStr">
        <is>
          <t>Not Listed</t>
        </is>
      </c>
      <c r="E1103" s="96" t="inlineStr">
        <is>
          <t>Oil Equipment &amp; Services</t>
        </is>
      </c>
    </row>
    <row r="1104" ht="15" customHeight="1" s="109" thickBot="1">
      <c r="B1104" s="96" t="inlineStr">
        <is>
          <t>DUNCAN ENGINEERING LTD</t>
        </is>
      </c>
      <c r="C1104" s="97" t="n">
        <v>504908</v>
      </c>
      <c r="D1104" s="96" t="inlineStr">
        <is>
          <t>Not Listed</t>
        </is>
      </c>
      <c r="E1104" s="96" t="inlineStr">
        <is>
          <t>Auto Parts &amp; Equipment</t>
        </is>
      </c>
    </row>
    <row r="1105" ht="15" customHeight="1" s="109" thickBot="1">
      <c r="B1105" s="96" t="inlineStr">
        <is>
          <t>DUROPACK LTD</t>
        </is>
      </c>
      <c r="C1105" s="97" t="n">
        <v>526355</v>
      </c>
      <c r="D1105" s="96" t="inlineStr">
        <is>
          <t>Not Listed</t>
        </is>
      </c>
      <c r="E1105" s="96" t="inlineStr">
        <is>
          <t>Plastic Products</t>
        </is>
      </c>
    </row>
    <row r="1106" ht="15" customHeight="1" s="109" thickBot="1">
      <c r="B1106" s="96" t="inlineStr">
        <is>
          <t>DUTRON POLYMERS LTD</t>
        </is>
      </c>
      <c r="C1106" s="97" t="n">
        <v>517437</v>
      </c>
      <c r="D1106" s="96" t="inlineStr">
        <is>
          <t>Not Listed</t>
        </is>
      </c>
      <c r="E1106" s="96" t="inlineStr">
        <is>
          <t>Plastic Products</t>
        </is>
      </c>
    </row>
    <row r="1107" ht="15" customHeight="1" s="109" thickBot="1">
      <c r="B1107" s="96" t="inlineStr">
        <is>
          <t>DWARIKESH SUGAR INDUSTRIES LTD</t>
        </is>
      </c>
      <c r="C1107" s="97" t="n">
        <v>532610</v>
      </c>
      <c r="D1107" s="96" t="inlineStr">
        <is>
          <t>DWARKESH</t>
        </is>
      </c>
      <c r="E1107" s="96" t="inlineStr">
        <is>
          <t>Sugar</t>
        </is>
      </c>
    </row>
    <row r="1108" ht="15" customHeight="1" s="109" thickBot="1">
      <c r="B1108" s="96" t="inlineStr">
        <is>
          <t>Dwitiya Trading Ltd</t>
        </is>
      </c>
      <c r="C1108" s="97" t="n">
        <v>538608</v>
      </c>
      <c r="D1108" s="96" t="inlineStr">
        <is>
          <t>DWITIYA</t>
        </is>
      </c>
      <c r="E1108" s="96" t="inlineStr">
        <is>
          <t>Comm.Trading &amp;amp; Distribution</t>
        </is>
      </c>
    </row>
    <row r="1109" ht="15" customHeight="1" s="109" thickBot="1">
      <c r="B1109" s="96" t="inlineStr">
        <is>
          <t>DYNACONS SYSTEMS &amp; SOLUTIONS LTD</t>
        </is>
      </c>
      <c r="C1109" s="97" t="n">
        <v>532365</v>
      </c>
      <c r="D1109" s="96" t="inlineStr">
        <is>
          <t>DSSL</t>
        </is>
      </c>
      <c r="E1109" s="96" t="inlineStr">
        <is>
          <t>IT Consulting &amp; Software</t>
        </is>
      </c>
    </row>
    <row r="1110" ht="15" customHeight="1" s="109" thickBot="1">
      <c r="B1110" s="96" t="inlineStr">
        <is>
          <t>DYNAMATIC TECHNOLOGIES LTD</t>
        </is>
      </c>
      <c r="C1110" s="97" t="n">
        <v>505242</v>
      </c>
      <c r="D1110" s="96" t="inlineStr">
        <is>
          <t>DYNAMATECH</t>
        </is>
      </c>
      <c r="E1110" s="96" t="inlineStr">
        <is>
          <t>Industrial Machinery</t>
        </is>
      </c>
    </row>
    <row r="1111" ht="15" customHeight="1" s="109" thickBot="1">
      <c r="B1111" s="96" t="inlineStr">
        <is>
          <t>DYNAMIC ARCHISTRUCTURES LTD</t>
        </is>
      </c>
      <c r="C1111" s="97" t="n">
        <v>539681</v>
      </c>
      <c r="D1111" s="96" t="inlineStr">
        <is>
          <t>Not Listed</t>
        </is>
      </c>
      <c r="E1111" s="96" t="inlineStr">
        <is>
          <t>Finance (including NBFCs)</t>
        </is>
      </c>
    </row>
    <row r="1112" ht="15" customHeight="1" s="109" thickBot="1">
      <c r="B1112" s="96" t="inlineStr">
        <is>
          <t>DYNAMIC CABLES LTD</t>
        </is>
      </c>
      <c r="C1112" s="97" t="n">
        <v>540795</v>
      </c>
      <c r="D1112" s="96" t="inlineStr">
        <is>
          <t>Not Listed</t>
        </is>
      </c>
      <c r="E1112" s="96" t="inlineStr">
        <is>
          <t>Other Elect.Equip./ Prod.</t>
        </is>
      </c>
    </row>
    <row r="1113" ht="15" customHeight="1" s="109" thickBot="1">
      <c r="B1113" s="96" t="inlineStr">
        <is>
          <t>DYNAMIC INDUSTRIES LTD</t>
        </is>
      </c>
      <c r="C1113" s="97" t="n">
        <v>524818</v>
      </c>
      <c r="D1113" s="96" t="inlineStr">
        <is>
          <t>Not Listed</t>
        </is>
      </c>
      <c r="E1113" s="96" t="inlineStr">
        <is>
          <t>Specialty Chemicals</t>
        </is>
      </c>
    </row>
    <row r="1114" ht="15" customHeight="1" s="109" thickBot="1">
      <c r="B1114" s="96" t="inlineStr">
        <is>
          <t>DYNAMIC PORTFOLIO MANAGEMENT &amp; SERVICES LTD</t>
        </is>
      </c>
      <c r="C1114" s="97" t="n">
        <v>530779</v>
      </c>
      <c r="D1114" s="96" t="inlineStr">
        <is>
          <t>Not Listed</t>
        </is>
      </c>
      <c r="E1114" s="96" t="inlineStr">
        <is>
          <t>Finance (including NBFCs)</t>
        </is>
      </c>
    </row>
    <row r="1115" ht="15" customHeight="1" s="109" thickBot="1">
      <c r="B1115" s="96" t="inlineStr">
        <is>
          <t>DYNAVISION LTD</t>
        </is>
      </c>
      <c r="C1115" s="97" t="n">
        <v>517238</v>
      </c>
      <c r="D1115" s="96" t="inlineStr">
        <is>
          <t>Not Listed</t>
        </is>
      </c>
      <c r="E1115" s="96" t="inlineStr">
        <is>
          <t>Electronic Components</t>
        </is>
      </c>
    </row>
    <row r="1116" ht="15" customHeight="1" s="109" thickBot="1">
      <c r="B1116" s="96" t="inlineStr">
        <is>
          <t>DYNEMIC PRODUCTS LTD</t>
        </is>
      </c>
      <c r="C1116" s="97" t="n">
        <v>532707</v>
      </c>
      <c r="D1116" s="96" t="inlineStr">
        <is>
          <t>DYNPRO</t>
        </is>
      </c>
      <c r="E1116" s="96" t="inlineStr">
        <is>
          <t>Specialty Chemicals</t>
        </is>
      </c>
    </row>
    <row r="1117" ht="15" customHeight="1" s="109" thickBot="1">
      <c r="B1117" s="96" t="inlineStr">
        <is>
          <t>E COM INFOTECH I LTD</t>
        </is>
      </c>
      <c r="C1117" s="97" t="n">
        <v>531533</v>
      </c>
      <c r="D1117" s="96" t="inlineStr">
        <is>
          <t>Not Listed</t>
        </is>
      </c>
      <c r="E1117" s="96" t="inlineStr">
        <is>
          <t>IT Consulting &amp; Software</t>
        </is>
      </c>
    </row>
    <row r="1118" ht="15" customHeight="1" s="109" thickBot="1">
      <c r="B1118" s="96" t="inlineStr">
        <is>
          <t>E2E NETWORKS LTD</t>
        </is>
      </c>
      <c r="C1118" s="96" t="inlineStr">
        <is>
          <t>Not Listed</t>
        </is>
      </c>
      <c r="D1118" s="96" t="inlineStr">
        <is>
          <t>E2E</t>
        </is>
      </c>
      <c r="E1118" s="96" t="inlineStr">
        <is>
          <t>SME</t>
        </is>
      </c>
    </row>
    <row r="1119" ht="15" customHeight="1" s="109" thickBot="1">
      <c r="B1119" s="96" t="inlineStr">
        <is>
          <t>EAST BUILDTECH LTD</t>
        </is>
      </c>
      <c r="C1119" s="97" t="n">
        <v>507917</v>
      </c>
      <c r="D1119" s="96" t="inlineStr">
        <is>
          <t>Not Listed</t>
        </is>
      </c>
      <c r="E1119" s="96" t="inlineStr">
        <is>
          <t>Realty</t>
        </is>
      </c>
    </row>
    <row r="1120" ht="15" customHeight="1" s="109" thickBot="1">
      <c r="B1120" s="96" t="inlineStr">
        <is>
          <t>EAST COAST STEEL LTD</t>
        </is>
      </c>
      <c r="C1120" s="97" t="n">
        <v>520081</v>
      </c>
      <c r="D1120" s="96" t="inlineStr">
        <is>
          <t>Not Listed</t>
        </is>
      </c>
      <c r="E1120" s="96" t="inlineStr">
        <is>
          <t>Iron &amp; Steel/Interm.Products</t>
        </is>
      </c>
    </row>
    <row r="1121" ht="15" customHeight="1" s="109" thickBot="1">
      <c r="B1121" s="96" t="inlineStr">
        <is>
          <t>EAST INDIA SECURITIES LTD</t>
        </is>
      </c>
      <c r="C1121" s="97" t="n">
        <v>541053</v>
      </c>
      <c r="D1121" s="96" t="inlineStr">
        <is>
          <t>Not Listed</t>
        </is>
      </c>
      <c r="E1121" s="96" t="inlineStr">
        <is>
          <t>Other Financial Services</t>
        </is>
      </c>
    </row>
    <row r="1122" ht="15" customHeight="1" s="109" thickBot="1">
      <c r="B1122" s="96" t="inlineStr">
        <is>
          <t>EASTERN SILK INDUSTRIES LTD</t>
        </is>
      </c>
      <c r="C1122" s="97" t="n">
        <v>590022</v>
      </c>
      <c r="D1122" s="96" t="inlineStr">
        <is>
          <t>EASTSILK</t>
        </is>
      </c>
      <c r="E1122" s="96" t="inlineStr">
        <is>
          <t>Textiles</t>
        </is>
      </c>
    </row>
    <row r="1123" ht="15" customHeight="1" s="109" thickBot="1">
      <c r="B1123" s="96" t="inlineStr">
        <is>
          <t>EASTERN TREADS LTD</t>
        </is>
      </c>
      <c r="C1123" s="97" t="n">
        <v>531346</v>
      </c>
      <c r="D1123" s="96" t="inlineStr">
        <is>
          <t>Not Listed</t>
        </is>
      </c>
      <c r="E1123" s="96" t="inlineStr">
        <is>
          <t>Auto Tyres &amp; Rubber Products</t>
        </is>
      </c>
    </row>
    <row r="1124" ht="15" customHeight="1" s="109" thickBot="1">
      <c r="B1124" s="96" t="inlineStr">
        <is>
          <t>EASUN REYROLLE LTD</t>
        </is>
      </c>
      <c r="C1124" s="97" t="n">
        <v>532751</v>
      </c>
      <c r="D1124" s="96" t="inlineStr">
        <is>
          <t>EASUNREYRL</t>
        </is>
      </c>
      <c r="E1124" s="96" t="inlineStr">
        <is>
          <t>Other Elect.Equip./ Prod.</t>
        </is>
      </c>
    </row>
    <row r="1125" ht="15" customHeight="1" s="109" thickBot="1">
      <c r="B1125" s="96" t="inlineStr">
        <is>
          <t>ECE INDUSTRIES LTD</t>
        </is>
      </c>
      <c r="C1125" s="96" t="inlineStr">
        <is>
          <t>Not Listed</t>
        </is>
      </c>
      <c r="D1125" s="96" t="inlineStr">
        <is>
          <t>ECEIND</t>
        </is>
      </c>
      <c r="E1125" s="96" t="inlineStr">
        <is>
          <t>Others</t>
        </is>
      </c>
    </row>
    <row r="1126" ht="15" customHeight="1" s="109" thickBot="1">
      <c r="B1126" s="96" t="inlineStr">
        <is>
          <t>ECLERX SERVICES LTD</t>
        </is>
      </c>
      <c r="C1126" s="97" t="n">
        <v>532927</v>
      </c>
      <c r="D1126" s="96" t="inlineStr">
        <is>
          <t>ECLERX</t>
        </is>
      </c>
      <c r="E1126" s="96" t="inlineStr">
        <is>
          <t>BPO/KPO</t>
        </is>
      </c>
    </row>
    <row r="1127" ht="15" customHeight="1" s="109" thickBot="1">
      <c r="B1127" s="96" t="inlineStr">
        <is>
          <t>ECO FRIENDLY FOOD PROCESSING PARK LTD</t>
        </is>
      </c>
      <c r="C1127" s="97" t="n">
        <v>534839</v>
      </c>
      <c r="D1127" s="96" t="inlineStr">
        <is>
          <t>Not Listed</t>
        </is>
      </c>
      <c r="E1127" s="96" t="inlineStr">
        <is>
          <t>Other Agricultural Products</t>
        </is>
      </c>
    </row>
    <row r="1128" ht="15" customHeight="1" s="109" thickBot="1">
      <c r="B1128" s="96" t="inlineStr">
        <is>
          <t>ECO RECYCLING LTD</t>
        </is>
      </c>
      <c r="C1128" s="97" t="n">
        <v>530643</v>
      </c>
      <c r="D1128" s="96" t="inlineStr">
        <is>
          <t>Not Listed</t>
        </is>
      </c>
      <c r="E1128" s="96" t="inlineStr">
        <is>
          <t>Electronic Components</t>
        </is>
      </c>
    </row>
    <row r="1129" ht="15" customHeight="1" s="109" thickBot="1">
      <c r="B1129" s="96" t="inlineStr">
        <is>
          <t>ECOBOARD INDUSTRIES LTD</t>
        </is>
      </c>
      <c r="C1129" s="97" t="n">
        <v>523732</v>
      </c>
      <c r="D1129" s="96" t="inlineStr">
        <is>
          <t>Not Listed</t>
        </is>
      </c>
      <c r="E1129" s="96" t="inlineStr">
        <is>
          <t>Forest Products</t>
        </is>
      </c>
    </row>
    <row r="1130" ht="15" customHeight="1" s="109" thickBot="1">
      <c r="B1130" s="96" t="inlineStr">
        <is>
          <t>ECONO TRADE (INDIA) LTD</t>
        </is>
      </c>
      <c r="C1130" s="97" t="n">
        <v>538708</v>
      </c>
      <c r="D1130" s="96" t="inlineStr">
        <is>
          <t>Not Listed</t>
        </is>
      </c>
      <c r="E1130" s="96" t="inlineStr">
        <is>
          <t>Finance (including NBFCs)</t>
        </is>
      </c>
    </row>
    <row r="1131" ht="15" customHeight="1" s="109" thickBot="1">
      <c r="B1131" s="96" t="inlineStr">
        <is>
          <t>ECONO TRADE INDIA LTD</t>
        </is>
      </c>
      <c r="C1131" s="97" t="n">
        <v>538708</v>
      </c>
      <c r="D1131" s="96" t="inlineStr">
        <is>
          <t>Not Listed</t>
        </is>
      </c>
      <c r="E1131" s="96" t="inlineStr">
        <is>
          <t>Finance (including NBFCs)</t>
        </is>
      </c>
    </row>
    <row r="1132" ht="15" customHeight="1" s="109" thickBot="1">
      <c r="B1132" s="96" t="inlineStr">
        <is>
          <t>ECOPLAST LTD</t>
        </is>
      </c>
      <c r="C1132" s="97" t="n">
        <v>526703</v>
      </c>
      <c r="D1132" s="96" t="inlineStr">
        <is>
          <t>Not Listed</t>
        </is>
      </c>
      <c r="E1132" s="96" t="inlineStr">
        <is>
          <t>Plastic Products</t>
        </is>
      </c>
    </row>
    <row r="1133" ht="15" customHeight="1" s="109" thickBot="1">
      <c r="B1133" s="96" t="inlineStr">
        <is>
          <t>ECS BIZTECH LTD</t>
        </is>
      </c>
      <c r="C1133" s="97" t="n">
        <v>540063</v>
      </c>
      <c r="D1133" s="96" t="inlineStr">
        <is>
          <t>Not Listed</t>
        </is>
      </c>
      <c r="E1133" s="96" t="inlineStr">
        <is>
          <t>IT Consulting &amp; Software</t>
        </is>
      </c>
    </row>
    <row r="1134" ht="15" customHeight="1" s="109" thickBot="1">
      <c r="B1134" s="96" t="inlineStr">
        <is>
          <t>EDELWEISS FINANCIAL SERVICES LTD</t>
        </is>
      </c>
      <c r="C1134" s="97" t="n">
        <v>532922</v>
      </c>
      <c r="D1134" s="96" t="inlineStr">
        <is>
          <t>EDELWEISS</t>
        </is>
      </c>
      <c r="E1134" s="96" t="inlineStr">
        <is>
          <t>Other Financial Services</t>
        </is>
      </c>
    </row>
    <row r="1135" ht="15" customHeight="1" s="109" thickBot="1">
      <c r="B1135" s="96" t="inlineStr">
        <is>
          <t>EDUCOMP SOLUTIONS LTD</t>
        </is>
      </c>
      <c r="C1135" s="97" t="n">
        <v>532696</v>
      </c>
      <c r="D1135" s="96" t="inlineStr">
        <is>
          <t>EDUCOMP</t>
        </is>
      </c>
      <c r="E1135" s="96" t="inlineStr">
        <is>
          <t>Education</t>
        </is>
      </c>
    </row>
    <row r="1136" ht="15" customHeight="1" s="109" thickBot="1">
      <c r="B1136" s="96" t="inlineStr">
        <is>
          <t>EDUEXEL INFOTAINMENT LTD</t>
        </is>
      </c>
      <c r="C1136" s="97" t="n">
        <v>526483</v>
      </c>
      <c r="D1136" s="96" t="inlineStr">
        <is>
          <t>Not Listed</t>
        </is>
      </c>
      <c r="E1136" s="96" t="inlineStr">
        <is>
          <t>Photographic Products</t>
        </is>
      </c>
    </row>
    <row r="1137" ht="15" customHeight="1" s="109" thickBot="1">
      <c r="B1137" s="96" t="inlineStr">
        <is>
          <t>EDYNAMICS SOLUTIONS LTD</t>
        </is>
      </c>
      <c r="C1137" s="97" t="n">
        <v>535694</v>
      </c>
      <c r="D1137" s="96" t="inlineStr">
        <is>
          <t>Not Listed</t>
        </is>
      </c>
      <c r="E1137" s="96" t="inlineStr">
        <is>
          <t>Comm.Trading &amp; Distribution</t>
        </is>
      </c>
    </row>
    <row r="1138" ht="15" customHeight="1" s="109" thickBot="1">
      <c r="B1138" s="96" t="inlineStr">
        <is>
          <t>EICHER MOTORS LTD</t>
        </is>
      </c>
      <c r="C1138" s="97" t="n">
        <v>505200</v>
      </c>
      <c r="D1138" s="96" t="inlineStr">
        <is>
          <t>EICHERMOT</t>
        </is>
      </c>
      <c r="E1138" s="96" t="inlineStr">
        <is>
          <t>2/3 Wheelers</t>
        </is>
      </c>
    </row>
    <row r="1139" ht="15" customHeight="1" s="109" thickBot="1">
      <c r="B1139" s="96" t="inlineStr">
        <is>
          <t>EID PARRY (INDIA) LTD</t>
        </is>
      </c>
      <c r="C1139" s="97" t="n">
        <v>500125</v>
      </c>
      <c r="D1139" s="96" t="inlineStr">
        <is>
          <t>EIDPARRY</t>
        </is>
      </c>
      <c r="E1139" s="96" t="inlineStr">
        <is>
          <t>Sugar</t>
        </is>
      </c>
    </row>
    <row r="1140" ht="15" customHeight="1" s="109" thickBot="1">
      <c r="B1140" s="96" t="inlineStr">
        <is>
          <t>EID PARRY INDIA LTD</t>
        </is>
      </c>
      <c r="C1140" s="97" t="n">
        <v>500125</v>
      </c>
      <c r="D1140" s="96" t="inlineStr">
        <is>
          <t>EIDPARRY</t>
        </is>
      </c>
      <c r="E1140" s="96" t="inlineStr">
        <is>
          <t>Sugar</t>
        </is>
      </c>
    </row>
    <row r="1141" ht="15" customHeight="1" s="109" thickBot="1">
      <c r="B1141" s="96" t="inlineStr">
        <is>
          <t>EIH ASSOCIATED HOTELS LTD</t>
        </is>
      </c>
      <c r="C1141" s="97" t="n">
        <v>523127</v>
      </c>
      <c r="D1141" s="96" t="inlineStr">
        <is>
          <t>EIHAHOTELS</t>
        </is>
      </c>
      <c r="E1141" s="96" t="inlineStr">
        <is>
          <t>Hotels</t>
        </is>
      </c>
    </row>
    <row r="1142" ht="15" customHeight="1" s="109" thickBot="1">
      <c r="B1142" s="96" t="inlineStr">
        <is>
          <t>EIH LTD</t>
        </is>
      </c>
      <c r="C1142" s="97" t="n">
        <v>500840</v>
      </c>
      <c r="D1142" s="96" t="inlineStr">
        <is>
          <t>EIHOTEL</t>
        </is>
      </c>
      <c r="E1142" s="96" t="inlineStr">
        <is>
          <t>Hotels</t>
        </is>
      </c>
    </row>
    <row r="1143" ht="15" customHeight="1" s="109" thickBot="1">
      <c r="B1143" s="96" t="inlineStr">
        <is>
          <t>EIMCO ELECON (INDIA) LTD</t>
        </is>
      </c>
      <c r="C1143" s="97" t="n">
        <v>523708</v>
      </c>
      <c r="D1143" s="96" t="inlineStr">
        <is>
          <t>EIMCOELECO</t>
        </is>
      </c>
      <c r="E1143" s="96" t="inlineStr">
        <is>
          <t>Industrial Machinery</t>
        </is>
      </c>
    </row>
    <row r="1144" ht="15" customHeight="1" s="109" thickBot="1">
      <c r="B1144" s="96" t="inlineStr">
        <is>
          <t>EIMCO ELECON INDIA LTD</t>
        </is>
      </c>
      <c r="C1144" s="97" t="n">
        <v>523708</v>
      </c>
      <c r="D1144" s="96" t="inlineStr">
        <is>
          <t>EIMCOELECO</t>
        </is>
      </c>
      <c r="E1144" s="96" t="inlineStr">
        <is>
          <t>Industrial Machinery</t>
        </is>
      </c>
    </row>
    <row r="1145" ht="15" customHeight="1" s="109" thickBot="1">
      <c r="B1145" s="96" t="inlineStr">
        <is>
          <t>Ejecta Marketing Ltd</t>
        </is>
      </c>
      <c r="C1145" s="97" t="n">
        <v>538653</v>
      </c>
      <c r="D1145" s="96" t="inlineStr">
        <is>
          <t>EML</t>
        </is>
      </c>
      <c r="E1145" s="96" t="inlineStr">
        <is>
          <t>Comm.Trading &amp;amp; Distribution</t>
        </is>
      </c>
    </row>
    <row r="1146" ht="15" customHeight="1" s="109" thickBot="1">
      <c r="B1146" s="96" t="inlineStr">
        <is>
          <t>EKAM LEASING &amp; FINANCE CO LTD</t>
        </is>
      </c>
      <c r="C1146" s="97" t="n">
        <v>530581</v>
      </c>
      <c r="D1146" s="96" t="inlineStr">
        <is>
          <t>Not Listed</t>
        </is>
      </c>
      <c r="E1146" s="96" t="inlineStr">
        <is>
          <t>Misc.Commercial Services</t>
        </is>
      </c>
    </row>
    <row r="1147" ht="15" customHeight="1" s="109" thickBot="1">
      <c r="B1147" s="96" t="inlineStr">
        <is>
          <t>E-LAND APPAREL LTD</t>
        </is>
      </c>
      <c r="C1147" s="97" t="n">
        <v>532820</v>
      </c>
      <c r="D1147" s="96" t="inlineStr">
        <is>
          <t>ELAND</t>
        </is>
      </c>
      <c r="E1147" s="96" t="inlineStr">
        <is>
          <t>Textiles</t>
        </is>
      </c>
    </row>
    <row r="1148" ht="15" customHeight="1" s="109" thickBot="1">
      <c r="B1148" s="96" t="inlineStr">
        <is>
          <t>ELANGO INDUSTRIES LTD</t>
        </is>
      </c>
      <c r="C1148" s="97" t="n">
        <v>513452</v>
      </c>
      <c r="D1148" s="96" t="inlineStr">
        <is>
          <t>Not Listed</t>
        </is>
      </c>
      <c r="E1148" s="96" t="inlineStr">
        <is>
          <t>Iron &amp; Steel/Interm.Products</t>
        </is>
      </c>
    </row>
    <row r="1149" ht="15" customHeight="1" s="109" thickBot="1">
      <c r="B1149" s="96" t="inlineStr">
        <is>
          <t>ELANTAS BECK (INDIA) LTD</t>
        </is>
      </c>
      <c r="C1149" s="97" t="n">
        <v>500123</v>
      </c>
      <c r="D1149" s="96" t="inlineStr">
        <is>
          <t>Not Listed</t>
        </is>
      </c>
      <c r="E1149" s="96" t="inlineStr">
        <is>
          <t>Commodity Chemicals</t>
        </is>
      </c>
    </row>
    <row r="1150" ht="15" customHeight="1" s="109" thickBot="1">
      <c r="B1150" s="96" t="inlineStr">
        <is>
          <t>ELANTAS BECK INDIA LTD</t>
        </is>
      </c>
      <c r="C1150" s="97" t="n">
        <v>500123</v>
      </c>
      <c r="D1150" s="96" t="inlineStr">
        <is>
          <t>Not Listed</t>
        </is>
      </c>
      <c r="E1150" s="96" t="inlineStr">
        <is>
          <t>Commodity Chemicals</t>
        </is>
      </c>
    </row>
    <row r="1151" ht="15" customHeight="1" s="109" thickBot="1">
      <c r="B1151" s="96" t="inlineStr">
        <is>
          <t>ELCID INVESTMENTS LTD</t>
        </is>
      </c>
      <c r="C1151" s="97" t="n">
        <v>503681</v>
      </c>
      <c r="D1151" s="96" t="inlineStr">
        <is>
          <t>Not Listed</t>
        </is>
      </c>
      <c r="E1151" s="96" t="inlineStr">
        <is>
          <t>Misc.Commercial Services</t>
        </is>
      </c>
    </row>
    <row r="1152" ht="15" customHeight="1" s="109" thickBot="1">
      <c r="B1152" s="96" t="inlineStr">
        <is>
          <t>ELDECO HOUSING &amp; INDUSTRIES LTD</t>
        </is>
      </c>
      <c r="C1152" s="97" t="n">
        <v>523329</v>
      </c>
      <c r="D1152" s="96" t="inlineStr">
        <is>
          <t>Not Listed</t>
        </is>
      </c>
      <c r="E1152" s="96" t="inlineStr">
        <is>
          <t>Realty</t>
        </is>
      </c>
    </row>
    <row r="1153" ht="15" customHeight="1" s="109" thickBot="1">
      <c r="B1153" s="96" t="inlineStr">
        <is>
          <t>ELECON ENGINEERING COMPANY LTD</t>
        </is>
      </c>
      <c r="C1153" s="97" t="n">
        <v>505700</v>
      </c>
      <c r="D1153" s="96" t="inlineStr">
        <is>
          <t>ELECON</t>
        </is>
      </c>
      <c r="E1153" s="96" t="inlineStr">
        <is>
          <t>Industrial Machinery</t>
        </is>
      </c>
    </row>
    <row r="1154" ht="15" customHeight="1" s="109" thickBot="1">
      <c r="B1154" s="96" t="inlineStr">
        <is>
          <t>ELECTROSTEEL CASTINGS LTD</t>
        </is>
      </c>
      <c r="C1154" s="97" t="n">
        <v>500128</v>
      </c>
      <c r="D1154" s="96" t="inlineStr">
        <is>
          <t>ELECTCAST</t>
        </is>
      </c>
      <c r="E1154" s="96" t="inlineStr">
        <is>
          <t>Construction &amp; Engineering</t>
        </is>
      </c>
    </row>
    <row r="1155" ht="15" customHeight="1" s="109" thickBot="1">
      <c r="B1155" s="96" t="inlineStr">
        <is>
          <t>ELECTROSTEEL STEELS LTD</t>
        </is>
      </c>
      <c r="C1155" s="97" t="n">
        <v>533264</v>
      </c>
      <c r="D1155" s="96" t="inlineStr">
        <is>
          <t>ELECTROSL</t>
        </is>
      </c>
      <c r="E1155" s="96" t="inlineStr">
        <is>
          <t>Construction &amp; Engineering</t>
        </is>
      </c>
    </row>
    <row r="1156" ht="15" customHeight="1" s="109" thickBot="1">
      <c r="B1156" s="96" t="inlineStr">
        <is>
          <t>ELECTROTHERM (INDIA) LTD</t>
        </is>
      </c>
      <c r="C1156" s="97" t="n">
        <v>526608</v>
      </c>
      <c r="D1156" s="96" t="inlineStr">
        <is>
          <t>ELECTHERM</t>
        </is>
      </c>
      <c r="E1156" s="96" t="inlineStr">
        <is>
          <t>Iron &amp; Steel Products</t>
        </is>
      </c>
    </row>
    <row r="1157" ht="15" customHeight="1" s="109" thickBot="1">
      <c r="B1157" s="96" t="inlineStr">
        <is>
          <t>ELECTROTHERM INDIA LTD</t>
        </is>
      </c>
      <c r="C1157" s="97" t="n">
        <v>526608</v>
      </c>
      <c r="D1157" s="96" t="inlineStr">
        <is>
          <t>ELECTHERM</t>
        </is>
      </c>
      <c r="E1157" s="96" t="inlineStr">
        <is>
          <t>Iron &amp; Steel Products</t>
        </is>
      </c>
    </row>
    <row r="1158" ht="15" customHeight="1" s="109" thickBot="1">
      <c r="B1158" s="96" t="inlineStr">
        <is>
          <t>ELEGANT FLORICULTURE &amp; AGROTECH (INDIA) LTD</t>
        </is>
      </c>
      <c r="C1158" s="97" t="n">
        <v>526473</v>
      </c>
      <c r="D1158" s="96" t="inlineStr">
        <is>
          <t>Not Listed</t>
        </is>
      </c>
      <c r="E1158" s="96" t="inlineStr">
        <is>
          <t>Other Agricultural Products</t>
        </is>
      </c>
    </row>
    <row r="1159" ht="15" customHeight="1" s="109" thickBot="1">
      <c r="B1159" s="96" t="inlineStr">
        <is>
          <t>ELEGANT FLORICULTURE &amp; AGROTECH INDIA LTD</t>
        </is>
      </c>
      <c r="C1159" s="97" t="n">
        <v>526473</v>
      </c>
      <c r="D1159" s="96" t="inlineStr">
        <is>
          <t>Not Listed</t>
        </is>
      </c>
      <c r="E1159" s="96" t="inlineStr">
        <is>
          <t>Other Agricultural Products</t>
        </is>
      </c>
    </row>
    <row r="1160" ht="15" customHeight="1" s="109" thickBot="1">
      <c r="B1160" s="96" t="inlineStr">
        <is>
          <t>ELEGANT MARBLES &amp; GRANI INDUSTRIES LTD</t>
        </is>
      </c>
      <c r="C1160" s="97" t="n">
        <v>526705</v>
      </c>
      <c r="D1160" s="96" t="inlineStr">
        <is>
          <t>Not Listed</t>
        </is>
      </c>
      <c r="E1160" s="96" t="inlineStr">
        <is>
          <t>Comm.Trading &amp; Distribution</t>
        </is>
      </c>
    </row>
    <row r="1161" ht="15" customHeight="1" s="109" thickBot="1">
      <c r="B1161" s="96" t="inlineStr">
        <is>
          <t>ELGI EQUIPMENTS LTD</t>
        </is>
      </c>
      <c r="C1161" s="97" t="n">
        <v>522074</v>
      </c>
      <c r="D1161" s="96" t="inlineStr">
        <is>
          <t>ELGIEQUIP</t>
        </is>
      </c>
      <c r="E1161" s="96" t="inlineStr">
        <is>
          <t>Industrial Machinery</t>
        </is>
      </c>
    </row>
    <row r="1162" ht="15" customHeight="1" s="109" thickBot="1">
      <c r="B1162" s="96" t="inlineStr">
        <is>
          <t>ELGI RUBBER COMPANY LTD</t>
        </is>
      </c>
      <c r="C1162" s="96" t="inlineStr">
        <is>
          <t>Not Listed</t>
        </is>
      </c>
      <c r="D1162" s="96" t="inlineStr">
        <is>
          <t>ELGIRUBCO</t>
        </is>
      </c>
      <c r="E1162" s="96" t="inlineStr">
        <is>
          <t>Others</t>
        </is>
      </c>
    </row>
    <row r="1163" ht="15" customHeight="1" s="109" thickBot="1">
      <c r="B1163" s="96" t="inlineStr">
        <is>
          <t>ELIXIR CAPITAL LTD</t>
        </is>
      </c>
      <c r="C1163" s="97" t="n">
        <v>531278</v>
      </c>
      <c r="D1163" s="96" t="inlineStr">
        <is>
          <t>Not Listed</t>
        </is>
      </c>
      <c r="E1163" s="96" t="inlineStr">
        <is>
          <t>Other Financial Services</t>
        </is>
      </c>
    </row>
    <row r="1164" ht="15" customHeight="1" s="109" thickBot="1">
      <c r="B1164" s="96" t="inlineStr">
        <is>
          <t>ELNET TECHNOLOGIES LTD</t>
        </is>
      </c>
      <c r="C1164" s="97" t="n">
        <v>517477</v>
      </c>
      <c r="D1164" s="96" t="inlineStr">
        <is>
          <t>Not Listed</t>
        </is>
      </c>
      <c r="E1164" s="96" t="inlineStr">
        <is>
          <t>IT Software Products</t>
        </is>
      </c>
    </row>
    <row r="1165" ht="15" customHeight="1" s="109" thickBot="1">
      <c r="B1165" s="96" t="inlineStr">
        <is>
          <t>ELPRO INTERNATIONAL LTD</t>
        </is>
      </c>
      <c r="C1165" s="97" t="n">
        <v>504000</v>
      </c>
      <c r="D1165" s="96" t="inlineStr">
        <is>
          <t>Not Listed</t>
        </is>
      </c>
      <c r="E1165" s="96" t="inlineStr">
        <is>
          <t>Other Elect.Equip./ Prod.</t>
        </is>
      </c>
    </row>
    <row r="1166" ht="15" customHeight="1" s="109" thickBot="1">
      <c r="B1166" s="96" t="inlineStr">
        <is>
          <t>EMA (INDIA) LTD</t>
        </is>
      </c>
      <c r="C1166" s="97" t="n">
        <v>522027</v>
      </c>
      <c r="D1166" s="96" t="inlineStr">
        <is>
          <t>Not Listed</t>
        </is>
      </c>
      <c r="E1166" s="96" t="inlineStr">
        <is>
          <t>Industrial Machinery</t>
        </is>
      </c>
    </row>
    <row r="1167" ht="15" customHeight="1" s="109" thickBot="1">
      <c r="B1167" s="96" t="inlineStr">
        <is>
          <t>EMA INDIA LTD</t>
        </is>
      </c>
      <c r="C1167" s="97" t="n">
        <v>522027</v>
      </c>
      <c r="D1167" s="96" t="inlineStr">
        <is>
          <t>Not Listed</t>
        </is>
      </c>
      <c r="E1167" s="96" t="inlineStr">
        <is>
          <t>Industrial Machinery</t>
        </is>
      </c>
    </row>
    <row r="1168" ht="15" customHeight="1" s="109" thickBot="1">
      <c r="B1168" s="96" t="inlineStr">
        <is>
          <t>EMAMI LTD</t>
        </is>
      </c>
      <c r="C1168" s="97" t="n">
        <v>531162</v>
      </c>
      <c r="D1168" s="96" t="inlineStr">
        <is>
          <t>EMAMILTD</t>
        </is>
      </c>
      <c r="E1168" s="96" t="inlineStr">
        <is>
          <t>Personal Products</t>
        </is>
      </c>
    </row>
    <row r="1169" ht="15" customHeight="1" s="109" thickBot="1">
      <c r="B1169" s="96" t="inlineStr">
        <is>
          <t>Emami Paper Mills LTD</t>
        </is>
      </c>
      <c r="C1169" s="96" t="inlineStr">
        <is>
          <t>Not Listed</t>
        </is>
      </c>
      <c r="D1169" s="96" t="inlineStr">
        <is>
          <t>EMAMIPAP</t>
        </is>
      </c>
      <c r="E1169" s="96" t="inlineStr">
        <is>
          <t>Personal Products</t>
        </is>
      </c>
    </row>
    <row r="1170" ht="15" customHeight="1" s="109" thickBot="1">
      <c r="B1170" s="96" t="inlineStr">
        <is>
          <t>EMAMI PAPER MILLS LTD</t>
        </is>
      </c>
      <c r="C1170" s="97" t="n">
        <v>533208</v>
      </c>
      <c r="D1170" s="96" t="inlineStr">
        <is>
          <t>Not Listed</t>
        </is>
      </c>
      <c r="E1170" s="96" t="inlineStr">
        <is>
          <t>Paper &amp; Paper Products</t>
        </is>
      </c>
    </row>
    <row r="1171" ht="15" customHeight="1" s="109" thickBot="1">
      <c r="B1171" s="96" t="inlineStr">
        <is>
          <t>EMAMI REALTY LTD</t>
        </is>
      </c>
      <c r="C1171" s="97" t="n">
        <v>533218</v>
      </c>
      <c r="D1171" s="96" t="inlineStr">
        <is>
          <t>EMAMIREAL</t>
        </is>
      </c>
      <c r="E1171" s="96" t="inlineStr">
        <is>
          <t>Realty</t>
        </is>
      </c>
    </row>
    <row r="1172" ht="15" customHeight="1" s="109" thickBot="1">
      <c r="B1172" s="96" t="inlineStr">
        <is>
          <t>Embassy Office Parks REIT</t>
        </is>
      </c>
      <c r="C1172" s="97" t="n">
        <v>542602</v>
      </c>
      <c r="D1172" s="96" t="inlineStr">
        <is>
          <t>EMBASSY</t>
        </is>
      </c>
      <c r="E1172" s="96" t="inlineStr">
        <is>
          <t>Investment Companies</t>
        </is>
      </c>
    </row>
    <row r="1173" ht="15" customHeight="1" s="109" thickBot="1">
      <c r="B1173" s="96" t="inlineStr">
        <is>
          <t>EMCO LTD</t>
        </is>
      </c>
      <c r="C1173" s="97" t="n">
        <v>504008</v>
      </c>
      <c r="D1173" s="96" t="inlineStr">
        <is>
          <t>EMCO</t>
        </is>
      </c>
      <c r="E1173" s="96" t="inlineStr">
        <is>
          <t>Heavy Electrical Equipment</t>
        </is>
      </c>
    </row>
    <row r="1174" ht="15" customHeight="1" s="109" thickBot="1">
      <c r="B1174" s="96" t="inlineStr">
        <is>
          <t>EMERALD LEASING FINANCE &amp; INVESTMENT COMPANY LTD</t>
        </is>
      </c>
      <c r="C1174" s="97" t="n">
        <v>538882</v>
      </c>
      <c r="D1174" s="96" t="inlineStr">
        <is>
          <t>Not Listed</t>
        </is>
      </c>
      <c r="E1174" s="96" t="inlineStr">
        <is>
          <t>Other Financial Services</t>
        </is>
      </c>
    </row>
    <row r="1175" ht="15" customHeight="1" s="109" thickBot="1">
      <c r="B1175" s="96" t="inlineStr">
        <is>
          <t>EMERALD LEISURES LTD</t>
        </is>
      </c>
      <c r="C1175" s="97" t="n">
        <v>507265</v>
      </c>
      <c r="D1175" s="96" t="inlineStr">
        <is>
          <t>Not Listed</t>
        </is>
      </c>
      <c r="E1175" s="96" t="inlineStr">
        <is>
          <t>Other Leisure Facilities</t>
        </is>
      </c>
    </row>
    <row r="1176" ht="15" customHeight="1" s="109" thickBot="1">
      <c r="B1176" s="96" t="inlineStr">
        <is>
          <t>EMGEE CABLES &amp; COMMUNICATIONS LTD</t>
        </is>
      </c>
      <c r="C1176" s="97" t="n">
        <v>530333</v>
      </c>
      <c r="D1176" s="96" t="inlineStr">
        <is>
          <t>Not Listed</t>
        </is>
      </c>
      <c r="E1176" s="96" t="inlineStr">
        <is>
          <t>Other Elect.Equip./ Prod.</t>
        </is>
      </c>
    </row>
    <row r="1177" ht="15" customHeight="1" s="109" thickBot="1">
      <c r="B1177" s="96" t="inlineStr">
        <is>
          <t>EMKAY GLOBAL FINANCIAL SERVICES LTD</t>
        </is>
      </c>
      <c r="C1177" s="97" t="n">
        <v>532737</v>
      </c>
      <c r="D1177" s="96" t="inlineStr">
        <is>
          <t>EMKAY</t>
        </is>
      </c>
      <c r="E1177" s="96" t="inlineStr">
        <is>
          <t>Other Financial Services</t>
        </is>
      </c>
    </row>
    <row r="1178" ht="15" customHeight="1" s="109" thickBot="1">
      <c r="B1178" s="96" t="inlineStr">
        <is>
          <t>EMKAY TAPS AND CUTTING TOOLS LTD</t>
        </is>
      </c>
      <c r="C1178" s="96" t="inlineStr">
        <is>
          <t>Not Listed</t>
        </is>
      </c>
      <c r="D1178" s="96" t="inlineStr">
        <is>
          <t>EMKAYTOOLS</t>
        </is>
      </c>
      <c r="E1178" s="96" t="inlineStr">
        <is>
          <t>SME</t>
        </is>
      </c>
    </row>
    <row r="1179" ht="15" customHeight="1" s="109" thickBot="1">
      <c r="B1179" s="96" t="inlineStr">
        <is>
          <t>EMMBI INDUSTRIES LTD</t>
        </is>
      </c>
      <c r="C1179" s="97" t="n">
        <v>533161</v>
      </c>
      <c r="D1179" s="96" t="inlineStr">
        <is>
          <t>EMMBI</t>
        </is>
      </c>
      <c r="E1179" s="96" t="inlineStr">
        <is>
          <t>Containers &amp; Packaging</t>
        </is>
      </c>
    </row>
    <row r="1180" ht="15" customHeight="1" s="109" thickBot="1">
      <c r="B1180" s="96" t="inlineStr">
        <is>
          <t>EMMESSAR BIOTECH &amp; NUTRITION LTD</t>
        </is>
      </c>
      <c r="C1180" s="97" t="n">
        <v>524768</v>
      </c>
      <c r="D1180" s="96" t="inlineStr">
        <is>
          <t>Not Listed</t>
        </is>
      </c>
      <c r="E1180" s="96" t="inlineStr">
        <is>
          <t>Commodity Chemicals</t>
        </is>
      </c>
    </row>
    <row r="1181" ht="15" customHeight="1" s="109" thickBot="1">
      <c r="B1181" s="96" t="inlineStr">
        <is>
          <t>EMMSONS INTERNATIONAL LTD</t>
        </is>
      </c>
      <c r="C1181" s="97" t="n">
        <v>532038</v>
      </c>
      <c r="D1181" s="96" t="inlineStr">
        <is>
          <t>Not Listed</t>
        </is>
      </c>
      <c r="E1181" s="96" t="inlineStr">
        <is>
          <t>Comm.Trading &amp; Distribution</t>
        </is>
      </c>
    </row>
    <row r="1182" ht="15" customHeight="1" s="109" thickBot="1">
      <c r="B1182" s="96" t="inlineStr">
        <is>
          <t>EMPEE DISTILLERIES LTD</t>
        </is>
      </c>
      <c r="C1182" s="97" t="n">
        <v>532920</v>
      </c>
      <c r="D1182" s="96" t="inlineStr">
        <is>
          <t>EDL</t>
        </is>
      </c>
      <c r="E1182" s="96" t="inlineStr">
        <is>
          <t>Breweries &amp; Distilleries</t>
        </is>
      </c>
    </row>
    <row r="1183" ht="15" customHeight="1" s="109" thickBot="1">
      <c r="B1183" s="96" t="inlineStr">
        <is>
          <t>EMPEE SUGARS &amp; CHEMICALS LTD</t>
        </is>
      </c>
      <c r="C1183" s="97" t="n">
        <v>500132</v>
      </c>
      <c r="D1183" s="96" t="inlineStr">
        <is>
          <t>Not Listed</t>
        </is>
      </c>
      <c r="E1183" s="96" t="inlineStr">
        <is>
          <t>Sugar</t>
        </is>
      </c>
    </row>
    <row r="1184" ht="15" customHeight="1" s="109" thickBot="1">
      <c r="B1184" s="96" t="inlineStr">
        <is>
          <t>EMPIRE INDUSTRIES LTD</t>
        </is>
      </c>
      <c r="C1184" s="97" t="n">
        <v>509525</v>
      </c>
      <c r="D1184" s="96" t="inlineStr">
        <is>
          <t>Not Listed</t>
        </is>
      </c>
      <c r="E1184" s="96" t="inlineStr">
        <is>
          <t>Diversified</t>
        </is>
      </c>
    </row>
    <row r="1185" ht="15" customHeight="1" s="109" thickBot="1">
      <c r="B1185" s="96" t="inlineStr">
        <is>
          <t>EMPOWER (INDIA) LTD</t>
        </is>
      </c>
      <c r="C1185" s="97" t="n">
        <v>504351</v>
      </c>
      <c r="D1185" s="96" t="inlineStr">
        <is>
          <t>Not Listed</t>
        </is>
      </c>
      <c r="E1185" s="96" t="inlineStr">
        <is>
          <t>IT Consulting &amp; Software</t>
        </is>
      </c>
    </row>
    <row r="1186" ht="15" customHeight="1" s="109" thickBot="1">
      <c r="B1186" s="96" t="inlineStr">
        <is>
          <t>EMPOWER INDIA LTD</t>
        </is>
      </c>
      <c r="C1186" s="97" t="n">
        <v>504351</v>
      </c>
      <c r="D1186" s="96" t="inlineStr">
        <is>
          <t>Not Listed</t>
        </is>
      </c>
      <c r="E1186" s="96" t="inlineStr">
        <is>
          <t>IT Consulting &amp; Software</t>
        </is>
      </c>
    </row>
    <row r="1187" ht="15" customHeight="1" s="109" thickBot="1">
      <c r="B1187" s="96" t="inlineStr">
        <is>
          <t>ENBEE TRADE &amp; FINANCE LTD</t>
        </is>
      </c>
      <c r="C1187" s="97" t="n">
        <v>512441</v>
      </c>
      <c r="D1187" s="96" t="inlineStr">
        <is>
          <t>Not Listed</t>
        </is>
      </c>
      <c r="E1187" s="96" t="inlineStr">
        <is>
          <t>Misc.Commercial Services</t>
        </is>
      </c>
    </row>
    <row r="1188" ht="15" customHeight="1" s="109" thickBot="1">
      <c r="B1188" s="96" t="inlineStr">
        <is>
          <t>ENCASH ENTERTAINMENT LTD</t>
        </is>
      </c>
      <c r="C1188" s="97" t="n">
        <v>538684</v>
      </c>
      <c r="D1188" s="96" t="inlineStr">
        <is>
          <t>Not Listed</t>
        </is>
      </c>
      <c r="E1188" s="96" t="inlineStr">
        <is>
          <t>Movies &amp; Entertainment</t>
        </is>
      </c>
    </row>
    <row r="1189" ht="15" customHeight="1" s="109" thickBot="1">
      <c r="B1189" s="96" t="inlineStr">
        <is>
          <t>ENDURANCE TECHNOLOGIES LTD</t>
        </is>
      </c>
      <c r="C1189" s="97" t="n">
        <v>540153</v>
      </c>
      <c r="D1189" s="96" t="inlineStr">
        <is>
          <t>ENDURANCE</t>
        </is>
      </c>
      <c r="E1189" s="96" t="inlineStr">
        <is>
          <t>2/3 Wheelers</t>
        </is>
      </c>
    </row>
    <row r="1190" ht="15" customHeight="1" s="109" thickBot="1">
      <c r="B1190" s="96" t="inlineStr">
        <is>
          <t>ENERGY DEVELOPMENT COMPANY LTD</t>
        </is>
      </c>
      <c r="C1190" s="97" t="n">
        <v>532219</v>
      </c>
      <c r="D1190" s="96" t="inlineStr">
        <is>
          <t>ENERGYDEV</t>
        </is>
      </c>
      <c r="E1190" s="96" t="inlineStr">
        <is>
          <t>Electric Utilities</t>
        </is>
      </c>
    </row>
    <row r="1191" ht="15" customHeight="1" s="109" thickBot="1">
      <c r="B1191" s="96" t="inlineStr">
        <is>
          <t>ENGINEERS (INDIA) LTD</t>
        </is>
      </c>
      <c r="C1191" s="97" t="n">
        <v>532178</v>
      </c>
      <c r="D1191" s="96" t="inlineStr">
        <is>
          <t>ENGINERSIN</t>
        </is>
      </c>
      <c r="E1191" s="96" t="inlineStr">
        <is>
          <t>Consulting Services</t>
        </is>
      </c>
    </row>
    <row r="1192" ht="15" customHeight="1" s="109" thickBot="1">
      <c r="B1192" s="96" t="inlineStr">
        <is>
          <t>ENGINEERS INDIA LTD</t>
        </is>
      </c>
      <c r="C1192" s="97" t="n">
        <v>532178</v>
      </c>
      <c r="D1192" s="96" t="inlineStr">
        <is>
          <t>ENGINERSIN</t>
        </is>
      </c>
      <c r="E1192" s="96" t="inlineStr">
        <is>
          <t>Consulting Services</t>
        </is>
      </c>
    </row>
    <row r="1193" ht="15" customHeight="1" s="109" thickBot="1">
      <c r="B1193" s="96" t="inlineStr">
        <is>
          <t>ENKEI WHEELS (INDIA) LTD</t>
        </is>
      </c>
      <c r="C1193" s="97" t="n">
        <v>533477</v>
      </c>
      <c r="D1193" s="96" t="inlineStr">
        <is>
          <t>Not Listed</t>
        </is>
      </c>
      <c r="E1193" s="96" t="inlineStr">
        <is>
          <t>Auto Parts &amp; Equipment</t>
        </is>
      </c>
    </row>
    <row r="1194" ht="15" customHeight="1" s="109" thickBot="1">
      <c r="B1194" s="96" t="inlineStr">
        <is>
          <t>ENKEI WHEELS INDIA LTD</t>
        </is>
      </c>
      <c r="C1194" s="97" t="n">
        <v>533477</v>
      </c>
      <c r="D1194" s="96" t="inlineStr">
        <is>
          <t>Not Listed</t>
        </is>
      </c>
      <c r="E1194" s="96" t="inlineStr">
        <is>
          <t>Auto Parts &amp; Equipment</t>
        </is>
      </c>
    </row>
    <row r="1195" ht="15" customHeight="1" s="109" thickBot="1">
      <c r="B1195" s="96" t="inlineStr">
        <is>
          <t>ENTERPRISE INTERNATIONAL LTD</t>
        </is>
      </c>
      <c r="C1195" s="97" t="n">
        <v>526574</v>
      </c>
      <c r="D1195" s="96" t="inlineStr">
        <is>
          <t>Not Listed</t>
        </is>
      </c>
      <c r="E1195" s="96" t="inlineStr">
        <is>
          <t>Comm.Trading &amp; Distribution</t>
        </is>
      </c>
    </row>
    <row r="1196" ht="15" customHeight="1" s="109" thickBot="1">
      <c r="B1196" s="96" t="inlineStr">
        <is>
          <t>ENTERTAINMENT NETWORK (INDIA) LTD</t>
        </is>
      </c>
      <c r="C1196" s="97" t="n">
        <v>532700</v>
      </c>
      <c r="D1196" s="96" t="inlineStr">
        <is>
          <t>ENIL</t>
        </is>
      </c>
      <c r="E1196" s="96" t="inlineStr">
        <is>
          <t>Broadcasting &amp; Cable TV</t>
        </is>
      </c>
    </row>
    <row r="1197" ht="15" customHeight="1" s="109" thickBot="1">
      <c r="B1197" s="96" t="inlineStr">
        <is>
          <t>ENTERTAINMENT NETWORK INDIA LTD</t>
        </is>
      </c>
      <c r="C1197" s="97" t="n">
        <v>532700</v>
      </c>
      <c r="D1197" s="96" t="inlineStr">
        <is>
          <t>ENIL</t>
        </is>
      </c>
      <c r="E1197" s="96" t="inlineStr">
        <is>
          <t>Broadcasting &amp; Cable TV</t>
        </is>
      </c>
    </row>
    <row r="1198" ht="15" customHeight="1" s="109" thickBot="1">
      <c r="B1198" s="96" t="inlineStr">
        <is>
          <t>ENVAIR ELECTRODYNE LTD</t>
        </is>
      </c>
      <c r="C1198" s="97" t="n">
        <v>500246</v>
      </c>
      <c r="D1198" s="96" t="inlineStr">
        <is>
          <t>Not Listed</t>
        </is>
      </c>
      <c r="E1198" s="96" t="inlineStr">
        <is>
          <t>Industrial Machinery</t>
        </is>
      </c>
    </row>
    <row r="1199" ht="15" customHeight="1" s="109" thickBot="1">
      <c r="B1199" s="96" t="inlineStr">
        <is>
          <t>EON ELECTRIC LTD</t>
        </is>
      </c>
      <c r="C1199" s="97" t="n">
        <v>532658</v>
      </c>
      <c r="D1199" s="96" t="inlineStr">
        <is>
          <t>EON</t>
        </is>
      </c>
      <c r="E1199" s="96" t="inlineStr">
        <is>
          <t>Other Elect.Equip./ Prod.</t>
        </is>
      </c>
    </row>
    <row r="1200" ht="15" customHeight="1" s="109" thickBot="1">
      <c r="B1200" s="96" t="inlineStr">
        <is>
          <t>EPC INDUSTRIE LTD</t>
        </is>
      </c>
      <c r="C1200" s="97" t="n">
        <v>523754</v>
      </c>
      <c r="D1200" s="96" t="inlineStr">
        <is>
          <t>Not Listed</t>
        </is>
      </c>
      <c r="E1200" s="96" t="inlineStr">
        <is>
          <t>Plastic Products</t>
        </is>
      </c>
    </row>
    <row r="1201" ht="15" customHeight="1" s="109" thickBot="1">
      <c r="B1201" s="96" t="inlineStr">
        <is>
          <t>EPIC ENERGY LTD</t>
        </is>
      </c>
      <c r="C1201" s="97" t="n">
        <v>530407</v>
      </c>
      <c r="D1201" s="96" t="inlineStr">
        <is>
          <t>Not Listed</t>
        </is>
      </c>
      <c r="E1201" s="96" t="inlineStr">
        <is>
          <t>Finance (including NBFCs)</t>
        </is>
      </c>
    </row>
    <row r="1202" ht="15" customHeight="1" s="109" thickBot="1">
      <c r="B1202" s="96" t="inlineStr">
        <is>
          <t>EPSOM PROPERTIES LTD</t>
        </is>
      </c>
      <c r="C1202" s="97" t="n">
        <v>531155</v>
      </c>
      <c r="D1202" s="96" t="inlineStr">
        <is>
          <t>Not Listed</t>
        </is>
      </c>
      <c r="E1202" s="96" t="inlineStr">
        <is>
          <t>Pharmaceuticals</t>
        </is>
      </c>
    </row>
    <row r="1203" ht="15" customHeight="1" s="109" thickBot="1">
      <c r="B1203" s="96" t="inlineStr">
        <is>
          <t>EQUITAS HOLDINGS LTD</t>
        </is>
      </c>
      <c r="C1203" s="97" t="n">
        <v>539844</v>
      </c>
      <c r="D1203" s="96" t="inlineStr">
        <is>
          <t>EQUITAS</t>
        </is>
      </c>
      <c r="E1203" s="96" t="inlineStr">
        <is>
          <t>Holding Companies</t>
        </is>
      </c>
    </row>
    <row r="1204" ht="15" customHeight="1" s="109" thickBot="1">
      <c r="B1204" s="96" t="inlineStr">
        <is>
          <t>ERIS LIFESCIENCES LTD</t>
        </is>
      </c>
      <c r="C1204" s="97" t="n">
        <v>540596</v>
      </c>
      <c r="D1204" s="96" t="inlineStr">
        <is>
          <t>ERIS</t>
        </is>
      </c>
      <c r="E1204" s="96" t="inlineStr">
        <is>
          <t>Pharmaceuticals</t>
        </is>
      </c>
    </row>
    <row r="1205" ht="15" customHeight="1" s="109" thickBot="1">
      <c r="B1205" s="96" t="inlineStr">
        <is>
          <t>EROS INTERNATIONAL MEDIA LTD</t>
        </is>
      </c>
      <c r="C1205" s="97" t="n">
        <v>533261</v>
      </c>
      <c r="D1205" s="96" t="inlineStr">
        <is>
          <t>EROSMEDIA</t>
        </is>
      </c>
      <c r="E1205" s="96" t="inlineStr">
        <is>
          <t>Movies &amp; Entertainment</t>
        </is>
      </c>
    </row>
    <row r="1206" ht="15" customHeight="1" s="109" thickBot="1">
      <c r="B1206" s="96" t="inlineStr">
        <is>
          <t>ERP SOFT SYSTEMS LTD</t>
        </is>
      </c>
      <c r="C1206" s="97" t="n">
        <v>530909</v>
      </c>
      <c r="D1206" s="96" t="inlineStr">
        <is>
          <t>Not Listed</t>
        </is>
      </c>
      <c r="E1206" s="96" t="inlineStr">
        <is>
          <t>Misc.Commercial Services</t>
        </is>
      </c>
    </row>
    <row r="1207" ht="15" customHeight="1" s="109" thickBot="1">
      <c r="B1207" s="96" t="inlineStr">
        <is>
          <t>ESAAR (INDIA) LTD</t>
        </is>
      </c>
      <c r="C1207" s="97" t="n">
        <v>531502</v>
      </c>
      <c r="D1207" s="96" t="inlineStr">
        <is>
          <t>Not Listed</t>
        </is>
      </c>
      <c r="E1207" s="96" t="inlineStr">
        <is>
          <t>Misc.Commercial Services</t>
        </is>
      </c>
    </row>
    <row r="1208" ht="15" customHeight="1" s="109" thickBot="1">
      <c r="B1208" s="96" t="inlineStr">
        <is>
          <t>ESAAR INDIA LTD</t>
        </is>
      </c>
      <c r="C1208" s="97" t="n">
        <v>531502</v>
      </c>
      <c r="D1208" s="96" t="inlineStr">
        <is>
          <t>Not Listed</t>
        </is>
      </c>
      <c r="E1208" s="96" t="inlineStr">
        <is>
          <t>Misc.Commercial Services</t>
        </is>
      </c>
    </row>
    <row r="1209" ht="15" customHeight="1" s="109" thickBot="1">
      <c r="B1209" s="96" t="inlineStr">
        <is>
          <t>ESAB (INDIA) LTD</t>
        </is>
      </c>
      <c r="C1209" s="97" t="n">
        <v>500133</v>
      </c>
      <c r="D1209" s="96" t="inlineStr">
        <is>
          <t>ESAB(INDIA)</t>
        </is>
      </c>
      <c r="E1209" s="96" t="inlineStr">
        <is>
          <t>Other Industrial Goods</t>
        </is>
      </c>
    </row>
    <row r="1210" ht="15" customHeight="1" s="109" thickBot="1">
      <c r="B1210" s="96" t="inlineStr">
        <is>
          <t>ESAB INDIA LTD</t>
        </is>
      </c>
      <c r="C1210" s="97" t="n">
        <v>500133</v>
      </c>
      <c r="D1210" s="96" t="inlineStr">
        <is>
          <t>ESABINDIA</t>
        </is>
      </c>
      <c r="E1210" s="96" t="inlineStr">
        <is>
          <t>Other Industrial Goods</t>
        </is>
      </c>
    </row>
    <row r="1211" ht="15" customHeight="1" s="109" thickBot="1">
      <c r="B1211" s="96" t="inlineStr">
        <is>
          <t>ESCORP ASSET MANAGEMENT LTD</t>
        </is>
      </c>
      <c r="C1211" s="97" t="n">
        <v>540455</v>
      </c>
      <c r="D1211" s="96" t="inlineStr">
        <is>
          <t>Not Listed</t>
        </is>
      </c>
      <c r="E1211" s="96" t="inlineStr">
        <is>
          <t>Other Financial Services</t>
        </is>
      </c>
    </row>
    <row r="1212" ht="15" customHeight="1" s="109" thickBot="1">
      <c r="B1212" s="96" t="inlineStr">
        <is>
          <t>ESCORTS FINANCE LTD</t>
        </is>
      </c>
      <c r="C1212" s="97" t="n">
        <v>511716</v>
      </c>
      <c r="D1212" s="96" t="inlineStr">
        <is>
          <t>Not Listed</t>
        </is>
      </c>
      <c r="E1212" s="96" t="inlineStr">
        <is>
          <t>Finance (including NBFCs)</t>
        </is>
      </c>
    </row>
    <row r="1213" ht="15" customHeight="1" s="109" thickBot="1">
      <c r="B1213" s="96" t="inlineStr">
        <is>
          <t>ESCORTS LTD</t>
        </is>
      </c>
      <c r="C1213" s="97" t="n">
        <v>500495</v>
      </c>
      <c r="D1213" s="96" t="inlineStr">
        <is>
          <t>ESCORTS</t>
        </is>
      </c>
      <c r="E1213" s="96" t="inlineStr">
        <is>
          <t>Commercial Vehicles</t>
        </is>
      </c>
    </row>
    <row r="1214" ht="15" customHeight="1" s="109" thickBot="1">
      <c r="B1214" s="96" t="inlineStr">
        <is>
          <t>ESHA MEDIA RESEARCH LTD</t>
        </is>
      </c>
      <c r="C1214" s="97" t="n">
        <v>531259</v>
      </c>
      <c r="D1214" s="96" t="inlineStr">
        <is>
          <t>Not Listed</t>
        </is>
      </c>
      <c r="E1214" s="96" t="inlineStr">
        <is>
          <t>Advertising &amp; Media</t>
        </is>
      </c>
    </row>
    <row r="1215" ht="15" customHeight="1" s="109" thickBot="1">
      <c r="B1215" s="96" t="inlineStr">
        <is>
          <t>ESKAY K'N'IT (INDIA) LTD</t>
        </is>
      </c>
      <c r="C1215" s="97" t="n">
        <v>514118</v>
      </c>
      <c r="D1215" s="96" t="inlineStr">
        <is>
          <t>Not Listed</t>
        </is>
      </c>
      <c r="E1215" s="96" t="inlineStr">
        <is>
          <t>Textiles</t>
        </is>
      </c>
    </row>
    <row r="1216" ht="15" customHeight="1" s="109" thickBot="1">
      <c r="B1216" s="96" t="inlineStr">
        <is>
          <t>ESKAY K'N'IT INDIA LTD</t>
        </is>
      </c>
      <c r="C1216" s="97" t="n">
        <v>514118</v>
      </c>
      <c r="D1216" s="96" t="inlineStr">
        <is>
          <t>Not Listed</t>
        </is>
      </c>
      <c r="E1216" s="96" t="inlineStr">
        <is>
          <t>Textiles</t>
        </is>
      </c>
    </row>
    <row r="1217" ht="15" customHeight="1" s="109" thickBot="1">
      <c r="B1217" s="96" t="inlineStr">
        <is>
          <t>ESS DEE ALUMINIUM LTD</t>
        </is>
      </c>
      <c r="C1217" s="97" t="n">
        <v>532787</v>
      </c>
      <c r="D1217" s="96" t="inlineStr">
        <is>
          <t>ESSDEE</t>
        </is>
      </c>
      <c r="E1217" s="96" t="inlineStr">
        <is>
          <t>Household Products</t>
        </is>
      </c>
    </row>
    <row r="1218" ht="15" customHeight="1" s="109" thickBot="1">
      <c r="B1218" s="96" t="inlineStr">
        <is>
          <t>ESSAR SECURITIES LTD</t>
        </is>
      </c>
      <c r="C1218" s="97" t="n">
        <v>533149</v>
      </c>
      <c r="D1218" s="96" t="inlineStr">
        <is>
          <t>Not Listed</t>
        </is>
      </c>
      <c r="E1218" s="96" t="inlineStr">
        <is>
          <t>Other Financial Services</t>
        </is>
      </c>
    </row>
    <row r="1219" ht="15" customHeight="1" s="109" thickBot="1">
      <c r="B1219" s="96" t="inlineStr">
        <is>
          <t>ESSAR SHIPPING LTD</t>
        </is>
      </c>
      <c r="C1219" s="97" t="n">
        <v>533704</v>
      </c>
      <c r="D1219" s="96" t="inlineStr">
        <is>
          <t>ESSARSHPNG</t>
        </is>
      </c>
      <c r="E1219" s="96" t="inlineStr">
        <is>
          <t>Shipping</t>
        </is>
      </c>
    </row>
    <row r="1220" ht="15" customHeight="1" s="109" thickBot="1">
      <c r="B1220" s="96" t="inlineStr">
        <is>
          <t>ESSEL PROPACK LTD</t>
        </is>
      </c>
      <c r="C1220" s="97" t="n">
        <v>500135</v>
      </c>
      <c r="D1220" s="96" t="inlineStr">
        <is>
          <t>ESSELPACK</t>
        </is>
      </c>
      <c r="E1220" s="96" t="inlineStr">
        <is>
          <t>Containers &amp; Packaging</t>
        </is>
      </c>
    </row>
    <row r="1221" ht="15" customHeight="1" s="109" thickBot="1">
      <c r="B1221" s="96" t="inlineStr">
        <is>
          <t>ESTEEM BIO ORGANIC FOOD PROCESSING LTD</t>
        </is>
      </c>
      <c r="C1221" s="97" t="n">
        <v>534927</v>
      </c>
      <c r="D1221" s="96" t="inlineStr">
        <is>
          <t>Not Listed</t>
        </is>
      </c>
      <c r="E1221" s="96" t="inlineStr">
        <is>
          <t>Other Agricultural Products</t>
        </is>
      </c>
    </row>
    <row r="1222" ht="15" customHeight="1" s="109" thickBot="1">
      <c r="B1222" s="96" t="inlineStr">
        <is>
          <t>ESTER INDUSTRIES LTD</t>
        </is>
      </c>
      <c r="C1222" s="97" t="n">
        <v>500136</v>
      </c>
      <c r="D1222" s="96" t="inlineStr">
        <is>
          <t>ESTER</t>
        </is>
      </c>
      <c r="E1222" s="96" t="inlineStr">
        <is>
          <t>Commodity Chemicals</t>
        </is>
      </c>
    </row>
    <row r="1223" ht="15" customHeight="1" s="109" thickBot="1">
      <c r="B1223" s="96" t="inlineStr">
        <is>
          <t>ETT LTD</t>
        </is>
      </c>
      <c r="C1223" s="97" t="n">
        <v>537707</v>
      </c>
      <c r="D1223" s="96" t="inlineStr">
        <is>
          <t>Not Listed</t>
        </is>
      </c>
      <c r="E1223" s="96" t="inlineStr">
        <is>
          <t>Realty</t>
        </is>
      </c>
    </row>
    <row r="1224" ht="15" customHeight="1" s="109" thickBot="1">
      <c r="B1224" s="96" t="inlineStr">
        <is>
          <t>EUREKA INDUSTRIES LTD</t>
        </is>
      </c>
      <c r="C1224" s="97" t="n">
        <v>521137</v>
      </c>
      <c r="D1224" s="96" t="inlineStr">
        <is>
          <t>Not Listed</t>
        </is>
      </c>
      <c r="E1224" s="96" t="inlineStr">
        <is>
          <t>Textiles</t>
        </is>
      </c>
    </row>
    <row r="1225" ht="15" customHeight="1" s="109" thickBot="1">
      <c r="B1225" s="96" t="inlineStr">
        <is>
          <t>EURO ASIA EXPORTS LTD</t>
        </is>
      </c>
      <c r="C1225" s="97" t="n">
        <v>530929</v>
      </c>
      <c r="D1225" s="96" t="inlineStr">
        <is>
          <t>Not Listed</t>
        </is>
      </c>
      <c r="E1225" s="96" t="inlineStr">
        <is>
          <t>Comm.Trading &amp; Distribution</t>
        </is>
      </c>
    </row>
    <row r="1226" ht="15" customHeight="1" s="109" thickBot="1">
      <c r="B1226" s="96" t="inlineStr">
        <is>
          <t>EURO CERAMICS LTD</t>
        </is>
      </c>
      <c r="C1226" s="97" t="n">
        <v>532823</v>
      </c>
      <c r="D1226" s="96" t="inlineStr">
        <is>
          <t>EUROCERA</t>
        </is>
      </c>
      <c r="E1226" s="96" t="inlineStr">
        <is>
          <t>Furniture-Furnishing-Paints</t>
        </is>
      </c>
    </row>
    <row r="1227" ht="15" customHeight="1" s="109" thickBot="1">
      <c r="B1227" s="96" t="inlineStr">
        <is>
          <t>EURO INDIA FRESH FOODS LTD</t>
        </is>
      </c>
      <c r="C1227" s="96" t="inlineStr">
        <is>
          <t>Not Listed</t>
        </is>
      </c>
      <c r="D1227" s="96" t="inlineStr">
        <is>
          <t>EIFFL</t>
        </is>
      </c>
      <c r="E1227" s="96" t="inlineStr">
        <is>
          <t>SME</t>
        </is>
      </c>
    </row>
    <row r="1228" ht="15" customHeight="1" s="109" thickBot="1">
      <c r="B1228" s="96" t="inlineStr">
        <is>
          <t>EURO MULTIVISION LTD</t>
        </is>
      </c>
      <c r="C1228" s="97" t="n">
        <v>533109</v>
      </c>
      <c r="D1228" s="96" t="inlineStr">
        <is>
          <t>EUROMULTI</t>
        </is>
      </c>
      <c r="E1228" s="96" t="inlineStr">
        <is>
          <t>Storage Media &amp; Peripherals</t>
        </is>
      </c>
    </row>
    <row r="1229" ht="15" customHeight="1" s="109" thickBot="1">
      <c r="B1229" s="96" t="inlineStr">
        <is>
          <t>EUROTEX INDUSTRIES &amp; EXPORTS LTD</t>
        </is>
      </c>
      <c r="C1229" s="97" t="n">
        <v>521014</v>
      </c>
      <c r="D1229" s="96" t="inlineStr">
        <is>
          <t>Not Listed</t>
        </is>
      </c>
      <c r="E1229" s="96" t="inlineStr">
        <is>
          <t>Textiles</t>
        </is>
      </c>
    </row>
    <row r="1230" ht="15" customHeight="1" s="109" thickBot="1">
      <c r="B1230" s="96" t="inlineStr">
        <is>
          <t>Eurotex Industries and Exports LTD</t>
        </is>
      </c>
      <c r="C1230" s="96" t="inlineStr">
        <is>
          <t>Not Listed</t>
        </is>
      </c>
      <c r="D1230" s="96" t="inlineStr">
        <is>
          <t>EUROTEXIND</t>
        </is>
      </c>
      <c r="E1230" s="96" t="inlineStr">
        <is>
          <t>Textiles</t>
        </is>
      </c>
    </row>
    <row r="1231" ht="15" customHeight="1" s="109" thickBot="1">
      <c r="B1231" s="96" t="inlineStr">
        <is>
          <t>Evans Electric Ltd</t>
        </is>
      </c>
      <c r="C1231" s="97" t="n">
        <v>542668</v>
      </c>
      <c r="D1231" s="96" t="inlineStr">
        <is>
          <t>EVANS</t>
        </is>
      </c>
      <c r="E1231" s="96" t="inlineStr">
        <is>
          <t>Misc.Commercial Services</t>
        </is>
      </c>
    </row>
    <row r="1232" ht="15" customHeight="1" s="109" thickBot="1">
      <c r="B1232" s="96" t="inlineStr">
        <is>
          <t>EVEREADY INDUSTRIES (INDIA) LTD</t>
        </is>
      </c>
      <c r="C1232" s="97" t="n">
        <v>531508</v>
      </c>
      <c r="D1232" s="96" t="inlineStr">
        <is>
          <t>EVEREADY</t>
        </is>
      </c>
      <c r="E1232" s="96" t="inlineStr">
        <is>
          <t>Non-Durable Household Prod.</t>
        </is>
      </c>
    </row>
    <row r="1233" ht="15" customHeight="1" s="109" thickBot="1">
      <c r="B1233" s="96" t="inlineStr">
        <is>
          <t>EVEREADY INDUSTRIES INDIA LTD</t>
        </is>
      </c>
      <c r="C1233" s="97" t="n">
        <v>531508</v>
      </c>
      <c r="D1233" s="96" t="inlineStr">
        <is>
          <t>EVEREADY</t>
        </is>
      </c>
      <c r="E1233" s="96" t="inlineStr">
        <is>
          <t>Non-Durable Household Prod.</t>
        </is>
      </c>
    </row>
    <row r="1234" ht="15" customHeight="1" s="109" thickBot="1">
      <c r="B1234" s="96" t="inlineStr">
        <is>
          <t>EVEREST INDUSTRIES LTD</t>
        </is>
      </c>
      <c r="C1234" s="97" t="n">
        <v>508906</v>
      </c>
      <c r="D1234" s="96" t="inlineStr">
        <is>
          <t>EVERESTIND</t>
        </is>
      </c>
      <c r="E1234" s="96" t="inlineStr">
        <is>
          <t>Cement &amp; Cement Products</t>
        </is>
      </c>
    </row>
    <row r="1235" ht="15" customHeight="1" s="109" thickBot="1">
      <c r="B1235" s="96" t="inlineStr">
        <is>
          <t>EVEREST KANTO CYLINDER LTD</t>
        </is>
      </c>
      <c r="C1235" s="97" t="n">
        <v>532684</v>
      </c>
      <c r="D1235" s="96" t="inlineStr">
        <is>
          <t>EKC</t>
        </is>
      </c>
      <c r="E1235" s="96" t="inlineStr">
        <is>
          <t>Other Industrial Products</t>
        </is>
      </c>
    </row>
    <row r="1236" ht="15" customHeight="1" s="109" thickBot="1">
      <c r="B1236" s="96" t="inlineStr">
        <is>
          <t>EVEREST ORGANICS LTD</t>
        </is>
      </c>
      <c r="C1236" s="97" t="n">
        <v>524790</v>
      </c>
      <c r="D1236" s="96" t="inlineStr">
        <is>
          <t>Not Listed</t>
        </is>
      </c>
      <c r="E1236" s="96" t="inlineStr">
        <is>
          <t>Pharmaceuticals</t>
        </is>
      </c>
    </row>
    <row r="1237" ht="15" customHeight="1" s="109" thickBot="1">
      <c r="B1237" s="96" t="inlineStr">
        <is>
          <t>EVERGREEN TEXTILES LTD</t>
        </is>
      </c>
      <c r="C1237" s="97" t="n">
        <v>514060</v>
      </c>
      <c r="D1237" s="96" t="inlineStr">
        <is>
          <t>Not Listed</t>
        </is>
      </c>
      <c r="E1237" s="96" t="inlineStr">
        <is>
          <t>Textiles</t>
        </is>
      </c>
    </row>
    <row r="1238" ht="15" customHeight="1" s="109" thickBot="1">
      <c r="B1238" s="96" t="inlineStr">
        <is>
          <t>EVERLON SYNTHETICS LTD</t>
        </is>
      </c>
      <c r="C1238" s="97" t="n">
        <v>514358</v>
      </c>
      <c r="D1238" s="96" t="inlineStr">
        <is>
          <t>Not Listed</t>
        </is>
      </c>
      <c r="E1238" s="96" t="inlineStr">
        <is>
          <t>Textiles</t>
        </is>
      </c>
    </row>
    <row r="1239" ht="15" customHeight="1" s="109" thickBot="1">
      <c r="B1239" s="96" t="inlineStr">
        <is>
          <t>EXCEL CROP CARE LTD</t>
        </is>
      </c>
      <c r="C1239" s="97" t="n">
        <v>532511</v>
      </c>
      <c r="D1239" s="96" t="inlineStr">
        <is>
          <t>EXCELCROP</t>
        </is>
      </c>
      <c r="E1239" s="96" t="inlineStr">
        <is>
          <t>Agrochemicals</t>
        </is>
      </c>
    </row>
    <row r="1240" ht="15" customHeight="1" s="109" thickBot="1">
      <c r="B1240" s="96" t="inlineStr">
        <is>
          <t>EXCEL INDUSTRIES LTD</t>
        </is>
      </c>
      <c r="C1240" s="97" t="n">
        <v>500650</v>
      </c>
      <c r="D1240" s="96" t="inlineStr">
        <is>
          <t>EXCELINDUS</t>
        </is>
      </c>
      <c r="E1240" s="96" t="inlineStr">
        <is>
          <t>Specialty Chemicals</t>
        </is>
      </c>
    </row>
    <row r="1241" ht="15" customHeight="1" s="109" thickBot="1">
      <c r="B1241" s="96" t="inlineStr">
        <is>
          <t>EXCEL REALTY N INFRA LTD</t>
        </is>
      </c>
      <c r="C1241" s="97" t="n">
        <v>533090</v>
      </c>
      <c r="D1241" s="96" t="inlineStr">
        <is>
          <t>EXCEL</t>
        </is>
      </c>
      <c r="E1241" s="96" t="inlineStr">
        <is>
          <t>BPO/KPO</t>
        </is>
      </c>
    </row>
    <row r="1242" ht="15" customHeight="1" s="109" thickBot="1">
      <c r="B1242" s="96" t="inlineStr">
        <is>
          <t>EXIDE INDUSTRIES LTD</t>
        </is>
      </c>
      <c r="C1242" s="97" t="n">
        <v>500086</v>
      </c>
      <c r="D1242" s="96" t="inlineStr">
        <is>
          <t>EXIDEIND</t>
        </is>
      </c>
      <c r="E1242" s="96" t="inlineStr">
        <is>
          <t>Auto Parts &amp; Equipment</t>
        </is>
      </c>
    </row>
    <row r="1243" ht="15" customHeight="1" s="109" thickBot="1">
      <c r="B1243" s="96" t="inlineStr">
        <is>
          <t>Expleo Solutions LTD</t>
        </is>
      </c>
      <c r="C1243" s="96" t="inlineStr">
        <is>
          <t>Not Listed</t>
        </is>
      </c>
      <c r="D1243" s="96" t="inlineStr">
        <is>
          <t>EXPLEOSOL</t>
        </is>
      </c>
      <c r="E1243" s="96" t="inlineStr">
        <is>
          <t>Auto Parts &amp; Equipment</t>
        </is>
      </c>
    </row>
    <row r="1244" ht="15" customHeight="1" s="109" thickBot="1">
      <c r="B1244" s="96" t="inlineStr">
        <is>
          <t>EXPLICIT FINANCE LTD</t>
        </is>
      </c>
      <c r="C1244" s="97" t="n">
        <v>530571</v>
      </c>
      <c r="D1244" s="96" t="inlineStr">
        <is>
          <t>Not Listed</t>
        </is>
      </c>
      <c r="E1244" s="96" t="inlineStr">
        <is>
          <t>Misc.Commercial Services</t>
        </is>
      </c>
    </row>
    <row r="1245" ht="15" customHeight="1" s="109" thickBot="1">
      <c r="B1245" s="96" t="inlineStr">
        <is>
          <t>EXPO GAS CONTAINERS LTD</t>
        </is>
      </c>
      <c r="C1245" s="97" t="n">
        <v>526614</v>
      </c>
      <c r="D1245" s="96" t="inlineStr">
        <is>
          <t>Not Listed</t>
        </is>
      </c>
      <c r="E1245" s="96" t="inlineStr">
        <is>
          <t>Other Industrial Products</t>
        </is>
      </c>
    </row>
    <row r="1246" ht="15" customHeight="1" s="109" thickBot="1">
      <c r="B1246" s="96" t="inlineStr">
        <is>
          <t>F MEC INTERNATIONAL FINANCIAL SERVICES LTD</t>
        </is>
      </c>
      <c r="C1246" s="97" t="n">
        <v>539552</v>
      </c>
      <c r="D1246" s="96" t="inlineStr">
        <is>
          <t>Not Listed</t>
        </is>
      </c>
      <c r="E1246" s="96" t="inlineStr">
        <is>
          <t>Finance (including NBFCs)</t>
        </is>
      </c>
    </row>
    <row r="1247" ht="15" customHeight="1" s="109" thickBot="1">
      <c r="B1247" s="96" t="inlineStr">
        <is>
          <t>FACOR ALLOYS LTD</t>
        </is>
      </c>
      <c r="C1247" s="97" t="n">
        <v>532656</v>
      </c>
      <c r="D1247" s="96" t="inlineStr">
        <is>
          <t>Not Listed</t>
        </is>
      </c>
      <c r="E1247" s="96" t="inlineStr">
        <is>
          <t>Iron &amp; Steel/Interm.Products</t>
        </is>
      </c>
    </row>
    <row r="1248" ht="15" customHeight="1" s="109" thickBot="1">
      <c r="B1248" s="96" t="inlineStr">
        <is>
          <t>FAIR DEAL FILAMENTS LTD</t>
        </is>
      </c>
      <c r="C1248" s="97" t="n">
        <v>514474</v>
      </c>
      <c r="D1248" s="96" t="inlineStr">
        <is>
          <t>Not Listed</t>
        </is>
      </c>
      <c r="E1248" s="96" t="inlineStr">
        <is>
          <t>Textiles</t>
        </is>
      </c>
    </row>
    <row r="1249" ht="15" customHeight="1" s="109" thickBot="1">
      <c r="B1249" s="96" t="inlineStr">
        <is>
          <t>FAIRCHEM SPECIALITY LTD</t>
        </is>
      </c>
      <c r="C1249" s="97" t="n">
        <v>530117</v>
      </c>
      <c r="D1249" s="96" t="inlineStr">
        <is>
          <t>FAIRCHEM</t>
        </is>
      </c>
      <c r="E1249" s="96" t="inlineStr">
        <is>
          <t>Specialty Chemicals</t>
        </is>
      </c>
    </row>
    <row r="1250" ht="15" customHeight="1" s="109" thickBot="1">
      <c r="B1250" s="96" t="inlineStr">
        <is>
          <t>FAZE THREE LTD</t>
        </is>
      </c>
      <c r="C1250" s="97" t="n">
        <v>530079</v>
      </c>
      <c r="D1250" s="96" t="inlineStr">
        <is>
          <t>Not Listed</t>
        </is>
      </c>
      <c r="E1250" s="96" t="inlineStr">
        <is>
          <t>Textiles</t>
        </is>
      </c>
    </row>
    <row r="1251" ht="15" customHeight="1" s="109" thickBot="1">
      <c r="B1251" s="96" t="inlineStr">
        <is>
          <t>FCS SOFTWARE SOLUTIONS LTD</t>
        </is>
      </c>
      <c r="C1251" s="97" t="n">
        <v>532666</v>
      </c>
      <c r="D1251" s="96" t="inlineStr">
        <is>
          <t>FCSSOFT</t>
        </is>
      </c>
      <c r="E1251" s="96" t="inlineStr">
        <is>
          <t>IT Consulting &amp; Software</t>
        </is>
      </c>
    </row>
    <row r="1252" ht="15" customHeight="1" s="109" thickBot="1">
      <c r="B1252" s="96" t="inlineStr">
        <is>
          <t>FDC LTD</t>
        </is>
      </c>
      <c r="C1252" s="97" t="n">
        <v>531599</v>
      </c>
      <c r="D1252" s="96" t="inlineStr">
        <is>
          <t>FDC</t>
        </is>
      </c>
      <c r="E1252" s="96" t="inlineStr">
        <is>
          <t>Pharmaceuticals</t>
        </is>
      </c>
    </row>
    <row r="1253" ht="15" customHeight="1" s="109" thickBot="1">
      <c r="B1253" s="96" t="inlineStr">
        <is>
          <t>FEDERAL-MOGUL GOETZE (INDIA) LTD</t>
        </is>
      </c>
      <c r="C1253" s="97" t="n">
        <v>505744</v>
      </c>
      <c r="D1253" s="96" t="inlineStr">
        <is>
          <t>FMGOETZE</t>
        </is>
      </c>
      <c r="E1253" s="96" t="inlineStr">
        <is>
          <t>Auto Parts &amp; Equipment</t>
        </is>
      </c>
    </row>
    <row r="1254" ht="15" customHeight="1" s="109" thickBot="1">
      <c r="B1254" s="96" t="inlineStr">
        <is>
          <t>FEDERAL-MOGUL GOETZE INDIA LTD</t>
        </is>
      </c>
      <c r="C1254" s="97" t="n">
        <v>505744</v>
      </c>
      <c r="D1254" s="96" t="inlineStr">
        <is>
          <t>FMGOETZE</t>
        </is>
      </c>
      <c r="E1254" s="96" t="inlineStr">
        <is>
          <t>Auto Parts &amp; Equipment</t>
        </is>
      </c>
    </row>
    <row r="1255" ht="15" customHeight="1" s="109" thickBot="1">
      <c r="B1255" s="96" t="inlineStr">
        <is>
          <t>FELIX INDUSTRIES LTD</t>
        </is>
      </c>
      <c r="C1255" s="96" t="inlineStr">
        <is>
          <t>Not Listed</t>
        </is>
      </c>
      <c r="D1255" s="96" t="inlineStr">
        <is>
          <t>FELIX</t>
        </is>
      </c>
      <c r="E1255" s="96" t="inlineStr">
        <is>
          <t>SME</t>
        </is>
      </c>
    </row>
    <row r="1256" ht="15" customHeight="1" s="109" thickBot="1">
      <c r="B1256" s="96" t="inlineStr">
        <is>
          <t>FENOPLAST LTD</t>
        </is>
      </c>
      <c r="C1256" s="97" t="n">
        <v>526689</v>
      </c>
      <c r="D1256" s="96" t="inlineStr">
        <is>
          <t>Not Listed</t>
        </is>
      </c>
      <c r="E1256" s="96" t="inlineStr">
        <is>
          <t>Plastic Products</t>
        </is>
      </c>
    </row>
    <row r="1257" ht="15" customHeight="1" s="109" thickBot="1">
      <c r="B1257" s="96" t="inlineStr">
        <is>
          <t>FERRO ALLOYS CORPORATION LTD</t>
        </is>
      </c>
      <c r="C1257" s="97" t="n">
        <v>500141</v>
      </c>
      <c r="D1257" s="96" t="inlineStr">
        <is>
          <t>Not Listed</t>
        </is>
      </c>
      <c r="E1257" s="96" t="inlineStr">
        <is>
          <t>Iron &amp; Steel/Interm.Products</t>
        </is>
      </c>
    </row>
    <row r="1258" ht="15" customHeight="1" s="109" thickBot="1">
      <c r="B1258" s="96" t="inlineStr">
        <is>
          <t>FERTILIZERS AND CHEMICALS TRAVANCORE LTD</t>
        </is>
      </c>
      <c r="C1258" s="97" t="n">
        <v>590024</v>
      </c>
      <c r="D1258" s="96" t="inlineStr">
        <is>
          <t>FACT</t>
        </is>
      </c>
      <c r="E1258" s="96" t="inlineStr">
        <is>
          <t>Fertilizers</t>
        </is>
      </c>
    </row>
    <row r="1259" ht="15" customHeight="1" s="109" thickBot="1">
      <c r="B1259" s="96" t="inlineStr">
        <is>
          <t>FERVENT SYNERGIES LTD</t>
        </is>
      </c>
      <c r="C1259" s="97" t="n">
        <v>533896</v>
      </c>
      <c r="D1259" s="96" t="inlineStr">
        <is>
          <t>Not Listed</t>
        </is>
      </c>
      <c r="E1259" s="96" t="inlineStr">
        <is>
          <t>Pharmaceuticals</t>
        </is>
      </c>
    </row>
    <row r="1260" ht="15" customHeight="1" s="109" thickBot="1">
      <c r="B1260" s="96" t="inlineStr">
        <is>
          <t>FGP LTD</t>
        </is>
      </c>
      <c r="C1260" s="97" t="n">
        <v>500142</v>
      </c>
      <c r="D1260" s="96" t="inlineStr">
        <is>
          <t>Not Listed</t>
        </is>
      </c>
      <c r="E1260" s="96" t="inlineStr">
        <is>
          <t>Finance (including NBFCs)</t>
        </is>
      </c>
    </row>
    <row r="1261" ht="15" customHeight="1" s="109" thickBot="1">
      <c r="B1261" s="96" t="inlineStr">
        <is>
          <t>FIBERWEB (INDIA) LTD</t>
        </is>
      </c>
      <c r="C1261" s="97" t="n">
        <v>507910</v>
      </c>
      <c r="D1261" s="96" t="inlineStr">
        <is>
          <t>Not Listed</t>
        </is>
      </c>
      <c r="E1261" s="96" t="inlineStr">
        <is>
          <t>Plastic Products</t>
        </is>
      </c>
    </row>
    <row r="1262" ht="15" customHeight="1" s="109" thickBot="1">
      <c r="B1262" s="96" t="inlineStr">
        <is>
          <t>FIBERWEB INDIA LTD</t>
        </is>
      </c>
      <c r="C1262" s="97" t="n">
        <v>507910</v>
      </c>
      <c r="D1262" s="96" t="inlineStr">
        <is>
          <t>Not Listed</t>
        </is>
      </c>
      <c r="E1262" s="96" t="inlineStr">
        <is>
          <t>Plastic Products</t>
        </is>
      </c>
    </row>
    <row r="1263" ht="15" customHeight="1" s="109" thickBot="1">
      <c r="B1263" s="96" t="inlineStr">
        <is>
          <t>FIEM INDUSTRIES LTD</t>
        </is>
      </c>
      <c r="C1263" s="97" t="n">
        <v>532768</v>
      </c>
      <c r="D1263" s="96" t="inlineStr">
        <is>
          <t>FIEMIND</t>
        </is>
      </c>
      <c r="E1263" s="96" t="inlineStr">
        <is>
          <t>Auto Parts &amp; Equipment</t>
        </is>
      </c>
    </row>
    <row r="1264" ht="15" customHeight="1" s="109" thickBot="1">
      <c r="B1264" s="96" t="inlineStr">
        <is>
          <t>FILATEX (INDIA) LTD</t>
        </is>
      </c>
      <c r="C1264" s="97" t="n">
        <v>526227</v>
      </c>
      <c r="D1264" s="96" t="inlineStr">
        <is>
          <t>FILATEX</t>
        </is>
      </c>
      <c r="E1264" s="96" t="inlineStr">
        <is>
          <t>Textiles</t>
        </is>
      </c>
    </row>
    <row r="1265" ht="15" customHeight="1" s="109" thickBot="1">
      <c r="B1265" s="96" t="inlineStr">
        <is>
          <t>FILATEX FASHIONS LTD</t>
        </is>
      </c>
      <c r="C1265" s="97" t="n">
        <v>532022</v>
      </c>
      <c r="D1265" s="96" t="inlineStr">
        <is>
          <t>Not Listed</t>
        </is>
      </c>
      <c r="E1265" s="96" t="inlineStr">
        <is>
          <t>Textiles</t>
        </is>
      </c>
    </row>
    <row r="1266" ht="15" customHeight="1" s="109" thickBot="1">
      <c r="B1266" s="96" t="inlineStr">
        <is>
          <t>FILATEX INDIA LTD</t>
        </is>
      </c>
      <c r="C1266" s="97" t="n">
        <v>526227</v>
      </c>
      <c r="D1266" s="96" t="inlineStr">
        <is>
          <t>FILATEX</t>
        </is>
      </c>
      <c r="E1266" s="96" t="inlineStr">
        <is>
          <t>Textiles</t>
        </is>
      </c>
    </row>
    <row r="1267" ht="15" customHeight="1" s="109" thickBot="1">
      <c r="B1267" s="96" t="inlineStr">
        <is>
          <t>FILTRA CONSULTANTS AND ENGINEERS LTD</t>
        </is>
      </c>
      <c r="C1267" s="97" t="n">
        <v>539098</v>
      </c>
      <c r="D1267" s="96" t="inlineStr">
        <is>
          <t>Not Listed</t>
        </is>
      </c>
      <c r="E1267" s="96" t="inlineStr">
        <is>
          <t>Utilities:Non-Elec.</t>
        </is>
      </c>
    </row>
    <row r="1268" ht="15" customHeight="1" s="109" thickBot="1">
      <c r="B1268" s="96" t="inlineStr">
        <is>
          <t>FINE ORGANIC INDUSTRIES LTD</t>
        </is>
      </c>
      <c r="C1268" s="97" t="n">
        <v>541557</v>
      </c>
      <c r="D1268" s="96" t="inlineStr">
        <is>
          <t>FINEORG</t>
        </is>
      </c>
      <c r="E1268" s="96" t="inlineStr">
        <is>
          <t>Specialty Chemicals</t>
        </is>
      </c>
    </row>
    <row r="1269" ht="15" customHeight="1" s="109" thickBot="1">
      <c r="B1269" s="96" t="inlineStr">
        <is>
          <t>FINE-LINE CIRCUITS LTD.</t>
        </is>
      </c>
      <c r="C1269" s="97" t="n">
        <v>517264</v>
      </c>
      <c r="D1269" s="96" t="inlineStr">
        <is>
          <t>FINELINE</t>
        </is>
      </c>
      <c r="E1269" s="96" t="inlineStr">
        <is>
          <t>Electronic Components</t>
        </is>
      </c>
    </row>
    <row r="1270" ht="15" customHeight="1" s="109" thickBot="1">
      <c r="B1270" s="96" t="inlineStr">
        <is>
          <t>FINEOTEX CHEMICAL LTD</t>
        </is>
      </c>
      <c r="C1270" s="97" t="n">
        <v>533333</v>
      </c>
      <c r="D1270" s="96" t="inlineStr">
        <is>
          <t>FCL</t>
        </is>
      </c>
      <c r="E1270" s="96" t="inlineStr">
        <is>
          <t>Specialty Chemicals</t>
        </is>
      </c>
    </row>
    <row r="1271" ht="15" customHeight="1" s="109" thickBot="1">
      <c r="B1271" s="96" t="inlineStr">
        <is>
          <t>FINKURVE FINANCIAL SERVICES LTD</t>
        </is>
      </c>
      <c r="C1271" s="97" t="n">
        <v>508954</v>
      </c>
      <c r="D1271" s="96" t="inlineStr">
        <is>
          <t>Not Listed</t>
        </is>
      </c>
      <c r="E1271" s="96" t="inlineStr">
        <is>
          <t>Finance (including NBFCs)</t>
        </is>
      </c>
    </row>
    <row r="1272" ht="15" customHeight="1" s="109" thickBot="1">
      <c r="B1272" s="96" t="inlineStr">
        <is>
          <t>FINOLEX CABLES LTD</t>
        </is>
      </c>
      <c r="C1272" s="97" t="n">
        <v>500144</v>
      </c>
      <c r="D1272" s="96" t="inlineStr">
        <is>
          <t>FINCABLES</t>
        </is>
      </c>
      <c r="E1272" s="96" t="inlineStr">
        <is>
          <t>Other Elect.Equip./ Prod.</t>
        </is>
      </c>
    </row>
    <row r="1273" ht="15" customHeight="1" s="109" thickBot="1">
      <c r="B1273" s="96" t="inlineStr">
        <is>
          <t>FINOLEX INDUSTRIES LTD</t>
        </is>
      </c>
      <c r="C1273" s="97" t="n">
        <v>500940</v>
      </c>
      <c r="D1273" s="96" t="inlineStr">
        <is>
          <t>FINPIPE</t>
        </is>
      </c>
      <c r="E1273" s="96" t="inlineStr">
        <is>
          <t>Plastic Products</t>
        </is>
      </c>
    </row>
    <row r="1274" ht="15" customHeight="1" s="109" thickBot="1">
      <c r="B1274" s="96" t="inlineStr">
        <is>
          <t>FIRST CUSTODIAN FUND (INDIA) LTD</t>
        </is>
      </c>
      <c r="C1274" s="97" t="n">
        <v>511122</v>
      </c>
      <c r="D1274" s="96" t="inlineStr">
        <is>
          <t>Not Listed</t>
        </is>
      </c>
      <c r="E1274" s="96" t="inlineStr">
        <is>
          <t>Finance (including NBFCs)</t>
        </is>
      </c>
    </row>
    <row r="1275" ht="15" customHeight="1" s="109" thickBot="1">
      <c r="B1275" s="96" t="inlineStr">
        <is>
          <t>FIRST CUSTODIAN FUND INDIA LTD</t>
        </is>
      </c>
      <c r="C1275" s="97" t="n">
        <v>511122</v>
      </c>
      <c r="D1275" s="96" t="inlineStr">
        <is>
          <t>Not Listed</t>
        </is>
      </c>
      <c r="E1275" s="96" t="inlineStr">
        <is>
          <t>Finance (including NBFCs)</t>
        </is>
      </c>
    </row>
    <row r="1276" ht="15" customHeight="1" s="109" thickBot="1">
      <c r="B1276" s="96" t="inlineStr">
        <is>
          <t>FIRSTOBJECT TECHNOLOGIES LTD</t>
        </is>
      </c>
      <c r="C1276" s="97" t="n">
        <v>532379</v>
      </c>
      <c r="D1276" s="96" t="inlineStr">
        <is>
          <t>Not Listed</t>
        </is>
      </c>
      <c r="E1276" s="96" t="inlineStr">
        <is>
          <t>IT Software Products</t>
        </is>
      </c>
    </row>
    <row r="1277" ht="15" customHeight="1" s="109" thickBot="1">
      <c r="B1277" s="96" t="inlineStr">
        <is>
          <t>FIRSTSOURCE SOLUTIONS LTD</t>
        </is>
      </c>
      <c r="C1277" s="97" t="n">
        <v>532809</v>
      </c>
      <c r="D1277" s="96" t="inlineStr">
        <is>
          <t>FSL</t>
        </is>
      </c>
      <c r="E1277" s="96" t="inlineStr">
        <is>
          <t>BPO/KPO</t>
        </is>
      </c>
    </row>
    <row r="1278" ht="15" customHeight="1" s="109" thickBot="1">
      <c r="B1278" s="96" t="inlineStr">
        <is>
          <t>FISCHER CHEMIC LTD</t>
        </is>
      </c>
      <c r="C1278" s="97" t="n">
        <v>524743</v>
      </c>
      <c r="D1278" s="96" t="inlineStr">
        <is>
          <t>Not Listed</t>
        </is>
      </c>
      <c r="E1278" s="96" t="inlineStr">
        <is>
          <t>Commodity Chemicals</t>
        </is>
      </c>
    </row>
    <row r="1279" ht="15" customHeight="1" s="109" thickBot="1">
      <c r="B1279" s="96" t="inlineStr">
        <is>
          <t>FIVE CORE ELECTRONICS LTD</t>
        </is>
      </c>
      <c r="C1279" s="96" t="inlineStr">
        <is>
          <t>Not Listed</t>
        </is>
      </c>
      <c r="D1279" s="96" t="inlineStr">
        <is>
          <t>FIVECORE</t>
        </is>
      </c>
      <c r="E1279" s="96" t="inlineStr">
        <is>
          <t>SME</t>
        </is>
      </c>
    </row>
    <row r="1280" ht="15" customHeight="1" s="109" thickBot="1">
      <c r="B1280" s="96" t="inlineStr">
        <is>
          <t>FIVE CORE EXIM LTD</t>
        </is>
      </c>
      <c r="C1280" s="97" t="n">
        <v>530885</v>
      </c>
      <c r="D1280" s="96" t="inlineStr">
        <is>
          <t>Not Listed</t>
        </is>
      </c>
      <c r="E1280" s="96" t="inlineStr">
        <is>
          <t>IT Consulting &amp; Software</t>
        </is>
      </c>
    </row>
    <row r="1281" ht="15" customHeight="1" s="109" thickBot="1">
      <c r="B1281" s="96" t="inlineStr">
        <is>
          <t>FIVE X TRADECOM LTD</t>
        </is>
      </c>
      <c r="C1281" s="97" t="n">
        <v>536751</v>
      </c>
      <c r="D1281" s="96" t="inlineStr">
        <is>
          <t>Not Listed</t>
        </is>
      </c>
      <c r="E1281" s="96" t="inlineStr">
        <is>
          <t>Other Financial Services</t>
        </is>
      </c>
    </row>
    <row r="1282" ht="15" customHeight="1" s="109" thickBot="1">
      <c r="B1282" s="96" t="inlineStr">
        <is>
          <t>FLEX FOODS LTD</t>
        </is>
      </c>
      <c r="C1282" s="97" t="n">
        <v>523672</v>
      </c>
      <c r="D1282" s="96" t="inlineStr">
        <is>
          <t>Not Listed</t>
        </is>
      </c>
      <c r="E1282" s="96" t="inlineStr">
        <is>
          <t>Other Agricultural Products</t>
        </is>
      </c>
    </row>
    <row r="1283" ht="15" customHeight="1" s="109" thickBot="1">
      <c r="B1283" s="96" t="inlineStr">
        <is>
          <t>FLEXITUFF VENTURES INTERNATIONAL LTD</t>
        </is>
      </c>
      <c r="C1283" s="97" t="n">
        <v>533638</v>
      </c>
      <c r="D1283" s="96" t="inlineStr">
        <is>
          <t>FLEXITUFF</t>
        </is>
      </c>
      <c r="E1283" s="96" t="inlineStr">
        <is>
          <t>Plastic Products</t>
        </is>
      </c>
    </row>
    <row r="1284" ht="15" customHeight="1" s="109" thickBot="1">
      <c r="B1284" s="96" t="inlineStr">
        <is>
          <t>FLORA CORPORATION LTD</t>
        </is>
      </c>
      <c r="C1284" s="97" t="n">
        <v>540267</v>
      </c>
      <c r="D1284" s="96" t="inlineStr">
        <is>
          <t>Not Listed</t>
        </is>
      </c>
      <c r="E1284" s="96" t="inlineStr">
        <is>
          <t>Comm.Trading &amp; Distribution</t>
        </is>
      </c>
    </row>
    <row r="1285" ht="15" customHeight="1" s="109" thickBot="1">
      <c r="B1285" s="96" t="inlineStr">
        <is>
          <t>FLORA TEXTILES LTD</t>
        </is>
      </c>
      <c r="C1285" s="97" t="n">
        <v>530705</v>
      </c>
      <c r="D1285" s="96" t="inlineStr">
        <is>
          <t>Not Listed</t>
        </is>
      </c>
      <c r="E1285" s="96" t="inlineStr">
        <is>
          <t>Textiles</t>
        </is>
      </c>
    </row>
    <row r="1286" ht="15" customHeight="1" s="109" thickBot="1">
      <c r="B1286" s="96" t="inlineStr">
        <is>
          <t>FLORENCE INVESTECH LTD</t>
        </is>
      </c>
      <c r="C1286" s="97" t="n">
        <v>532518</v>
      </c>
      <c r="D1286" s="96" t="inlineStr">
        <is>
          <t>Not Listed</t>
        </is>
      </c>
      <c r="E1286" s="96" t="inlineStr">
        <is>
          <t>Investment Companies</t>
        </is>
      </c>
    </row>
    <row r="1287" ht="15" customHeight="1" s="109" thickBot="1">
      <c r="B1287" s="96" t="inlineStr">
        <is>
          <t>FLUIDOMAT LTD</t>
        </is>
      </c>
      <c r="C1287" s="97" t="n">
        <v>522017</v>
      </c>
      <c r="D1287" s="96" t="inlineStr">
        <is>
          <t>Not Listed</t>
        </is>
      </c>
      <c r="E1287" s="96" t="inlineStr">
        <is>
          <t>Other Elect.Equip./ Prod.</t>
        </is>
      </c>
    </row>
    <row r="1288" ht="15" customHeight="1" s="109" thickBot="1">
      <c r="B1288" s="96" t="inlineStr">
        <is>
          <t>FOCUS INDUSTRIAL RESOURCES LTD</t>
        </is>
      </c>
      <c r="C1288" s="97" t="n">
        <v>534757</v>
      </c>
      <c r="D1288" s="96" t="inlineStr">
        <is>
          <t>Not Listed</t>
        </is>
      </c>
      <c r="E1288" s="96" t="inlineStr">
        <is>
          <t>Finance (including NBFCs)</t>
        </is>
      </c>
    </row>
    <row r="1289" ht="15" customHeight="1" s="109" thickBot="1">
      <c r="B1289" s="96" t="inlineStr">
        <is>
          <t>FOCUS LIGHTING AND FIXTURES LTD</t>
        </is>
      </c>
      <c r="C1289" s="96" t="inlineStr">
        <is>
          <t>Not Listed</t>
        </is>
      </c>
      <c r="D1289" s="96" t="inlineStr">
        <is>
          <t>FOCUS</t>
        </is>
      </c>
      <c r="E1289" s="96" t="inlineStr">
        <is>
          <t>SME</t>
        </is>
      </c>
    </row>
    <row r="1290" ht="15" customHeight="1" s="109" thickBot="1">
      <c r="B1290" s="96" t="inlineStr">
        <is>
          <t>FOCUS SUITES SOLUTIONS &amp; SERVICES LTD</t>
        </is>
      </c>
      <c r="C1290" s="97" t="n">
        <v>540945</v>
      </c>
      <c r="D1290" s="96" t="inlineStr">
        <is>
          <t>Not Listed</t>
        </is>
      </c>
      <c r="E1290" s="96" t="inlineStr">
        <is>
          <t>Consulting Services</t>
        </is>
      </c>
    </row>
    <row r="1291" ht="15" customHeight="1" s="109" thickBot="1">
      <c r="B1291" s="96" t="inlineStr">
        <is>
          <t>FOMENTO RESORTS &amp; HOTELS LTD</t>
        </is>
      </c>
      <c r="C1291" s="97" t="n">
        <v>503831</v>
      </c>
      <c r="D1291" s="96" t="inlineStr">
        <is>
          <t>Not Listed</t>
        </is>
      </c>
      <c r="E1291" s="96" t="inlineStr">
        <is>
          <t>Hotels</t>
        </is>
      </c>
    </row>
    <row r="1292" ht="15" customHeight="1" s="109" thickBot="1">
      <c r="B1292" s="96" t="inlineStr">
        <is>
          <t>FOODS &amp; INNS LTD</t>
        </is>
      </c>
      <c r="C1292" s="97" t="n">
        <v>507552</v>
      </c>
      <c r="D1292" s="96" t="inlineStr">
        <is>
          <t>Not Listed</t>
        </is>
      </c>
      <c r="E1292" s="96" t="inlineStr">
        <is>
          <t>Other Food Products</t>
        </is>
      </c>
    </row>
    <row r="1293" ht="15" customHeight="1" s="109" thickBot="1">
      <c r="B1293" s="96" t="inlineStr">
        <is>
          <t>FORBES &amp; COMPANY LTD</t>
        </is>
      </c>
      <c r="C1293" s="97" t="n">
        <v>502865</v>
      </c>
      <c r="D1293" s="96" t="inlineStr">
        <is>
          <t>Not Listed</t>
        </is>
      </c>
      <c r="E1293" s="96" t="inlineStr">
        <is>
          <t>Industrial Machinery</t>
        </is>
      </c>
    </row>
    <row r="1294" ht="15" customHeight="1" s="109" thickBot="1">
      <c r="B1294" s="96" t="inlineStr">
        <is>
          <t>FORCE MOTORS LTD</t>
        </is>
      </c>
      <c r="C1294" s="97" t="n">
        <v>500033</v>
      </c>
      <c r="D1294" s="96" t="inlineStr">
        <is>
          <t>Not Listed</t>
        </is>
      </c>
      <c r="E1294" s="96" t="inlineStr">
        <is>
          <t>Cars &amp; Utility Vehicles</t>
        </is>
      </c>
    </row>
    <row r="1295" ht="15" customHeight="1" s="109" thickBot="1">
      <c r="B1295" s="96" t="inlineStr">
        <is>
          <t>FORTIS HEALTHCARE LTD</t>
        </is>
      </c>
      <c r="C1295" s="97" t="n">
        <v>532843</v>
      </c>
      <c r="D1295" s="96" t="inlineStr">
        <is>
          <t>FORTIS</t>
        </is>
      </c>
      <c r="E1295" s="96" t="inlineStr">
        <is>
          <t>Healthcare Facilities</t>
        </is>
      </c>
    </row>
    <row r="1296" ht="15" customHeight="1" s="109" thickBot="1">
      <c r="B1296" s="96" t="inlineStr">
        <is>
          <t>FORTIS MALAR HOSPITALS LTD</t>
        </is>
      </c>
      <c r="C1296" s="97" t="n">
        <v>523696</v>
      </c>
      <c r="D1296" s="96" t="inlineStr">
        <is>
          <t>Not Listed</t>
        </is>
      </c>
      <c r="E1296" s="96" t="inlineStr">
        <is>
          <t>Healthcare Services</t>
        </is>
      </c>
    </row>
    <row r="1297" ht="15" customHeight="1" s="109" thickBot="1">
      <c r="B1297" s="96" t="inlineStr">
        <is>
          <t>FORTUNE INTERNATIONAL LTD</t>
        </is>
      </c>
      <c r="C1297" s="97" t="n">
        <v>530213</v>
      </c>
      <c r="D1297" s="96" t="inlineStr">
        <is>
          <t>Not Listed</t>
        </is>
      </c>
      <c r="E1297" s="96" t="inlineStr">
        <is>
          <t>Comm.Trading &amp; Distribution</t>
        </is>
      </c>
    </row>
    <row r="1298" ht="15" customHeight="1" s="109" thickBot="1">
      <c r="B1298" s="96" t="inlineStr">
        <is>
          <t>FOSECO (INDIA) LTD</t>
        </is>
      </c>
      <c r="C1298" s="97" t="n">
        <v>500150</v>
      </c>
      <c r="D1298" s="96" t="inlineStr">
        <is>
          <t>FOSECOIND</t>
        </is>
      </c>
      <c r="E1298" s="96" t="inlineStr">
        <is>
          <t>Commodity Chemicals</t>
        </is>
      </c>
    </row>
    <row r="1299" ht="15" customHeight="1" s="109" thickBot="1">
      <c r="B1299" s="96" t="inlineStr">
        <is>
          <t>FOSECO INDIA LTD</t>
        </is>
      </c>
      <c r="C1299" s="97" t="n">
        <v>500150</v>
      </c>
      <c r="D1299" s="96" t="inlineStr">
        <is>
          <t>FOSECOIND</t>
        </is>
      </c>
      <c r="E1299" s="96" t="inlineStr">
        <is>
          <t>Commodity Chemicals</t>
        </is>
      </c>
    </row>
    <row r="1300" ht="15" customHeight="1" s="109" thickBot="1">
      <c r="B1300" s="96" t="inlineStr">
        <is>
          <t>FOUNDRY FUEL PRODUCTS LTD</t>
        </is>
      </c>
      <c r="C1300" s="97" t="n">
        <v>513579</v>
      </c>
      <c r="D1300" s="96" t="inlineStr">
        <is>
          <t>Not Listed</t>
        </is>
      </c>
      <c r="E1300" s="96" t="inlineStr">
        <is>
          <t>Coal</t>
        </is>
      </c>
    </row>
    <row r="1301" ht="15" customHeight="1" s="109" thickBot="1">
      <c r="B1301" s="96" t="inlineStr">
        <is>
          <t>FOURTH DIMENSION SOLUTIONS LTD</t>
        </is>
      </c>
      <c r="C1301" s="96" t="inlineStr">
        <is>
          <t>Not Listed</t>
        </is>
      </c>
      <c r="D1301" s="96" t="inlineStr">
        <is>
          <t>FOURTHDIM</t>
        </is>
      </c>
      <c r="E1301" s="96" t="inlineStr">
        <is>
          <t>SME</t>
        </is>
      </c>
    </row>
    <row r="1302" ht="15" customHeight="1" s="109" thickBot="1">
      <c r="B1302" s="96" t="inlineStr">
        <is>
          <t>FOURTH GENERATION INFORMATION SYSTEMS LTD</t>
        </is>
      </c>
      <c r="C1302" s="97" t="n">
        <v>532403</v>
      </c>
      <c r="D1302" s="96" t="inlineStr">
        <is>
          <t>Not Listed</t>
        </is>
      </c>
      <c r="E1302" s="96" t="inlineStr">
        <is>
          <t>IT Software Products</t>
        </is>
      </c>
    </row>
    <row r="1303" ht="15" customHeight="1" s="109" thickBot="1">
      <c r="B1303" s="96" t="inlineStr">
        <is>
          <t>FRANKLIN INDUSTRIES LTD</t>
        </is>
      </c>
      <c r="C1303" s="97" t="n">
        <v>540190</v>
      </c>
      <c r="D1303" s="96" t="inlineStr">
        <is>
          <t>Not Listed</t>
        </is>
      </c>
      <c r="E1303" s="96" t="inlineStr">
        <is>
          <t>Comm.Trading &amp; Distribution</t>
        </is>
      </c>
    </row>
    <row r="1304" ht="15" customHeight="1" s="109" thickBot="1">
      <c r="B1304" s="96" t="inlineStr">
        <is>
          <t>FRANKLIN LEASING AND FINANCE LTD</t>
        </is>
      </c>
      <c r="C1304" s="97" t="n">
        <v>539839</v>
      </c>
      <c r="D1304" s="96" t="inlineStr">
        <is>
          <t>Not Listed</t>
        </is>
      </c>
      <c r="E1304" s="96" t="inlineStr">
        <is>
          <t>Finance (including NBFCs)</t>
        </is>
      </c>
    </row>
    <row r="1305" ht="15" customHeight="1" s="109" thickBot="1">
      <c r="B1305" s="96" t="inlineStr">
        <is>
          <t>Fraser and Company Ltd</t>
        </is>
      </c>
      <c r="C1305" s="97" t="n">
        <v>539032</v>
      </c>
      <c r="D1305" s="96" t="inlineStr">
        <is>
          <t>FRASER</t>
        </is>
      </c>
      <c r="E1305" s="96" t="inlineStr">
        <is>
          <t>Comm.Trading &amp;amp; Distribution</t>
        </is>
      </c>
    </row>
    <row r="1306" ht="15" customHeight="1" s="109" thickBot="1">
      <c r="B1306" s="96" t="inlineStr">
        <is>
          <t>FREDUN PHARMACEUTICALS LTD</t>
        </is>
      </c>
      <c r="C1306" s="97" t="n">
        <v>539730</v>
      </c>
      <c r="D1306" s="96" t="inlineStr">
        <is>
          <t>Not Listed</t>
        </is>
      </c>
      <c r="E1306" s="96" t="inlineStr">
        <is>
          <t>Pharmaceuticals</t>
        </is>
      </c>
    </row>
    <row r="1307" ht="15" customHeight="1" s="109" thickBot="1">
      <c r="B1307" s="96" t="inlineStr">
        <is>
          <t>FRESHTROP FRUITS LTD</t>
        </is>
      </c>
      <c r="C1307" s="97" t="n">
        <v>530077</v>
      </c>
      <c r="D1307" s="96" t="inlineStr">
        <is>
          <t>Not Listed</t>
        </is>
      </c>
      <c r="E1307" s="96" t="inlineStr">
        <is>
          <t>Other Agricultural Products</t>
        </is>
      </c>
    </row>
    <row r="1308" ht="15" customHeight="1" s="109" thickBot="1">
      <c r="B1308" s="96" t="inlineStr">
        <is>
          <t>FRONTIER CAPITAL LTD</t>
        </is>
      </c>
      <c r="C1308" s="97" t="n">
        <v>508980</v>
      </c>
      <c r="D1308" s="96" t="inlineStr">
        <is>
          <t>Not Listed</t>
        </is>
      </c>
      <c r="E1308" s="96" t="inlineStr">
        <is>
          <t>Misc.Commercial Services</t>
        </is>
      </c>
    </row>
    <row r="1309" ht="15" customHeight="1" s="109" thickBot="1">
      <c r="B1309" s="96" t="inlineStr">
        <is>
          <t>FRONTIER SPRINGS LTD</t>
        </is>
      </c>
      <c r="C1309" s="97" t="n">
        <v>522195</v>
      </c>
      <c r="D1309" s="96" t="inlineStr">
        <is>
          <t>Not Listed</t>
        </is>
      </c>
      <c r="E1309" s="96" t="inlineStr">
        <is>
          <t>Auto Parts &amp; Equipment</t>
        </is>
      </c>
    </row>
    <row r="1310" ht="15" customHeight="1" s="109" thickBot="1">
      <c r="B1310" s="96" t="inlineStr">
        <is>
          <t>FRONTLINE BUSINESS SOLUTIONS LTD.</t>
        </is>
      </c>
      <c r="C1310" s="97" t="n">
        <v>521167</v>
      </c>
      <c r="D1310" s="96" t="inlineStr">
        <is>
          <t>FRONTBUSS</t>
        </is>
      </c>
      <c r="E1310" s="96" t="inlineStr">
        <is>
          <t>Other Apparels &amp;amp; Accessories</t>
        </is>
      </c>
    </row>
    <row r="1311" ht="15" customHeight="1" s="109" thickBot="1">
      <c r="B1311" s="96" t="inlineStr">
        <is>
          <t>FRONTLINE CORPORATION LTD</t>
        </is>
      </c>
      <c r="C1311" s="97" t="n">
        <v>532042</v>
      </c>
      <c r="D1311" s="96" t="inlineStr">
        <is>
          <t>Not Listed</t>
        </is>
      </c>
      <c r="E1311" s="96" t="inlineStr">
        <is>
          <t>Surface Transportation</t>
        </is>
      </c>
    </row>
    <row r="1312" ht="15" customHeight="1" s="109" thickBot="1">
      <c r="B1312" s="96" t="inlineStr">
        <is>
          <t>FRONTLINE SECURITIES LTD</t>
        </is>
      </c>
      <c r="C1312" s="97" t="n">
        <v>533213</v>
      </c>
      <c r="D1312" s="96" t="inlineStr">
        <is>
          <t>Not Listed</t>
        </is>
      </c>
      <c r="E1312" s="96" t="inlineStr">
        <is>
          <t>Other Financial Services</t>
        </is>
      </c>
    </row>
    <row r="1313" ht="15" customHeight="1" s="109" thickBot="1">
      <c r="B1313" s="96" t="inlineStr">
        <is>
          <t>FRUITION VENTURE LTD</t>
        </is>
      </c>
      <c r="C1313" s="97" t="n">
        <v>538568</v>
      </c>
      <c r="D1313" s="96" t="inlineStr">
        <is>
          <t>Not Listed</t>
        </is>
      </c>
      <c r="E1313" s="96" t="inlineStr">
        <is>
          <t>Comm.Trading &amp; Distribution</t>
        </is>
      </c>
    </row>
    <row r="1314" ht="15" customHeight="1" s="109" thickBot="1">
      <c r="B1314" s="96" t="inlineStr">
        <is>
          <t>FUNNY SOFTWARE LTD</t>
        </is>
      </c>
      <c r="C1314" s="97" t="n">
        <v>539169</v>
      </c>
      <c r="D1314" s="96" t="inlineStr">
        <is>
          <t>Not Listed</t>
        </is>
      </c>
      <c r="E1314" s="96" t="inlineStr">
        <is>
          <t>IT Consulting &amp; Software</t>
        </is>
      </c>
    </row>
    <row r="1315" ht="15" customHeight="1" s="109" thickBot="1">
      <c r="B1315" s="96" t="inlineStr">
        <is>
          <t>FUTURE CONSUMER LTD</t>
        </is>
      </c>
      <c r="C1315" s="97" t="n">
        <v>533400</v>
      </c>
      <c r="D1315" s="96" t="inlineStr">
        <is>
          <t>FCONSUMER</t>
        </is>
      </c>
      <c r="E1315" s="96" t="inlineStr">
        <is>
          <t>Packaged Foods</t>
        </is>
      </c>
    </row>
    <row r="1316" ht="15" customHeight="1" s="109" thickBot="1">
      <c r="B1316" s="96" t="inlineStr">
        <is>
          <t>FUTURE ENTERPRISES LTD</t>
        </is>
      </c>
      <c r="C1316" s="97" t="n">
        <v>523574</v>
      </c>
      <c r="D1316" s="96" t="inlineStr">
        <is>
          <t>FEL</t>
        </is>
      </c>
      <c r="E1316" s="96" t="inlineStr">
        <is>
          <t>Department Stores</t>
        </is>
      </c>
    </row>
    <row r="1317" ht="15" customHeight="1" s="109" thickBot="1">
      <c r="B1317" s="96" t="inlineStr">
        <is>
          <t>FUTURE ENTERPRISES LTD</t>
        </is>
      </c>
      <c r="C1317" s="97" t="n">
        <v>570002</v>
      </c>
      <c r="D1317" s="96" t="inlineStr">
        <is>
          <t>FELDVR</t>
        </is>
      </c>
      <c r="E1317" s="96" t="inlineStr">
        <is>
          <t>Department Stores</t>
        </is>
      </c>
    </row>
    <row r="1318" ht="15" customHeight="1" s="109" thickBot="1">
      <c r="B1318" s="96" t="inlineStr">
        <is>
          <t>FUTURE LIFESTYLE FASHIONS LTD</t>
        </is>
      </c>
      <c r="C1318" s="97" t="n">
        <v>536507</v>
      </c>
      <c r="D1318" s="96" t="inlineStr">
        <is>
          <t>FLFL</t>
        </is>
      </c>
      <c r="E1318" s="96" t="inlineStr">
        <is>
          <t>Department Stores</t>
        </is>
      </c>
    </row>
    <row r="1319" ht="15" customHeight="1" s="109" thickBot="1">
      <c r="B1319" s="96" t="inlineStr">
        <is>
          <t>FUTURE MARKET NETWORKS LTD</t>
        </is>
      </c>
      <c r="C1319" s="97" t="n">
        <v>533296</v>
      </c>
      <c r="D1319" s="96" t="inlineStr">
        <is>
          <t>FMNL</t>
        </is>
      </c>
      <c r="E1319" s="96" t="inlineStr">
        <is>
          <t>Department Stores</t>
        </is>
      </c>
    </row>
    <row r="1320" ht="15" customHeight="1" s="109" thickBot="1">
      <c r="B1320" s="96" t="inlineStr">
        <is>
          <t>FUTURE RETAIL LTD</t>
        </is>
      </c>
      <c r="C1320" s="97" t="n">
        <v>540064</v>
      </c>
      <c r="D1320" s="96" t="inlineStr">
        <is>
          <t>FRETAIL</t>
        </is>
      </c>
      <c r="E1320" s="96" t="inlineStr">
        <is>
          <t>Department Stores</t>
        </is>
      </c>
    </row>
    <row r="1321" ht="15" customHeight="1" s="109" thickBot="1">
      <c r="B1321" s="96" t="inlineStr">
        <is>
          <t>FUTURE SUPPLY CHAIN SOLUTIONS LTD</t>
        </is>
      </c>
      <c r="C1321" s="97" t="n">
        <v>540798</v>
      </c>
      <c r="D1321" s="96" t="inlineStr">
        <is>
          <t>FSC</t>
        </is>
      </c>
      <c r="E1321" s="96" t="inlineStr">
        <is>
          <t>Transportation - Logistics</t>
        </is>
      </c>
    </row>
    <row r="1322" ht="15" customHeight="1" s="109" thickBot="1">
      <c r="B1322" s="96" t="inlineStr">
        <is>
          <t>FUTURISTIC SECURITIES LTD</t>
        </is>
      </c>
      <c r="C1322" s="97" t="n">
        <v>523113</v>
      </c>
      <c r="D1322" s="96" t="inlineStr">
        <is>
          <t>Not Listed</t>
        </is>
      </c>
      <c r="E1322" s="96" t="inlineStr">
        <is>
          <t>Finance (including NBFCs)</t>
        </is>
      </c>
    </row>
    <row r="1323" ht="15" customHeight="1" s="109" thickBot="1">
      <c r="B1323" s="96" t="inlineStr">
        <is>
          <t>FUTURISTIC SOLUTIONS LTD</t>
        </is>
      </c>
      <c r="C1323" s="97" t="n">
        <v>534063</v>
      </c>
      <c r="D1323" s="96" t="inlineStr">
        <is>
          <t>Not Listed</t>
        </is>
      </c>
      <c r="E1323" s="96" t="inlineStr">
        <is>
          <t>Other Financial Services</t>
        </is>
      </c>
    </row>
    <row r="1324" ht="15" customHeight="1" s="109" thickBot="1">
      <c r="B1324" s="96" t="inlineStr">
        <is>
          <t>G D TRADING &amp; AGENCIES LTD</t>
        </is>
      </c>
      <c r="C1324" s="97" t="n">
        <v>504346</v>
      </c>
      <c r="D1324" s="96" t="inlineStr">
        <is>
          <t>Not Listed</t>
        </is>
      </c>
      <c r="E1324" s="96" t="inlineStr">
        <is>
          <t>Other Financial Services</t>
        </is>
      </c>
    </row>
    <row r="1325" ht="15" customHeight="1" s="109" thickBot="1">
      <c r="B1325" s="96" t="inlineStr">
        <is>
          <t>G G DANDEKAR MACHINE WORKS LTD</t>
        </is>
      </c>
      <c r="C1325" s="97" t="n">
        <v>505250</v>
      </c>
      <c r="D1325" s="96" t="inlineStr">
        <is>
          <t>Not Listed</t>
        </is>
      </c>
      <c r="E1325" s="96" t="inlineStr">
        <is>
          <t>Industrial Machinery</t>
        </is>
      </c>
    </row>
    <row r="1326" ht="15" customHeight="1" s="109" thickBot="1">
      <c r="B1326" s="96" t="inlineStr">
        <is>
          <t>G G ENGINEERING LTD</t>
        </is>
      </c>
      <c r="C1326" s="97" t="n">
        <v>540614</v>
      </c>
      <c r="D1326" s="96" t="inlineStr">
        <is>
          <t>Not Listed</t>
        </is>
      </c>
      <c r="E1326" s="96" t="inlineStr">
        <is>
          <t>Heavy Electrical Equipment</t>
        </is>
      </c>
    </row>
    <row r="1327" ht="15" customHeight="1" s="109" thickBot="1">
      <c r="B1327" s="96" t="inlineStr">
        <is>
          <t>G K CONSULTANTS LTD</t>
        </is>
      </c>
      <c r="C1327" s="97" t="n">
        <v>531758</v>
      </c>
      <c r="D1327" s="96" t="inlineStr">
        <is>
          <t>Not Listed</t>
        </is>
      </c>
      <c r="E1327" s="96" t="inlineStr">
        <is>
          <t>Finance (including NBFCs)</t>
        </is>
      </c>
    </row>
    <row r="1328" ht="15" customHeight="1" s="109" thickBot="1">
      <c r="B1328" s="96" t="inlineStr">
        <is>
          <t>G S AUTO INTERNATIONAL LTD</t>
        </is>
      </c>
      <c r="C1328" s="97" t="n">
        <v>513059</v>
      </c>
      <c r="D1328" s="96" t="inlineStr">
        <is>
          <t>Not Listed</t>
        </is>
      </c>
      <c r="E1328" s="96" t="inlineStr">
        <is>
          <t>Auto Parts &amp; Equipment</t>
        </is>
      </c>
    </row>
    <row r="1329" ht="15" customHeight="1" s="109" thickBot="1">
      <c r="B1329" s="96" t="inlineStr">
        <is>
          <t>G. K. P. Printing &amp;amp; Packaging Ltd</t>
        </is>
      </c>
      <c r="C1329" s="97" t="n">
        <v>542666</v>
      </c>
      <c r="D1329" s="96" t="inlineStr">
        <is>
          <t>GKP</t>
        </is>
      </c>
      <c r="E1329" s="96" t="inlineStr">
        <is>
          <t>Containers &amp;amp; Packaging</t>
        </is>
      </c>
    </row>
    <row r="1330" ht="15" customHeight="1" s="109" thickBot="1">
      <c r="B1330" s="96" t="inlineStr">
        <is>
          <t>GABRIEL (INDIA) LTD</t>
        </is>
      </c>
      <c r="C1330" s="97" t="n">
        <v>505714</v>
      </c>
      <c r="D1330" s="96" t="inlineStr">
        <is>
          <t>GABRIEL</t>
        </is>
      </c>
      <c r="E1330" s="96" t="inlineStr">
        <is>
          <t>Auto Parts &amp; Equipment</t>
        </is>
      </c>
    </row>
    <row r="1331" ht="15" customHeight="1" s="109" thickBot="1">
      <c r="B1331" s="96" t="inlineStr">
        <is>
          <t>GABRIEL INDIA LTD</t>
        </is>
      </c>
      <c r="C1331" s="97" t="n">
        <v>505714</v>
      </c>
      <c r="D1331" s="96" t="inlineStr">
        <is>
          <t>GABRIEL</t>
        </is>
      </c>
      <c r="E1331" s="96" t="inlineStr">
        <is>
          <t>Auto Parts &amp; Equipment</t>
        </is>
      </c>
    </row>
    <row r="1332" ht="15" customHeight="1" s="109" thickBot="1">
      <c r="B1332" s="96" t="inlineStr">
        <is>
          <t>GAGAN GASES LTD.</t>
        </is>
      </c>
      <c r="C1332" s="97" t="n">
        <v>524624</v>
      </c>
      <c r="D1332" s="96" t="inlineStr">
        <is>
          <t>GAGAN</t>
        </is>
      </c>
      <c r="E1332" s="96" t="inlineStr">
        <is>
          <t>Integrated Oil &amp;amp; Gas</t>
        </is>
      </c>
    </row>
    <row r="1333" ht="15" customHeight="1" s="109" thickBot="1">
      <c r="B1333" s="96" t="inlineStr">
        <is>
          <t>GAGAN POLYCOT (INDIA) LTD</t>
        </is>
      </c>
      <c r="C1333" s="97" t="n">
        <v>531196</v>
      </c>
      <c r="D1333" s="96" t="inlineStr">
        <is>
          <t>Not Listed</t>
        </is>
      </c>
      <c r="E1333" s="96" t="inlineStr">
        <is>
          <t>Comm.Trading &amp; Distribution</t>
        </is>
      </c>
    </row>
    <row r="1334" ht="15" customHeight="1" s="109" thickBot="1">
      <c r="B1334" s="96" t="inlineStr">
        <is>
          <t>GAGAN POLYCOT INDIA LTD</t>
        </is>
      </c>
      <c r="C1334" s="97" t="n">
        <v>531196</v>
      </c>
      <c r="D1334" s="96" t="inlineStr">
        <is>
          <t>Not Listed</t>
        </is>
      </c>
      <c r="E1334" s="96" t="inlineStr">
        <is>
          <t>Comm.Trading &amp; Distribution</t>
        </is>
      </c>
    </row>
    <row r="1335" ht="15" customHeight="1" s="109" thickBot="1">
      <c r="B1335" s="96" t="inlineStr">
        <is>
          <t>GAIL (INDIA) LTD</t>
        </is>
      </c>
      <c r="C1335" s="97" t="n">
        <v>532155</v>
      </c>
      <c r="D1335" s="96" t="inlineStr">
        <is>
          <t>GAIL</t>
        </is>
      </c>
      <c r="E1335" s="96" t="inlineStr">
        <is>
          <t>Utilities:Non-Elec.</t>
        </is>
      </c>
    </row>
    <row r="1336" ht="15" customHeight="1" s="109" thickBot="1">
      <c r="B1336" s="96" t="inlineStr">
        <is>
          <t>GAIL INDIA LTD</t>
        </is>
      </c>
      <c r="C1336" s="97" t="n">
        <v>532155</v>
      </c>
      <c r="D1336" s="96" t="inlineStr">
        <is>
          <t>GAIL</t>
        </is>
      </c>
      <c r="E1336" s="96" t="inlineStr">
        <is>
          <t>Utilities:Non-Elec.</t>
        </is>
      </c>
    </row>
    <row r="1337" ht="15" customHeight="1" s="109" thickBot="1">
      <c r="B1337" s="96" t="inlineStr">
        <is>
          <t>GAJANAN SECURITIES SERVICES LTD</t>
        </is>
      </c>
      <c r="C1337" s="97" t="n">
        <v>538609</v>
      </c>
      <c r="D1337" s="96" t="inlineStr">
        <is>
          <t>Not Listed</t>
        </is>
      </c>
      <c r="E1337" s="96" t="inlineStr">
        <is>
          <t>Other Financial Services</t>
        </is>
      </c>
    </row>
    <row r="1338" ht="15" customHeight="1" s="109" thickBot="1">
      <c r="B1338" s="96" t="inlineStr">
        <is>
          <t>GAJRA BEVEL GEARS LTD</t>
        </is>
      </c>
      <c r="C1338" s="97" t="n">
        <v>505711</v>
      </c>
      <c r="D1338" s="96" t="inlineStr">
        <is>
          <t>Not Listed</t>
        </is>
      </c>
      <c r="E1338" s="96" t="inlineStr">
        <is>
          <t>Auto Parts &amp; Equipment</t>
        </is>
      </c>
    </row>
    <row r="1339" ht="15" customHeight="1" s="109" thickBot="1">
      <c r="B1339" s="96" t="inlineStr">
        <is>
          <t>GALA GLOBAL PRODUCTS LTD</t>
        </is>
      </c>
      <c r="C1339" s="97" t="n">
        <v>539228</v>
      </c>
      <c r="D1339" s="96" t="inlineStr">
        <is>
          <t>Not Listed</t>
        </is>
      </c>
      <c r="E1339" s="96" t="inlineStr">
        <is>
          <t>Comm.Printing/Stationery</t>
        </is>
      </c>
    </row>
    <row r="1340" ht="15" customHeight="1" s="109" thickBot="1">
      <c r="B1340" s="96" t="inlineStr">
        <is>
          <t>GALADA FINANCE LTD</t>
        </is>
      </c>
      <c r="C1340" s="97" t="n">
        <v>538881</v>
      </c>
      <c r="D1340" s="96" t="inlineStr">
        <is>
          <t>Not Listed</t>
        </is>
      </c>
      <c r="E1340" s="96" t="inlineStr">
        <is>
          <t>Finance (including NBFCs)</t>
        </is>
      </c>
    </row>
    <row r="1341" ht="15" customHeight="1" s="109" thickBot="1">
      <c r="B1341" s="96" t="inlineStr">
        <is>
          <t>GALADA POWER &amp; TELECOMMUNICATION LTD</t>
        </is>
      </c>
      <c r="C1341" s="97" t="n">
        <v>504697</v>
      </c>
      <c r="D1341" s="96" t="inlineStr">
        <is>
          <t>Not Listed</t>
        </is>
      </c>
      <c r="E1341" s="96" t="inlineStr">
        <is>
          <t>Other Elect.Equip./ Prod.</t>
        </is>
      </c>
    </row>
    <row r="1342" ht="15" customHeight="1" s="109" thickBot="1">
      <c r="B1342" s="96" t="inlineStr">
        <is>
          <t>GALAXY AGRICO EXPORTS LTD</t>
        </is>
      </c>
      <c r="C1342" s="97" t="n">
        <v>531911</v>
      </c>
      <c r="D1342" s="96" t="inlineStr">
        <is>
          <t>Not Listed</t>
        </is>
      </c>
      <c r="E1342" s="96" t="inlineStr">
        <is>
          <t>Industrial Machinery</t>
        </is>
      </c>
    </row>
    <row r="1343" ht="15" customHeight="1" s="109" thickBot="1">
      <c r="B1343" s="96" t="inlineStr">
        <is>
          <t>GALAXY BEARINGS LTD</t>
        </is>
      </c>
      <c r="C1343" s="97" t="n">
        <v>526073</v>
      </c>
      <c r="D1343" s="96" t="inlineStr">
        <is>
          <t>Not Listed</t>
        </is>
      </c>
      <c r="E1343" s="96" t="inlineStr">
        <is>
          <t>Other Industrial Goods</t>
        </is>
      </c>
    </row>
    <row r="1344" ht="15" customHeight="1" s="109" thickBot="1">
      <c r="B1344" s="96" t="inlineStr">
        <is>
          <t>GALAXY ENTERTAINMENT CORPORATION LTD</t>
        </is>
      </c>
      <c r="C1344" s="97" t="n">
        <v>506186</v>
      </c>
      <c r="D1344" s="96" t="inlineStr">
        <is>
          <t>Not Listed</t>
        </is>
      </c>
      <c r="E1344" s="96" t="inlineStr">
        <is>
          <t>Movies &amp; Entertainment</t>
        </is>
      </c>
    </row>
    <row r="1345" ht="15" customHeight="1" s="109" thickBot="1">
      <c r="B1345" s="96" t="inlineStr">
        <is>
          <t>GALAXY SURFACTANTS LTD</t>
        </is>
      </c>
      <c r="C1345" s="97" t="n">
        <v>540935</v>
      </c>
      <c r="D1345" s="96" t="inlineStr">
        <is>
          <t>GALAXYSURF</t>
        </is>
      </c>
      <c r="E1345" s="96" t="inlineStr">
        <is>
          <t>Specialty Chemicals</t>
        </is>
      </c>
    </row>
    <row r="1346" ht="15" customHeight="1" s="109" thickBot="1">
      <c r="B1346" s="96" t="inlineStr">
        <is>
          <t>GALLANTT ISPAT LTD</t>
        </is>
      </c>
      <c r="C1346" s="97" t="n">
        <v>533265</v>
      </c>
      <c r="D1346" s="96" t="inlineStr">
        <is>
          <t>GALLISPAT</t>
        </is>
      </c>
      <c r="E1346" s="96" t="inlineStr">
        <is>
          <t>Iron &amp; Steel/Interm.Products</t>
        </is>
      </c>
    </row>
    <row r="1347" ht="15" customHeight="1" s="109" thickBot="1">
      <c r="B1347" s="96" t="inlineStr">
        <is>
          <t>GALLANTT METAL LTD</t>
        </is>
      </c>
      <c r="C1347" s="97" t="n">
        <v>532726</v>
      </c>
      <c r="D1347" s="96" t="inlineStr">
        <is>
          <t>GALLANTT</t>
        </is>
      </c>
      <c r="E1347" s="96" t="inlineStr">
        <is>
          <t>Iron &amp; Steel/Interm.Products</t>
        </is>
      </c>
    </row>
    <row r="1348" ht="15" customHeight="1" s="109" thickBot="1">
      <c r="B1348" s="96" t="inlineStr">
        <is>
          <t>GALLOPS ENTERPRISE LTD.</t>
        </is>
      </c>
      <c r="C1348" s="97" t="n">
        <v>531902</v>
      </c>
      <c r="D1348" s="96" t="inlineStr">
        <is>
          <t>GALLOPENT</t>
        </is>
      </c>
      <c r="E1348" s="96" t="inlineStr">
        <is>
          <t>Realty</t>
        </is>
      </c>
    </row>
    <row r="1349" ht="15" customHeight="1" s="109" thickBot="1">
      <c r="B1349" s="96" t="inlineStr">
        <is>
          <t>GAMMON INFRASTRUCTURE PROJECTS LTD</t>
        </is>
      </c>
      <c r="C1349" s="97" t="n">
        <v>532959</v>
      </c>
      <c r="D1349" s="96" t="inlineStr">
        <is>
          <t>GAMMNINFRA</t>
        </is>
      </c>
      <c r="E1349" s="96" t="inlineStr">
        <is>
          <t>Construction &amp; Engineering</t>
        </is>
      </c>
    </row>
    <row r="1350" ht="15" customHeight="1" s="109" thickBot="1">
      <c r="B1350" s="96" t="inlineStr">
        <is>
          <t>GANDHI SPECIAL TUBES LTD</t>
        </is>
      </c>
      <c r="C1350" s="97" t="n">
        <v>513108</v>
      </c>
      <c r="D1350" s="96" t="inlineStr">
        <is>
          <t>GANDHITUBE</t>
        </is>
      </c>
      <c r="E1350" s="96" t="inlineStr">
        <is>
          <t>Iron &amp; Steel Products</t>
        </is>
      </c>
    </row>
    <row r="1351" ht="15" customHeight="1" s="109" thickBot="1">
      <c r="B1351" s="96" t="inlineStr">
        <is>
          <t>GANESH BENZOPLAST LTD</t>
        </is>
      </c>
      <c r="C1351" s="97" t="n">
        <v>500153</v>
      </c>
      <c r="D1351" s="96" t="inlineStr">
        <is>
          <t>Not Listed</t>
        </is>
      </c>
      <c r="E1351" s="96" t="inlineStr">
        <is>
          <t>Commodity Chemicals</t>
        </is>
      </c>
    </row>
    <row r="1352" ht="15" customHeight="1" s="109" thickBot="1">
      <c r="B1352" s="96" t="inlineStr">
        <is>
          <t>GANESH FILMS (INDIA) LTD</t>
        </is>
      </c>
      <c r="C1352" s="97" t="n">
        <v>541703</v>
      </c>
      <c r="D1352" s="96" t="inlineStr">
        <is>
          <t>Not Listed</t>
        </is>
      </c>
      <c r="E1352" s="96" t="inlineStr">
        <is>
          <t>Specialty Retail</t>
        </is>
      </c>
    </row>
    <row r="1353" ht="15" customHeight="1" s="109" thickBot="1">
      <c r="B1353" s="96" t="inlineStr">
        <is>
          <t>GANESH FILMS INDIA LTD</t>
        </is>
      </c>
      <c r="C1353" s="97" t="n">
        <v>541703</v>
      </c>
      <c r="D1353" s="96" t="inlineStr">
        <is>
          <t>Not Listed</t>
        </is>
      </c>
      <c r="E1353" s="96" t="inlineStr">
        <is>
          <t>Specialty Retail</t>
        </is>
      </c>
    </row>
    <row r="1354" ht="15" customHeight="1" s="109" thickBot="1">
      <c r="B1354" s="96" t="inlineStr">
        <is>
          <t>GANESH HOLDINGS LTD</t>
        </is>
      </c>
      <c r="C1354" s="97" t="n">
        <v>504397</v>
      </c>
      <c r="D1354" s="96" t="inlineStr">
        <is>
          <t>Not Listed</t>
        </is>
      </c>
      <c r="E1354" s="96" t="inlineStr">
        <is>
          <t>Misc.Commercial Services</t>
        </is>
      </c>
    </row>
    <row r="1355" ht="15" customHeight="1" s="109" thickBot="1">
      <c r="B1355" s="96" t="inlineStr">
        <is>
          <t>GANESH HOUSING CORPORATION LTD</t>
        </is>
      </c>
      <c r="C1355" s="97" t="n">
        <v>526367</v>
      </c>
      <c r="D1355" s="96" t="inlineStr">
        <is>
          <t>GANESHHOUC</t>
        </is>
      </c>
      <c r="E1355" s="96" t="inlineStr">
        <is>
          <t>Realty</t>
        </is>
      </c>
    </row>
    <row r="1356" ht="15" customHeight="1" s="109" thickBot="1">
      <c r="B1356" s="96" t="inlineStr">
        <is>
          <t>GANESHA ECOSPHERE LTD</t>
        </is>
      </c>
      <c r="C1356" s="97" t="n">
        <v>514167</v>
      </c>
      <c r="D1356" s="96" t="inlineStr">
        <is>
          <t>GANECOS</t>
        </is>
      </c>
      <c r="E1356" s="96" t="inlineStr">
        <is>
          <t>Misc.Commercial Services</t>
        </is>
      </c>
    </row>
    <row r="1357" ht="15" customHeight="1" s="109" thickBot="1">
      <c r="B1357" s="96" t="inlineStr">
        <is>
          <t>GANGA FORGING LTD</t>
        </is>
      </c>
      <c r="C1357" s="96" t="inlineStr">
        <is>
          <t>Not Listed</t>
        </is>
      </c>
      <c r="D1357" s="96" t="inlineStr">
        <is>
          <t>GANGAFORGE</t>
        </is>
      </c>
      <c r="E1357" s="96" t="inlineStr">
        <is>
          <t>SME</t>
        </is>
      </c>
    </row>
    <row r="1358" ht="15" customHeight="1" s="109" thickBot="1">
      <c r="B1358" s="96" t="inlineStr">
        <is>
          <t>GANGA PAPERS (INDIA) LTD</t>
        </is>
      </c>
      <c r="C1358" s="97" t="n">
        <v>531813</v>
      </c>
      <c r="D1358" s="96" t="inlineStr">
        <is>
          <t>Not Listed</t>
        </is>
      </c>
      <c r="E1358" s="96" t="inlineStr">
        <is>
          <t>Paper &amp; Paper Products</t>
        </is>
      </c>
    </row>
    <row r="1359" ht="15" customHeight="1" s="109" thickBot="1">
      <c r="B1359" s="96" t="inlineStr">
        <is>
          <t>GANGA PAPERS INDIA LTD</t>
        </is>
      </c>
      <c r="C1359" s="97" t="n">
        <v>531813</v>
      </c>
      <c r="D1359" s="96" t="inlineStr">
        <is>
          <t>Not Listed</t>
        </is>
      </c>
      <c r="E1359" s="96" t="inlineStr">
        <is>
          <t>Paper &amp; Paper Products</t>
        </is>
      </c>
    </row>
    <row r="1360" ht="15" customHeight="1" s="109" thickBot="1">
      <c r="B1360" s="96" t="inlineStr">
        <is>
          <t>GANGA PHARMACEUTICALS LTD</t>
        </is>
      </c>
      <c r="C1360" s="97" t="n">
        <v>539680</v>
      </c>
      <c r="D1360" s="96" t="inlineStr">
        <is>
          <t>Not Listed</t>
        </is>
      </c>
      <c r="E1360" s="96" t="inlineStr">
        <is>
          <t>Pharmaceuticals</t>
        </is>
      </c>
    </row>
    <row r="1361" ht="15" customHeight="1" s="109" thickBot="1">
      <c r="B1361" s="96" t="inlineStr">
        <is>
          <t>GANGES SECURITIES LTD</t>
        </is>
      </c>
      <c r="C1361" s="97" t="n">
        <v>540647</v>
      </c>
      <c r="D1361" s="96" t="inlineStr">
        <is>
          <t>GANGESSECU</t>
        </is>
      </c>
      <c r="E1361" s="96" t="inlineStr">
        <is>
          <t>Investment Companies</t>
        </is>
      </c>
    </row>
    <row r="1362" ht="15" customHeight="1" s="109" thickBot="1">
      <c r="B1362" s="96" t="inlineStr">
        <is>
          <t>GANGOTRI TEXTILES LTD</t>
        </is>
      </c>
      <c r="C1362" s="97" t="n">
        <v>521176</v>
      </c>
      <c r="D1362" s="96" t="inlineStr">
        <is>
          <t>GANGOTRI</t>
        </is>
      </c>
      <c r="E1362" s="96" t="inlineStr">
        <is>
          <t>Textiles</t>
        </is>
      </c>
    </row>
    <row r="1363" ht="15" customHeight="1" s="109" thickBot="1">
      <c r="B1363" s="96" t="inlineStr">
        <is>
          <t>GANON PRODUCTS LTD</t>
        </is>
      </c>
      <c r="C1363" s="97" t="n">
        <v>512443</v>
      </c>
      <c r="D1363" s="96" t="inlineStr">
        <is>
          <t>Not Listed</t>
        </is>
      </c>
      <c r="E1363" s="96" t="inlineStr">
        <is>
          <t>Comm.Trading &amp; Distribution</t>
        </is>
      </c>
    </row>
    <row r="1364" ht="15" customHeight="1" s="109" thickBot="1">
      <c r="B1364" s="96" t="inlineStr">
        <is>
          <t>GARBI FINVEST LTD</t>
        </is>
      </c>
      <c r="C1364" s="97" t="n">
        <v>539492</v>
      </c>
      <c r="D1364" s="96" t="inlineStr">
        <is>
          <t>Not Listed</t>
        </is>
      </c>
      <c r="E1364" s="96" t="inlineStr">
        <is>
          <t>Finance (including NBFCs)</t>
        </is>
      </c>
    </row>
    <row r="1365" ht="15" customHeight="1" s="109" thickBot="1">
      <c r="B1365" s="96" t="inlineStr">
        <is>
          <t>GARDEN REACH SHIPBUILDERS &amp; ENGINEERS LTD</t>
        </is>
      </c>
      <c r="C1365" s="97" t="n">
        <v>542011</v>
      </c>
      <c r="D1365" s="96" t="inlineStr">
        <is>
          <t>GRSE</t>
        </is>
      </c>
      <c r="E1365" s="96" t="inlineStr">
        <is>
          <t>Commercial Vehicles</t>
        </is>
      </c>
    </row>
    <row r="1366" ht="15" customHeight="1" s="109" thickBot="1">
      <c r="B1366" s="96" t="inlineStr">
        <is>
          <t>GARDEN SILK MILLS LTD</t>
        </is>
      </c>
      <c r="C1366" s="97" t="n">
        <v>500155</v>
      </c>
      <c r="D1366" s="96" t="inlineStr">
        <is>
          <t>GARDENSILK</t>
        </is>
      </c>
      <c r="E1366" s="96" t="inlineStr">
        <is>
          <t>Textiles</t>
        </is>
      </c>
    </row>
    <row r="1367" ht="15" customHeight="1" s="109" thickBot="1">
      <c r="B1367" s="96" t="inlineStr">
        <is>
          <t>GARG FURNACE LTD</t>
        </is>
      </c>
      <c r="C1367" s="97" t="n">
        <v>530615</v>
      </c>
      <c r="D1367" s="96" t="inlineStr">
        <is>
          <t>Not Listed</t>
        </is>
      </c>
      <c r="E1367" s="96" t="inlineStr">
        <is>
          <t>Iron &amp; Steel/Interm.Products</t>
        </is>
      </c>
    </row>
    <row r="1368" ht="15" customHeight="1" s="109" thickBot="1">
      <c r="B1368" s="96" t="inlineStr">
        <is>
          <t>GARNET CONSTRUCTION LTD</t>
        </is>
      </c>
      <c r="C1368" s="97" t="n">
        <v>526727</v>
      </c>
      <c r="D1368" s="96" t="inlineStr">
        <is>
          <t>Not Listed</t>
        </is>
      </c>
      <c r="E1368" s="96" t="inlineStr">
        <is>
          <t>Construction &amp; Engineering</t>
        </is>
      </c>
    </row>
    <row r="1369" ht="15" customHeight="1" s="109" thickBot="1">
      <c r="B1369" s="96" t="inlineStr">
        <is>
          <t>GARNET INTERNATIONAL LTD</t>
        </is>
      </c>
      <c r="C1369" s="97" t="n">
        <v>512493</v>
      </c>
      <c r="D1369" s="96" t="inlineStr">
        <is>
          <t>Not Listed</t>
        </is>
      </c>
      <c r="E1369" s="96" t="inlineStr">
        <is>
          <t>Other Financial Services</t>
        </is>
      </c>
    </row>
    <row r="1370" ht="15" customHeight="1" s="109" thickBot="1">
      <c r="B1370" s="96" t="inlineStr">
        <is>
          <t>GARODIA CHEMICALS LTD</t>
        </is>
      </c>
      <c r="C1370" s="97" t="n">
        <v>530161</v>
      </c>
      <c r="D1370" s="96" t="inlineStr">
        <is>
          <t>Not Listed</t>
        </is>
      </c>
      <c r="E1370" s="96" t="inlineStr">
        <is>
          <t>Comm.Trading &amp; Distribution</t>
        </is>
      </c>
    </row>
    <row r="1371" ht="15" customHeight="1" s="109" thickBot="1">
      <c r="B1371" s="96" t="inlineStr">
        <is>
          <t>GARV INDUSTRIES LTD</t>
        </is>
      </c>
      <c r="C1371" s="97" t="n">
        <v>541276</v>
      </c>
      <c r="D1371" s="96" t="inlineStr">
        <is>
          <t>Not Listed</t>
        </is>
      </c>
      <c r="E1371" s="96" t="inlineStr">
        <is>
          <t>Comm.Trading &amp; Distribution</t>
        </is>
      </c>
    </row>
    <row r="1372" ht="15" customHeight="1" s="109" thickBot="1">
      <c r="B1372" s="96" t="inlineStr">
        <is>
          <t>GARWARE MARINE INDUSTRIES LTD</t>
        </is>
      </c>
      <c r="C1372" s="97" t="n">
        <v>509563</v>
      </c>
      <c r="D1372" s="96" t="inlineStr">
        <is>
          <t>Not Listed</t>
        </is>
      </c>
      <c r="E1372" s="96" t="inlineStr">
        <is>
          <t>Textiles</t>
        </is>
      </c>
    </row>
    <row r="1373" ht="15" customHeight="1" s="109" thickBot="1">
      <c r="B1373" s="96" t="inlineStr">
        <is>
          <t>GARWARE POLYESTER LTD</t>
        </is>
      </c>
      <c r="C1373" s="97" t="n">
        <v>500655</v>
      </c>
      <c r="D1373" s="96" t="inlineStr">
        <is>
          <t>Not Listed</t>
        </is>
      </c>
      <c r="E1373" s="96" t="inlineStr">
        <is>
          <t>Commodity Chemicals</t>
        </is>
      </c>
    </row>
    <row r="1374" ht="15" customHeight="1" s="109" thickBot="1">
      <c r="B1374" s="96" t="inlineStr">
        <is>
          <t>GARWARE SYNTHETICS LTD</t>
        </is>
      </c>
      <c r="C1374" s="97" t="n">
        <v>514400</v>
      </c>
      <c r="D1374" s="96" t="inlineStr">
        <is>
          <t>Not Listed</t>
        </is>
      </c>
      <c r="E1374" s="96" t="inlineStr">
        <is>
          <t>Comm.Trading &amp; Distribution</t>
        </is>
      </c>
    </row>
    <row r="1375" ht="15" customHeight="1" s="109" thickBot="1">
      <c r="B1375" s="96" t="inlineStr">
        <is>
          <t>GARWARE TECHNICAL FIBRES LTD</t>
        </is>
      </c>
      <c r="C1375" s="97" t="n">
        <v>509557</v>
      </c>
      <c r="D1375" s="96" t="inlineStr">
        <is>
          <t>GARFIBRES</t>
        </is>
      </c>
      <c r="E1375" s="96" t="inlineStr">
        <is>
          <t>Textiles</t>
        </is>
      </c>
    </row>
    <row r="1376" ht="15" customHeight="1" s="109" thickBot="1">
      <c r="B1376" s="96" t="inlineStr">
        <is>
          <t>GATEWAY DISTRIPARKS LTD</t>
        </is>
      </c>
      <c r="C1376" s="97" t="n">
        <v>532622</v>
      </c>
      <c r="D1376" s="96" t="inlineStr">
        <is>
          <t>GDL</t>
        </is>
      </c>
      <c r="E1376" s="96" t="inlineStr">
        <is>
          <t>Transportation - Logistics</t>
        </is>
      </c>
    </row>
    <row r="1377" ht="15" customHeight="1" s="109" thickBot="1">
      <c r="B1377" s="96" t="inlineStr">
        <is>
          <t>GATI LTD</t>
        </is>
      </c>
      <c r="C1377" s="97" t="n">
        <v>532345</v>
      </c>
      <c r="D1377" s="96" t="inlineStr">
        <is>
          <t>GATI</t>
        </is>
      </c>
      <c r="E1377" s="96" t="inlineStr">
        <is>
          <t>Transportation - Logistics</t>
        </is>
      </c>
    </row>
    <row r="1378" ht="15" customHeight="1" s="109" thickBot="1">
      <c r="B1378" s="96" t="inlineStr">
        <is>
          <t>GAURAV MERCANTILES LTD</t>
        </is>
      </c>
      <c r="C1378" s="97" t="n">
        <v>539515</v>
      </c>
      <c r="D1378" s="96" t="inlineStr">
        <is>
          <t>Not Listed</t>
        </is>
      </c>
      <c r="E1378" s="96" t="inlineStr">
        <is>
          <t>Comm.Trading &amp; Distribution</t>
        </is>
      </c>
    </row>
    <row r="1379" ht="15" customHeight="1" s="109" thickBot="1">
      <c r="B1379" s="96" t="inlineStr">
        <is>
          <t>GAUTAM EXIM LTD</t>
        </is>
      </c>
      <c r="C1379" s="97" t="n">
        <v>540613</v>
      </c>
      <c r="D1379" s="96" t="inlineStr">
        <is>
          <t>Not Listed</t>
        </is>
      </c>
      <c r="E1379" s="96" t="inlineStr">
        <is>
          <t>Comm.Trading &amp; Distribution</t>
        </is>
      </c>
    </row>
    <row r="1380" ht="15" customHeight="1" s="109" thickBot="1">
      <c r="B1380" s="96" t="inlineStr">
        <is>
          <t>GAUTAM GEMS LTD</t>
        </is>
      </c>
      <c r="C1380" s="97" t="n">
        <v>540936</v>
      </c>
      <c r="D1380" s="96" t="inlineStr">
        <is>
          <t>Not Listed</t>
        </is>
      </c>
      <c r="E1380" s="96" t="inlineStr">
        <is>
          <t>Comm.Trading &amp; Distribution</t>
        </is>
      </c>
    </row>
    <row r="1381" ht="15" customHeight="1" s="109" thickBot="1">
      <c r="B1381" s="96" t="inlineStr">
        <is>
          <t>GAYATRI BIOORGANICS LTD</t>
        </is>
      </c>
      <c r="C1381" s="97" t="n">
        <v>524564</v>
      </c>
      <c r="D1381" s="96" t="inlineStr">
        <is>
          <t>Not Listed</t>
        </is>
      </c>
      <c r="E1381" s="96" t="inlineStr">
        <is>
          <t>Commodity Chemicals</t>
        </is>
      </c>
    </row>
    <row r="1382" ht="15" customHeight="1" s="109" thickBot="1">
      <c r="B1382" s="96" t="inlineStr">
        <is>
          <t>GAYATRI HIGHWAYS LTD</t>
        </is>
      </c>
      <c r="C1382" s="97" t="n">
        <v>541546</v>
      </c>
      <c r="D1382" s="96" t="inlineStr">
        <is>
          <t>GAYAHWS</t>
        </is>
      </c>
      <c r="E1382" s="96" t="inlineStr">
        <is>
          <t>Construction &amp; Engineering</t>
        </is>
      </c>
    </row>
    <row r="1383" ht="15" customHeight="1" s="109" thickBot="1">
      <c r="B1383" s="96" t="inlineStr">
        <is>
          <t>GAYATRI PROJECTS LTD</t>
        </is>
      </c>
      <c r="C1383" s="97" t="n">
        <v>532767</v>
      </c>
      <c r="D1383" s="96" t="inlineStr">
        <is>
          <t>GAYAPROJ</t>
        </is>
      </c>
      <c r="E1383" s="96" t="inlineStr">
        <is>
          <t>Construction &amp; Engineering</t>
        </is>
      </c>
    </row>
    <row r="1384" ht="15" customHeight="1" s="109" thickBot="1">
      <c r="B1384" s="96" t="inlineStr">
        <is>
          <t>GAYATRI SUGARS LTD</t>
        </is>
      </c>
      <c r="C1384" s="97" t="n">
        <v>532183</v>
      </c>
      <c r="D1384" s="96" t="inlineStr">
        <is>
          <t>Not Listed</t>
        </is>
      </c>
      <c r="E1384" s="96" t="inlineStr">
        <is>
          <t>Sugar</t>
        </is>
      </c>
    </row>
    <row r="1385" ht="15" customHeight="1" s="109" thickBot="1">
      <c r="B1385" s="96" t="inlineStr">
        <is>
          <t>GBL INDUSTRIES LTD</t>
        </is>
      </c>
      <c r="C1385" s="97" t="n">
        <v>539009</v>
      </c>
      <c r="D1385" s="96" t="inlineStr">
        <is>
          <t>Not Listed</t>
        </is>
      </c>
      <c r="E1385" s="96" t="inlineStr">
        <is>
          <t>Construction &amp; Engineering</t>
        </is>
      </c>
    </row>
    <row r="1386" ht="15" customHeight="1" s="109" thickBot="1">
      <c r="B1386" s="96" t="inlineStr">
        <is>
          <t>GCM CAPITAL ADVISORS LTD</t>
        </is>
      </c>
      <c r="C1386" s="97" t="n">
        <v>538319</v>
      </c>
      <c r="D1386" s="96" t="inlineStr">
        <is>
          <t>Not Listed</t>
        </is>
      </c>
      <c r="E1386" s="96" t="inlineStr">
        <is>
          <t>Other Financial Services</t>
        </is>
      </c>
    </row>
    <row r="1387" ht="15" customHeight="1" s="109" thickBot="1">
      <c r="B1387" s="96" t="inlineStr">
        <is>
          <t>GCM COMMODITY &amp; DERIVATIVES LTD</t>
        </is>
      </c>
      <c r="C1387" s="97" t="n">
        <v>535917</v>
      </c>
      <c r="D1387" s="96" t="inlineStr">
        <is>
          <t>Not Listed</t>
        </is>
      </c>
      <c r="E1387" s="96" t="inlineStr">
        <is>
          <t>Other Financial Services</t>
        </is>
      </c>
    </row>
    <row r="1388" ht="15" customHeight="1" s="109" thickBot="1">
      <c r="B1388" s="96" t="inlineStr">
        <is>
          <t>GCM SECURITIES LTD</t>
        </is>
      </c>
      <c r="C1388" s="97" t="n">
        <v>535431</v>
      </c>
      <c r="D1388" s="96" t="inlineStr">
        <is>
          <t>Not Listed</t>
        </is>
      </c>
      <c r="E1388" s="96" t="inlineStr">
        <is>
          <t>Other Financial Services</t>
        </is>
      </c>
    </row>
    <row r="1389" ht="15" customHeight="1" s="109" thickBot="1">
      <c r="B1389" s="96" t="inlineStr">
        <is>
          <t>GDL LEASING &amp; FINANCE LTD</t>
        </is>
      </c>
      <c r="C1389" s="97" t="n">
        <v>530855</v>
      </c>
      <c r="D1389" s="96" t="inlineStr">
        <is>
          <t>Not Listed</t>
        </is>
      </c>
      <c r="E1389" s="96" t="inlineStr">
        <is>
          <t>Finance (including NBFCs)</t>
        </is>
      </c>
    </row>
    <row r="1390" ht="15" customHeight="1" s="109" thickBot="1">
      <c r="B1390" s="96" t="inlineStr">
        <is>
          <t>GE POWER (INDIA) LTD</t>
        </is>
      </c>
      <c r="C1390" s="97" t="n">
        <v>532309</v>
      </c>
      <c r="D1390" s="96" t="inlineStr">
        <is>
          <t>GEPIL</t>
        </is>
      </c>
      <c r="E1390" s="96" t="inlineStr">
        <is>
          <t>Heavy Electrical Equipment</t>
        </is>
      </c>
    </row>
    <row r="1391" ht="15" customHeight="1" s="109" thickBot="1">
      <c r="B1391" s="96" t="inlineStr">
        <is>
          <t>GE POWER INDIA LTD</t>
        </is>
      </c>
      <c r="C1391" s="97" t="n">
        <v>532309</v>
      </c>
      <c r="D1391" s="96" t="inlineStr">
        <is>
          <t>GEPIL</t>
        </is>
      </c>
      <c r="E1391" s="96" t="inlineStr">
        <is>
          <t>Heavy Electrical Equipment</t>
        </is>
      </c>
    </row>
    <row r="1392" ht="15" customHeight="1" s="109" thickBot="1">
      <c r="B1392" s="96" t="inlineStr">
        <is>
          <t>GE T&amp;D (INDIA) LTD</t>
        </is>
      </c>
      <c r="C1392" s="97" t="n">
        <v>522275</v>
      </c>
      <c r="D1392" s="96" t="inlineStr">
        <is>
          <t>GET&amp;D</t>
        </is>
      </c>
      <c r="E1392" s="96" t="inlineStr">
        <is>
          <t>Electric Utilities</t>
        </is>
      </c>
    </row>
    <row r="1393" ht="15" customHeight="1" s="109" thickBot="1">
      <c r="B1393" s="96" t="inlineStr">
        <is>
          <t>GE T&amp;D INDIA LTD</t>
        </is>
      </c>
      <c r="C1393" s="97" t="n">
        <v>522275</v>
      </c>
      <c r="D1393" s="96" t="inlineStr">
        <is>
          <t>GET&amp;D</t>
        </is>
      </c>
      <c r="E1393" s="96" t="inlineStr">
        <is>
          <t>Electric Utilities</t>
        </is>
      </c>
    </row>
    <row r="1394" ht="15" customHeight="1" s="109" thickBot="1">
      <c r="B1394" s="96" t="inlineStr">
        <is>
          <t>GEE LTD</t>
        </is>
      </c>
      <c r="C1394" s="97" t="n">
        <v>504028</v>
      </c>
      <c r="D1394" s="96" t="inlineStr">
        <is>
          <t>Not Listed</t>
        </is>
      </c>
      <c r="E1394" s="96" t="inlineStr">
        <is>
          <t>Other Industrial Goods</t>
        </is>
      </c>
    </row>
    <row r="1395" ht="15" customHeight="1" s="109" thickBot="1">
      <c r="B1395" s="96" t="inlineStr">
        <is>
          <t>GEECEE VENTURES LTD</t>
        </is>
      </c>
      <c r="C1395" s="97" t="n">
        <v>532764</v>
      </c>
      <c r="D1395" s="96" t="inlineStr">
        <is>
          <t>GEECEE</t>
        </is>
      </c>
      <c r="E1395" s="96" t="inlineStr">
        <is>
          <t>Realty</t>
        </is>
      </c>
    </row>
    <row r="1396" ht="15" customHeight="1" s="109" thickBot="1">
      <c r="B1396" s="96" t="inlineStr">
        <is>
          <t>GEEFCEE FINANCE LTD</t>
        </is>
      </c>
      <c r="C1396" s="97" t="n">
        <v>530389</v>
      </c>
      <c r="D1396" s="96" t="inlineStr">
        <is>
          <t>Not Listed</t>
        </is>
      </c>
      <c r="E1396" s="96" t="inlineStr">
        <is>
          <t>Investment Companies</t>
        </is>
      </c>
    </row>
    <row r="1397" ht="15" customHeight="1" s="109" thickBot="1">
      <c r="B1397" s="96" t="inlineStr">
        <is>
          <t>GEEKAY WIRES LTD</t>
        </is>
      </c>
      <c r="C1397" s="96" t="inlineStr">
        <is>
          <t>Not Listed</t>
        </is>
      </c>
      <c r="D1397" s="96" t="inlineStr">
        <is>
          <t>GEEKAYWIRE</t>
        </is>
      </c>
      <c r="E1397" s="96" t="inlineStr">
        <is>
          <t>SME</t>
        </is>
      </c>
    </row>
    <row r="1398" ht="15" customHeight="1" s="109" thickBot="1">
      <c r="B1398" s="96" t="inlineStr">
        <is>
          <t>GEETANJALI CREDIT AND CAPITAL LTD</t>
        </is>
      </c>
      <c r="C1398" s="97" t="n">
        <v>539486</v>
      </c>
      <c r="D1398" s="96" t="inlineStr">
        <is>
          <t>Not Listed</t>
        </is>
      </c>
      <c r="E1398" s="96" t="inlineStr">
        <is>
          <t>Finance (including NBFCs)</t>
        </is>
      </c>
    </row>
    <row r="1399" ht="15" customHeight="1" s="109" thickBot="1">
      <c r="B1399" s="96" t="inlineStr">
        <is>
          <t>GEM SPINNERS (INDIA) LTD</t>
        </is>
      </c>
      <c r="C1399" s="97" t="n">
        <v>521133</v>
      </c>
      <c r="D1399" s="96" t="inlineStr">
        <is>
          <t>Not Listed</t>
        </is>
      </c>
      <c r="E1399" s="96" t="inlineStr">
        <is>
          <t>Textiles</t>
        </is>
      </c>
    </row>
    <row r="1400" ht="15" customHeight="1" s="109" thickBot="1">
      <c r="B1400" s="96" t="inlineStr">
        <is>
          <t>GEM SPINNERS INDIA LTD</t>
        </is>
      </c>
      <c r="C1400" s="97" t="n">
        <v>521133</v>
      </c>
      <c r="D1400" s="96" t="inlineStr">
        <is>
          <t>Not Listed</t>
        </is>
      </c>
      <c r="E1400" s="96" t="inlineStr">
        <is>
          <t>Textiles</t>
        </is>
      </c>
    </row>
    <row r="1401" ht="15" customHeight="1" s="109" thickBot="1">
      <c r="B1401" s="96" t="inlineStr">
        <is>
          <t>GEMINI COMMUNICATION LTD</t>
        </is>
      </c>
      <c r="C1401" s="97" t="n">
        <v>532318</v>
      </c>
      <c r="D1401" s="96" t="inlineStr">
        <is>
          <t>GEMINI</t>
        </is>
      </c>
      <c r="E1401" s="96" t="inlineStr">
        <is>
          <t>IT Networking Equipment</t>
        </is>
      </c>
    </row>
    <row r="1402" ht="15" customHeight="1" s="109" thickBot="1">
      <c r="B1402" s="96" t="inlineStr">
        <is>
          <t>GEMSTONE INVESTMENTS LTD</t>
        </is>
      </c>
      <c r="C1402" s="97" t="n">
        <v>531137</v>
      </c>
      <c r="D1402" s="96" t="inlineStr">
        <is>
          <t>Not Listed</t>
        </is>
      </c>
      <c r="E1402" s="96" t="inlineStr">
        <is>
          <t>Misc.Commercial Services</t>
        </is>
      </c>
    </row>
    <row r="1403" ht="15" customHeight="1" s="109" thickBot="1">
      <c r="B1403" s="96" t="inlineStr">
        <is>
          <t>GENERA AGRI CORP LTD</t>
        </is>
      </c>
      <c r="C1403" s="97" t="n">
        <v>541999</v>
      </c>
      <c r="D1403" s="96" t="inlineStr">
        <is>
          <t>Not Listed</t>
        </is>
      </c>
      <c r="E1403" s="96" t="inlineStr">
        <is>
          <t>Other Agricultural Products</t>
        </is>
      </c>
    </row>
    <row r="1404" ht="15" customHeight="1" s="109" thickBot="1">
      <c r="B1404" s="96" t="inlineStr">
        <is>
          <t>GENERAL INSURANCE CORPORATION OF INDIA</t>
        </is>
      </c>
      <c r="C1404" s="97" t="n">
        <v>540755</v>
      </c>
      <c r="D1404" s="96" t="inlineStr">
        <is>
          <t>GICRE</t>
        </is>
      </c>
      <c r="E1404" s="96" t="inlineStr">
        <is>
          <t>General Insurance</t>
        </is>
      </c>
    </row>
    <row r="1405" ht="15" customHeight="1" s="109" thickBot="1">
      <c r="B1405" s="96" t="inlineStr">
        <is>
          <t>GENERIC ENGINEERING CONSTRUCTION AND PROJECTS LTD</t>
        </is>
      </c>
      <c r="C1405" s="97" t="n">
        <v>539407</v>
      </c>
      <c r="D1405" s="96" t="inlineStr">
        <is>
          <t>Not Listed</t>
        </is>
      </c>
      <c r="E1405" s="96" t="inlineStr">
        <is>
          <t>Construction &amp; Engineering</t>
        </is>
      </c>
    </row>
    <row r="1406" ht="15" customHeight="1" s="109" thickBot="1">
      <c r="B1406" s="96" t="inlineStr">
        <is>
          <t>GENESIS IBRC (INDIA) LTD</t>
        </is>
      </c>
      <c r="C1406" s="97" t="n">
        <v>514336</v>
      </c>
      <c r="D1406" s="96" t="inlineStr">
        <is>
          <t>Not Listed</t>
        </is>
      </c>
      <c r="E1406" s="96" t="inlineStr">
        <is>
          <t>Biotechnology</t>
        </is>
      </c>
    </row>
    <row r="1407" ht="15" customHeight="1" s="109" thickBot="1">
      <c r="B1407" s="96" t="inlineStr">
        <is>
          <t>GENESIS IBRC INDIA LTD</t>
        </is>
      </c>
      <c r="C1407" s="97" t="n">
        <v>514336</v>
      </c>
      <c r="D1407" s="96" t="inlineStr">
        <is>
          <t>Not Listed</t>
        </is>
      </c>
      <c r="E1407" s="96" t="inlineStr">
        <is>
          <t>Biotechnology</t>
        </is>
      </c>
    </row>
    <row r="1408" ht="15" customHeight="1" s="109" thickBot="1">
      <c r="B1408" s="96" t="inlineStr">
        <is>
          <t>GENESYS INTERNATIONAL CORPORATION LTD</t>
        </is>
      </c>
      <c r="C1408" s="97" t="n">
        <v>506109</v>
      </c>
      <c r="D1408" s="96" t="inlineStr">
        <is>
          <t>GENESYS</t>
        </is>
      </c>
      <c r="E1408" s="96" t="inlineStr">
        <is>
          <t>IT Software Products</t>
        </is>
      </c>
    </row>
    <row r="1409" ht="15" customHeight="1" s="109" thickBot="1">
      <c r="B1409" s="96" t="inlineStr">
        <is>
          <t>GENNEX LABORATORIES LTD</t>
        </is>
      </c>
      <c r="C1409" s="97" t="n">
        <v>531739</v>
      </c>
      <c r="D1409" s="96" t="inlineStr">
        <is>
          <t>Not Listed</t>
        </is>
      </c>
      <c r="E1409" s="96" t="inlineStr">
        <is>
          <t>Pharmaceuticals</t>
        </is>
      </c>
    </row>
    <row r="1410" ht="15" customHeight="1" s="109" thickBot="1">
      <c r="B1410" s="96" t="inlineStr">
        <is>
          <t>GENOMIC VALLEY BIOTECH LTD</t>
        </is>
      </c>
      <c r="C1410" s="97" t="n">
        <v>539206</v>
      </c>
      <c r="D1410" s="96" t="inlineStr">
        <is>
          <t>Not Listed</t>
        </is>
      </c>
      <c r="E1410" s="96" t="inlineStr">
        <is>
          <t>Biotechnology</t>
        </is>
      </c>
    </row>
    <row r="1411" ht="15" customHeight="1" s="109" thickBot="1">
      <c r="B1411" s="96" t="inlineStr">
        <is>
          <t>GENUS PAPER &amp; BOARDS LTD</t>
        </is>
      </c>
      <c r="C1411" s="97" t="n">
        <v>538961</v>
      </c>
      <c r="D1411" s="96" t="inlineStr">
        <is>
          <t>GENUSPAPER</t>
        </is>
      </c>
      <c r="E1411" s="96" t="inlineStr">
        <is>
          <t>Paper &amp; Paper Products</t>
        </is>
      </c>
    </row>
    <row r="1412" ht="15" customHeight="1" s="109" thickBot="1">
      <c r="B1412" s="96" t="inlineStr">
        <is>
          <t>GENUS POWER INFRASTRUCTURES LTD</t>
        </is>
      </c>
      <c r="C1412" s="97" t="n">
        <v>530343</v>
      </c>
      <c r="D1412" s="96" t="inlineStr">
        <is>
          <t>GENUSPOWER</t>
        </is>
      </c>
      <c r="E1412" s="96" t="inlineStr">
        <is>
          <t>Other Elect.Equip./ Prod.</t>
        </is>
      </c>
    </row>
    <row r="1413" ht="15" customHeight="1" s="109" thickBot="1">
      <c r="B1413" s="96" t="inlineStr">
        <is>
          <t>GEOJIT FINANCIAL SERVICES LTD</t>
        </is>
      </c>
      <c r="C1413" s="97" t="n">
        <v>532285</v>
      </c>
      <c r="D1413" s="96" t="inlineStr">
        <is>
          <t>GEOJITFSL</t>
        </is>
      </c>
      <c r="E1413" s="96" t="inlineStr">
        <is>
          <t>Other Financial Services</t>
        </is>
      </c>
    </row>
    <row r="1414" ht="15" customHeight="1" s="109" thickBot="1">
      <c r="B1414" s="96" t="inlineStr">
        <is>
          <t>GHCL LTD</t>
        </is>
      </c>
      <c r="C1414" s="97" t="n">
        <v>500171</v>
      </c>
      <c r="D1414" s="96" t="inlineStr">
        <is>
          <t>GHCL</t>
        </is>
      </c>
      <c r="E1414" s="96" t="inlineStr">
        <is>
          <t>Commodity Chemicals</t>
        </is>
      </c>
    </row>
    <row r="1415" ht="15" customHeight="1" s="109" thickBot="1">
      <c r="B1415" s="96" t="inlineStr">
        <is>
          <t>GI ENGINEERING SOLUTIONS LTD</t>
        </is>
      </c>
      <c r="C1415" s="97" t="n">
        <v>533048</v>
      </c>
      <c r="D1415" s="96" t="inlineStr">
        <is>
          <t>GISOLUTION</t>
        </is>
      </c>
      <c r="E1415" s="96" t="inlineStr">
        <is>
          <t>Construction &amp; Engineering</t>
        </is>
      </c>
    </row>
    <row r="1416" ht="15" customHeight="1" s="109" thickBot="1">
      <c r="B1416" s="96" t="inlineStr">
        <is>
          <t>GIC HOUSING FINANCE LTD</t>
        </is>
      </c>
      <c r="C1416" s="97" t="n">
        <v>511676</v>
      </c>
      <c r="D1416" s="96" t="inlineStr">
        <is>
          <t>GICHSGFIN</t>
        </is>
      </c>
      <c r="E1416" s="96" t="inlineStr">
        <is>
          <t>Housing Finance</t>
        </is>
      </c>
    </row>
    <row r="1417" ht="15" customHeight="1" s="109" thickBot="1">
      <c r="B1417" s="96" t="inlineStr">
        <is>
          <t>GILADA FINANCE &amp; INVESTMENTS LTD</t>
        </is>
      </c>
      <c r="C1417" s="97" t="n">
        <v>538788</v>
      </c>
      <c r="D1417" s="96" t="inlineStr">
        <is>
          <t>Not Listed</t>
        </is>
      </c>
      <c r="E1417" s="96" t="inlineStr">
        <is>
          <t>Finance (including NBFCs)</t>
        </is>
      </c>
    </row>
    <row r="1418" ht="15" customHeight="1" s="109" thickBot="1">
      <c r="B1418" s="96" t="inlineStr">
        <is>
          <t>GILLANDERS ARBUTHNOT &amp; COMPANY LTD</t>
        </is>
      </c>
      <c r="C1418" s="97" t="n">
        <v>532716</v>
      </c>
      <c r="D1418" s="96" t="inlineStr">
        <is>
          <t>GILLANDERS</t>
        </is>
      </c>
      <c r="E1418" s="96" t="inlineStr">
        <is>
          <t>Diversified</t>
        </is>
      </c>
    </row>
    <row r="1419" ht="15" customHeight="1" s="109" thickBot="1">
      <c r="B1419" s="96" t="inlineStr">
        <is>
          <t>GILLETTE (INDIA) LTD</t>
        </is>
      </c>
      <c r="C1419" s="97" t="n">
        <v>507815</v>
      </c>
      <c r="D1419" s="96" t="inlineStr">
        <is>
          <t>GILLETTE</t>
        </is>
      </c>
      <c r="E1419" s="96" t="inlineStr">
        <is>
          <t>Personal Products</t>
        </is>
      </c>
    </row>
    <row r="1420" ht="15" customHeight="1" s="109" thickBot="1">
      <c r="B1420" s="96" t="inlineStr">
        <is>
          <t>GILLETTE INDIA LTD</t>
        </is>
      </c>
      <c r="C1420" s="97" t="n">
        <v>507815</v>
      </c>
      <c r="D1420" s="96" t="inlineStr">
        <is>
          <t>GILLETTE</t>
        </is>
      </c>
      <c r="E1420" s="96" t="inlineStr">
        <is>
          <t>Personal Products</t>
        </is>
      </c>
    </row>
    <row r="1421" ht="15" customHeight="1" s="109" thickBot="1">
      <c r="B1421" s="96" t="inlineStr">
        <is>
          <t>GINI SILK MILLS LTD</t>
        </is>
      </c>
      <c r="C1421" s="97" t="n">
        <v>531744</v>
      </c>
      <c r="D1421" s="96" t="inlineStr">
        <is>
          <t>Not Listed</t>
        </is>
      </c>
      <c r="E1421" s="96" t="inlineStr">
        <is>
          <t>Comm.Trading &amp; Distribution</t>
        </is>
      </c>
    </row>
    <row r="1422" ht="15" customHeight="1" s="109" thickBot="1">
      <c r="B1422" s="96" t="inlineStr">
        <is>
          <t>GINNI FILAMENTS LTD</t>
        </is>
      </c>
      <c r="C1422" s="97" t="n">
        <v>590025</v>
      </c>
      <c r="D1422" s="96" t="inlineStr">
        <is>
          <t>GINNIFILA</t>
        </is>
      </c>
      <c r="E1422" s="96" t="inlineStr">
        <is>
          <t>Textiles</t>
        </is>
      </c>
    </row>
    <row r="1423" ht="15" customHeight="1" s="109" thickBot="1">
      <c r="B1423" s="96" t="inlineStr">
        <is>
          <t>GIRDHARILAL SUGAR &amp; ALLIED INDUSTRIES LTD</t>
        </is>
      </c>
      <c r="C1423" s="97" t="n">
        <v>507506</v>
      </c>
      <c r="D1423" s="96" t="inlineStr">
        <is>
          <t>Not Listed</t>
        </is>
      </c>
      <c r="E1423" s="96" t="inlineStr">
        <is>
          <t>Sugar</t>
        </is>
      </c>
    </row>
    <row r="1424" ht="15" customHeight="1" s="109" thickBot="1">
      <c r="B1424" s="96" t="inlineStr">
        <is>
          <t>GIRIRAJ CIVIL DEVELOPERS LTD</t>
        </is>
      </c>
      <c r="C1424" s="96" t="inlineStr">
        <is>
          <t>Not Listed</t>
        </is>
      </c>
      <c r="D1424" s="96" t="inlineStr">
        <is>
          <t>GIRIRAJ</t>
        </is>
      </c>
      <c r="E1424" s="96" t="inlineStr">
        <is>
          <t>SME</t>
        </is>
      </c>
    </row>
    <row r="1425" ht="15" customHeight="1" s="109" thickBot="1">
      <c r="B1425" s="96" t="inlineStr">
        <is>
          <t>GITA RENEWABLE ENERGY LTD</t>
        </is>
      </c>
      <c r="C1425" s="97" t="n">
        <v>539013</v>
      </c>
      <c r="D1425" s="96" t="inlineStr">
        <is>
          <t>Not Listed</t>
        </is>
      </c>
      <c r="E1425" s="96" t="inlineStr">
        <is>
          <t>Electric Utilities</t>
        </is>
      </c>
    </row>
    <row r="1426" ht="15" customHeight="1" s="109" thickBot="1">
      <c r="B1426" s="96" t="inlineStr">
        <is>
          <t>GKB OPHTHALMICS LTD</t>
        </is>
      </c>
      <c r="C1426" s="97" t="n">
        <v>533212</v>
      </c>
      <c r="D1426" s="96" t="inlineStr">
        <is>
          <t>Not Listed</t>
        </is>
      </c>
      <c r="E1426" s="96" t="inlineStr">
        <is>
          <t>Healthcare Services</t>
        </is>
      </c>
    </row>
    <row r="1427" ht="15" customHeight="1" s="109" thickBot="1">
      <c r="B1427" s="96" t="inlineStr">
        <is>
          <t>GKW LTD</t>
        </is>
      </c>
      <c r="C1427" s="96" t="inlineStr">
        <is>
          <t>Not Listed</t>
        </is>
      </c>
      <c r="D1427" s="96" t="inlineStr">
        <is>
          <t>GKWLIMITED</t>
        </is>
      </c>
      <c r="E1427" s="96" t="inlineStr">
        <is>
          <t>Others</t>
        </is>
      </c>
    </row>
    <row r="1428" ht="15" customHeight="1" s="109" thickBot="1">
      <c r="B1428" s="96" t="inlineStr">
        <is>
          <t>GLANCE FINANCE LTD</t>
        </is>
      </c>
      <c r="C1428" s="97" t="n">
        <v>531199</v>
      </c>
      <c r="D1428" s="96" t="inlineStr">
        <is>
          <t>Not Listed</t>
        </is>
      </c>
      <c r="E1428" s="96" t="inlineStr">
        <is>
          <t>Finance (including NBFCs)</t>
        </is>
      </c>
    </row>
    <row r="1429" ht="15" customHeight="1" s="109" thickBot="1">
      <c r="B1429" s="96" t="inlineStr">
        <is>
          <t>GLAXOSMITHKLINE CONSUMER HEALTHCARE LTD</t>
        </is>
      </c>
      <c r="C1429" s="97" t="n">
        <v>500676</v>
      </c>
      <c r="D1429" s="96" t="inlineStr">
        <is>
          <t>GSKCONS</t>
        </is>
      </c>
      <c r="E1429" s="96" t="inlineStr">
        <is>
          <t>Packaged Foods</t>
        </is>
      </c>
    </row>
    <row r="1430" ht="15" customHeight="1" s="109" thickBot="1">
      <c r="B1430" s="96" t="inlineStr">
        <is>
          <t>GLAXOSMITHKLINE PHARMACEUTICALS LTD</t>
        </is>
      </c>
      <c r="C1430" s="97" t="n">
        <v>500660</v>
      </c>
      <c r="D1430" s="96" t="inlineStr">
        <is>
          <t>GLAXO</t>
        </is>
      </c>
      <c r="E1430" s="96" t="inlineStr">
        <is>
          <t>Pharmaceuticals</t>
        </is>
      </c>
    </row>
    <row r="1431" ht="15" customHeight="1" s="109" thickBot="1">
      <c r="B1431" s="96" t="inlineStr">
        <is>
          <t>Gleam Fabmat Ltd</t>
        </is>
      </c>
      <c r="C1431" s="97" t="n">
        <v>542477</v>
      </c>
      <c r="D1431" s="96" t="inlineStr">
        <is>
          <t>GLEAM</t>
        </is>
      </c>
      <c r="E1431" s="96" t="inlineStr">
        <is>
          <t>Comm.Trading &amp;amp; Distribution</t>
        </is>
      </c>
    </row>
    <row r="1432" ht="15" customHeight="1" s="109" thickBot="1">
      <c r="B1432" s="96" t="inlineStr">
        <is>
          <t>GLENMARK PHARMACEUTICALS LTD</t>
        </is>
      </c>
      <c r="C1432" s="97" t="n">
        <v>532296</v>
      </c>
      <c r="D1432" s="96" t="inlineStr">
        <is>
          <t>GLENMARK</t>
        </is>
      </c>
      <c r="E1432" s="96" t="inlineStr">
        <is>
          <t>Pharmaceuticals</t>
        </is>
      </c>
    </row>
    <row r="1433" ht="15" customHeight="1" s="109" thickBot="1">
      <c r="B1433" s="96" t="inlineStr">
        <is>
          <t>GLITTEK GRANITES LTD</t>
        </is>
      </c>
      <c r="C1433" s="97" t="n">
        <v>513528</v>
      </c>
      <c r="D1433" s="96" t="inlineStr">
        <is>
          <t>Not Listed</t>
        </is>
      </c>
      <c r="E1433" s="96" t="inlineStr">
        <is>
          <t>Construction Materials</t>
        </is>
      </c>
    </row>
    <row r="1434" ht="15" customHeight="1" s="109" thickBot="1">
      <c r="B1434" s="96" t="inlineStr">
        <is>
          <t>GLOBAL CAPITAL MARKETS LTD</t>
        </is>
      </c>
      <c r="C1434" s="97" t="n">
        <v>530263</v>
      </c>
      <c r="D1434" s="96" t="inlineStr">
        <is>
          <t>Not Listed</t>
        </is>
      </c>
      <c r="E1434" s="96" t="inlineStr">
        <is>
          <t>Finance (including NBFCs)</t>
        </is>
      </c>
    </row>
    <row r="1435" ht="15" customHeight="1" s="109" thickBot="1">
      <c r="B1435" s="96" t="inlineStr">
        <is>
          <t>GLOBAL EDUCATION LTD</t>
        </is>
      </c>
      <c r="C1435" s="96" t="inlineStr">
        <is>
          <t>Not Listed</t>
        </is>
      </c>
      <c r="D1435" s="96" t="inlineStr">
        <is>
          <t>GLOBAL</t>
        </is>
      </c>
      <c r="E1435" s="96" t="inlineStr">
        <is>
          <t>SME</t>
        </is>
      </c>
    </row>
    <row r="1436" ht="15" customHeight="1" s="109" thickBot="1">
      <c r="B1436" s="96" t="inlineStr">
        <is>
          <t>GLOBAL INFRATECH &amp; FINANCE LTD</t>
        </is>
      </c>
      <c r="C1436" s="97" t="n">
        <v>531463</v>
      </c>
      <c r="D1436" s="96" t="inlineStr">
        <is>
          <t>Not Listed</t>
        </is>
      </c>
      <c r="E1436" s="96" t="inlineStr">
        <is>
          <t>Misc.Commercial Services</t>
        </is>
      </c>
    </row>
    <row r="1437" ht="15" customHeight="1" s="109" thickBot="1">
      <c r="B1437" s="96" t="inlineStr">
        <is>
          <t>GLOBAL LAND MASTERS CORPORATION LTD</t>
        </is>
      </c>
      <c r="C1437" s="97" t="n">
        <v>531479</v>
      </c>
      <c r="D1437" s="96" t="inlineStr">
        <is>
          <t>Not Listed</t>
        </is>
      </c>
      <c r="E1437" s="96" t="inlineStr">
        <is>
          <t>Realty</t>
        </is>
      </c>
    </row>
    <row r="1438" ht="15" customHeight="1" s="109" thickBot="1">
      <c r="B1438" s="96" t="inlineStr">
        <is>
          <t>GLOBAL OFFSHORE SERVICES LTD</t>
        </is>
      </c>
      <c r="C1438" s="97" t="n">
        <v>501848</v>
      </c>
      <c r="D1438" s="96" t="inlineStr">
        <is>
          <t>GLOBOFFS</t>
        </is>
      </c>
      <c r="E1438" s="96" t="inlineStr">
        <is>
          <t>Shipping</t>
        </is>
      </c>
    </row>
    <row r="1439" ht="15" customHeight="1" s="109" thickBot="1">
      <c r="B1439" s="96" t="inlineStr">
        <is>
          <t>GLOBAL VECTRA HELICORP LTD</t>
        </is>
      </c>
      <c r="C1439" s="97" t="n">
        <v>532773</v>
      </c>
      <c r="D1439" s="96" t="inlineStr">
        <is>
          <t>GLOBALVECT</t>
        </is>
      </c>
      <c r="E1439" s="96" t="inlineStr">
        <is>
          <t>Airlines</t>
        </is>
      </c>
    </row>
    <row r="1440" ht="15" customHeight="1" s="109" thickBot="1">
      <c r="B1440" s="96" t="inlineStr">
        <is>
          <t>GLOBALSPACE TECHNOLOGIES LTD</t>
        </is>
      </c>
      <c r="C1440" s="97" t="n">
        <v>540654</v>
      </c>
      <c r="D1440" s="96" t="inlineStr">
        <is>
          <t>Not Listed</t>
        </is>
      </c>
      <c r="E1440" s="96" t="inlineStr">
        <is>
          <t>IT Consulting &amp; Software</t>
        </is>
      </c>
    </row>
    <row r="1441" ht="15" customHeight="1" s="109" thickBot="1">
      <c r="B1441" s="96" t="inlineStr">
        <is>
          <t>GLOBE COMMERCIALS LTD</t>
        </is>
      </c>
      <c r="C1441" s="97" t="n">
        <v>540266</v>
      </c>
      <c r="D1441" s="96" t="inlineStr">
        <is>
          <t>Not Listed</t>
        </is>
      </c>
      <c r="E1441" s="96" t="inlineStr">
        <is>
          <t>Comm.Trading &amp; Distribution</t>
        </is>
      </c>
    </row>
    <row r="1442" ht="15" customHeight="1" s="109" thickBot="1">
      <c r="B1442" s="96" t="inlineStr">
        <is>
          <t>GLOBE INTERNATIONAL CARRIERS LTD</t>
        </is>
      </c>
      <c r="C1442" s="96" t="inlineStr">
        <is>
          <t>Not Listed</t>
        </is>
      </c>
      <c r="D1442" s="96" t="inlineStr">
        <is>
          <t>GICL</t>
        </is>
      </c>
      <c r="E1442" s="96" t="inlineStr">
        <is>
          <t>SME</t>
        </is>
      </c>
    </row>
    <row r="1443" ht="15" customHeight="1" s="109" thickBot="1">
      <c r="B1443" s="96" t="inlineStr">
        <is>
          <t>GLOBE TEXTILES (INDIA) LTD</t>
        </is>
      </c>
      <c r="C1443" s="96" t="inlineStr">
        <is>
          <t>Not Listed</t>
        </is>
      </c>
      <c r="D1443" s="96" t="inlineStr">
        <is>
          <t>GLOBE</t>
        </is>
      </c>
      <c r="E1443" s="96" t="inlineStr">
        <is>
          <t>SME</t>
        </is>
      </c>
    </row>
    <row r="1444" ht="15" customHeight="1" s="109" thickBot="1">
      <c r="B1444" s="96" t="inlineStr">
        <is>
          <t>GLOBE TEXTILES INDIA LTD</t>
        </is>
      </c>
      <c r="C1444" s="96" t="inlineStr">
        <is>
          <t>Not Listed</t>
        </is>
      </c>
      <c r="D1444" s="96" t="inlineStr">
        <is>
          <t>GLOBE</t>
        </is>
      </c>
      <c r="E1444" s="96" t="inlineStr">
        <is>
          <t>SME</t>
        </is>
      </c>
    </row>
    <row r="1445" ht="15" customHeight="1" s="109" thickBot="1">
      <c r="B1445" s="96" t="inlineStr">
        <is>
          <t>GLOBUS CONSTRUCTORS &amp; DEVELOPERS LTD</t>
        </is>
      </c>
      <c r="C1445" s="97" t="n">
        <v>526025</v>
      </c>
      <c r="D1445" s="96" t="inlineStr">
        <is>
          <t>Not Listed</t>
        </is>
      </c>
      <c r="E1445" s="96" t="inlineStr">
        <is>
          <t>Textiles</t>
        </is>
      </c>
    </row>
    <row r="1446" ht="15" customHeight="1" s="109" thickBot="1">
      <c r="B1446" s="96" t="inlineStr">
        <is>
          <t>GLOBUS CORPORATION LTD.-$</t>
        </is>
      </c>
      <c r="C1446" s="97" t="n">
        <v>531904</v>
      </c>
      <c r="D1446" s="96" t="inlineStr">
        <is>
          <t>GLOBUSCOR</t>
        </is>
      </c>
      <c r="E1446" s="96" t="inlineStr">
        <is>
          <t>Comm.Trading &amp;amp; Distribution</t>
        </is>
      </c>
    </row>
    <row r="1447" ht="15" customHeight="1" s="109" thickBot="1">
      <c r="B1447" s="96" t="inlineStr">
        <is>
          <t>GLOBUS SPIRITS LTD</t>
        </is>
      </c>
      <c r="C1447" s="97" t="n">
        <v>533104</v>
      </c>
      <c r="D1447" s="96" t="inlineStr">
        <is>
          <t>GLOBUSSPR</t>
        </is>
      </c>
      <c r="E1447" s="96" t="inlineStr">
        <is>
          <t>Breweries &amp; Distilleries</t>
        </is>
      </c>
    </row>
    <row r="1448" ht="15" customHeight="1" s="109" thickBot="1">
      <c r="B1448" s="96" t="inlineStr">
        <is>
          <t>Gloster Ltd</t>
        </is>
      </c>
      <c r="C1448" s="97" t="n">
        <v>542351</v>
      </c>
      <c r="D1448" s="96" t="inlineStr">
        <is>
          <t>GLOSTERLTD</t>
        </is>
      </c>
      <c r="E1448" s="96" t="inlineStr">
        <is>
          <t>Jute &amp;amp; Jute Products</t>
        </is>
      </c>
    </row>
    <row r="1449" ht="15" customHeight="1" s="109" thickBot="1">
      <c r="B1449" s="96" t="inlineStr">
        <is>
          <t>GM BREWERIES LTD</t>
        </is>
      </c>
      <c r="C1449" s="97" t="n">
        <v>507488</v>
      </c>
      <c r="D1449" s="96" t="inlineStr">
        <is>
          <t>GMBREW</t>
        </is>
      </c>
      <c r="E1449" s="96" t="inlineStr">
        <is>
          <t>Breweries &amp; Distilleries</t>
        </is>
      </c>
    </row>
    <row r="1450" ht="15" customHeight="1" s="109" thickBot="1">
      <c r="B1450" s="96" t="inlineStr">
        <is>
          <t>GMM PFAUDLER LTD</t>
        </is>
      </c>
      <c r="C1450" s="97" t="n">
        <v>505255</v>
      </c>
      <c r="D1450" s="96" t="inlineStr">
        <is>
          <t>GMMPFAUDLR</t>
        </is>
      </c>
      <c r="E1450" s="96" t="inlineStr">
        <is>
          <t>Industrial Machinery</t>
        </is>
      </c>
    </row>
    <row r="1451" ht="15" customHeight="1" s="109" thickBot="1">
      <c r="B1451" s="96" t="inlineStr">
        <is>
          <t>GMR INFRASTRUCTURE LTD</t>
        </is>
      </c>
      <c r="C1451" s="97" t="n">
        <v>532754</v>
      </c>
      <c r="D1451" s="96" t="inlineStr">
        <is>
          <t>GMRINFRA</t>
        </is>
      </c>
      <c r="E1451" s="96" t="inlineStr">
        <is>
          <t>Electric Utilities</t>
        </is>
      </c>
    </row>
    <row r="1452" ht="15" customHeight="1" s="109" thickBot="1">
      <c r="B1452" s="96" t="inlineStr">
        <is>
          <t>GNA AXLES LTD</t>
        </is>
      </c>
      <c r="C1452" s="97" t="n">
        <v>540124</v>
      </c>
      <c r="D1452" s="96" t="inlineStr">
        <is>
          <t>GNA</t>
        </is>
      </c>
      <c r="E1452" s="96" t="inlineStr">
        <is>
          <t>Auto Parts &amp; Equipment</t>
        </is>
      </c>
    </row>
    <row r="1453" ht="15" customHeight="1" s="109" thickBot="1">
      <c r="B1453" s="96" t="inlineStr">
        <is>
          <t>GOA CARBON LTD</t>
        </is>
      </c>
      <c r="C1453" s="97" t="n">
        <v>509567</v>
      </c>
      <c r="D1453" s="96" t="inlineStr">
        <is>
          <t>GOACARBON</t>
        </is>
      </c>
      <c r="E1453" s="96" t="inlineStr">
        <is>
          <t>Refineries/ Petro-Products</t>
        </is>
      </c>
    </row>
    <row r="1454" ht="15" customHeight="1" s="109" thickBot="1">
      <c r="B1454" s="96" t="inlineStr">
        <is>
          <t>GOCL CORPORATION LTD</t>
        </is>
      </c>
      <c r="C1454" s="97" t="n">
        <v>506480</v>
      </c>
      <c r="D1454" s="96" t="inlineStr">
        <is>
          <t>GOCLCORP</t>
        </is>
      </c>
      <c r="E1454" s="96" t="inlineStr">
        <is>
          <t>Oil Marketing &amp; Distribution</t>
        </is>
      </c>
    </row>
    <row r="1455" ht="15" customHeight="1" s="109" thickBot="1">
      <c r="B1455" s="96" t="inlineStr">
        <is>
          <t>GODAVARI DRUGS LTD</t>
        </is>
      </c>
      <c r="C1455" s="97" t="n">
        <v>530317</v>
      </c>
      <c r="D1455" s="96" t="inlineStr">
        <is>
          <t>Not Listed</t>
        </is>
      </c>
      <c r="E1455" s="96" t="inlineStr">
        <is>
          <t>Pharmaceuticals</t>
        </is>
      </c>
    </row>
    <row r="1456" ht="15" customHeight="1" s="109" thickBot="1">
      <c r="B1456" s="96" t="inlineStr">
        <is>
          <t>GODAWARI POWER AND ISPAT LTD</t>
        </is>
      </c>
      <c r="C1456" s="97" t="n">
        <v>532734</v>
      </c>
      <c r="D1456" s="96" t="inlineStr">
        <is>
          <t>GPIL</t>
        </is>
      </c>
      <c r="E1456" s="96" t="inlineStr">
        <is>
          <t>Iron &amp; Steel/Interm.Products</t>
        </is>
      </c>
    </row>
    <row r="1457" ht="15" customHeight="1" s="109" thickBot="1">
      <c r="B1457" s="96" t="inlineStr">
        <is>
          <t>GODFREY PHILLIPS (INDIA) LTD</t>
        </is>
      </c>
      <c r="C1457" s="97" t="n">
        <v>500163</v>
      </c>
      <c r="D1457" s="96" t="inlineStr">
        <is>
          <t>GODFRYPHLP</t>
        </is>
      </c>
      <c r="E1457" s="96" t="inlineStr">
        <is>
          <t>Cigarettes-Tobacco Products</t>
        </is>
      </c>
    </row>
    <row r="1458" ht="15" customHeight="1" s="109" thickBot="1">
      <c r="B1458" s="96" t="inlineStr">
        <is>
          <t>GODFREY PHILLIPS INDIA LTD</t>
        </is>
      </c>
      <c r="C1458" s="97" t="n">
        <v>500163</v>
      </c>
      <c r="D1458" s="96" t="inlineStr">
        <is>
          <t>GODFRYPHLP</t>
        </is>
      </c>
      <c r="E1458" s="96" t="inlineStr">
        <is>
          <t>Cigarettes-Tobacco Products</t>
        </is>
      </c>
    </row>
    <row r="1459" ht="15" customHeight="1" s="109" thickBot="1">
      <c r="B1459" s="96" t="inlineStr">
        <is>
          <t>GODHA CABCON &amp; INSULATION LTD</t>
        </is>
      </c>
      <c r="C1459" s="96" t="inlineStr">
        <is>
          <t>Not Listed</t>
        </is>
      </c>
      <c r="D1459" s="96" t="inlineStr">
        <is>
          <t>GODHA</t>
        </is>
      </c>
      <c r="E1459" s="96" t="inlineStr">
        <is>
          <t>SME</t>
        </is>
      </c>
    </row>
    <row r="1460" ht="15" customHeight="1" s="109" thickBot="1">
      <c r="B1460" s="96" t="inlineStr">
        <is>
          <t>GODREJ AGROVET LTD</t>
        </is>
      </c>
      <c r="C1460" s="97" t="n">
        <v>540743</v>
      </c>
      <c r="D1460" s="96" t="inlineStr">
        <is>
          <t>GODREJAGRO</t>
        </is>
      </c>
      <c r="E1460" s="96" t="inlineStr">
        <is>
          <t>Other Agricultural Products</t>
        </is>
      </c>
    </row>
    <row r="1461" ht="15" customHeight="1" s="109" thickBot="1">
      <c r="B1461" s="96" t="inlineStr">
        <is>
          <t>GODREJ CONSUMER PRODUCTS LTD</t>
        </is>
      </c>
      <c r="C1461" s="97" t="n">
        <v>532424</v>
      </c>
      <c r="D1461" s="96" t="inlineStr">
        <is>
          <t>GODREJCP</t>
        </is>
      </c>
      <c r="E1461" s="96" t="inlineStr">
        <is>
          <t>Personal Products</t>
        </is>
      </c>
    </row>
    <row r="1462" ht="15" customHeight="1" s="109" thickBot="1">
      <c r="B1462" s="96" t="inlineStr">
        <is>
          <t>GODREJ INDUSTRIES LTD</t>
        </is>
      </c>
      <c r="C1462" s="97" t="n">
        <v>500164</v>
      </c>
      <c r="D1462" s="96" t="inlineStr">
        <is>
          <t>GODREJIND</t>
        </is>
      </c>
      <c r="E1462" s="96" t="inlineStr">
        <is>
          <t>Commodity Chemicals</t>
        </is>
      </c>
    </row>
    <row r="1463" ht="15" customHeight="1" s="109" thickBot="1">
      <c r="B1463" s="96" t="inlineStr">
        <is>
          <t>GODREJ PROPERTIES LTD</t>
        </is>
      </c>
      <c r="C1463" s="97" t="n">
        <v>533150</v>
      </c>
      <c r="D1463" s="96" t="inlineStr">
        <is>
          <t>GODREJPROP</t>
        </is>
      </c>
      <c r="E1463" s="96" t="inlineStr">
        <is>
          <t>Realty</t>
        </is>
      </c>
    </row>
    <row r="1464" ht="15" customHeight="1" s="109" thickBot="1">
      <c r="B1464" s="96" t="inlineStr">
        <is>
          <t>GOENKA BUSINESS &amp; FINANCE LTD</t>
        </is>
      </c>
      <c r="C1464" s="97" t="n">
        <v>538787</v>
      </c>
      <c r="D1464" s="96" t="inlineStr">
        <is>
          <t>Not Listed</t>
        </is>
      </c>
      <c r="E1464" s="96" t="inlineStr">
        <is>
          <t>Finance (including NBFCs)</t>
        </is>
      </c>
    </row>
    <row r="1465" ht="15" customHeight="1" s="109" thickBot="1">
      <c r="B1465" s="96" t="inlineStr">
        <is>
          <t>GOENKA DIAMOND AND JEWELS LTD</t>
        </is>
      </c>
      <c r="C1465" s="97" t="n">
        <v>533189</v>
      </c>
      <c r="D1465" s="96" t="inlineStr">
        <is>
          <t>GOENKA</t>
        </is>
      </c>
      <c r="E1465" s="96" t="inlineStr">
        <is>
          <t>Other Apparels &amp; Accessories</t>
        </is>
      </c>
    </row>
    <row r="1466" ht="15" customHeight="1" s="109" thickBot="1">
      <c r="B1466" s="96" t="inlineStr">
        <is>
          <t>GOGIA CAPITAL SERVICES LTD</t>
        </is>
      </c>
      <c r="C1466" s="97" t="n">
        <v>531600</v>
      </c>
      <c r="D1466" s="96" t="inlineStr">
        <is>
          <t>Not Listed</t>
        </is>
      </c>
      <c r="E1466" s="96" t="inlineStr">
        <is>
          <t>Other Financial Services</t>
        </is>
      </c>
    </row>
    <row r="1467" ht="15" customHeight="1" s="109" thickBot="1">
      <c r="B1467" s="96" t="inlineStr">
        <is>
          <t>GOKAK TEXTILES LTD</t>
        </is>
      </c>
      <c r="C1467" s="97" t="n">
        <v>532957</v>
      </c>
      <c r="D1467" s="96" t="inlineStr">
        <is>
          <t>Not Listed</t>
        </is>
      </c>
      <c r="E1467" s="96" t="inlineStr">
        <is>
          <t>Textiles</t>
        </is>
      </c>
    </row>
    <row r="1468" ht="15" customHeight="1" s="109" thickBot="1">
      <c r="B1468" s="96" t="inlineStr">
        <is>
          <t>GOKALDAS EXPORTS LTD</t>
        </is>
      </c>
      <c r="C1468" s="97" t="n">
        <v>532630</v>
      </c>
      <c r="D1468" s="96" t="inlineStr">
        <is>
          <t>GOKEX</t>
        </is>
      </c>
      <c r="E1468" s="96" t="inlineStr">
        <is>
          <t>Other Apparels &amp; Accessories</t>
        </is>
      </c>
    </row>
    <row r="1469" ht="15" customHeight="1" s="109" thickBot="1">
      <c r="B1469" s="96" t="inlineStr">
        <is>
          <t>GOKUL AGRO RESOURCES LTD</t>
        </is>
      </c>
      <c r="C1469" s="97" t="n">
        <v>539725</v>
      </c>
      <c r="D1469" s="96" t="inlineStr">
        <is>
          <t>GOKULAGRO</t>
        </is>
      </c>
      <c r="E1469" s="96" t="inlineStr">
        <is>
          <t>Edible Oils</t>
        </is>
      </c>
    </row>
    <row r="1470" ht="15" customHeight="1" s="109" thickBot="1">
      <c r="B1470" s="96" t="inlineStr">
        <is>
          <t>GOKUL REFOILS AND SOLVENT LTD</t>
        </is>
      </c>
      <c r="C1470" s="97" t="n">
        <v>532980</v>
      </c>
      <c r="D1470" s="96" t="inlineStr">
        <is>
          <t>GOKUL</t>
        </is>
      </c>
      <c r="E1470" s="96" t="inlineStr">
        <is>
          <t>Edible Oils</t>
        </is>
      </c>
    </row>
    <row r="1471" ht="15" customHeight="1" s="109" thickBot="1">
      <c r="B1471" s="96" t="inlineStr">
        <is>
          <t>GOKUL SOLUTIONS LTD</t>
        </is>
      </c>
      <c r="C1471" s="97" t="n">
        <v>780012</v>
      </c>
      <c r="D1471" s="96" t="inlineStr">
        <is>
          <t>Not Listed</t>
        </is>
      </c>
      <c r="E1471" s="96" t="inlineStr">
        <is>
          <t>Others</t>
        </is>
      </c>
    </row>
    <row r="1472" ht="15" customHeight="1" s="109" thickBot="1">
      <c r="B1472" s="96" t="inlineStr">
        <is>
          <t>GOLD COIN HEALTH FOODS LTD</t>
        </is>
      </c>
      <c r="C1472" s="97" t="n">
        <v>538542</v>
      </c>
      <c r="D1472" s="96" t="inlineStr">
        <is>
          <t>Not Listed</t>
        </is>
      </c>
      <c r="E1472" s="96" t="inlineStr">
        <is>
          <t>Packaged Foods</t>
        </is>
      </c>
    </row>
    <row r="1473" ht="15" customHeight="1" s="109" thickBot="1">
      <c r="B1473" s="96" t="inlineStr">
        <is>
          <t>Gold Line International Finvest Ltd</t>
        </is>
      </c>
      <c r="C1473" s="97" t="n">
        <v>538180</v>
      </c>
      <c r="D1473" s="96" t="inlineStr">
        <is>
          <t>GOLDLINE</t>
        </is>
      </c>
      <c r="E1473" s="96" t="inlineStr">
        <is>
          <t>Investment Companies</t>
        </is>
      </c>
    </row>
    <row r="1474" ht="15" customHeight="1" s="109" thickBot="1">
      <c r="B1474" s="96" t="inlineStr">
        <is>
          <t>GOLDCREST CORPORATION LTD</t>
        </is>
      </c>
      <c r="C1474" s="97" t="n">
        <v>505576</v>
      </c>
      <c r="D1474" s="96" t="inlineStr">
        <is>
          <t>Not Listed</t>
        </is>
      </c>
      <c r="E1474" s="96" t="inlineStr">
        <is>
          <t>Finance (including NBFCs)</t>
        </is>
      </c>
    </row>
    <row r="1475" ht="15" customHeight="1" s="109" thickBot="1">
      <c r="B1475" s="96" t="inlineStr">
        <is>
          <t>GOLDEN CARPETS LTD</t>
        </is>
      </c>
      <c r="C1475" s="97" t="n">
        <v>531928</v>
      </c>
      <c r="D1475" s="96" t="inlineStr">
        <is>
          <t>Not Listed</t>
        </is>
      </c>
      <c r="E1475" s="96" t="inlineStr">
        <is>
          <t>Furniture-Furnishing-Paints</t>
        </is>
      </c>
    </row>
    <row r="1476" ht="15" customHeight="1" s="109" thickBot="1">
      <c r="B1476" s="96" t="inlineStr">
        <is>
          <t>GOLDEN CREST EDUCATION &amp; SERVICES LTD</t>
        </is>
      </c>
      <c r="C1476" s="97" t="n">
        <v>540062</v>
      </c>
      <c r="D1476" s="96" t="inlineStr">
        <is>
          <t>Not Listed</t>
        </is>
      </c>
      <c r="E1476" s="96" t="inlineStr">
        <is>
          <t>Education</t>
        </is>
      </c>
    </row>
    <row r="1477" ht="15" customHeight="1" s="109" thickBot="1">
      <c r="B1477" s="96" t="inlineStr">
        <is>
          <t>GOLDEN GOENKA FINCORP LTD</t>
        </is>
      </c>
      <c r="C1477" s="97" t="n">
        <v>530579</v>
      </c>
      <c r="D1477" s="96" t="inlineStr">
        <is>
          <t>Not Listed</t>
        </is>
      </c>
      <c r="E1477" s="96" t="inlineStr">
        <is>
          <t>Finance (including NBFCs)</t>
        </is>
      </c>
    </row>
    <row r="1478" ht="15" customHeight="1" s="109" thickBot="1">
      <c r="B1478" s="96" t="inlineStr">
        <is>
          <t>GOLDEN TOBACCO LTD</t>
        </is>
      </c>
      <c r="C1478" s="97" t="n">
        <v>500151</v>
      </c>
      <c r="D1478" s="96" t="inlineStr">
        <is>
          <t>GOLDENTOBC</t>
        </is>
      </c>
      <c r="E1478" s="96" t="inlineStr">
        <is>
          <t>Cigarettes-Tobacco Products</t>
        </is>
      </c>
    </row>
    <row r="1479" ht="15" customHeight="1" s="109" thickBot="1">
      <c r="B1479" s="96" t="inlineStr">
        <is>
          <t>GOLDIAM INTERNATIONAL LTD</t>
        </is>
      </c>
      <c r="C1479" s="97" t="n">
        <v>526729</v>
      </c>
      <c r="D1479" s="96" t="inlineStr">
        <is>
          <t>GOLDIAM</t>
        </is>
      </c>
      <c r="E1479" s="96" t="inlineStr">
        <is>
          <t>Other Apparels &amp; Accessories</t>
        </is>
      </c>
    </row>
    <row r="1480" ht="15" customHeight="1" s="109" thickBot="1">
      <c r="B1480" s="96" t="inlineStr">
        <is>
          <t>GOLDSTAR POWER LTD</t>
        </is>
      </c>
      <c r="C1480" s="96" t="inlineStr">
        <is>
          <t>Not Listed</t>
        </is>
      </c>
      <c r="D1480" s="96" t="inlineStr">
        <is>
          <t>GOLDSTAR</t>
        </is>
      </c>
      <c r="E1480" s="96" t="inlineStr">
        <is>
          <t>SME</t>
        </is>
      </c>
    </row>
    <row r="1481" ht="15" customHeight="1" s="109" thickBot="1">
      <c r="B1481" s="96" t="inlineStr">
        <is>
          <t>GOLDSTONE TECHNOLOGIES LTD</t>
        </is>
      </c>
      <c r="C1481" s="97" t="n">
        <v>531439</v>
      </c>
      <c r="D1481" s="96" t="inlineStr">
        <is>
          <t>GOLDTECH</t>
        </is>
      </c>
      <c r="E1481" s="96" t="inlineStr">
        <is>
          <t>IT Consulting &amp; Software</t>
        </is>
      </c>
    </row>
    <row r="1482" ht="15" customHeight="1" s="109" thickBot="1">
      <c r="B1482" s="96" t="inlineStr">
        <is>
          <t>GOLECHHA GLOBAL FINANCE LTD</t>
        </is>
      </c>
      <c r="C1482" s="97" t="n">
        <v>531360</v>
      </c>
      <c r="D1482" s="96" t="inlineStr">
        <is>
          <t>Not Listed</t>
        </is>
      </c>
      <c r="E1482" s="96" t="inlineStr">
        <is>
          <t>Misc.Commercial Services</t>
        </is>
      </c>
    </row>
    <row r="1483" ht="15" customHeight="1" s="109" thickBot="1">
      <c r="B1483" s="96" t="inlineStr">
        <is>
          <t>GOLKONDA ALUMINIUM EXTRUSIONS LTD</t>
        </is>
      </c>
      <c r="C1483" s="97" t="n">
        <v>513309</v>
      </c>
      <c r="D1483" s="96" t="inlineStr">
        <is>
          <t>Not Listed</t>
        </is>
      </c>
      <c r="E1483" s="96" t="inlineStr">
        <is>
          <t>Aluminium</t>
        </is>
      </c>
    </row>
    <row r="1484" ht="15" customHeight="1" s="109" thickBot="1">
      <c r="B1484" s="96" t="inlineStr">
        <is>
          <t>GOLKUNDA DIAMONDS &amp; JEWELLERY LTD</t>
        </is>
      </c>
      <c r="C1484" s="97" t="n">
        <v>523676</v>
      </c>
      <c r="D1484" s="96" t="inlineStr">
        <is>
          <t>Not Listed</t>
        </is>
      </c>
      <c r="E1484" s="96" t="inlineStr">
        <is>
          <t>Other Apparels &amp; Accessories</t>
        </is>
      </c>
    </row>
    <row r="1485" ht="15" customHeight="1" s="109" thickBot="1">
      <c r="B1485" s="96" t="inlineStr">
        <is>
          <t>GOODLUCK (INDIA) LTD</t>
        </is>
      </c>
      <c r="C1485" s="97" t="n">
        <v>530655</v>
      </c>
      <c r="D1485" s="96" t="inlineStr">
        <is>
          <t>GOODLUCK</t>
        </is>
      </c>
      <c r="E1485" s="96" t="inlineStr">
        <is>
          <t>Iron &amp; Steel Products</t>
        </is>
      </c>
    </row>
    <row r="1486" ht="15" customHeight="1" s="109" thickBot="1">
      <c r="B1486" s="96" t="inlineStr">
        <is>
          <t>GOODLUCK INDIA LTD</t>
        </is>
      </c>
      <c r="C1486" s="97" t="n">
        <v>530655</v>
      </c>
      <c r="D1486" s="96" t="inlineStr">
        <is>
          <t>GOODLUCK</t>
        </is>
      </c>
      <c r="E1486" s="96" t="inlineStr">
        <is>
          <t>Iron &amp; Steel Products</t>
        </is>
      </c>
    </row>
    <row r="1487" ht="15" customHeight="1" s="109" thickBot="1">
      <c r="B1487" s="96" t="inlineStr">
        <is>
          <t>GOODRICKE GROUP LTD</t>
        </is>
      </c>
      <c r="C1487" s="97" t="n">
        <v>500166</v>
      </c>
      <c r="D1487" s="96" t="inlineStr">
        <is>
          <t>Not Listed</t>
        </is>
      </c>
      <c r="E1487" s="96" t="inlineStr">
        <is>
          <t>Tea &amp; Coffee</t>
        </is>
      </c>
    </row>
    <row r="1488" ht="15" customHeight="1" s="109" thickBot="1">
      <c r="B1488" s="96" t="inlineStr">
        <is>
          <t>GOODYEAR (INDIA) LTD</t>
        </is>
      </c>
      <c r="C1488" s="97" t="n">
        <v>500168</v>
      </c>
      <c r="D1488" s="96" t="inlineStr">
        <is>
          <t>Not Listed</t>
        </is>
      </c>
      <c r="E1488" s="96" t="inlineStr">
        <is>
          <t>Auto Tyres &amp; Rubber Products</t>
        </is>
      </c>
    </row>
    <row r="1489" ht="15" customHeight="1" s="109" thickBot="1">
      <c r="B1489" s="96" t="inlineStr">
        <is>
          <t>GOODYEAR INDIA LTD</t>
        </is>
      </c>
      <c r="C1489" s="97" t="n">
        <v>500168</v>
      </c>
      <c r="D1489" s="96" t="inlineStr">
        <is>
          <t>Not Listed</t>
        </is>
      </c>
      <c r="E1489" s="96" t="inlineStr">
        <is>
          <t>Auto Tyres &amp; Rubber Products</t>
        </is>
      </c>
    </row>
    <row r="1490" ht="15" customHeight="1" s="109" thickBot="1">
      <c r="B1490" s="96" t="inlineStr">
        <is>
          <t>GOPAL IRON &amp; STEELS CO GUJARAT LTD</t>
        </is>
      </c>
      <c r="C1490" s="97" t="n">
        <v>531913</v>
      </c>
      <c r="D1490" s="96" t="inlineStr">
        <is>
          <t>Not Listed</t>
        </is>
      </c>
      <c r="E1490" s="96" t="inlineStr">
        <is>
          <t>Iron &amp; Steel Products</t>
        </is>
      </c>
    </row>
    <row r="1491" ht="15" customHeight="1" s="109" thickBot="1">
      <c r="B1491" s="96" t="inlineStr">
        <is>
          <t>GOPALA POLYPLAST LTD</t>
        </is>
      </c>
      <c r="C1491" s="97" t="n">
        <v>526717</v>
      </c>
      <c r="D1491" s="96" t="inlineStr">
        <is>
          <t>Not Listed</t>
        </is>
      </c>
      <c r="E1491" s="96" t="inlineStr">
        <is>
          <t>Containers &amp; Packaging</t>
        </is>
      </c>
    </row>
    <row r="1492" ht="15" customHeight="1" s="109" thickBot="1">
      <c r="B1492" s="96" t="inlineStr">
        <is>
          <t>GORANI INDUSTRIES LTD</t>
        </is>
      </c>
      <c r="C1492" s="97" t="n">
        <v>531608</v>
      </c>
      <c r="D1492" s="96" t="inlineStr">
        <is>
          <t>Not Listed</t>
        </is>
      </c>
      <c r="E1492" s="96" t="inlineStr">
        <is>
          <t>Houseware</t>
        </is>
      </c>
    </row>
    <row r="1493" ht="15" customHeight="1" s="109" thickBot="1">
      <c r="B1493" s="96" t="inlineStr">
        <is>
          <t>GOTHI PLASCON (INDIA) LTD</t>
        </is>
      </c>
      <c r="C1493" s="97" t="n">
        <v>531111</v>
      </c>
      <c r="D1493" s="96" t="inlineStr">
        <is>
          <t>Not Listed</t>
        </is>
      </c>
      <c r="E1493" s="96" t="inlineStr">
        <is>
          <t>Houseware</t>
        </is>
      </c>
    </row>
    <row r="1494" ht="15" customHeight="1" s="109" thickBot="1">
      <c r="B1494" s="96" t="inlineStr">
        <is>
          <t>GOTHI PLASCON INDIA LTD</t>
        </is>
      </c>
      <c r="C1494" s="97" t="n">
        <v>531111</v>
      </c>
      <c r="D1494" s="96" t="inlineStr">
        <is>
          <t>Not Listed</t>
        </is>
      </c>
      <c r="E1494" s="96" t="inlineStr">
        <is>
          <t>Houseware</t>
        </is>
      </c>
    </row>
    <row r="1495" ht="15" customHeight="1" s="109" thickBot="1">
      <c r="B1495" s="96" t="inlineStr">
        <is>
          <t>GOVIND RUBBER LTD</t>
        </is>
      </c>
      <c r="C1495" s="97" t="n">
        <v>509148</v>
      </c>
      <c r="D1495" s="96" t="inlineStr">
        <is>
          <t>Not Listed</t>
        </is>
      </c>
      <c r="E1495" s="96" t="inlineStr">
        <is>
          <t>Auto Tyres &amp; Rubber Products</t>
        </is>
      </c>
    </row>
    <row r="1496" ht="15" customHeight="1" s="109" thickBot="1">
      <c r="B1496" s="96" t="inlineStr">
        <is>
          <t>GOWRA LEASING &amp; FINANCE LTD</t>
        </is>
      </c>
      <c r="C1496" s="97" t="n">
        <v>530709</v>
      </c>
      <c r="D1496" s="96" t="inlineStr">
        <is>
          <t>Not Listed</t>
        </is>
      </c>
      <c r="E1496" s="96" t="inlineStr">
        <is>
          <t>Finance (including NBFCs)</t>
        </is>
      </c>
    </row>
    <row r="1497" ht="15" customHeight="1" s="109" thickBot="1">
      <c r="B1497" s="96" t="inlineStr">
        <is>
          <t>GOYAL ASSOCIATES LTD</t>
        </is>
      </c>
      <c r="C1497" s="97" t="n">
        <v>530663</v>
      </c>
      <c r="D1497" s="96" t="inlineStr">
        <is>
          <t>Not Listed</t>
        </is>
      </c>
      <c r="E1497" s="96" t="inlineStr">
        <is>
          <t>Other Financial Services</t>
        </is>
      </c>
    </row>
    <row r="1498" ht="15" customHeight="1" s="109" thickBot="1">
      <c r="B1498" s="96" t="inlineStr">
        <is>
          <t>GP PETROLEUMS LTD</t>
        </is>
      </c>
      <c r="C1498" s="97" t="n">
        <v>532543</v>
      </c>
      <c r="D1498" s="96" t="inlineStr">
        <is>
          <t>GULFPETRO</t>
        </is>
      </c>
      <c r="E1498" s="96" t="inlineStr">
        <is>
          <t>Oil Marketing &amp; Distribution</t>
        </is>
      </c>
    </row>
    <row r="1499" ht="15" customHeight="1" s="109" thickBot="1">
      <c r="B1499" s="96" t="inlineStr">
        <is>
          <t>GPT INFRAPROJECTS LTD</t>
        </is>
      </c>
      <c r="C1499" s="97" t="n">
        <v>533761</v>
      </c>
      <c r="D1499" s="96" t="inlineStr">
        <is>
          <t>GPTINFRA</t>
        </is>
      </c>
      <c r="E1499" s="96" t="inlineStr">
        <is>
          <t>Construction &amp; Engineering</t>
        </is>
      </c>
    </row>
    <row r="1500" ht="15" customHeight="1" s="109" thickBot="1">
      <c r="B1500" s="96" t="inlineStr">
        <is>
          <t>GRACIOUS SOFTWARE LTD</t>
        </is>
      </c>
      <c r="C1500" s="97" t="n">
        <v>780002</v>
      </c>
      <c r="D1500" s="96" t="inlineStr">
        <is>
          <t>Not Listed</t>
        </is>
      </c>
      <c r="E1500" s="96" t="inlineStr">
        <is>
          <t>Others</t>
        </is>
      </c>
    </row>
    <row r="1501" ht="15" customHeight="1" s="109" thickBot="1">
      <c r="B1501" s="96" t="inlineStr">
        <is>
          <t>GRADIENTE INFOTAINMENT LTD</t>
        </is>
      </c>
      <c r="C1501" s="97" t="n">
        <v>590126</v>
      </c>
      <c r="D1501" s="96" t="inlineStr">
        <is>
          <t>Not Listed</t>
        </is>
      </c>
      <c r="E1501" s="96" t="inlineStr">
        <is>
          <t>Advertising &amp; Media</t>
        </is>
      </c>
    </row>
    <row r="1502" ht="15" customHeight="1" s="109" thickBot="1">
      <c r="B1502" s="96" t="inlineStr">
        <is>
          <t>GRANDEUR PRODUCTS LTD</t>
        </is>
      </c>
      <c r="C1502" s="97" t="n">
        <v>539235</v>
      </c>
      <c r="D1502" s="96" t="inlineStr">
        <is>
          <t>Not Listed</t>
        </is>
      </c>
      <c r="E1502" s="96" t="inlineStr">
        <is>
          <t>Tea &amp; Coffee</t>
        </is>
      </c>
    </row>
    <row r="1503" ht="15" customHeight="1" s="109" thickBot="1">
      <c r="B1503" s="96" t="inlineStr">
        <is>
          <t>GRANULES (INDIA) LTD</t>
        </is>
      </c>
      <c r="C1503" s="97" t="n">
        <v>532482</v>
      </c>
      <c r="D1503" s="96" t="inlineStr">
        <is>
          <t>GRANULES</t>
        </is>
      </c>
      <c r="E1503" s="96" t="inlineStr">
        <is>
          <t>Pharmaceuticals</t>
        </is>
      </c>
    </row>
    <row r="1504" ht="15" customHeight="1" s="109" thickBot="1">
      <c r="B1504" s="96" t="inlineStr">
        <is>
          <t>GRANULES INDIA LTD</t>
        </is>
      </c>
      <c r="C1504" s="97" t="n">
        <v>532482</v>
      </c>
      <c r="D1504" s="96" t="inlineStr">
        <is>
          <t>GRANULES</t>
        </is>
      </c>
      <c r="E1504" s="96" t="inlineStr">
        <is>
          <t>Pharmaceuticals</t>
        </is>
      </c>
    </row>
    <row r="1505" ht="15" customHeight="1" s="109" thickBot="1">
      <c r="B1505" s="96" t="inlineStr">
        <is>
          <t>GRAPHITE (INDIA) LTD</t>
        </is>
      </c>
      <c r="C1505" s="97" t="n">
        <v>509488</v>
      </c>
      <c r="D1505" s="96" t="inlineStr">
        <is>
          <t>GRAPHITE</t>
        </is>
      </c>
      <c r="E1505" s="96" t="inlineStr">
        <is>
          <t>Other Industrial Goods</t>
        </is>
      </c>
    </row>
    <row r="1506" ht="15" customHeight="1" s="109" thickBot="1">
      <c r="B1506" s="96" t="inlineStr">
        <is>
          <t>GRAPHITE INDIA LTD</t>
        </is>
      </c>
      <c r="C1506" s="97" t="n">
        <v>509488</v>
      </c>
      <c r="D1506" s="96" t="inlineStr">
        <is>
          <t>GRAPHITE</t>
        </is>
      </c>
      <c r="E1506" s="96" t="inlineStr">
        <is>
          <t>Other Industrial Goods</t>
        </is>
      </c>
    </row>
    <row r="1507" ht="15" customHeight="1" s="109" thickBot="1">
      <c r="B1507" s="96" t="inlineStr">
        <is>
          <t>GRASIM INDUSTRIES LTD</t>
        </is>
      </c>
      <c r="C1507" s="97" t="n">
        <v>500300</v>
      </c>
      <c r="D1507" s="96" t="inlineStr">
        <is>
          <t>GRASIM</t>
        </is>
      </c>
      <c r="E1507" s="96" t="inlineStr">
        <is>
          <t>Cement &amp; Cement Products</t>
        </is>
      </c>
    </row>
    <row r="1508" ht="15" customHeight="1" s="109" thickBot="1">
      <c r="B1508" s="96" t="inlineStr">
        <is>
          <t>GRATEX INDUSTRIES LTD</t>
        </is>
      </c>
      <c r="C1508" s="97" t="n">
        <v>526751</v>
      </c>
      <c r="D1508" s="96" t="inlineStr">
        <is>
          <t>Not Listed</t>
        </is>
      </c>
      <c r="E1508" s="96" t="inlineStr">
        <is>
          <t>Paper &amp; Paper Products</t>
        </is>
      </c>
    </row>
    <row r="1509" ht="15" customHeight="1" s="109" thickBot="1">
      <c r="B1509" s="96" t="inlineStr">
        <is>
          <t>GRAUER &amp; WEIL (INDIA) LTD</t>
        </is>
      </c>
      <c r="C1509" s="97" t="n">
        <v>505710</v>
      </c>
      <c r="D1509" s="96" t="inlineStr">
        <is>
          <t>Not Listed</t>
        </is>
      </c>
      <c r="E1509" s="96" t="inlineStr">
        <is>
          <t>Commodity Chemicals</t>
        </is>
      </c>
    </row>
    <row r="1510" ht="15" customHeight="1" s="109" thickBot="1">
      <c r="B1510" s="96" t="inlineStr">
        <is>
          <t>GRAUER &amp; WEIL INDIA LTD</t>
        </is>
      </c>
      <c r="C1510" s="97" t="n">
        <v>505710</v>
      </c>
      <c r="D1510" s="96" t="inlineStr">
        <is>
          <t>Not Listed</t>
        </is>
      </c>
      <c r="E1510" s="96" t="inlineStr">
        <is>
          <t>Commodity Chemicals</t>
        </is>
      </c>
    </row>
    <row r="1511" ht="15" customHeight="1" s="109" thickBot="1">
      <c r="B1511" s="96" t="inlineStr">
        <is>
          <t>GRAVISS HOSPITALITY LTD</t>
        </is>
      </c>
      <c r="C1511" s="97" t="n">
        <v>509546</v>
      </c>
      <c r="D1511" s="96" t="inlineStr">
        <is>
          <t>Not Listed</t>
        </is>
      </c>
      <c r="E1511" s="96" t="inlineStr">
        <is>
          <t>Hotels</t>
        </is>
      </c>
    </row>
    <row r="1512" ht="15" customHeight="1" s="109" thickBot="1">
      <c r="B1512" s="96" t="inlineStr">
        <is>
          <t>GRAVITA (INDIA) LTD</t>
        </is>
      </c>
      <c r="C1512" s="97" t="n">
        <v>533282</v>
      </c>
      <c r="D1512" s="96" t="inlineStr">
        <is>
          <t>GRAVITA</t>
        </is>
      </c>
      <c r="E1512" s="96" t="inlineStr">
        <is>
          <t>Other Non-Ferrous Metals</t>
        </is>
      </c>
    </row>
    <row r="1513" ht="15" customHeight="1" s="109" thickBot="1">
      <c r="B1513" s="96" t="inlineStr">
        <is>
          <t>GRAVITA INDIA LTD</t>
        </is>
      </c>
      <c r="C1513" s="97" t="n">
        <v>533282</v>
      </c>
      <c r="D1513" s="96" t="inlineStr">
        <is>
          <t>GRAVITA</t>
        </is>
      </c>
      <c r="E1513" s="96" t="inlineStr">
        <is>
          <t>Other Non-Ferrous Metals</t>
        </is>
      </c>
    </row>
    <row r="1514" ht="15" customHeight="1" s="109" thickBot="1">
      <c r="B1514" s="96" t="inlineStr">
        <is>
          <t>GRAVITY (INDIA) LTD</t>
        </is>
      </c>
      <c r="C1514" s="97" t="n">
        <v>532015</v>
      </c>
      <c r="D1514" s="96" t="inlineStr">
        <is>
          <t>Not Listed</t>
        </is>
      </c>
      <c r="E1514" s="96" t="inlineStr">
        <is>
          <t>Textiles</t>
        </is>
      </c>
    </row>
    <row r="1515" ht="15" customHeight="1" s="109" thickBot="1">
      <c r="B1515" s="96" t="inlineStr">
        <is>
          <t>GRAVITY INDIA LTD</t>
        </is>
      </c>
      <c r="C1515" s="97" t="n">
        <v>532015</v>
      </c>
      <c r="D1515" s="96" t="inlineStr">
        <is>
          <t>Not Listed</t>
        </is>
      </c>
      <c r="E1515" s="96" t="inlineStr">
        <is>
          <t>Textiles</t>
        </is>
      </c>
    </row>
    <row r="1516" ht="15" customHeight="1" s="109" thickBot="1">
      <c r="B1516" s="96" t="inlineStr">
        <is>
          <t>GREAVES COTTON LTD</t>
        </is>
      </c>
      <c r="C1516" s="97" t="n">
        <v>501455</v>
      </c>
      <c r="D1516" s="96" t="inlineStr">
        <is>
          <t>GREAVESCOT</t>
        </is>
      </c>
      <c r="E1516" s="96" t="inlineStr">
        <is>
          <t>Industrial Machinery</t>
        </is>
      </c>
    </row>
    <row r="1517" ht="15" customHeight="1" s="109" thickBot="1">
      <c r="B1517" s="96" t="inlineStr">
        <is>
          <t>GREENCREST FINANCIAL SERVICES LTD</t>
        </is>
      </c>
      <c r="C1517" s="97" t="n">
        <v>531737</v>
      </c>
      <c r="D1517" s="96" t="inlineStr">
        <is>
          <t>Not Listed</t>
        </is>
      </c>
      <c r="E1517" s="96" t="inlineStr">
        <is>
          <t>Misc.Commercial Services</t>
        </is>
      </c>
    </row>
    <row r="1518" ht="15" customHeight="1" s="109" thickBot="1">
      <c r="B1518" s="96" t="inlineStr">
        <is>
          <t>GREENLAM INDUSTRIES LTD</t>
        </is>
      </c>
      <c r="C1518" s="97" t="n">
        <v>538979</v>
      </c>
      <c r="D1518" s="96" t="inlineStr">
        <is>
          <t>GREENLAM</t>
        </is>
      </c>
      <c r="E1518" s="96" t="inlineStr">
        <is>
          <t>Furniture-Furnishing-Paints</t>
        </is>
      </c>
    </row>
    <row r="1519" ht="15" customHeight="1" s="109" thickBot="1">
      <c r="B1519" s="96" t="inlineStr">
        <is>
          <t>GREENPLY INDUSTRIES LTD</t>
        </is>
      </c>
      <c r="C1519" s="97" t="n">
        <v>526797</v>
      </c>
      <c r="D1519" s="96" t="inlineStr">
        <is>
          <t>GREENPLY</t>
        </is>
      </c>
      <c r="E1519" s="96" t="inlineStr">
        <is>
          <t>Forest Products</t>
        </is>
      </c>
    </row>
    <row r="1520" ht="15" customHeight="1" s="109" thickBot="1">
      <c r="B1520" s="96" t="inlineStr">
        <is>
          <t>GRETEX INDUSTRIES LTD</t>
        </is>
      </c>
      <c r="C1520" s="96" t="inlineStr">
        <is>
          <t>Not Listed</t>
        </is>
      </c>
      <c r="D1520" s="96" t="inlineStr">
        <is>
          <t>GRETEX</t>
        </is>
      </c>
      <c r="E1520" s="96" t="inlineStr">
        <is>
          <t>SME</t>
        </is>
      </c>
    </row>
    <row r="1521" ht="15" customHeight="1" s="109" thickBot="1">
      <c r="B1521" s="96" t="inlineStr">
        <is>
          <t>GREYCELLS EDUCATION LTD</t>
        </is>
      </c>
      <c r="C1521" s="97" t="n">
        <v>508918</v>
      </c>
      <c r="D1521" s="96" t="inlineStr">
        <is>
          <t>Not Listed</t>
        </is>
      </c>
      <c r="E1521" s="96" t="inlineStr">
        <is>
          <t>Education</t>
        </is>
      </c>
    </row>
    <row r="1522" ht="15" customHeight="1" s="109" thickBot="1">
      <c r="B1522" s="96" t="inlineStr">
        <is>
          <t>GRINDWELL NORTON LTD</t>
        </is>
      </c>
      <c r="C1522" s="97" t="n">
        <v>506076</v>
      </c>
      <c r="D1522" s="96" t="inlineStr">
        <is>
          <t>GRINDWELL</t>
        </is>
      </c>
      <c r="E1522" s="96" t="inlineStr">
        <is>
          <t>Other Industrial Products</t>
        </is>
      </c>
    </row>
    <row r="1523" ht="15" customHeight="1" s="109" thickBot="1">
      <c r="B1523" s="96" t="inlineStr">
        <is>
          <t>GRM OVERSEAS LTD</t>
        </is>
      </c>
      <c r="C1523" s="97" t="n">
        <v>531449</v>
      </c>
      <c r="D1523" s="96" t="inlineStr">
        <is>
          <t>Not Listed</t>
        </is>
      </c>
      <c r="E1523" s="96" t="inlineStr">
        <is>
          <t>Other Agricultural Products</t>
        </is>
      </c>
    </row>
    <row r="1524" ht="15" customHeight="1" s="109" thickBot="1">
      <c r="B1524" s="96" t="inlineStr">
        <is>
          <t>GROMO TRADE &amp; CONSULTANCY LTD</t>
        </is>
      </c>
      <c r="C1524" s="97" t="n">
        <v>501314</v>
      </c>
      <c r="D1524" s="96" t="inlineStr">
        <is>
          <t>Not Listed</t>
        </is>
      </c>
      <c r="E1524" s="96" t="inlineStr">
        <is>
          <t>Comm.Trading &amp; Distribution</t>
        </is>
      </c>
    </row>
    <row r="1525" ht="15" customHeight="1" s="109" thickBot="1">
      <c r="B1525" s="96" t="inlineStr">
        <is>
          <t>GROVY (INDIA) LTD</t>
        </is>
      </c>
      <c r="C1525" s="97" t="n">
        <v>539522</v>
      </c>
      <c r="D1525" s="96" t="inlineStr">
        <is>
          <t>Not Listed</t>
        </is>
      </c>
      <c r="E1525" s="96" t="inlineStr">
        <is>
          <t>Real Estate Investment</t>
        </is>
      </c>
    </row>
    <row r="1526" ht="15" customHeight="1" s="109" thickBot="1">
      <c r="B1526" s="96" t="inlineStr">
        <is>
          <t>GROVY INDIA LTD</t>
        </is>
      </c>
      <c r="C1526" s="97" t="n">
        <v>539522</v>
      </c>
      <c r="D1526" s="96" t="inlineStr">
        <is>
          <t>Not Listed</t>
        </is>
      </c>
      <c r="E1526" s="96" t="inlineStr">
        <is>
          <t>Real Estate Investment</t>
        </is>
      </c>
    </row>
    <row r="1527" ht="15" customHeight="1" s="109" thickBot="1">
      <c r="B1527" s="96" t="inlineStr">
        <is>
          <t>GRP LTD</t>
        </is>
      </c>
      <c r="C1527" s="97" t="n">
        <v>509152</v>
      </c>
      <c r="D1527" s="96" t="inlineStr">
        <is>
          <t>GRPLTD</t>
        </is>
      </c>
      <c r="E1527" s="96" t="inlineStr">
        <is>
          <t>Auto Tyres &amp; Rubber Products</t>
        </is>
      </c>
    </row>
    <row r="1528" ht="15" customHeight="1" s="109" thickBot="1">
      <c r="B1528" s="96" t="inlineStr">
        <is>
          <t>GRUH FINANCE LTD</t>
        </is>
      </c>
      <c r="C1528" s="97" t="n">
        <v>511288</v>
      </c>
      <c r="D1528" s="96" t="inlineStr">
        <is>
          <t>GRUH</t>
        </is>
      </c>
      <c r="E1528" s="96" t="inlineStr">
        <is>
          <t>Housing Finance</t>
        </is>
      </c>
    </row>
    <row r="1529" ht="15" customHeight="1" s="109" thickBot="1">
      <c r="B1529" s="96" t="inlineStr">
        <is>
          <t>GSB FINANCE LTD</t>
        </is>
      </c>
      <c r="C1529" s="97" t="n">
        <v>511543</v>
      </c>
      <c r="D1529" s="96" t="inlineStr">
        <is>
          <t>Not Listed</t>
        </is>
      </c>
      <c r="E1529" s="96" t="inlineStr">
        <is>
          <t>Finance (including NBFCs)</t>
        </is>
      </c>
    </row>
    <row r="1530" ht="15" customHeight="1" s="109" thickBot="1">
      <c r="B1530" s="96" t="inlineStr">
        <is>
          <t>GSL NOVA PETROCHEMICALS LTD</t>
        </is>
      </c>
      <c r="C1530" s="97" t="n">
        <v>530605</v>
      </c>
      <c r="D1530" s="96" t="inlineStr">
        <is>
          <t>Not Listed</t>
        </is>
      </c>
      <c r="E1530" s="96" t="inlineStr">
        <is>
          <t>Textiles</t>
        </is>
      </c>
    </row>
    <row r="1531" ht="15" customHeight="1" s="109" thickBot="1">
      <c r="B1531" s="96" t="inlineStr">
        <is>
          <t>GSL SECURITIES LTD</t>
        </is>
      </c>
      <c r="C1531" s="97" t="n">
        <v>530469</v>
      </c>
      <c r="D1531" s="96" t="inlineStr">
        <is>
          <t>Not Listed</t>
        </is>
      </c>
      <c r="E1531" s="96" t="inlineStr">
        <is>
          <t>Finance (including NBFCs)</t>
        </is>
      </c>
    </row>
    <row r="1532" ht="15" customHeight="1" s="109" thickBot="1">
      <c r="B1532" s="96" t="inlineStr">
        <is>
          <t>GSS INFOTECH LTD</t>
        </is>
      </c>
      <c r="C1532" s="97" t="n">
        <v>532951</v>
      </c>
      <c r="D1532" s="96" t="inlineStr">
        <is>
          <t>GSS</t>
        </is>
      </c>
      <c r="E1532" s="96" t="inlineStr">
        <is>
          <t>IT Consulting &amp; Software</t>
        </is>
      </c>
    </row>
    <row r="1533" ht="15" customHeight="1" s="109" thickBot="1">
      <c r="B1533" s="96" t="inlineStr">
        <is>
          <t>G-TECH INFO-TRAINING LTD</t>
        </is>
      </c>
      <c r="C1533" s="97" t="n">
        <v>532139</v>
      </c>
      <c r="D1533" s="96" t="inlineStr">
        <is>
          <t>Not Listed</t>
        </is>
      </c>
      <c r="E1533" s="96" t="inlineStr">
        <is>
          <t>BPO/KPO</t>
        </is>
      </c>
    </row>
    <row r="1534" ht="15" customHeight="1" s="109" thickBot="1">
      <c r="B1534" s="96" t="inlineStr">
        <is>
          <t>GTL INFRASTRUCTURE LTD</t>
        </is>
      </c>
      <c r="C1534" s="97" t="n">
        <v>532775</v>
      </c>
      <c r="D1534" s="96" t="inlineStr">
        <is>
          <t>GTLINFRA</t>
        </is>
      </c>
      <c r="E1534" s="96" t="inlineStr">
        <is>
          <t>Telecom Equipment</t>
        </is>
      </c>
    </row>
    <row r="1535" ht="15" customHeight="1" s="109" thickBot="1">
      <c r="B1535" s="96" t="inlineStr">
        <is>
          <t>GTL LTD</t>
        </is>
      </c>
      <c r="C1535" s="97" t="n">
        <v>500160</v>
      </c>
      <c r="D1535" s="96" t="inlineStr">
        <is>
          <t>GTL</t>
        </is>
      </c>
      <c r="E1535" s="96" t="inlineStr">
        <is>
          <t>Other Telecom Services</t>
        </is>
      </c>
    </row>
    <row r="1536" ht="15" customHeight="1" s="109" thickBot="1">
      <c r="B1536" s="96" t="inlineStr">
        <is>
          <t>GTN INDUSTRIES LTD</t>
        </is>
      </c>
      <c r="C1536" s="97" t="n">
        <v>500170</v>
      </c>
      <c r="D1536" s="96" t="inlineStr">
        <is>
          <t>GTNIND</t>
        </is>
      </c>
      <c r="E1536" s="96" t="inlineStr">
        <is>
          <t>Textiles</t>
        </is>
      </c>
    </row>
    <row r="1537" ht="15" customHeight="1" s="109" thickBot="1">
      <c r="B1537" s="96" t="inlineStr">
        <is>
          <t>GTN TEXTILES LTD</t>
        </is>
      </c>
      <c r="C1537" s="97" t="n">
        <v>532744</v>
      </c>
      <c r="D1537" s="96" t="inlineStr">
        <is>
          <t>GTNTEX</t>
        </is>
      </c>
      <c r="E1537" s="96" t="inlineStr">
        <is>
          <t>Textiles</t>
        </is>
      </c>
    </row>
    <row r="1538" ht="15" customHeight="1" s="109" thickBot="1">
      <c r="B1538" s="96" t="inlineStr">
        <is>
          <t>GTPL HATHWAY LTD</t>
        </is>
      </c>
      <c r="C1538" s="97" t="n">
        <v>540602</v>
      </c>
      <c r="D1538" s="96" t="inlineStr">
        <is>
          <t>GTPL</t>
        </is>
      </c>
      <c r="E1538" s="96" t="inlineStr">
        <is>
          <t>Other Telecom Services</t>
        </is>
      </c>
    </row>
    <row r="1539" ht="15" customHeight="1" s="109" thickBot="1">
      <c r="B1539" s="96" t="inlineStr">
        <is>
          <t>GTV ENGINEERING LTD</t>
        </is>
      </c>
      <c r="C1539" s="97" t="n">
        <v>539479</v>
      </c>
      <c r="D1539" s="96" t="inlineStr">
        <is>
          <t>Not Listed</t>
        </is>
      </c>
      <c r="E1539" s="96" t="inlineStr">
        <is>
          <t>Industrial Machinery</t>
        </is>
      </c>
    </row>
    <row r="1540" ht="15" customHeight="1" s="109" thickBot="1">
      <c r="B1540" s="96" t="inlineStr">
        <is>
          <t>GUFIC BIOSCIENCES LTD</t>
        </is>
      </c>
      <c r="C1540" s="97" t="n">
        <v>509079</v>
      </c>
      <c r="D1540" s="96" t="inlineStr">
        <is>
          <t>GUFICBIO</t>
        </is>
      </c>
      <c r="E1540" s="96" t="inlineStr">
        <is>
          <t>Pharmaceuticals</t>
        </is>
      </c>
    </row>
    <row r="1541" ht="15" customHeight="1" s="109" thickBot="1">
      <c r="B1541" s="96" t="inlineStr">
        <is>
          <t>GUJARAT ALKALIES AND CHEMICALS LTD</t>
        </is>
      </c>
      <c r="C1541" s="97" t="n">
        <v>530001</v>
      </c>
      <c r="D1541" s="96" t="inlineStr">
        <is>
          <t>GUJALKALI</t>
        </is>
      </c>
      <c r="E1541" s="96" t="inlineStr">
        <is>
          <t>Commodity Chemicals</t>
        </is>
      </c>
    </row>
    <row r="1542" ht="15" customHeight="1" s="109" thickBot="1">
      <c r="B1542" s="96" t="inlineStr">
        <is>
          <t>GUJARAT AMBUJA EXPORTS LTD</t>
        </is>
      </c>
      <c r="C1542" s="97" t="n">
        <v>524226</v>
      </c>
      <c r="D1542" s="96" t="inlineStr">
        <is>
          <t>GAEL</t>
        </is>
      </c>
      <c r="E1542" s="96" t="inlineStr">
        <is>
          <t>Other Agricultural Products</t>
        </is>
      </c>
    </row>
    <row r="1543" ht="15" customHeight="1" s="109" thickBot="1">
      <c r="B1543" s="96" t="inlineStr">
        <is>
          <t>GUJARAT APOLLO INDUSTRIES LTD</t>
        </is>
      </c>
      <c r="C1543" s="97" t="n">
        <v>522217</v>
      </c>
      <c r="D1543" s="96" t="inlineStr">
        <is>
          <t>GUJAPOLLO</t>
        </is>
      </c>
      <c r="E1543" s="96" t="inlineStr">
        <is>
          <t>Commercial Vehicles</t>
        </is>
      </c>
    </row>
    <row r="1544" ht="15" customHeight="1" s="109" thickBot="1">
      <c r="B1544" s="96" t="inlineStr">
        <is>
          <t>GUJARAT BOROSIL LTD</t>
        </is>
      </c>
      <c r="C1544" s="97" t="n">
        <v>523768</v>
      </c>
      <c r="D1544" s="96" t="inlineStr">
        <is>
          <t>Not Listed</t>
        </is>
      </c>
      <c r="E1544" s="96" t="inlineStr">
        <is>
          <t>Construction Materials</t>
        </is>
      </c>
    </row>
    <row r="1545" ht="15" customHeight="1" s="109" thickBot="1">
      <c r="B1545" s="96" t="inlineStr">
        <is>
          <t>GUJARAT CONTAINERS LTD</t>
        </is>
      </c>
      <c r="C1545" s="97" t="n">
        <v>513507</v>
      </c>
      <c r="D1545" s="96" t="inlineStr">
        <is>
          <t>Not Listed</t>
        </is>
      </c>
      <c r="E1545" s="96" t="inlineStr">
        <is>
          <t>Iron &amp; Steel Products</t>
        </is>
      </c>
    </row>
    <row r="1546" ht="15" customHeight="1" s="109" thickBot="1">
      <c r="B1546" s="96" t="inlineStr">
        <is>
          <t>GUJARAT COTEX LTD</t>
        </is>
      </c>
      <c r="C1546" s="97" t="n">
        <v>514386</v>
      </c>
      <c r="D1546" s="96" t="inlineStr">
        <is>
          <t>Not Listed</t>
        </is>
      </c>
      <c r="E1546" s="96" t="inlineStr">
        <is>
          <t>Textiles</t>
        </is>
      </c>
    </row>
    <row r="1547" ht="15" customHeight="1" s="109" thickBot="1">
      <c r="B1547" s="96" t="inlineStr">
        <is>
          <t>GUJARAT CRAFT INDUSTRIES LTD</t>
        </is>
      </c>
      <c r="C1547" s="97" t="n">
        <v>526965</v>
      </c>
      <c r="D1547" s="96" t="inlineStr">
        <is>
          <t>Not Listed</t>
        </is>
      </c>
      <c r="E1547" s="96" t="inlineStr">
        <is>
          <t>Containers &amp; Packaging</t>
        </is>
      </c>
    </row>
    <row r="1548" ht="15" customHeight="1" s="109" thickBot="1">
      <c r="B1548" s="96" t="inlineStr">
        <is>
          <t>GUJARAT CREDIT CORPORATION LTD</t>
        </is>
      </c>
      <c r="C1548" s="97" t="n">
        <v>511441</v>
      </c>
      <c r="D1548" s="96" t="inlineStr">
        <is>
          <t>Not Listed</t>
        </is>
      </c>
      <c r="E1548" s="96" t="inlineStr">
        <is>
          <t>Other Financial Services</t>
        </is>
      </c>
    </row>
    <row r="1549" ht="15" customHeight="1" s="109" thickBot="1">
      <c r="B1549" s="96" t="inlineStr">
        <is>
          <t>GUJARAT FLUOROCHEMICALS LTD</t>
        </is>
      </c>
      <c r="C1549" s="97" t="n">
        <v>500173</v>
      </c>
      <c r="D1549" s="96" t="inlineStr">
        <is>
          <t>GUJFLUORO</t>
        </is>
      </c>
      <c r="E1549" s="96" t="inlineStr">
        <is>
          <t>Industrial Gases</t>
        </is>
      </c>
    </row>
    <row r="1550" ht="15" customHeight="1" s="109" thickBot="1">
      <c r="B1550" s="96" t="inlineStr">
        <is>
          <t>GUJARAT FOILS LTD</t>
        </is>
      </c>
      <c r="C1550" s="97" t="n">
        <v>531410</v>
      </c>
      <c r="D1550" s="96" t="inlineStr">
        <is>
          <t>Not Listed</t>
        </is>
      </c>
      <c r="E1550" s="96" t="inlineStr">
        <is>
          <t>Aluminium</t>
        </is>
      </c>
    </row>
    <row r="1551" ht="15" customHeight="1" s="109" thickBot="1">
      <c r="B1551" s="96" t="inlineStr">
        <is>
          <t>GUJARAT GAS LTD</t>
        </is>
      </c>
      <c r="C1551" s="97" t="n">
        <v>539336</v>
      </c>
      <c r="D1551" s="96" t="inlineStr">
        <is>
          <t>GUJGASLTD</t>
        </is>
      </c>
      <c r="E1551" s="96" t="inlineStr">
        <is>
          <t>Integrated Oil &amp; Gas</t>
        </is>
      </c>
    </row>
    <row r="1552" ht="15" customHeight="1" s="109" thickBot="1">
      <c r="B1552" s="96" t="inlineStr">
        <is>
          <t>GUJARAT HOTELS LTD</t>
        </is>
      </c>
      <c r="C1552" s="97" t="n">
        <v>507960</v>
      </c>
      <c r="D1552" s="96" t="inlineStr">
        <is>
          <t>Not Listed</t>
        </is>
      </c>
      <c r="E1552" s="96" t="inlineStr">
        <is>
          <t>Hotels</t>
        </is>
      </c>
    </row>
    <row r="1553" ht="15" customHeight="1" s="109" thickBot="1">
      <c r="B1553" s="96" t="inlineStr">
        <is>
          <t>GUJARAT HY-SPIN LTD</t>
        </is>
      </c>
      <c r="C1553" s="97" t="n">
        <v>540938</v>
      </c>
      <c r="D1553" s="96" t="inlineStr">
        <is>
          <t>Not Listed</t>
        </is>
      </c>
      <c r="E1553" s="96" t="inlineStr">
        <is>
          <t>Textiles</t>
        </is>
      </c>
    </row>
    <row r="1554" ht="15" customHeight="1" s="109" thickBot="1">
      <c r="B1554" s="96" t="inlineStr">
        <is>
          <t>GUJARAT INDUSTRIES POWER COMPANY LTD</t>
        </is>
      </c>
      <c r="C1554" s="97" t="n">
        <v>517300</v>
      </c>
      <c r="D1554" s="96" t="inlineStr">
        <is>
          <t>GIPCL</t>
        </is>
      </c>
      <c r="E1554" s="96" t="inlineStr">
        <is>
          <t>Electric Utilities</t>
        </is>
      </c>
    </row>
    <row r="1555" ht="15" customHeight="1" s="109" thickBot="1">
      <c r="B1555" s="96" t="inlineStr">
        <is>
          <t>GUJARAT INTRUX LTD</t>
        </is>
      </c>
      <c r="C1555" s="97" t="n">
        <v>517372</v>
      </c>
      <c r="D1555" s="96" t="inlineStr">
        <is>
          <t>Not Listed</t>
        </is>
      </c>
      <c r="E1555" s="96" t="inlineStr">
        <is>
          <t>Other Industrial Products</t>
        </is>
      </c>
    </row>
    <row r="1556" ht="15" customHeight="1" s="109" thickBot="1">
      <c r="B1556" s="96" t="inlineStr">
        <is>
          <t>GUJARAT INVESTA LTD</t>
        </is>
      </c>
      <c r="C1556" s="97" t="n">
        <v>531341</v>
      </c>
      <c r="D1556" s="96" t="inlineStr">
        <is>
          <t>Not Listed</t>
        </is>
      </c>
      <c r="E1556" s="96" t="inlineStr">
        <is>
          <t>Finance (including NBFCs)</t>
        </is>
      </c>
    </row>
    <row r="1557" ht="15" customHeight="1" s="109" thickBot="1">
      <c r="B1557" s="96" t="inlineStr">
        <is>
          <t>GUJARAT LEASE FINANCING LTD</t>
        </is>
      </c>
      <c r="C1557" s="97" t="n">
        <v>500174</v>
      </c>
      <c r="D1557" s="96" t="inlineStr">
        <is>
          <t>GLFL</t>
        </is>
      </c>
      <c r="E1557" s="96" t="inlineStr">
        <is>
          <t>Finance (including NBFCs)</t>
        </is>
      </c>
    </row>
    <row r="1558" ht="15" customHeight="1" s="109" thickBot="1">
      <c r="B1558" s="96" t="inlineStr">
        <is>
          <t>GUJARAT MEDITECH LTD</t>
        </is>
      </c>
      <c r="C1558" s="97" t="n">
        <v>524754</v>
      </c>
      <c r="D1558" s="96" t="inlineStr">
        <is>
          <t>Not Listed</t>
        </is>
      </c>
      <c r="E1558" s="96" t="inlineStr">
        <is>
          <t>Healthcare Supplies</t>
        </is>
      </c>
    </row>
    <row r="1559" ht="15" customHeight="1" s="109" thickBot="1">
      <c r="B1559" s="96" t="inlineStr">
        <is>
          <t>GUJARAT METALLIC COAL &amp; COKE LTD</t>
        </is>
      </c>
      <c r="C1559" s="97" t="n">
        <v>531881</v>
      </c>
      <c r="D1559" s="96" t="inlineStr">
        <is>
          <t>Not Listed</t>
        </is>
      </c>
      <c r="E1559" s="96" t="inlineStr">
        <is>
          <t>Comm.Trading &amp; Distribution</t>
        </is>
      </c>
    </row>
    <row r="1560" ht="15" customHeight="1" s="109" thickBot="1">
      <c r="B1560" s="96" t="inlineStr">
        <is>
          <t>GUJARAT MINERAL DEVELOPMENT CORPORATION LTD</t>
        </is>
      </c>
      <c r="C1560" s="97" t="n">
        <v>532181</v>
      </c>
      <c r="D1560" s="96" t="inlineStr">
        <is>
          <t>GMDCLTD</t>
        </is>
      </c>
      <c r="E1560" s="96" t="inlineStr">
        <is>
          <t>Coal</t>
        </is>
      </c>
    </row>
    <row r="1561" ht="15" customHeight="1" s="109" thickBot="1">
      <c r="B1561" s="96" t="inlineStr">
        <is>
          <t>GUJARAT NARMADA VALLEY FERTILIZERS AND CHEMICALS LTD</t>
        </is>
      </c>
      <c r="C1561" s="97" t="n">
        <v>500670</v>
      </c>
      <c r="D1561" s="96" t="inlineStr">
        <is>
          <t>GNFC</t>
        </is>
      </c>
      <c r="E1561" s="96" t="inlineStr">
        <is>
          <t>Fertilizers</t>
        </is>
      </c>
    </row>
    <row r="1562" ht="15" customHeight="1" s="109" thickBot="1">
      <c r="B1562" s="96" t="inlineStr">
        <is>
          <t>GUJARAT NATURAL RESOURCES LTD</t>
        </is>
      </c>
      <c r="C1562" s="97" t="n">
        <v>513536</v>
      </c>
      <c r="D1562" s="96" t="inlineStr">
        <is>
          <t>Not Listed</t>
        </is>
      </c>
      <c r="E1562" s="96" t="inlineStr">
        <is>
          <t>Exploration &amp; Production</t>
        </is>
      </c>
    </row>
    <row r="1563" ht="15" customHeight="1" s="109" thickBot="1">
      <c r="B1563" s="96" t="inlineStr">
        <is>
          <t>GUJARAT PETROSYNTHESE LTD</t>
        </is>
      </c>
      <c r="C1563" s="97" t="n">
        <v>506858</v>
      </c>
      <c r="D1563" s="96" t="inlineStr">
        <is>
          <t>Not Listed</t>
        </is>
      </c>
      <c r="E1563" s="96" t="inlineStr">
        <is>
          <t>Fibres &amp; Plastics</t>
        </is>
      </c>
    </row>
    <row r="1564" ht="15" customHeight="1" s="109" thickBot="1">
      <c r="B1564" s="96" t="inlineStr">
        <is>
          <t>GUJARAT PIPAVAV PORT LTD</t>
        </is>
      </c>
      <c r="C1564" s="97" t="n">
        <v>533248</v>
      </c>
      <c r="D1564" s="96" t="inlineStr">
        <is>
          <t>GPPL</t>
        </is>
      </c>
      <c r="E1564" s="96" t="inlineStr">
        <is>
          <t>Marine Port &amp; Services</t>
        </is>
      </c>
    </row>
    <row r="1565" ht="15" customHeight="1" s="109" thickBot="1">
      <c r="B1565" s="96" t="inlineStr">
        <is>
          <t>GUJARAT POLY ELECTRONICS LTD</t>
        </is>
      </c>
      <c r="C1565" s="97" t="n">
        <v>517288</v>
      </c>
      <c r="D1565" s="96" t="inlineStr">
        <is>
          <t>Not Listed</t>
        </is>
      </c>
      <c r="E1565" s="96" t="inlineStr">
        <is>
          <t>Other Elect.Equip./ Prod.</t>
        </is>
      </c>
    </row>
    <row r="1566" ht="15" customHeight="1" s="109" thickBot="1">
      <c r="B1566" s="96" t="inlineStr">
        <is>
          <t>GUJARAT RAFFIA INDUSTRIES LTD</t>
        </is>
      </c>
      <c r="C1566" s="97" t="n">
        <v>523836</v>
      </c>
      <c r="D1566" s="96" t="inlineStr">
        <is>
          <t>GUJRAFFIA</t>
        </is>
      </c>
      <c r="E1566" s="96" t="inlineStr">
        <is>
          <t>Containers &amp; Packaging</t>
        </is>
      </c>
    </row>
    <row r="1567" ht="15" customHeight="1" s="109" thickBot="1">
      <c r="B1567" s="96" t="inlineStr">
        <is>
          <t>GUJARAT SIDHEE CEMENT LTD</t>
        </is>
      </c>
      <c r="C1567" s="97" t="n">
        <v>518029</v>
      </c>
      <c r="D1567" s="96" t="inlineStr">
        <is>
          <t>GSCLCEMENT</t>
        </is>
      </c>
      <c r="E1567" s="96" t="inlineStr">
        <is>
          <t>Cement &amp; Cement Products</t>
        </is>
      </c>
    </row>
    <row r="1568" ht="15" customHeight="1" s="109" thickBot="1">
      <c r="B1568" s="96" t="inlineStr">
        <is>
          <t>GUJARAT STATE FERTILIZERS &amp; CHEMICALS LTD</t>
        </is>
      </c>
      <c r="C1568" s="97" t="n">
        <v>500690</v>
      </c>
      <c r="D1568" s="96" t="inlineStr">
        <is>
          <t>GSFC</t>
        </is>
      </c>
      <c r="E1568" s="96" t="inlineStr">
        <is>
          <t>Fertilizers</t>
        </is>
      </c>
    </row>
    <row r="1569" ht="15" customHeight="1" s="109" thickBot="1">
      <c r="B1569" s="96" t="inlineStr">
        <is>
          <t>GUJARAT STATE FINANCIAL CORPORATION LTD</t>
        </is>
      </c>
      <c r="C1569" s="97" t="n">
        <v>532160</v>
      </c>
      <c r="D1569" s="96" t="inlineStr">
        <is>
          <t>Not Listed</t>
        </is>
      </c>
      <c r="E1569" s="96" t="inlineStr">
        <is>
          <t>Financial Institutions</t>
        </is>
      </c>
    </row>
    <row r="1570" ht="15" customHeight="1" s="109" thickBot="1">
      <c r="B1570" s="96" t="inlineStr">
        <is>
          <t>GUJARAT STATE PETRONET LTD</t>
        </is>
      </c>
      <c r="C1570" s="97" t="n">
        <v>532702</v>
      </c>
      <c r="D1570" s="96" t="inlineStr">
        <is>
          <t>GSPL</t>
        </is>
      </c>
      <c r="E1570" s="96" t="inlineStr">
        <is>
          <t>Utilities:Non-Elec.</t>
        </is>
      </c>
    </row>
    <row r="1571" ht="15" customHeight="1" s="109" thickBot="1">
      <c r="B1571" s="96" t="inlineStr">
        <is>
          <t>GUJARAT TERCE LABORATORIES LTD</t>
        </is>
      </c>
      <c r="C1571" s="97" t="n">
        <v>524314</v>
      </c>
      <c r="D1571" s="96" t="inlineStr">
        <is>
          <t>Not Listed</t>
        </is>
      </c>
      <c r="E1571" s="96" t="inlineStr">
        <is>
          <t>Pharmaceuticals</t>
        </is>
      </c>
    </row>
    <row r="1572" ht="15" customHeight="1" s="109" thickBot="1">
      <c r="B1572" s="96" t="inlineStr">
        <is>
          <t>GUJARAT THEMIS BIOSYN LTD</t>
        </is>
      </c>
      <c r="C1572" s="97" t="n">
        <v>506879</v>
      </c>
      <c r="D1572" s="96" t="inlineStr">
        <is>
          <t>Not Listed</t>
        </is>
      </c>
      <c r="E1572" s="96" t="inlineStr">
        <is>
          <t>Pharmaceuticals</t>
        </is>
      </c>
    </row>
    <row r="1573" ht="15" customHeight="1" s="109" thickBot="1">
      <c r="B1573" s="96" t="inlineStr">
        <is>
          <t>GUJARAT TOOLROOM LTD</t>
        </is>
      </c>
      <c r="C1573" s="97" t="n">
        <v>513337</v>
      </c>
      <c r="D1573" s="96" t="inlineStr">
        <is>
          <t>Not Listed</t>
        </is>
      </c>
      <c r="E1573" s="96" t="inlineStr">
        <is>
          <t>Plastic Products</t>
        </is>
      </c>
    </row>
    <row r="1574" ht="15" customHeight="1" s="109" thickBot="1">
      <c r="B1574" s="96" t="inlineStr">
        <is>
          <t>GUJCHEM DISTILLERS (INDIA) LTD</t>
        </is>
      </c>
      <c r="C1574" s="97" t="n">
        <v>506640</v>
      </c>
      <c r="D1574" s="96" t="inlineStr">
        <is>
          <t>Not Listed</t>
        </is>
      </c>
      <c r="E1574" s="96" t="inlineStr">
        <is>
          <t>Commodity Chemicals</t>
        </is>
      </c>
    </row>
    <row r="1575" ht="15" customHeight="1" s="109" thickBot="1">
      <c r="B1575" s="96" t="inlineStr">
        <is>
          <t>GUJCHEM DISTILLERS INDIA LTD</t>
        </is>
      </c>
      <c r="C1575" s="97" t="n">
        <v>506640</v>
      </c>
      <c r="D1575" s="96" t="inlineStr">
        <is>
          <t>Not Listed</t>
        </is>
      </c>
      <c r="E1575" s="96" t="inlineStr">
        <is>
          <t>Commodity Chemicals</t>
        </is>
      </c>
    </row>
    <row r="1576" ht="15" customHeight="1" s="109" thickBot="1">
      <c r="B1576" s="96" t="inlineStr">
        <is>
          <t>GULF OIL LUBRICANTS (INDIA) LTD</t>
        </is>
      </c>
      <c r="C1576" s="97" t="n">
        <v>538567</v>
      </c>
      <c r="D1576" s="96" t="inlineStr">
        <is>
          <t>GULFOILLUB</t>
        </is>
      </c>
      <c r="E1576" s="96" t="inlineStr">
        <is>
          <t>Oil Marketing &amp; Distribution</t>
        </is>
      </c>
    </row>
    <row r="1577" ht="15" customHeight="1" s="109" thickBot="1">
      <c r="B1577" s="96" t="inlineStr">
        <is>
          <t>GULF OIL LUBRICANTS INDIA LTD</t>
        </is>
      </c>
      <c r="C1577" s="97" t="n">
        <v>538567</v>
      </c>
      <c r="D1577" s="96" t="inlineStr">
        <is>
          <t>GULFOILLUB</t>
        </is>
      </c>
      <c r="E1577" s="96" t="inlineStr">
        <is>
          <t>Oil Marketing &amp; Distribution</t>
        </is>
      </c>
    </row>
    <row r="1578" ht="15" customHeight="1" s="109" thickBot="1">
      <c r="B1578" s="96" t="inlineStr">
        <is>
          <t>GULSHAN CHEMFILL LTD</t>
        </is>
      </c>
      <c r="C1578" s="97" t="n">
        <v>532425</v>
      </c>
      <c r="D1578" s="96" t="inlineStr">
        <is>
          <t>Not Listed</t>
        </is>
      </c>
      <c r="E1578" s="96" t="inlineStr">
        <is>
          <t>Commodity Chemicals</t>
        </is>
      </c>
    </row>
    <row r="1579" ht="15" customHeight="1" s="109" thickBot="1">
      <c r="B1579" s="96" t="inlineStr">
        <is>
          <t>GULSHAN POLYOLS LTD</t>
        </is>
      </c>
      <c r="C1579" s="97" t="n">
        <v>532457</v>
      </c>
      <c r="D1579" s="96" t="inlineStr">
        <is>
          <t>GULPOLY</t>
        </is>
      </c>
      <c r="E1579" s="96" t="inlineStr">
        <is>
          <t>Commodity Chemicals</t>
        </is>
      </c>
    </row>
    <row r="1580" ht="15" customHeight="1" s="109" thickBot="1">
      <c r="B1580" s="96" t="inlineStr">
        <is>
          <t>GV FILMS LTD</t>
        </is>
      </c>
      <c r="C1580" s="97" t="n">
        <v>523277</v>
      </c>
      <c r="D1580" s="96" t="inlineStr">
        <is>
          <t>Not Listed</t>
        </is>
      </c>
      <c r="E1580" s="96" t="inlineStr">
        <is>
          <t>Movies &amp; Entertainment</t>
        </is>
      </c>
    </row>
    <row r="1581" ht="15" customHeight="1" s="109" thickBot="1">
      <c r="B1581" s="96" t="inlineStr">
        <is>
          <t>GVK POWER &amp; INFRASTRUCTURE LTD</t>
        </is>
      </c>
      <c r="C1581" s="97" t="n">
        <v>532708</v>
      </c>
      <c r="D1581" s="96" t="inlineStr">
        <is>
          <t>GVKPIL</t>
        </is>
      </c>
      <c r="E1581" s="96" t="inlineStr">
        <is>
          <t>Electric Utilities</t>
        </is>
      </c>
    </row>
    <row r="1582" ht="15" customHeight="1" s="109" thickBot="1">
      <c r="B1582" s="96" t="inlineStr">
        <is>
          <t>GYAN DEVELOPERS &amp; BUILDERS LTD</t>
        </is>
      </c>
      <c r="C1582" s="97" t="n">
        <v>530141</v>
      </c>
      <c r="D1582" s="96" t="inlineStr">
        <is>
          <t>Not Listed</t>
        </is>
      </c>
      <c r="E1582" s="96" t="inlineStr">
        <is>
          <t>Realty</t>
        </is>
      </c>
    </row>
    <row r="1583" ht="15" customHeight="1" s="109" thickBot="1">
      <c r="B1583" s="96" t="inlineStr">
        <is>
          <t>GYSCOAL ALLOYS LTD</t>
        </is>
      </c>
      <c r="C1583" s="97" t="n">
        <v>533275</v>
      </c>
      <c r="D1583" s="96" t="inlineStr">
        <is>
          <t>GAL</t>
        </is>
      </c>
      <c r="E1583" s="96" t="inlineStr">
        <is>
          <t>Iron &amp; Steel/Interm.Products</t>
        </is>
      </c>
    </row>
    <row r="1584" ht="15" customHeight="1" s="109" thickBot="1">
      <c r="B1584" s="96" t="inlineStr">
        <is>
          <t>H G INFRA ENGINEERING LTD</t>
        </is>
      </c>
      <c r="C1584" s="97" t="n">
        <v>541019</v>
      </c>
      <c r="D1584" s="96" t="inlineStr">
        <is>
          <t>HGINFRA</t>
        </is>
      </c>
      <c r="E1584" s="96" t="inlineStr">
        <is>
          <t>Construction &amp; Engineering</t>
        </is>
      </c>
    </row>
    <row r="1585" ht="15" customHeight="1" s="109" thickBot="1">
      <c r="B1585" s="96" t="inlineStr">
        <is>
          <t>H K TRADE INTERNATIONAL LTD</t>
        </is>
      </c>
      <c r="C1585" s="97" t="n">
        <v>539337</v>
      </c>
      <c r="D1585" s="96" t="inlineStr">
        <is>
          <t>Not Listed</t>
        </is>
      </c>
      <c r="E1585" s="96" t="inlineStr">
        <is>
          <t>Containers &amp; Packaging</t>
        </is>
      </c>
    </row>
    <row r="1586" ht="15" customHeight="1" s="109" thickBot="1">
      <c r="B1586" s="96" t="inlineStr">
        <is>
          <t>H P COTTON TEXTILE MILLS LTD</t>
        </is>
      </c>
      <c r="C1586" s="97" t="n">
        <v>502873</v>
      </c>
      <c r="D1586" s="96" t="inlineStr">
        <is>
          <t>Not Listed</t>
        </is>
      </c>
      <c r="E1586" s="96" t="inlineStr">
        <is>
          <t>Textiles</t>
        </is>
      </c>
    </row>
    <row r="1587" ht="15" customHeight="1" s="109" thickBot="1">
      <c r="B1587" s="96" t="inlineStr">
        <is>
          <t>H S (INDIA) LTD</t>
        </is>
      </c>
      <c r="C1587" s="97" t="n">
        <v>532145</v>
      </c>
      <c r="D1587" s="96" t="inlineStr">
        <is>
          <t>Not Listed</t>
        </is>
      </c>
      <c r="E1587" s="96" t="inlineStr">
        <is>
          <t>Hotels</t>
        </is>
      </c>
    </row>
    <row r="1588" ht="15" customHeight="1" s="109" thickBot="1">
      <c r="B1588" s="96" t="inlineStr">
        <is>
          <t>H S INDIA LTD</t>
        </is>
      </c>
      <c r="C1588" s="97" t="n">
        <v>532145</v>
      </c>
      <c r="D1588" s="96" t="inlineStr">
        <is>
          <t>Not Listed</t>
        </is>
      </c>
      <c r="E1588" s="96" t="inlineStr">
        <is>
          <t>Hotels</t>
        </is>
      </c>
    </row>
    <row r="1589" ht="15" customHeight="1" s="109" thickBot="1">
      <c r="B1589" s="96" t="inlineStr">
        <is>
          <t>HALDER VENTURE LTD</t>
        </is>
      </c>
      <c r="C1589" s="97" t="n">
        <v>539854</v>
      </c>
      <c r="D1589" s="96" t="inlineStr">
        <is>
          <t>Not Listed</t>
        </is>
      </c>
      <c r="E1589" s="96" t="inlineStr">
        <is>
          <t>Other Agricultural Products</t>
        </is>
      </c>
    </row>
    <row r="1590" ht="15" customHeight="1" s="109" thickBot="1">
      <c r="B1590" s="96" t="inlineStr">
        <is>
          <t>HALDYN GLASS LTD</t>
        </is>
      </c>
      <c r="C1590" s="97" t="n">
        <v>515147</v>
      </c>
      <c r="D1590" s="96" t="inlineStr">
        <is>
          <t>Not Listed</t>
        </is>
      </c>
      <c r="E1590" s="96" t="inlineStr">
        <is>
          <t>Containers &amp; Packaging</t>
        </is>
      </c>
    </row>
    <row r="1591" ht="15" customHeight="1" s="109" thickBot="1">
      <c r="B1591" s="96" t="inlineStr">
        <is>
          <t>HARDCASTLE &amp; WAUD MFG CO LTD</t>
        </is>
      </c>
      <c r="C1591" s="97" t="n">
        <v>509597</v>
      </c>
      <c r="D1591" s="96" t="inlineStr">
        <is>
          <t>Not Listed</t>
        </is>
      </c>
      <c r="E1591" s="96" t="inlineStr">
        <is>
          <t>Specialty Chemicals</t>
        </is>
      </c>
    </row>
    <row r="1592" ht="15" customHeight="1" s="109" thickBot="1">
      <c r="B1592" s="96" t="inlineStr">
        <is>
          <t>HARI GOVIND INTERNATIONAL LTD</t>
        </is>
      </c>
      <c r="C1592" s="97" t="n">
        <v>531971</v>
      </c>
      <c r="D1592" s="96" t="inlineStr">
        <is>
          <t>Not Listed</t>
        </is>
      </c>
      <c r="E1592" s="96" t="inlineStr">
        <is>
          <t>Textiles</t>
        </is>
      </c>
    </row>
    <row r="1593" ht="15" customHeight="1" s="109" thickBot="1">
      <c r="B1593" s="96" t="inlineStr">
        <is>
          <t>HARIA APPARELS LTD</t>
        </is>
      </c>
      <c r="C1593" s="97" t="n">
        <v>538081</v>
      </c>
      <c r="D1593" s="96" t="inlineStr">
        <is>
          <t>Not Listed</t>
        </is>
      </c>
      <c r="E1593" s="96" t="inlineStr">
        <is>
          <t>Textiles</t>
        </is>
      </c>
    </row>
    <row r="1594" ht="15" customHeight="1" s="109" thickBot="1">
      <c r="B1594" s="96" t="inlineStr">
        <is>
          <t>HARIA EXPORTS LTD</t>
        </is>
      </c>
      <c r="C1594" s="97" t="n">
        <v>512604</v>
      </c>
      <c r="D1594" s="96" t="inlineStr">
        <is>
          <t>Not Listed</t>
        </is>
      </c>
      <c r="E1594" s="96" t="inlineStr">
        <is>
          <t>Other Apparels &amp; Accessories</t>
        </is>
      </c>
    </row>
    <row r="1595" ht="15" customHeight="1" s="109" thickBot="1">
      <c r="B1595" s="96" t="inlineStr">
        <is>
          <t>Harish Textile Engineers Ltd</t>
        </is>
      </c>
      <c r="C1595" s="97" t="n">
        <v>542682</v>
      </c>
      <c r="D1595" s="96" t="inlineStr">
        <is>
          <t>HARISH</t>
        </is>
      </c>
      <c r="E1595" s="96" t="inlineStr">
        <is>
          <t>Industrial Machinery</t>
        </is>
      </c>
    </row>
    <row r="1596" ht="15" customHeight="1" s="109" thickBot="1">
      <c r="B1596" s="96" t="inlineStr">
        <is>
          <t>HARITA SEATING SYSTEMS LTD</t>
        </is>
      </c>
      <c r="C1596" s="97" t="n">
        <v>590043</v>
      </c>
      <c r="D1596" s="96" t="inlineStr">
        <is>
          <t>HARITASEAT</t>
        </is>
      </c>
      <c r="E1596" s="96" t="inlineStr">
        <is>
          <t>Auto Parts &amp; Equipment</t>
        </is>
      </c>
    </row>
    <row r="1597" ht="15" customHeight="1" s="109" thickBot="1">
      <c r="B1597" s="96" t="inlineStr">
        <is>
          <t>HARIYANA METALS LTD</t>
        </is>
      </c>
      <c r="C1597" s="97" t="n">
        <v>506024</v>
      </c>
      <c r="D1597" s="96" t="inlineStr">
        <is>
          <t>Not Listed</t>
        </is>
      </c>
      <c r="E1597" s="96" t="inlineStr">
        <is>
          <t>Iron &amp; Steel/Interm.Products</t>
        </is>
      </c>
    </row>
    <row r="1598" ht="15" customHeight="1" s="109" thickBot="1">
      <c r="B1598" s="96" t="inlineStr">
        <is>
          <t>HARIYANA SHIP BREAKERS LTD</t>
        </is>
      </c>
      <c r="C1598" s="97" t="n">
        <v>526931</v>
      </c>
      <c r="D1598" s="96" t="inlineStr">
        <is>
          <t>Not Listed</t>
        </is>
      </c>
      <c r="E1598" s="96" t="inlineStr">
        <is>
          <t>Other Industrial Goods</t>
        </is>
      </c>
    </row>
    <row r="1599" ht="15" customHeight="1" s="109" thickBot="1">
      <c r="B1599" s="96" t="inlineStr">
        <is>
          <t>HARMONY CAPITAL SERVICES LTD</t>
        </is>
      </c>
      <c r="C1599" s="97" t="n">
        <v>530055</v>
      </c>
      <c r="D1599" s="96" t="inlineStr">
        <is>
          <t>Not Listed</t>
        </is>
      </c>
      <c r="E1599" s="96" t="inlineStr">
        <is>
          <t>Misc.Commercial Services</t>
        </is>
      </c>
    </row>
    <row r="1600" ht="15" customHeight="1" s="109" thickBot="1">
      <c r="B1600" s="96" t="inlineStr">
        <is>
          <t>HARRISONS MALAYALAM LTD</t>
        </is>
      </c>
      <c r="C1600" s="97" t="n">
        <v>500467</v>
      </c>
      <c r="D1600" s="96" t="inlineStr">
        <is>
          <t>HARRMALAYA</t>
        </is>
      </c>
      <c r="E1600" s="96" t="inlineStr">
        <is>
          <t>Auto Tyres &amp; Rubber Products</t>
        </is>
      </c>
    </row>
    <row r="1601" ht="15" customHeight="1" s="109" thickBot="1">
      <c r="B1601" s="96" t="inlineStr">
        <is>
          <t>HARYANA CAPFIN LTD</t>
        </is>
      </c>
      <c r="C1601" s="97" t="n">
        <v>532855</v>
      </c>
      <c r="D1601" s="96" t="inlineStr">
        <is>
          <t>Not Listed</t>
        </is>
      </c>
      <c r="E1601" s="96" t="inlineStr">
        <is>
          <t>Investment Companies</t>
        </is>
      </c>
    </row>
    <row r="1602" ht="15" customHeight="1" s="109" thickBot="1">
      <c r="B1602" s="96" t="inlineStr">
        <is>
          <t>HARYANA FINANCIAL CORPORATION LTD</t>
        </is>
      </c>
      <c r="C1602" s="97" t="n">
        <v>530927</v>
      </c>
      <c r="D1602" s="96" t="inlineStr">
        <is>
          <t>Not Listed</t>
        </is>
      </c>
      <c r="E1602" s="96" t="inlineStr">
        <is>
          <t>Financial Institutions</t>
        </is>
      </c>
    </row>
    <row r="1603" ht="15" customHeight="1" s="109" thickBot="1">
      <c r="B1603" s="96" t="inlineStr">
        <is>
          <t>HARYANA LEATHER CHEMICALS LTD</t>
        </is>
      </c>
      <c r="C1603" s="97" t="n">
        <v>524080</v>
      </c>
      <c r="D1603" s="96" t="inlineStr">
        <is>
          <t>Not Listed</t>
        </is>
      </c>
      <c r="E1603" s="96" t="inlineStr">
        <is>
          <t>Commodity Chemicals</t>
        </is>
      </c>
    </row>
    <row r="1604" ht="15" customHeight="1" s="109" thickBot="1">
      <c r="B1604" s="96" t="inlineStr">
        <is>
          <t>HAS LIFESTYLE LTD</t>
        </is>
      </c>
      <c r="C1604" s="97" t="n">
        <v>780014</v>
      </c>
      <c r="D1604" s="96" t="inlineStr">
        <is>
          <t>Not Listed</t>
        </is>
      </c>
      <c r="E1604" s="96" t="inlineStr">
        <is>
          <t>Others</t>
        </is>
      </c>
    </row>
    <row r="1605" ht="15" customHeight="1" s="109" thickBot="1">
      <c r="B1605" s="96" t="inlineStr">
        <is>
          <t>HASTI FINANCE LTD</t>
        </is>
      </c>
      <c r="C1605" s="97" t="n">
        <v>531387</v>
      </c>
      <c r="D1605" s="96" t="inlineStr">
        <is>
          <t>Not Listed</t>
        </is>
      </c>
      <c r="E1605" s="96" t="inlineStr">
        <is>
          <t>Finance (including NBFCs)</t>
        </is>
      </c>
    </row>
    <row r="1606" ht="15" customHeight="1" s="109" thickBot="1">
      <c r="B1606" s="96" t="inlineStr">
        <is>
          <t>HATHWAY BHAWANI CABLETEL &amp;amp; DATACOM LTD.</t>
        </is>
      </c>
      <c r="C1606" s="97" t="n">
        <v>509073</v>
      </c>
      <c r="D1606" s="96" t="inlineStr">
        <is>
          <t>HATHWAYB</t>
        </is>
      </c>
      <c r="E1606" s="96" t="inlineStr">
        <is>
          <t>Broadcasting &amp;amp; Cable TV</t>
        </is>
      </c>
    </row>
    <row r="1607" ht="15" customHeight="1" s="109" thickBot="1">
      <c r="B1607" s="96" t="inlineStr">
        <is>
          <t>HATHWAY CABLE &amp; DATACOM LTD</t>
        </is>
      </c>
      <c r="C1607" s="97" t="n">
        <v>533162</v>
      </c>
      <c r="D1607" s="96" t="inlineStr">
        <is>
          <t>HATHWAY</t>
        </is>
      </c>
      <c r="E1607" s="96" t="inlineStr">
        <is>
          <t>Broadcasting &amp; Cable TV</t>
        </is>
      </c>
    </row>
    <row r="1608" ht="15" customHeight="1" s="109" thickBot="1">
      <c r="B1608" s="96" t="inlineStr">
        <is>
          <t>HATSUN AGRO PRODUCT LTD</t>
        </is>
      </c>
      <c r="C1608" s="97" t="n">
        <v>531531</v>
      </c>
      <c r="D1608" s="96" t="inlineStr">
        <is>
          <t>HATSUN</t>
        </is>
      </c>
      <c r="E1608" s="96" t="inlineStr">
        <is>
          <t>Packaged Foods</t>
        </is>
      </c>
    </row>
    <row r="1609" ht="15" customHeight="1" s="109" thickBot="1">
      <c r="B1609" s="96" t="inlineStr">
        <is>
          <t>HAVELLS (INDIA) LTD</t>
        </is>
      </c>
      <c r="C1609" s="97" t="n">
        <v>517354</v>
      </c>
      <c r="D1609" s="96" t="inlineStr">
        <is>
          <t>HAVELLS</t>
        </is>
      </c>
      <c r="E1609" s="96" t="inlineStr">
        <is>
          <t>Other Elect.Equip./ Prod.</t>
        </is>
      </c>
    </row>
    <row r="1610" ht="15" customHeight="1" s="109" thickBot="1">
      <c r="B1610" s="96" t="inlineStr">
        <is>
          <t>HAVELLS INDIA LTD</t>
        </is>
      </c>
      <c r="C1610" s="97" t="n">
        <v>517354</v>
      </c>
      <c r="D1610" s="96" t="inlineStr">
        <is>
          <t>HAVELLS</t>
        </is>
      </c>
      <c r="E1610" s="96" t="inlineStr">
        <is>
          <t>Other Elect.Equip./ Prod.</t>
        </is>
      </c>
    </row>
    <row r="1611" ht="15" customHeight="1" s="109" thickBot="1">
      <c r="B1611" s="96" t="inlineStr">
        <is>
          <t>HAWA ENGINEERS LTD</t>
        </is>
      </c>
      <c r="C1611" s="97" t="n">
        <v>539176</v>
      </c>
      <c r="D1611" s="96" t="inlineStr">
        <is>
          <t>Not Listed</t>
        </is>
      </c>
      <c r="E1611" s="96" t="inlineStr">
        <is>
          <t>Industrial Machinery</t>
        </is>
      </c>
    </row>
    <row r="1612" ht="15" customHeight="1" s="109" thickBot="1">
      <c r="B1612" s="96" t="inlineStr">
        <is>
          <t>HAWKINS COOKERS LTD</t>
        </is>
      </c>
      <c r="C1612" s="97" t="n">
        <v>508486</v>
      </c>
      <c r="D1612" s="96" t="inlineStr">
        <is>
          <t>Not Listed</t>
        </is>
      </c>
      <c r="E1612" s="96" t="inlineStr">
        <is>
          <t>Houseware</t>
        </is>
      </c>
    </row>
    <row r="1613" ht="15" customHeight="1" s="109" thickBot="1">
      <c r="B1613" s="96" t="inlineStr">
        <is>
          <t>HAZOOR MULTI PROJECTS LTD</t>
        </is>
      </c>
      <c r="C1613" s="97" t="n">
        <v>532467</v>
      </c>
      <c r="D1613" s="96" t="inlineStr">
        <is>
          <t>Not Listed</t>
        </is>
      </c>
      <c r="E1613" s="96" t="inlineStr">
        <is>
          <t>Movies &amp; Entertainment</t>
        </is>
      </c>
    </row>
    <row r="1614" ht="15" customHeight="1" s="109" thickBot="1">
      <c r="B1614" s="96" t="inlineStr">
        <is>
          <t>HB ESTATE DEVELOPERS LTD</t>
        </is>
      </c>
      <c r="C1614" s="97" t="n">
        <v>532334</v>
      </c>
      <c r="D1614" s="96" t="inlineStr">
        <is>
          <t>Not Listed</t>
        </is>
      </c>
      <c r="E1614" s="96" t="inlineStr">
        <is>
          <t>Realty</t>
        </is>
      </c>
    </row>
    <row r="1615" ht="15" customHeight="1" s="109" thickBot="1">
      <c r="B1615" s="96" t="inlineStr">
        <is>
          <t>HB LEASING &amp; FINANCE CO LTD</t>
        </is>
      </c>
      <c r="C1615" s="97" t="n">
        <v>508956</v>
      </c>
      <c r="D1615" s="96" t="inlineStr">
        <is>
          <t>Not Listed</t>
        </is>
      </c>
      <c r="E1615" s="96" t="inlineStr">
        <is>
          <t>Finance (including NBFCs)</t>
        </is>
      </c>
    </row>
    <row r="1616" ht="15" customHeight="1" s="109" thickBot="1">
      <c r="B1616" s="96" t="inlineStr">
        <is>
          <t>HB PORTFOLIO LTD</t>
        </is>
      </c>
      <c r="C1616" s="97" t="n">
        <v>532333</v>
      </c>
      <c r="D1616" s="96" t="inlineStr">
        <is>
          <t>Not Listed</t>
        </is>
      </c>
      <c r="E1616" s="96" t="inlineStr">
        <is>
          <t>Other Financial Services</t>
        </is>
      </c>
    </row>
    <row r="1617" ht="15" customHeight="1" s="109" thickBot="1">
      <c r="B1617" s="96" t="inlineStr">
        <is>
          <t>HB STOCKHOLDINGS LTD</t>
        </is>
      </c>
      <c r="C1617" s="97" t="n">
        <v>532216</v>
      </c>
      <c r="D1617" s="96" t="inlineStr">
        <is>
          <t>HBSL</t>
        </is>
      </c>
      <c r="E1617" s="96" t="inlineStr">
        <is>
          <t>Finance (including NBFCs)</t>
        </is>
      </c>
    </row>
    <row r="1618" ht="15" customHeight="1" s="109" thickBot="1">
      <c r="B1618" s="96" t="inlineStr">
        <is>
          <t>HBL POWER SYSTEMS LTD</t>
        </is>
      </c>
      <c r="C1618" s="97" t="n">
        <v>517271</v>
      </c>
      <c r="D1618" s="96" t="inlineStr">
        <is>
          <t>HBLPOWER</t>
        </is>
      </c>
      <c r="E1618" s="96" t="inlineStr">
        <is>
          <t>Other Elect.Equip./ Prod.</t>
        </is>
      </c>
    </row>
    <row r="1619" ht="15" customHeight="1" s="109" thickBot="1">
      <c r="B1619" s="96" t="inlineStr">
        <is>
          <t>HCKK VENTURES LTD</t>
        </is>
      </c>
      <c r="C1619" s="97" t="n">
        <v>539224</v>
      </c>
      <c r="D1619" s="96" t="inlineStr">
        <is>
          <t>Not Listed</t>
        </is>
      </c>
      <c r="E1619" s="96" t="inlineStr">
        <is>
          <t>Diversified</t>
        </is>
      </c>
    </row>
    <row r="1620" ht="15" customHeight="1" s="109" thickBot="1">
      <c r="B1620" s="96" t="inlineStr">
        <is>
          <t>HCL INFOSYSTEMS LTD</t>
        </is>
      </c>
      <c r="C1620" s="97" t="n">
        <v>500179</v>
      </c>
      <c r="D1620" s="96" t="inlineStr">
        <is>
          <t>HCL-INSYS</t>
        </is>
      </c>
      <c r="E1620" s="96" t="inlineStr">
        <is>
          <t>Computer Hardware</t>
        </is>
      </c>
    </row>
    <row r="1621" ht="15" customHeight="1" s="109" thickBot="1">
      <c r="B1621" s="96" t="inlineStr">
        <is>
          <t>HCL TECHNOLOGIES LTD</t>
        </is>
      </c>
      <c r="C1621" s="97" t="n">
        <v>532281</v>
      </c>
      <c r="D1621" s="96" t="inlineStr">
        <is>
          <t>HCLTECH</t>
        </is>
      </c>
      <c r="E1621" s="96" t="inlineStr">
        <is>
          <t>IT Consulting &amp; Software</t>
        </is>
      </c>
    </row>
    <row r="1622" ht="15" customHeight="1" s="109" thickBot="1">
      <c r="B1622" s="96" t="inlineStr">
        <is>
          <t>HDFC ASSET MANAGEMENT COMPANY LTD</t>
        </is>
      </c>
      <c r="C1622" s="97" t="n">
        <v>541729</v>
      </c>
      <c r="D1622" s="96" t="inlineStr">
        <is>
          <t>HDFCAMC</t>
        </is>
      </c>
      <c r="E1622" s="96" t="inlineStr">
        <is>
          <t>Asset Management Cos.</t>
        </is>
      </c>
    </row>
    <row r="1623" ht="15" customHeight="1" s="109" thickBot="1">
      <c r="B1623" s="96" t="inlineStr">
        <is>
          <t>HDFC BANK LTD</t>
        </is>
      </c>
      <c r="C1623" s="97" t="n">
        <v>500180</v>
      </c>
      <c r="D1623" s="96" t="inlineStr">
        <is>
          <t>HDFCBANK</t>
        </is>
      </c>
      <c r="E1623" s="96" t="inlineStr">
        <is>
          <t>Banks</t>
        </is>
      </c>
    </row>
    <row r="1624" ht="15" customHeight="1" s="109" thickBot="1">
      <c r="B1624" s="96" t="inlineStr">
        <is>
          <t>HDFC Mutual Fund - HDFC Gold Exchange Traded Fund</t>
        </is>
      </c>
      <c r="C1624" s="97" t="n">
        <v>533230</v>
      </c>
      <c r="D1624" s="96" t="inlineStr">
        <is>
          <t>HDFCMFGETF</t>
        </is>
      </c>
      <c r="E1624" s="96" t="inlineStr">
        <is>
          <t>Other Financial Services</t>
        </is>
      </c>
    </row>
    <row r="1625" ht="15" customHeight="1" s="109" thickBot="1">
      <c r="B1625" s="96" t="inlineStr">
        <is>
          <t>HDFC STANDARD LIFE INSURANCE COMPANY LTD</t>
        </is>
      </c>
      <c r="C1625" s="97" t="n">
        <v>540777</v>
      </c>
      <c r="D1625" s="96" t="inlineStr">
        <is>
          <t>HDFCLIFE</t>
        </is>
      </c>
      <c r="E1625" s="96" t="inlineStr">
        <is>
          <t>Life Insurance</t>
        </is>
      </c>
    </row>
    <row r="1626" ht="15" customHeight="1" s="109" thickBot="1">
      <c r="B1626" s="96" t="inlineStr">
        <is>
          <t>HEALTHCARE GLOBAL ENTERPRISES LTD</t>
        </is>
      </c>
      <c r="C1626" s="97" t="n">
        <v>539787</v>
      </c>
      <c r="D1626" s="96" t="inlineStr">
        <is>
          <t>HCG</t>
        </is>
      </c>
      <c r="E1626" s="96" t="inlineStr">
        <is>
          <t>Healthcare Facilities</t>
        </is>
      </c>
    </row>
    <row r="1627" ht="15" customHeight="1" s="109" thickBot="1">
      <c r="B1627" s="96" t="inlineStr">
        <is>
          <t>HEALTHY INVESTMENTS LTD</t>
        </is>
      </c>
      <c r="C1627" s="97" t="n">
        <v>503689</v>
      </c>
      <c r="D1627" s="96" t="inlineStr">
        <is>
          <t>Not Listed</t>
        </is>
      </c>
      <c r="E1627" s="96" t="inlineStr">
        <is>
          <t>Misc.Commercial Services</t>
        </is>
      </c>
    </row>
    <row r="1628" ht="15" customHeight="1" s="109" thickBot="1">
      <c r="B1628" s="96" t="inlineStr">
        <is>
          <t>HEC INFRA PROJECTS LTD</t>
        </is>
      </c>
      <c r="C1628" s="96" t="inlineStr">
        <is>
          <t>Not Listed</t>
        </is>
      </c>
      <c r="D1628" s="96" t="inlineStr">
        <is>
          <t>HECPROJECT</t>
        </is>
      </c>
      <c r="E1628" s="96" t="inlineStr">
        <is>
          <t>SME</t>
        </is>
      </c>
    </row>
    <row r="1629" ht="15" customHeight="1" s="109" thickBot="1">
      <c r="B1629" s="96" t="inlineStr">
        <is>
          <t>HEERA ISPAT LTD</t>
        </is>
      </c>
      <c r="C1629" s="97" t="n">
        <v>526967</v>
      </c>
      <c r="D1629" s="96" t="inlineStr">
        <is>
          <t>Not Listed</t>
        </is>
      </c>
      <c r="E1629" s="96" t="inlineStr">
        <is>
          <t>Iron &amp; Steel/Interm.Products</t>
        </is>
      </c>
    </row>
    <row r="1630" ht="15" customHeight="1" s="109" thickBot="1">
      <c r="B1630" s="96" t="inlineStr">
        <is>
          <t>HEG LTD</t>
        </is>
      </c>
      <c r="C1630" s="97" t="n">
        <v>509631</v>
      </c>
      <c r="D1630" s="96" t="inlineStr">
        <is>
          <t>HEG</t>
        </is>
      </c>
      <c r="E1630" s="96" t="inlineStr">
        <is>
          <t>Other Industrial Goods</t>
        </is>
      </c>
    </row>
    <row r="1631" ht="15" customHeight="1" s="109" thickBot="1">
      <c r="B1631" s="96" t="inlineStr">
        <is>
          <t>HEIDELBERGCEMENT (INDIA) LTD</t>
        </is>
      </c>
      <c r="C1631" s="97" t="n">
        <v>500292</v>
      </c>
      <c r="D1631" s="96" t="inlineStr">
        <is>
          <t>HEIDELBERG</t>
        </is>
      </c>
      <c r="E1631" s="96" t="inlineStr">
        <is>
          <t>Cement &amp; Cement Products</t>
        </is>
      </c>
    </row>
    <row r="1632" ht="15" customHeight="1" s="109" thickBot="1">
      <c r="B1632" s="96" t="inlineStr">
        <is>
          <t>HEIDELBERGCEMENT INDIA LTD</t>
        </is>
      </c>
      <c r="C1632" s="97" t="n">
        <v>500292</v>
      </c>
      <c r="D1632" s="96" t="inlineStr">
        <is>
          <t>HEIDELBERG</t>
        </is>
      </c>
      <c r="E1632" s="96" t="inlineStr">
        <is>
          <t>Cement &amp; Cement Products</t>
        </is>
      </c>
    </row>
    <row r="1633" ht="15" customHeight="1" s="109" thickBot="1">
      <c r="B1633" s="96" t="inlineStr">
        <is>
          <t>Helpage Finlease Ltd</t>
        </is>
      </c>
      <c r="C1633" s="97" t="n">
        <v>539174</v>
      </c>
      <c r="D1633" s="96" t="inlineStr">
        <is>
          <t>HELPAGE</t>
        </is>
      </c>
      <c r="E1633" s="96" t="inlineStr">
        <is>
          <t>Finance (including NBFCs)</t>
        </is>
      </c>
    </row>
    <row r="1634" ht="15" customHeight="1" s="109" thickBot="1">
      <c r="B1634" s="96" t="inlineStr">
        <is>
          <t>HEM HOLDINGS &amp; TRADING LTD</t>
        </is>
      </c>
      <c r="C1634" s="97" t="n">
        <v>505520</v>
      </c>
      <c r="D1634" s="96" t="inlineStr">
        <is>
          <t>Not Listed</t>
        </is>
      </c>
      <c r="E1634" s="96" t="inlineStr">
        <is>
          <t>Misc.Commercial Services</t>
        </is>
      </c>
    </row>
    <row r="1635" ht="15" customHeight="1" s="109" thickBot="1">
      <c r="B1635" s="96" t="inlineStr">
        <is>
          <t>HEMANG RESOURCES LTD</t>
        </is>
      </c>
      <c r="C1635" s="97" t="n">
        <v>531178</v>
      </c>
      <c r="D1635" s="96" t="inlineStr">
        <is>
          <t>Not Listed</t>
        </is>
      </c>
      <c r="E1635" s="96" t="inlineStr">
        <is>
          <t>Comm.Trading &amp; Distribution</t>
        </is>
      </c>
    </row>
    <row r="1636" ht="15" customHeight="1" s="109" thickBot="1">
      <c r="B1636" s="96" t="inlineStr">
        <is>
          <t>HEMO ORGANIC LTD</t>
        </is>
      </c>
      <c r="C1636" s="97" t="n">
        <v>524590</v>
      </c>
      <c r="D1636" s="96" t="inlineStr">
        <is>
          <t>Not Listed</t>
        </is>
      </c>
      <c r="E1636" s="96" t="inlineStr">
        <is>
          <t>Comm.Trading &amp; Distribution</t>
        </is>
      </c>
    </row>
    <row r="1637" ht="15" customHeight="1" s="109" thickBot="1">
      <c r="B1637" s="96" t="inlineStr">
        <is>
          <t>HERCULES HOISTS LTD</t>
        </is>
      </c>
      <c r="C1637" s="97" t="n">
        <v>505720</v>
      </c>
      <c r="D1637" s="96" t="inlineStr">
        <is>
          <t>HERCULES</t>
        </is>
      </c>
      <c r="E1637" s="96" t="inlineStr">
        <is>
          <t>Industrial Machinery</t>
        </is>
      </c>
    </row>
    <row r="1638" ht="15" customHeight="1" s="109" thickBot="1">
      <c r="B1638" s="96" t="inlineStr">
        <is>
          <t>HERITAGE FOODS LTD</t>
        </is>
      </c>
      <c r="C1638" s="97" t="n">
        <v>519552</v>
      </c>
      <c r="D1638" s="96" t="inlineStr">
        <is>
          <t>HERITGFOOD</t>
        </is>
      </c>
      <c r="E1638" s="96" t="inlineStr">
        <is>
          <t>Packaged Foods</t>
        </is>
      </c>
    </row>
    <row r="1639" ht="15" customHeight="1" s="109" thickBot="1">
      <c r="B1639" s="96" t="inlineStr">
        <is>
          <t>HERO MOTOCORP LTD</t>
        </is>
      </c>
      <c r="C1639" s="97" t="n">
        <v>500182</v>
      </c>
      <c r="D1639" s="96" t="inlineStr">
        <is>
          <t>HEROMOTOCO</t>
        </is>
      </c>
      <c r="E1639" s="96" t="inlineStr">
        <is>
          <t>2/3 Wheelers</t>
        </is>
      </c>
    </row>
    <row r="1640" ht="15" customHeight="1" s="109" thickBot="1">
      <c r="B1640" s="96" t="inlineStr">
        <is>
          <t>HESTER BIOSCIENCES LTD</t>
        </is>
      </c>
      <c r="C1640" s="97" t="n">
        <v>524669</v>
      </c>
      <c r="D1640" s="96" t="inlineStr">
        <is>
          <t>HESTERBIO</t>
        </is>
      </c>
      <c r="E1640" s="96" t="inlineStr">
        <is>
          <t>Pharmaceuticals</t>
        </is>
      </c>
    </row>
    <row r="1641" ht="15" customHeight="1" s="109" thickBot="1">
      <c r="B1641" s="96" t="inlineStr">
        <is>
          <t>HEXA TRADEX LTD</t>
        </is>
      </c>
      <c r="C1641" s="97" t="n">
        <v>534328</v>
      </c>
      <c r="D1641" s="96" t="inlineStr">
        <is>
          <t>HEXATRADEX</t>
        </is>
      </c>
      <c r="E1641" s="96" t="inlineStr">
        <is>
          <t>Comm.Trading &amp; Distribution</t>
        </is>
      </c>
    </row>
    <row r="1642" ht="15" customHeight="1" s="109" thickBot="1">
      <c r="B1642" s="96" t="inlineStr">
        <is>
          <t>HEXAWARE TECHNOLOGIES LTD</t>
        </is>
      </c>
      <c r="C1642" s="97" t="n">
        <v>532129</v>
      </c>
      <c r="D1642" s="96" t="inlineStr">
        <is>
          <t>HEXAWARE</t>
        </is>
      </c>
      <c r="E1642" s="96" t="inlineStr">
        <is>
          <t>IT Consulting &amp; Software</t>
        </is>
      </c>
    </row>
    <row r="1643" ht="15" customHeight="1" s="109" thickBot="1">
      <c r="B1643" s="96" t="inlineStr">
        <is>
          <t>HIGH ENERGY BATTERIES (INDIA) LTD</t>
        </is>
      </c>
      <c r="C1643" s="97" t="n">
        <v>504176</v>
      </c>
      <c r="D1643" s="96" t="inlineStr">
        <is>
          <t>Not Listed</t>
        </is>
      </c>
      <c r="E1643" s="96" t="inlineStr">
        <is>
          <t>Non-Durable Household Prod.</t>
        </is>
      </c>
    </row>
    <row r="1644" ht="15" customHeight="1" s="109" thickBot="1">
      <c r="B1644" s="96" t="inlineStr">
        <is>
          <t>HIGH ENERGY BATTERIES INDIA LTD</t>
        </is>
      </c>
      <c r="C1644" s="97" t="n">
        <v>504176</v>
      </c>
      <c r="D1644" s="96" t="inlineStr">
        <is>
          <t>Not Listed</t>
        </is>
      </c>
      <c r="E1644" s="96" t="inlineStr">
        <is>
          <t>Non-Durable Household Prod.</t>
        </is>
      </c>
    </row>
    <row r="1645" ht="15" customHeight="1" s="109" thickBot="1">
      <c r="B1645" s="96" t="inlineStr">
        <is>
          <t>HIGH GROUND ENTERPRISE LTD</t>
        </is>
      </c>
      <c r="C1645" s="97" t="n">
        <v>517080</v>
      </c>
      <c r="D1645" s="96" t="inlineStr">
        <is>
          <t>HIGHGROUND</t>
        </is>
      </c>
      <c r="E1645" s="96" t="inlineStr">
        <is>
          <t>Construction &amp; Engineering</t>
        </is>
      </c>
    </row>
    <row r="1646" ht="15" customHeight="1" s="109" thickBot="1">
      <c r="B1646" s="96" t="inlineStr">
        <is>
          <t>HIGH STREET FILATEX LTD</t>
        </is>
      </c>
      <c r="C1646" s="97" t="n">
        <v>531301</v>
      </c>
      <c r="D1646" s="96" t="inlineStr">
        <is>
          <t>Not Listed</t>
        </is>
      </c>
      <c r="E1646" s="96" t="inlineStr">
        <is>
          <t>Textiles</t>
        </is>
      </c>
    </row>
    <row r="1647" ht="15" customHeight="1" s="109" thickBot="1">
      <c r="B1647" s="96" t="inlineStr">
        <is>
          <t>HIKAL LTD</t>
        </is>
      </c>
      <c r="C1647" s="97" t="n">
        <v>524735</v>
      </c>
      <c r="D1647" s="96" t="inlineStr">
        <is>
          <t>HIKAL</t>
        </is>
      </c>
      <c r="E1647" s="96" t="inlineStr">
        <is>
          <t>Pharmaceuticals</t>
        </is>
      </c>
    </row>
    <row r="1648" ht="15" customHeight="1" s="109" thickBot="1">
      <c r="B1648" s="96" t="inlineStr">
        <is>
          <t>Hi-Klass Trading and Investment Ltd</t>
        </is>
      </c>
      <c r="C1648" s="97" t="n">
        <v>542332</v>
      </c>
      <c r="D1648" s="96" t="inlineStr">
        <is>
          <t>HIKLASS</t>
        </is>
      </c>
      <c r="E1648" s="96" t="inlineStr">
        <is>
          <t>Other Financial Services</t>
        </is>
      </c>
    </row>
    <row r="1649" ht="15" customHeight="1" s="109" thickBot="1">
      <c r="B1649" s="96" t="inlineStr">
        <is>
          <t>HIL LTD</t>
        </is>
      </c>
      <c r="C1649" s="97" t="n">
        <v>509675</v>
      </c>
      <c r="D1649" s="96" t="inlineStr">
        <is>
          <t>HIL</t>
        </is>
      </c>
      <c r="E1649" s="96" t="inlineStr">
        <is>
          <t>Cement &amp; Cement Products</t>
        </is>
      </c>
    </row>
    <row r="1650" ht="15" customHeight="1" s="109" thickBot="1">
      <c r="B1650" s="96" t="inlineStr">
        <is>
          <t>HILTON METAL FORGING LTD</t>
        </is>
      </c>
      <c r="C1650" s="97" t="n">
        <v>532847</v>
      </c>
      <c r="D1650" s="96" t="inlineStr">
        <is>
          <t>HILTON</t>
        </is>
      </c>
      <c r="E1650" s="96" t="inlineStr">
        <is>
          <t>Other Industrial Products</t>
        </is>
      </c>
    </row>
    <row r="1651" ht="15" customHeight="1" s="109" thickBot="1">
      <c r="B1651" s="96" t="inlineStr">
        <is>
          <t>HIM TEKNOFORGE LTD</t>
        </is>
      </c>
      <c r="C1651" s="97" t="n">
        <v>505712</v>
      </c>
      <c r="D1651" s="96" t="inlineStr">
        <is>
          <t>Not Listed</t>
        </is>
      </c>
      <c r="E1651" s="96" t="inlineStr">
        <is>
          <t>Auto Parts &amp; Equipment</t>
        </is>
      </c>
    </row>
    <row r="1652" ht="15" customHeight="1" s="109" thickBot="1">
      <c r="B1652" s="96" t="inlineStr">
        <is>
          <t>HIMACHAL FIBRES LTD</t>
        </is>
      </c>
      <c r="C1652" s="97" t="n">
        <v>514010</v>
      </c>
      <c r="D1652" s="96" t="inlineStr">
        <is>
          <t>Not Listed</t>
        </is>
      </c>
      <c r="E1652" s="96" t="inlineStr">
        <is>
          <t>Textiles</t>
        </is>
      </c>
    </row>
    <row r="1653" ht="15" customHeight="1" s="109" thickBot="1">
      <c r="B1653" s="96" t="inlineStr">
        <is>
          <t>HIMACHAL FUTURISTIC COMMUNICATIONS LTD</t>
        </is>
      </c>
      <c r="C1653" s="97" t="n">
        <v>500183</v>
      </c>
      <c r="D1653" s="96" t="inlineStr">
        <is>
          <t>HFCL</t>
        </is>
      </c>
      <c r="E1653" s="96" t="inlineStr">
        <is>
          <t>Telecom Cables</t>
        </is>
      </c>
    </row>
    <row r="1654" ht="15" customHeight="1" s="109" thickBot="1">
      <c r="B1654" s="96" t="inlineStr">
        <is>
          <t>HIMADRI SPECIALITY CHEMICAL LTD</t>
        </is>
      </c>
      <c r="C1654" s="97" t="n">
        <v>500184</v>
      </c>
      <c r="D1654" s="96" t="inlineStr">
        <is>
          <t>HSCL</t>
        </is>
      </c>
      <c r="E1654" s="96" t="inlineStr">
        <is>
          <t>Specialty Chemicals</t>
        </is>
      </c>
    </row>
    <row r="1655" ht="15" customHeight="1" s="109" thickBot="1">
      <c r="B1655" s="96" t="inlineStr">
        <is>
          <t>HIMALAYA FOOD INTERNATIONAL LTD</t>
        </is>
      </c>
      <c r="C1655" s="97" t="n">
        <v>526899</v>
      </c>
      <c r="D1655" s="96" t="inlineStr">
        <is>
          <t>Not Listed</t>
        </is>
      </c>
      <c r="E1655" s="96" t="inlineStr">
        <is>
          <t>Other Agricultural Products</t>
        </is>
      </c>
    </row>
    <row r="1656" ht="15" customHeight="1" s="109" thickBot="1">
      <c r="B1656" s="96" t="inlineStr">
        <is>
          <t>HIMALAYA GRANITES LTD</t>
        </is>
      </c>
      <c r="C1656" s="97" t="n">
        <v>513723</v>
      </c>
      <c r="D1656" s="96" t="inlineStr">
        <is>
          <t>Not Listed</t>
        </is>
      </c>
      <c r="E1656" s="96" t="inlineStr">
        <is>
          <t>Construction Materials</t>
        </is>
      </c>
    </row>
    <row r="1657" ht="15" customHeight="1" s="109" thickBot="1">
      <c r="B1657" s="96" t="inlineStr">
        <is>
          <t>HIMALCHULI FOOD PRODUCTS LTD</t>
        </is>
      </c>
      <c r="C1657" s="97" t="n">
        <v>511169</v>
      </c>
      <c r="D1657" s="96" t="inlineStr">
        <is>
          <t>Not Listed</t>
        </is>
      </c>
      <c r="E1657" s="96" t="inlineStr">
        <is>
          <t>Finance (including NBFCs)</t>
        </is>
      </c>
    </row>
    <row r="1658" ht="15" customHeight="1" s="109" thickBot="1">
      <c r="B1658" s="96" t="inlineStr">
        <is>
          <t>HIMATSINGKA SEIDE LTD</t>
        </is>
      </c>
      <c r="C1658" s="97" t="n">
        <v>514043</v>
      </c>
      <c r="D1658" s="96" t="inlineStr">
        <is>
          <t>HIMATSEIDE</t>
        </is>
      </c>
      <c r="E1658" s="96" t="inlineStr">
        <is>
          <t>Textiles</t>
        </is>
      </c>
    </row>
    <row r="1659" ht="15" customHeight="1" s="109" thickBot="1">
      <c r="B1659" s="96" t="inlineStr">
        <is>
          <t>HIND ALUMINIUM INDUSTRIES LTD</t>
        </is>
      </c>
      <c r="C1659" s="97" t="n">
        <v>531979</v>
      </c>
      <c r="D1659" s="96" t="inlineStr">
        <is>
          <t>Not Listed</t>
        </is>
      </c>
      <c r="E1659" s="96" t="inlineStr">
        <is>
          <t>Aluminium</t>
        </is>
      </c>
    </row>
    <row r="1660" ht="15" customHeight="1" s="109" thickBot="1">
      <c r="B1660" s="96" t="inlineStr">
        <is>
          <t>HIND COMMERCE LTD</t>
        </is>
      </c>
      <c r="C1660" s="97" t="n">
        <v>538652</v>
      </c>
      <c r="D1660" s="96" t="inlineStr">
        <is>
          <t>Not Listed</t>
        </is>
      </c>
      <c r="E1660" s="96" t="inlineStr">
        <is>
          <t>Comm.Trading &amp; Distribution</t>
        </is>
      </c>
    </row>
    <row r="1661" ht="15" customHeight="1" s="109" thickBot="1">
      <c r="B1661" s="96" t="inlineStr">
        <is>
          <t>HIND RECTIFIERS LTD</t>
        </is>
      </c>
      <c r="C1661" s="97" t="n">
        <v>504036</v>
      </c>
      <c r="D1661" s="96" t="inlineStr">
        <is>
          <t>HIRECT</t>
        </is>
      </c>
      <c r="E1661" s="96" t="inlineStr">
        <is>
          <t>Electronic Components</t>
        </is>
      </c>
    </row>
    <row r="1662" ht="15" customHeight="1" s="109" thickBot="1">
      <c r="B1662" s="96" t="inlineStr">
        <is>
          <t>HIND SECURITIES &amp; CREDITS LTD</t>
        </is>
      </c>
      <c r="C1662" s="97" t="n">
        <v>539114</v>
      </c>
      <c r="D1662" s="96" t="inlineStr">
        <is>
          <t>Not Listed</t>
        </is>
      </c>
      <c r="E1662" s="96" t="inlineStr">
        <is>
          <t>Finance (including NBFCs)</t>
        </is>
      </c>
    </row>
    <row r="1663" ht="15" customHeight="1" s="109" thickBot="1">
      <c r="B1663" s="96" t="inlineStr">
        <is>
          <t>HIND SYNTEX LTD</t>
        </is>
      </c>
      <c r="C1663" s="97" t="n">
        <v>503881</v>
      </c>
      <c r="D1663" s="96" t="inlineStr">
        <is>
          <t>HINDSYNTEX</t>
        </is>
      </c>
      <c r="E1663" s="96" t="inlineStr">
        <is>
          <t>Textiles</t>
        </is>
      </c>
    </row>
    <row r="1664" ht="15" customHeight="1" s="109" thickBot="1">
      <c r="B1664" s="96" t="inlineStr">
        <is>
          <t>HINDALCO INDUSTRIES LTD</t>
        </is>
      </c>
      <c r="C1664" s="97" t="n">
        <v>500440</v>
      </c>
      <c r="D1664" s="96" t="inlineStr">
        <is>
          <t>HINDALCO</t>
        </is>
      </c>
      <c r="E1664" s="96" t="inlineStr">
        <is>
          <t>Aluminium</t>
        </is>
      </c>
    </row>
    <row r="1665" ht="15" customHeight="1" s="109" thickBot="1">
      <c r="B1665" s="96" t="inlineStr">
        <is>
          <t>HINDCON CHEMICALS LTD</t>
        </is>
      </c>
      <c r="C1665" s="96" t="inlineStr">
        <is>
          <t>Not Listed</t>
        </is>
      </c>
      <c r="D1665" s="96" t="inlineStr">
        <is>
          <t>HINDCON</t>
        </is>
      </c>
      <c r="E1665" s="96" t="inlineStr">
        <is>
          <t>SME</t>
        </is>
      </c>
    </row>
    <row r="1666" ht="15" customHeight="1" s="109" thickBot="1">
      <c r="B1666" s="96" t="inlineStr">
        <is>
          <t>HINDOOSTAN MILLS LTD</t>
        </is>
      </c>
      <c r="C1666" s="97" t="n">
        <v>509895</v>
      </c>
      <c r="D1666" s="96" t="inlineStr">
        <is>
          <t>Not Listed</t>
        </is>
      </c>
      <c r="E1666" s="96" t="inlineStr">
        <is>
          <t>Textiles</t>
        </is>
      </c>
    </row>
    <row r="1667" ht="15" customHeight="1" s="109" thickBot="1">
      <c r="B1667" s="96" t="inlineStr">
        <is>
          <t>HINDUJA GLOBAL SOLUTIONS LTD</t>
        </is>
      </c>
      <c r="C1667" s="97" t="n">
        <v>532859</v>
      </c>
      <c r="D1667" s="96" t="inlineStr">
        <is>
          <t>HGS</t>
        </is>
      </c>
      <c r="E1667" s="96" t="inlineStr">
        <is>
          <t>BPO/KPO</t>
        </is>
      </c>
    </row>
    <row r="1668" ht="15" customHeight="1" s="109" thickBot="1">
      <c r="B1668" s="96" t="inlineStr">
        <is>
          <t>HINDUJA VENTURES LTD</t>
        </is>
      </c>
      <c r="C1668" s="97" t="n">
        <v>500189</v>
      </c>
      <c r="D1668" s="96" t="inlineStr">
        <is>
          <t>HINDUJAVEN</t>
        </is>
      </c>
      <c r="E1668" s="96" t="inlineStr">
        <is>
          <t>Broadcasting &amp; Cable TV</t>
        </is>
      </c>
    </row>
    <row r="1669" ht="15" customHeight="1" s="109" thickBot="1">
      <c r="B1669" s="96" t="inlineStr">
        <is>
          <t>HINDUSTAN ADHESIVES LTD</t>
        </is>
      </c>
      <c r="C1669" s="97" t="n">
        <v>514428</v>
      </c>
      <c r="D1669" s="96" t="inlineStr">
        <is>
          <t>Not Listed</t>
        </is>
      </c>
      <c r="E1669" s="96" t="inlineStr">
        <is>
          <t>Plastic Products</t>
        </is>
      </c>
    </row>
    <row r="1670" ht="15" customHeight="1" s="109" thickBot="1">
      <c r="B1670" s="96" t="inlineStr">
        <is>
          <t>HINDUSTAN AERONAUTICS LTD</t>
        </is>
      </c>
      <c r="C1670" s="97" t="n">
        <v>541154</v>
      </c>
      <c r="D1670" s="96" t="inlineStr">
        <is>
          <t>HAL</t>
        </is>
      </c>
      <c r="E1670" s="96" t="inlineStr">
        <is>
          <t>Aerospace</t>
        </is>
      </c>
    </row>
    <row r="1671" ht="15" customHeight="1" s="109" thickBot="1">
      <c r="B1671" s="96" t="inlineStr">
        <is>
          <t>HINDUSTAN APPLIANCES LTD</t>
        </is>
      </c>
      <c r="C1671" s="97" t="n">
        <v>531918</v>
      </c>
      <c r="D1671" s="96" t="inlineStr">
        <is>
          <t>Not Listed</t>
        </is>
      </c>
      <c r="E1671" s="96" t="inlineStr">
        <is>
          <t>Comm.Trading &amp; Distribution</t>
        </is>
      </c>
    </row>
    <row r="1672" ht="15" customHeight="1" s="109" thickBot="1">
      <c r="B1672" s="96" t="inlineStr">
        <is>
          <t>HINDUSTAN BIO SCIENCES LTD.</t>
        </is>
      </c>
      <c r="C1672" s="97" t="n">
        <v>532041</v>
      </c>
      <c r="D1672" s="96" t="inlineStr">
        <is>
          <t>HINDBIO</t>
        </is>
      </c>
      <c r="E1672" s="96" t="inlineStr">
        <is>
          <t>IT Software Products</t>
        </is>
      </c>
    </row>
    <row r="1673" ht="15" customHeight="1" s="109" thickBot="1">
      <c r="B1673" s="96" t="inlineStr">
        <is>
          <t>HINDUSTAN COMPOSITES LTD</t>
        </is>
      </c>
      <c r="C1673" s="97" t="n">
        <v>509635</v>
      </c>
      <c r="D1673" s="96" t="inlineStr">
        <is>
          <t>HINDCOMPOS</t>
        </is>
      </c>
      <c r="E1673" s="96" t="inlineStr">
        <is>
          <t>Auto Parts &amp; Equipment</t>
        </is>
      </c>
    </row>
    <row r="1674" ht="15" customHeight="1" s="109" thickBot="1">
      <c r="B1674" s="96" t="inlineStr">
        <is>
          <t>HINDUSTAN CONSTRUCTION COMPANY LTD</t>
        </is>
      </c>
      <c r="C1674" s="97" t="n">
        <v>500185</v>
      </c>
      <c r="D1674" s="96" t="inlineStr">
        <is>
          <t>HCC</t>
        </is>
      </c>
      <c r="E1674" s="96" t="inlineStr">
        <is>
          <t>Construction &amp; Engineering</t>
        </is>
      </c>
    </row>
    <row r="1675" ht="15" customHeight="1" s="109" thickBot="1">
      <c r="B1675" s="96" t="inlineStr">
        <is>
          <t>HINDUSTAN COPPER LTD</t>
        </is>
      </c>
      <c r="C1675" s="97" t="n">
        <v>513599</v>
      </c>
      <c r="D1675" s="96" t="inlineStr">
        <is>
          <t>HINDCOPPER</t>
        </is>
      </c>
      <c r="E1675" s="96" t="inlineStr">
        <is>
          <t>Copper</t>
        </is>
      </c>
    </row>
    <row r="1676" ht="15" customHeight="1" s="109" thickBot="1">
      <c r="B1676" s="96" t="inlineStr">
        <is>
          <t>HINDUSTAN EVEREST TOOLS LTD.</t>
        </is>
      </c>
      <c r="C1676" s="97" t="n">
        <v>505725</v>
      </c>
      <c r="D1676" s="96" t="inlineStr">
        <is>
          <t>HINDEVER</t>
        </is>
      </c>
      <c r="E1676" s="96" t="inlineStr">
        <is>
          <t>Other Industrial Goods</t>
        </is>
      </c>
    </row>
    <row r="1677" ht="15" customHeight="1" s="109" thickBot="1">
      <c r="B1677" s="96" t="inlineStr">
        <is>
          <t>HINDUSTAN FLUOROCARBONS LTD</t>
        </is>
      </c>
      <c r="C1677" s="97" t="n">
        <v>524013</v>
      </c>
      <c r="D1677" s="96" t="inlineStr">
        <is>
          <t>Not Listed</t>
        </is>
      </c>
      <c r="E1677" s="96" t="inlineStr">
        <is>
          <t>Fibres &amp; Plastics</t>
        </is>
      </c>
    </row>
    <row r="1678" ht="15" customHeight="1" s="109" thickBot="1">
      <c r="B1678" s="96" t="inlineStr">
        <is>
          <t>HINDUSTAN FOODS LTD</t>
        </is>
      </c>
      <c r="C1678" s="97" t="n">
        <v>519126</v>
      </c>
      <c r="D1678" s="96" t="inlineStr">
        <is>
          <t>Not Listed</t>
        </is>
      </c>
      <c r="E1678" s="96" t="inlineStr">
        <is>
          <t>Packaged Foods</t>
        </is>
      </c>
    </row>
    <row r="1679" ht="15" customHeight="1" s="109" thickBot="1">
      <c r="B1679" s="96" t="inlineStr">
        <is>
          <t>HINDUSTAN HARDY SPICER LTD</t>
        </is>
      </c>
      <c r="C1679" s="97" t="n">
        <v>505893</v>
      </c>
      <c r="D1679" s="96" t="inlineStr">
        <is>
          <t>Not Listed</t>
        </is>
      </c>
      <c r="E1679" s="96" t="inlineStr">
        <is>
          <t>Auto Parts &amp; Equipment</t>
        </is>
      </c>
    </row>
    <row r="1680" ht="15" customHeight="1" s="109" thickBot="1">
      <c r="B1680" s="96" t="inlineStr">
        <is>
          <t>HINDUSTAN HOUSING CO LTD</t>
        </is>
      </c>
      <c r="C1680" s="97" t="n">
        <v>509650</v>
      </c>
      <c r="D1680" s="96" t="inlineStr">
        <is>
          <t>Not Listed</t>
        </is>
      </c>
      <c r="E1680" s="96" t="inlineStr">
        <is>
          <t>Housing Finance</t>
        </is>
      </c>
    </row>
    <row r="1681" ht="15" customHeight="1" s="109" thickBot="1">
      <c r="B1681" s="96" t="inlineStr">
        <is>
          <t>HINDUSTAN MEDIA VENTURES LTD</t>
        </is>
      </c>
      <c r="C1681" s="97" t="n">
        <v>533217</v>
      </c>
      <c r="D1681" s="96" t="inlineStr">
        <is>
          <t>HMVL</t>
        </is>
      </c>
      <c r="E1681" s="96" t="inlineStr">
        <is>
          <t>Publishing</t>
        </is>
      </c>
    </row>
    <row r="1682" ht="15" customHeight="1" s="109" thickBot="1">
      <c r="B1682" s="96" t="inlineStr">
        <is>
          <t>HINDUSTAN MOTORS LTD</t>
        </is>
      </c>
      <c r="C1682" s="97" t="n">
        <v>500500</v>
      </c>
      <c r="D1682" s="96" t="inlineStr">
        <is>
          <t>HINDMOTORS</t>
        </is>
      </c>
      <c r="E1682" s="96" t="inlineStr">
        <is>
          <t>Cars &amp; Utility Vehicles</t>
        </is>
      </c>
    </row>
    <row r="1683" ht="15" customHeight="1" s="109" thickBot="1">
      <c r="B1683" s="96" t="inlineStr">
        <is>
          <t>HINDUSTAN OIL EXPLORATION COMPANY LTD</t>
        </is>
      </c>
      <c r="C1683" s="97" t="n">
        <v>500186</v>
      </c>
      <c r="D1683" s="96" t="inlineStr">
        <is>
          <t>HINDOILEXP</t>
        </is>
      </c>
      <c r="E1683" s="96" t="inlineStr">
        <is>
          <t>Exploration &amp; Production</t>
        </is>
      </c>
    </row>
    <row r="1684" ht="15" customHeight="1" s="109" thickBot="1">
      <c r="B1684" s="96" t="inlineStr">
        <is>
          <t>HINDUSTAN ORGANIC CHEMICALS LTD</t>
        </is>
      </c>
      <c r="C1684" s="97" t="n">
        <v>500449</v>
      </c>
      <c r="D1684" s="96" t="inlineStr">
        <is>
          <t>Not Listed</t>
        </is>
      </c>
      <c r="E1684" s="96" t="inlineStr">
        <is>
          <t>Commodity Chemicals</t>
        </is>
      </c>
    </row>
    <row r="1685" ht="15" customHeight="1" s="109" thickBot="1">
      <c r="B1685" s="96" t="inlineStr">
        <is>
          <t>HINDUSTAN PETROLEUM CORPORATION LTD</t>
        </is>
      </c>
      <c r="C1685" s="97" t="n">
        <v>500104</v>
      </c>
      <c r="D1685" s="96" t="inlineStr">
        <is>
          <t>HINDPETRO</t>
        </is>
      </c>
      <c r="E1685" s="96" t="inlineStr">
        <is>
          <t>Refineries/ Petro-Products</t>
        </is>
      </c>
    </row>
    <row r="1686" ht="15" customHeight="1" s="109" thickBot="1">
      <c r="B1686" s="96" t="inlineStr">
        <is>
          <t>HINDUSTAN TIN WORKS LTD</t>
        </is>
      </c>
      <c r="C1686" s="97" t="n">
        <v>530315</v>
      </c>
      <c r="D1686" s="96" t="inlineStr">
        <is>
          <t>Not Listed</t>
        </is>
      </c>
      <c r="E1686" s="96" t="inlineStr">
        <is>
          <t>Containers &amp; Packaging</t>
        </is>
      </c>
    </row>
    <row r="1687" ht="15" customHeight="1" s="109" thickBot="1">
      <c r="B1687" s="96" t="inlineStr">
        <is>
          <t>ITC LTD</t>
        </is>
      </c>
      <c r="C1687" s="97" t="n">
        <v>500696</v>
      </c>
      <c r="D1687" s="96" t="inlineStr">
        <is>
          <t>HINDUNILVR</t>
        </is>
      </c>
      <c r="E1687" s="96" t="inlineStr">
        <is>
          <t>Personal Products</t>
        </is>
      </c>
    </row>
    <row r="1688" ht="15" customHeight="1" s="109" thickBot="1">
      <c r="B1688" s="96" t="inlineStr">
        <is>
          <t>HINDUSTAN WIRES LTD</t>
        </is>
      </c>
      <c r="C1688" s="97" t="n">
        <v>504713</v>
      </c>
      <c r="D1688" s="96" t="inlineStr">
        <is>
          <t>Not Listed</t>
        </is>
      </c>
      <c r="E1688" s="96" t="inlineStr">
        <is>
          <t>Other Industrial Products</t>
        </is>
      </c>
    </row>
    <row r="1689" ht="15" customHeight="1" s="109" thickBot="1">
      <c r="B1689" s="96" t="inlineStr">
        <is>
          <t>HINDUSTAN ZINC LTD</t>
        </is>
      </c>
      <c r="C1689" s="97" t="n">
        <v>500188</v>
      </c>
      <c r="D1689" s="96" t="inlineStr">
        <is>
          <t>HINDZINC</t>
        </is>
      </c>
      <c r="E1689" s="96" t="inlineStr">
        <is>
          <t>Zinc</t>
        </is>
      </c>
    </row>
    <row r="1690" ht="15" customHeight="1" s="109" thickBot="1">
      <c r="B1690" s="96" t="inlineStr">
        <is>
          <t>HINDUSTHAN NATIONAL GLASS &amp; INDUSTRIES LTD</t>
        </is>
      </c>
      <c r="C1690" s="97" t="n">
        <v>515145</v>
      </c>
      <c r="D1690" s="96" t="inlineStr">
        <is>
          <t>HINDNATGLS</t>
        </is>
      </c>
      <c r="E1690" s="96" t="inlineStr">
        <is>
          <t>Containers &amp; Packaging</t>
        </is>
      </c>
    </row>
    <row r="1691" ht="15" customHeight="1" s="109" thickBot="1">
      <c r="B1691" s="96" t="inlineStr">
        <is>
          <t>HINDUSTHAN UDYOG LTD</t>
        </is>
      </c>
      <c r="C1691" s="97" t="n">
        <v>513039</v>
      </c>
      <c r="D1691" s="96" t="inlineStr">
        <is>
          <t>Not Listed</t>
        </is>
      </c>
      <c r="E1691" s="96" t="inlineStr">
        <is>
          <t>Industrial Machinery</t>
        </is>
      </c>
    </row>
    <row r="1692" ht="15" customHeight="1" s="109" thickBot="1">
      <c r="B1692" s="96" t="inlineStr">
        <is>
          <t>HINDUSTHAN URBAN INFRASTRUCTURE LTD</t>
        </is>
      </c>
      <c r="C1692" s="97" t="n">
        <v>539984</v>
      </c>
      <c r="D1692" s="96" t="inlineStr">
        <is>
          <t>Not Listed</t>
        </is>
      </c>
      <c r="E1692" s="96" t="inlineStr">
        <is>
          <t>Electronic Components</t>
        </is>
      </c>
    </row>
    <row r="1693" ht="15" customHeight="1" s="109" thickBot="1">
      <c r="B1693" s="96" t="inlineStr">
        <is>
          <t>HIPOLIN LTD</t>
        </is>
      </c>
      <c r="C1693" s="97" t="n">
        <v>530853</v>
      </c>
      <c r="D1693" s="96" t="inlineStr">
        <is>
          <t>Not Listed</t>
        </is>
      </c>
      <c r="E1693" s="96" t="inlineStr">
        <is>
          <t>Household Products</t>
        </is>
      </c>
    </row>
    <row r="1694" ht="15" customHeight="1" s="109" thickBot="1">
      <c r="B1694" s="96" t="inlineStr">
        <is>
          <t>HIRA AUTOMOBILES LTD</t>
        </is>
      </c>
      <c r="C1694" s="97" t="n">
        <v>531743</v>
      </c>
      <c r="D1694" s="96" t="inlineStr">
        <is>
          <t>Not Listed</t>
        </is>
      </c>
      <c r="E1694" s="96" t="inlineStr">
        <is>
          <t>Comm.Trading &amp; Distribution</t>
        </is>
      </c>
    </row>
    <row r="1695" ht="15" customHeight="1" s="109" thickBot="1">
      <c r="B1695" s="96" t="inlineStr">
        <is>
          <t>HISAR METAL INDUSTRIES LTD</t>
        </is>
      </c>
      <c r="C1695" s="97" t="n">
        <v>590018</v>
      </c>
      <c r="D1695" s="96" t="inlineStr">
        <is>
          <t>HISARMETAL</t>
        </is>
      </c>
      <c r="E1695" s="96" t="inlineStr">
        <is>
          <t>Iron &amp; Steel/Interm.Products</t>
        </is>
      </c>
    </row>
    <row r="1696" ht="15" customHeight="1" s="109" thickBot="1">
      <c r="B1696" s="96" t="inlineStr">
        <is>
          <t>HISAR SPINNING MILLS LTD</t>
        </is>
      </c>
      <c r="C1696" s="97" t="n">
        <v>521068</v>
      </c>
      <c r="D1696" s="96" t="inlineStr">
        <is>
          <t>Not Listed</t>
        </is>
      </c>
      <c r="E1696" s="96" t="inlineStr">
        <is>
          <t>Textiles</t>
        </is>
      </c>
    </row>
    <row r="1697" ht="15" customHeight="1" s="109" thickBot="1">
      <c r="B1697" s="96" t="inlineStr">
        <is>
          <t>HIT KIT GLOBAL SOLUTIONS LTD</t>
        </is>
      </c>
      <c r="C1697" s="97" t="n">
        <v>532359</v>
      </c>
      <c r="D1697" s="96" t="inlineStr">
        <is>
          <t>Not Listed</t>
        </is>
      </c>
      <c r="E1697" s="96" t="inlineStr">
        <is>
          <t>IT Software Products</t>
        </is>
      </c>
    </row>
    <row r="1698" ht="15" customHeight="1" s="109" thickBot="1">
      <c r="B1698" s="96" t="inlineStr">
        <is>
          <t>HITECH CORPORATION LTD</t>
        </is>
      </c>
      <c r="C1698" s="97" t="n">
        <v>526217</v>
      </c>
      <c r="D1698" s="96" t="inlineStr">
        <is>
          <t>HITECHCORP</t>
        </is>
      </c>
      <c r="E1698" s="96" t="inlineStr">
        <is>
          <t>Containers &amp; Packaging</t>
        </is>
      </c>
    </row>
    <row r="1699" ht="15" customHeight="1" s="109" thickBot="1">
      <c r="B1699" s="96" t="inlineStr">
        <is>
          <t>HI-TECH PIPES LTD</t>
        </is>
      </c>
      <c r="C1699" s="96" t="inlineStr">
        <is>
          <t>Not Listed</t>
        </is>
      </c>
      <c r="D1699" s="96" t="inlineStr">
        <is>
          <t>HITECH</t>
        </is>
      </c>
      <c r="E1699" s="96" t="inlineStr">
        <is>
          <t>Others</t>
        </is>
      </c>
    </row>
    <row r="1700" ht="15" customHeight="1" s="109" thickBot="1">
      <c r="B1700" s="96" t="inlineStr">
        <is>
          <t>Hi-Tech Winding Systems Ltd</t>
        </is>
      </c>
      <c r="C1700" s="97" t="n">
        <v>541627</v>
      </c>
      <c r="D1700" s="96" t="inlineStr">
        <is>
          <t>HITECHWIND</t>
        </is>
      </c>
      <c r="E1700" s="96" t="inlineStr">
        <is>
          <t>Paper &amp;amp; Paper Products</t>
        </is>
      </c>
    </row>
    <row r="1701" ht="15" customHeight="1" s="109" thickBot="1">
      <c r="B1701" s="96" t="inlineStr">
        <is>
          <t>HITTCO TOOLS LTD</t>
        </is>
      </c>
      <c r="C1701" s="97" t="n">
        <v>531661</v>
      </c>
      <c r="D1701" s="96" t="inlineStr">
        <is>
          <t>Not Listed</t>
        </is>
      </c>
      <c r="E1701" s="96" t="inlineStr">
        <is>
          <t>Industrial Machinery</t>
        </is>
      </c>
    </row>
    <row r="1702" ht="15" customHeight="1" s="109" thickBot="1">
      <c r="B1702" s="96" t="inlineStr">
        <is>
          <t>HMT LTD</t>
        </is>
      </c>
      <c r="C1702" s="97" t="n">
        <v>500191</v>
      </c>
      <c r="D1702" s="96" t="inlineStr">
        <is>
          <t>HMT</t>
        </is>
      </c>
      <c r="E1702" s="96" t="inlineStr">
        <is>
          <t>Commercial Vehicles</t>
        </is>
      </c>
    </row>
    <row r="1703" ht="15" customHeight="1" s="109" thickBot="1">
      <c r="B1703" s="96" t="inlineStr">
        <is>
          <t>HONDA SIEL POWER PRODUCTS LTD</t>
        </is>
      </c>
      <c r="C1703" s="97" t="n">
        <v>522064</v>
      </c>
      <c r="D1703" s="96" t="inlineStr">
        <is>
          <t>HONDAPOWER</t>
        </is>
      </c>
      <c r="E1703" s="96" t="inlineStr">
        <is>
          <t>Industrial Machinery</t>
        </is>
      </c>
    </row>
    <row r="1704" ht="15" customHeight="1" s="109" thickBot="1">
      <c r="B1704" s="96" t="inlineStr">
        <is>
          <t>HONEYWELL AUTOMATION (INDIA) LTD</t>
        </is>
      </c>
      <c r="C1704" s="97" t="n">
        <v>517174</v>
      </c>
      <c r="D1704" s="96" t="inlineStr">
        <is>
          <t>HONAUT</t>
        </is>
      </c>
      <c r="E1704" s="96" t="inlineStr">
        <is>
          <t>Other Elect.Equip./ Prod.</t>
        </is>
      </c>
    </row>
    <row r="1705" ht="15" customHeight="1" s="109" thickBot="1">
      <c r="B1705" s="96" t="inlineStr">
        <is>
          <t>HONEYWELL AUTOMATION INDIA LTD</t>
        </is>
      </c>
      <c r="C1705" s="97" t="n">
        <v>517174</v>
      </c>
      <c r="D1705" s="96" t="inlineStr">
        <is>
          <t>HONAUT</t>
        </is>
      </c>
      <c r="E1705" s="96" t="inlineStr">
        <is>
          <t>Other Elect.Equip./ Prod.</t>
        </is>
      </c>
    </row>
    <row r="1706" ht="15" customHeight="1" s="109" thickBot="1">
      <c r="B1706" s="96" t="inlineStr">
        <is>
          <t>HOTEL LEELA VENTURE LTD</t>
        </is>
      </c>
      <c r="C1706" s="97" t="n">
        <v>500193</v>
      </c>
      <c r="D1706" s="96" t="inlineStr">
        <is>
          <t>HOTELEELA</t>
        </is>
      </c>
      <c r="E1706" s="96" t="inlineStr">
        <is>
          <t>Hotels</t>
        </is>
      </c>
    </row>
    <row r="1707" ht="15" customHeight="1" s="109" thickBot="1">
      <c r="B1707" s="96" t="inlineStr">
        <is>
          <t>HOTEL RUGBY LTD</t>
        </is>
      </c>
      <c r="C1707" s="97" t="n">
        <v>526683</v>
      </c>
      <c r="D1707" s="96" t="inlineStr">
        <is>
          <t>HOTELRUGBY</t>
        </is>
      </c>
      <c r="E1707" s="96" t="inlineStr">
        <is>
          <t>Hotels</t>
        </is>
      </c>
    </row>
    <row r="1708" ht="15" customHeight="1" s="109" thickBot="1">
      <c r="B1708" s="96" t="inlineStr">
        <is>
          <t>HOUSING &amp; URBAN DEVELOPMENT CORPORATION LTD</t>
        </is>
      </c>
      <c r="C1708" s="97" t="n">
        <v>540530</v>
      </c>
      <c r="D1708" s="96" t="inlineStr">
        <is>
          <t>HUDCO</t>
        </is>
      </c>
      <c r="E1708" s="96" t="inlineStr">
        <is>
          <t>Housing Finance</t>
        </is>
      </c>
    </row>
    <row r="1709" ht="15" customHeight="1" s="109" thickBot="1">
      <c r="B1709" s="96" t="inlineStr">
        <is>
          <t>HOUSING DEVELOPMENT AND INFRASTRUCTURE LTD</t>
        </is>
      </c>
      <c r="C1709" s="97" t="n">
        <v>532873</v>
      </c>
      <c r="D1709" s="96" t="inlineStr">
        <is>
          <t>HDIL</t>
        </is>
      </c>
      <c r="E1709" s="96" t="inlineStr">
        <is>
          <t>Realty</t>
        </is>
      </c>
    </row>
    <row r="1710" ht="15" customHeight="1" s="109" thickBot="1">
      <c r="B1710" s="96" t="inlineStr">
        <is>
          <t>HOUSING DEVELOPMENT FINANCE CORPORATION LTD</t>
        </is>
      </c>
      <c r="C1710" s="97" t="n">
        <v>500010</v>
      </c>
      <c r="D1710" s="96" t="inlineStr">
        <is>
          <t>HDFC</t>
        </is>
      </c>
      <c r="E1710" s="96" t="inlineStr">
        <is>
          <t>Housing Finance</t>
        </is>
      </c>
    </row>
    <row r="1711" ht="15" customHeight="1" s="109" thickBot="1">
      <c r="B1711" s="96" t="inlineStr">
        <is>
          <t>HOV SERVICES LTD</t>
        </is>
      </c>
      <c r="C1711" s="97" t="n">
        <v>532761</v>
      </c>
      <c r="D1711" s="96" t="inlineStr">
        <is>
          <t>HOVS</t>
        </is>
      </c>
      <c r="E1711" s="96" t="inlineStr">
        <is>
          <t>BPO/KPO</t>
        </is>
      </c>
    </row>
    <row r="1712" ht="15" customHeight="1" s="109" thickBot="1">
      <c r="B1712" s="96" t="inlineStr">
        <is>
          <t>HOWARD HOTELS LTD</t>
        </is>
      </c>
      <c r="C1712" s="97" t="n">
        <v>526761</v>
      </c>
      <c r="D1712" s="96" t="inlineStr">
        <is>
          <t>Not Listed</t>
        </is>
      </c>
      <c r="E1712" s="96" t="inlineStr">
        <is>
          <t>Hotels</t>
        </is>
      </c>
    </row>
    <row r="1713" ht="15" customHeight="1" s="109" thickBot="1">
      <c r="B1713" s="96" t="inlineStr">
        <is>
          <t>HPC BIOSCIENCES LTD</t>
        </is>
      </c>
      <c r="C1713" s="97" t="n">
        <v>535217</v>
      </c>
      <c r="D1713" s="96" t="inlineStr">
        <is>
          <t>Not Listed</t>
        </is>
      </c>
      <c r="E1713" s="96" t="inlineStr">
        <is>
          <t>Other Agricultural Products</t>
        </is>
      </c>
    </row>
    <row r="1714" ht="15" customHeight="1" s="109" thickBot="1">
      <c r="B1714" s="96" t="inlineStr">
        <is>
          <t>HPL ELECTRIC &amp; POWER LTD</t>
        </is>
      </c>
      <c r="C1714" s="97" t="n">
        <v>540136</v>
      </c>
      <c r="D1714" s="96" t="inlineStr">
        <is>
          <t>HPL</t>
        </is>
      </c>
      <c r="E1714" s="96" t="inlineStr">
        <is>
          <t>Heavy Electrical Equipment</t>
        </is>
      </c>
    </row>
    <row r="1715" ht="15" customHeight="1" s="109" thickBot="1">
      <c r="B1715" s="96" t="inlineStr">
        <is>
          <t>HRB FLORICULTURE LTD</t>
        </is>
      </c>
      <c r="C1715" s="97" t="n">
        <v>531724</v>
      </c>
      <c r="D1715" s="96" t="inlineStr">
        <is>
          <t>Not Listed</t>
        </is>
      </c>
      <c r="E1715" s="96" t="inlineStr">
        <is>
          <t>Misc.Commercial Services</t>
        </is>
      </c>
    </row>
    <row r="1716" ht="15" customHeight="1" s="109" thickBot="1">
      <c r="B1716" s="96" t="inlineStr">
        <is>
          <t>HSIL LTD</t>
        </is>
      </c>
      <c r="C1716" s="97" t="n">
        <v>500187</v>
      </c>
      <c r="D1716" s="96" t="inlineStr">
        <is>
          <t>HSIL</t>
        </is>
      </c>
      <c r="E1716" s="96" t="inlineStr">
        <is>
          <t>Containers &amp; Packaging</t>
        </is>
      </c>
    </row>
    <row r="1717" ht="15" customHeight="1" s="109" thickBot="1">
      <c r="B1717" s="96" t="inlineStr">
        <is>
          <t>HT MEDIA LTD</t>
        </is>
      </c>
      <c r="C1717" s="97" t="n">
        <v>532662</v>
      </c>
      <c r="D1717" s="96" t="inlineStr">
        <is>
          <t>HTMEDIA</t>
        </is>
      </c>
      <c r="E1717" s="96" t="inlineStr">
        <is>
          <t>Publishing</t>
        </is>
      </c>
    </row>
    <row r="1718" ht="15" customHeight="1" s="109" thickBot="1">
      <c r="B1718" s="96" t="inlineStr">
        <is>
          <t>HUBTOWN LTD</t>
        </is>
      </c>
      <c r="C1718" s="97" t="n">
        <v>532799</v>
      </c>
      <c r="D1718" s="96" t="inlineStr">
        <is>
          <t>HUBTOWN</t>
        </is>
      </c>
      <c r="E1718" s="96" t="inlineStr">
        <is>
          <t>Realty</t>
        </is>
      </c>
    </row>
    <row r="1719" ht="15" customHeight="1" s="109" thickBot="1">
      <c r="B1719" s="96" t="inlineStr">
        <is>
          <t>HUHTAMAKI PPL LTD</t>
        </is>
      </c>
      <c r="C1719" s="97" t="n">
        <v>509820</v>
      </c>
      <c r="D1719" s="96" t="inlineStr">
        <is>
          <t>PAPERPROD</t>
        </is>
      </c>
      <c r="E1719" s="96" t="inlineStr">
        <is>
          <t>Containers &amp; Packaging</t>
        </is>
      </c>
    </row>
    <row r="1720" ht="15" customHeight="1" s="109" thickBot="1">
      <c r="B1720" s="96" t="inlineStr">
        <is>
          <t>Humming Bird Education Ltd</t>
        </is>
      </c>
      <c r="C1720" s="97" t="n">
        <v>542592</v>
      </c>
      <c r="D1720" s="96" t="inlineStr">
        <is>
          <t>HBEL</t>
        </is>
      </c>
      <c r="E1720" s="96" t="inlineStr">
        <is>
          <t>Education</t>
        </is>
      </c>
    </row>
    <row r="1721" ht="15" customHeight="1" s="109" thickBot="1">
      <c r="B1721" s="96" t="inlineStr">
        <is>
          <t>HUSYS CONSULTING LTD</t>
        </is>
      </c>
      <c r="C1721" s="96" t="inlineStr">
        <is>
          <t>Not Listed</t>
        </is>
      </c>
      <c r="D1721" s="96" t="inlineStr">
        <is>
          <t>HUSYSLTD</t>
        </is>
      </c>
      <c r="E1721" s="96" t="inlineStr">
        <is>
          <t>SME</t>
        </is>
      </c>
    </row>
    <row r="1722" ht="15" customHeight="1" s="109" thickBot="1">
      <c r="B1722" s="96" t="inlineStr">
        <is>
          <t>HYPERSOFT TECHNOLOGIES LTD</t>
        </is>
      </c>
      <c r="C1722" s="97" t="n">
        <v>539724</v>
      </c>
      <c r="D1722" s="96" t="inlineStr">
        <is>
          <t>Not Listed</t>
        </is>
      </c>
      <c r="E1722" s="96" t="inlineStr">
        <is>
          <t>IT Consulting &amp; Software</t>
        </is>
      </c>
    </row>
    <row r="1723" ht="15" customHeight="1" s="109" thickBot="1">
      <c r="B1723" s="96" t="inlineStr">
        <is>
          <t>IB INFOTECH ENTERPRISES LTD</t>
        </is>
      </c>
      <c r="C1723" s="97" t="n">
        <v>519463</v>
      </c>
      <c r="D1723" s="96" t="inlineStr">
        <is>
          <t>Not Listed</t>
        </is>
      </c>
      <c r="E1723" s="96" t="inlineStr">
        <is>
          <t>Other Agricultural Products</t>
        </is>
      </c>
    </row>
    <row r="1724" ht="15" customHeight="1" s="109" thickBot="1">
      <c r="B1724" s="96" t="inlineStr">
        <is>
          <t>ICE MAKE REFRIGERATION LTD</t>
        </is>
      </c>
      <c r="C1724" s="96" t="inlineStr">
        <is>
          <t>Not Listed</t>
        </is>
      </c>
      <c r="D1724" s="96" t="inlineStr">
        <is>
          <t>ICEMAKE</t>
        </is>
      </c>
      <c r="E1724" s="96" t="inlineStr">
        <is>
          <t>SME</t>
        </is>
      </c>
    </row>
    <row r="1725" ht="15" customHeight="1" s="109" thickBot="1">
      <c r="B1725" s="96" t="inlineStr">
        <is>
          <t>ICICI BANK LTD</t>
        </is>
      </c>
      <c r="C1725" s="97" t="n">
        <v>532174</v>
      </c>
      <c r="D1725" s="96" t="inlineStr">
        <is>
          <t>ICICIBANK</t>
        </is>
      </c>
      <c r="E1725" s="96" t="inlineStr">
        <is>
          <t>Banks</t>
        </is>
      </c>
    </row>
    <row r="1726" ht="15" customHeight="1" s="109" thickBot="1">
      <c r="B1726" s="96" t="inlineStr">
        <is>
          <t>ICICI LOMBARD GENERAL INSURANCE COMPANY LTD</t>
        </is>
      </c>
      <c r="C1726" s="97" t="n">
        <v>540716</v>
      </c>
      <c r="D1726" s="96" t="inlineStr">
        <is>
          <t>ICICIGI</t>
        </is>
      </c>
      <c r="E1726" s="96" t="inlineStr">
        <is>
          <t>General Insurance</t>
        </is>
      </c>
    </row>
    <row r="1727" ht="15" customHeight="1" s="109" thickBot="1">
      <c r="B1727" s="96" t="inlineStr">
        <is>
          <t>ICICI Prudential Gold ETF</t>
        </is>
      </c>
      <c r="C1727" s="97" t="n">
        <v>533244</v>
      </c>
      <c r="D1727" s="96" t="inlineStr">
        <is>
          <t>ICICIGOLD</t>
        </is>
      </c>
      <c r="E1727" s="96" t="inlineStr">
        <is>
          <t>Other Financial Services</t>
        </is>
      </c>
    </row>
    <row r="1728" ht="15" customHeight="1" s="109" thickBot="1">
      <c r="B1728" s="96" t="inlineStr">
        <is>
          <t>ICICI PRUDENTIAL LIFE INSURANCE COMPANY LTD</t>
        </is>
      </c>
      <c r="C1728" s="97" t="n">
        <v>540133</v>
      </c>
      <c r="D1728" s="96" t="inlineStr">
        <is>
          <t>ICICIPRULI</t>
        </is>
      </c>
      <c r="E1728" s="96" t="inlineStr">
        <is>
          <t>Life Insurance</t>
        </is>
      </c>
    </row>
    <row r="1729" ht="15" customHeight="1" s="109" thickBot="1">
      <c r="B1729" s="96" t="inlineStr">
        <is>
          <t>ICICI Prudential Sensex ETF</t>
        </is>
      </c>
      <c r="C1729" s="97" t="n">
        <v>555555</v>
      </c>
      <c r="D1729" s="96" t="inlineStr">
        <is>
          <t>ICICISENSX</t>
        </is>
      </c>
      <c r="E1729" s="96" t="inlineStr">
        <is>
          <t>Other Financial Services</t>
        </is>
      </c>
    </row>
    <row r="1730" ht="15" customHeight="1" s="109" thickBot="1">
      <c r="B1730" s="96" t="inlineStr">
        <is>
          <t>ICICI SECURITIES LTD</t>
        </is>
      </c>
      <c r="C1730" s="97" t="n">
        <v>541179</v>
      </c>
      <c r="D1730" s="96" t="inlineStr">
        <is>
          <t>ISEC</t>
        </is>
      </c>
      <c r="E1730" s="96" t="inlineStr">
        <is>
          <t>Other Financial Services</t>
        </is>
      </c>
    </row>
    <row r="1731" ht="15" customHeight="1" s="109" thickBot="1">
      <c r="B1731" s="96" t="inlineStr">
        <is>
          <t>ICRA LTD</t>
        </is>
      </c>
      <c r="C1731" s="97" t="n">
        <v>532835</v>
      </c>
      <c r="D1731" s="96" t="inlineStr">
        <is>
          <t>ICRA</t>
        </is>
      </c>
      <c r="E1731" s="96" t="inlineStr">
        <is>
          <t>Other Financial Services</t>
        </is>
      </c>
    </row>
    <row r="1732" ht="15" customHeight="1" s="109" thickBot="1">
      <c r="B1732" s="96" t="inlineStr">
        <is>
          <t>ICSA (INDIA) LTD</t>
        </is>
      </c>
      <c r="C1732" s="97" t="n">
        <v>531524</v>
      </c>
      <c r="D1732" s="96" t="inlineStr">
        <is>
          <t>ICSA</t>
        </is>
      </c>
      <c r="E1732" s="96" t="inlineStr">
        <is>
          <t>Other Elect.Equip./ Prod.</t>
        </is>
      </c>
    </row>
    <row r="1733" ht="15" customHeight="1" s="109" thickBot="1">
      <c r="B1733" s="96" t="inlineStr">
        <is>
          <t>ICSA INDIA LTD</t>
        </is>
      </c>
      <c r="C1733" s="97" t="n">
        <v>531524</v>
      </c>
      <c r="D1733" s="96" t="inlineStr">
        <is>
          <t>ICSA</t>
        </is>
      </c>
      <c r="E1733" s="96" t="inlineStr">
        <is>
          <t>Other Elect.Equip./ Prod.</t>
        </is>
      </c>
    </row>
    <row r="1734" ht="15" customHeight="1" s="109" thickBot="1">
      <c r="B1734" s="96" t="inlineStr">
        <is>
          <t>IDBI BANK LTD</t>
        </is>
      </c>
      <c r="C1734" s="97" t="n">
        <v>500116</v>
      </c>
      <c r="D1734" s="96" t="inlineStr">
        <is>
          <t>IDBI</t>
        </is>
      </c>
      <c r="E1734" s="96" t="inlineStr">
        <is>
          <t>Banks</t>
        </is>
      </c>
    </row>
    <row r="1735" ht="15" customHeight="1" s="109" thickBot="1">
      <c r="B1735" s="96" t="inlineStr">
        <is>
          <t>IDFC BANK LTD</t>
        </is>
      </c>
      <c r="C1735" s="97" t="n">
        <v>539437</v>
      </c>
      <c r="D1735" s="96" t="inlineStr">
        <is>
          <t>IDFCBANK</t>
        </is>
      </c>
      <c r="E1735" s="96" t="inlineStr">
        <is>
          <t>Banks</t>
        </is>
      </c>
    </row>
    <row r="1736" ht="15" customHeight="1" s="109" thickBot="1">
      <c r="B1736" s="96" t="inlineStr">
        <is>
          <t>IDFC First Bank LTD</t>
        </is>
      </c>
      <c r="C1736" s="96" t="inlineStr">
        <is>
          <t>Not Listed</t>
        </is>
      </c>
      <c r="D1736" s="96" t="inlineStr">
        <is>
          <t>IDFCFIRSTB</t>
        </is>
      </c>
      <c r="E1736" s="96" t="inlineStr">
        <is>
          <t>Banks</t>
        </is>
      </c>
    </row>
    <row r="1737" ht="15" customHeight="1" s="109" thickBot="1">
      <c r="B1737" s="96" t="inlineStr">
        <is>
          <t>IDFC LTD</t>
        </is>
      </c>
      <c r="C1737" s="97" t="n">
        <v>532659</v>
      </c>
      <c r="D1737" s="96" t="inlineStr">
        <is>
          <t>IDFC</t>
        </is>
      </c>
      <c r="E1737" s="96" t="inlineStr">
        <is>
          <t>Finance (including NBFCs)</t>
        </is>
      </c>
    </row>
    <row r="1738" ht="15" customHeight="1" s="109" thickBot="1">
      <c r="B1738" s="96" t="inlineStr">
        <is>
          <t>IFB AGRO INDUSTRIES LTD</t>
        </is>
      </c>
      <c r="C1738" s="97" t="n">
        <v>507438</v>
      </c>
      <c r="D1738" s="96" t="inlineStr">
        <is>
          <t>IFBAGRO</t>
        </is>
      </c>
      <c r="E1738" s="96" t="inlineStr">
        <is>
          <t>Breweries &amp; Distilleries</t>
        </is>
      </c>
    </row>
    <row r="1739" ht="15" customHeight="1" s="109" thickBot="1">
      <c r="B1739" s="96" t="inlineStr">
        <is>
          <t>IFB INDUSTRIES LTD</t>
        </is>
      </c>
      <c r="C1739" s="97" t="n">
        <v>505726</v>
      </c>
      <c r="D1739" s="96" t="inlineStr">
        <is>
          <t>IFBIND</t>
        </is>
      </c>
      <c r="E1739" s="96" t="inlineStr">
        <is>
          <t>Household Appliances</t>
        </is>
      </c>
    </row>
    <row r="1740" ht="15" customHeight="1" s="109" thickBot="1">
      <c r="B1740" s="96" t="inlineStr">
        <is>
          <t>IFCI LTD</t>
        </is>
      </c>
      <c r="C1740" s="97" t="n">
        <v>500106</v>
      </c>
      <c r="D1740" s="96" t="inlineStr">
        <is>
          <t>IFCI</t>
        </is>
      </c>
      <c r="E1740" s="96" t="inlineStr">
        <is>
          <t>Financial Institutions</t>
        </is>
      </c>
    </row>
    <row r="1741" ht="15" customHeight="1" s="109" thickBot="1">
      <c r="B1741" s="96" t="inlineStr">
        <is>
          <t>IFGL REFRACTORIES LTD</t>
        </is>
      </c>
      <c r="C1741" s="97" t="n">
        <v>540774</v>
      </c>
      <c r="D1741" s="96" t="inlineStr">
        <is>
          <t>IFGLEXPOR</t>
        </is>
      </c>
      <c r="E1741" s="96" t="inlineStr">
        <is>
          <t>Other Industrial Goods</t>
        </is>
      </c>
    </row>
    <row r="1742" ht="15" customHeight="1" s="109" thickBot="1">
      <c r="B1742" s="96" t="inlineStr">
        <is>
          <t>IFL ENTERPRISES LTD</t>
        </is>
      </c>
      <c r="C1742" s="97" t="n">
        <v>540377</v>
      </c>
      <c r="D1742" s="96" t="inlineStr">
        <is>
          <t>Not Listed</t>
        </is>
      </c>
      <c r="E1742" s="96" t="inlineStr">
        <is>
          <t>Comm.Trading &amp; Distribution</t>
        </is>
      </c>
    </row>
    <row r="1743" ht="15" customHeight="1" s="109" thickBot="1">
      <c r="B1743" s="96" t="inlineStr">
        <is>
          <t>IFM IMPEX GLOBAL LTD</t>
        </is>
      </c>
      <c r="C1743" s="97" t="n">
        <v>522289</v>
      </c>
      <c r="D1743" s="96" t="inlineStr">
        <is>
          <t>Not Listed</t>
        </is>
      </c>
      <c r="E1743" s="96" t="inlineStr">
        <is>
          <t>Comm.Trading &amp; Distribution</t>
        </is>
      </c>
    </row>
    <row r="1744" ht="15" customHeight="1" s="109" thickBot="1">
      <c r="B1744" s="96" t="inlineStr">
        <is>
          <t>IG PETROCHEMICALS LTD</t>
        </is>
      </c>
      <c r="C1744" s="97" t="n">
        <v>500199</v>
      </c>
      <c r="D1744" s="96" t="inlineStr">
        <is>
          <t>IGPL</t>
        </is>
      </c>
      <c r="E1744" s="96" t="inlineStr">
        <is>
          <t>Commodity Chemicals</t>
        </is>
      </c>
    </row>
    <row r="1745" ht="15" customHeight="1" s="109" thickBot="1">
      <c r="B1745" s="96" t="inlineStr">
        <is>
          <t>IGARASHI MOTORS (INDIA) LTD</t>
        </is>
      </c>
      <c r="C1745" s="97" t="n">
        <v>517380</v>
      </c>
      <c r="D1745" s="96" t="inlineStr">
        <is>
          <t>IGARASHI</t>
        </is>
      </c>
      <c r="E1745" s="96" t="inlineStr">
        <is>
          <t>Auto Parts &amp; Equipment</t>
        </is>
      </c>
    </row>
    <row r="1746" ht="15" customHeight="1" s="109" thickBot="1">
      <c r="B1746" s="96" t="inlineStr">
        <is>
          <t>IGARASHI MOTORS INDIA LTD</t>
        </is>
      </c>
      <c r="C1746" s="97" t="n">
        <v>517380</v>
      </c>
      <c r="D1746" s="96" t="inlineStr">
        <is>
          <t>IGARASHI</t>
        </is>
      </c>
      <c r="E1746" s="96" t="inlineStr">
        <is>
          <t>Auto Parts &amp; Equipment</t>
        </is>
      </c>
    </row>
    <row r="1747" ht="15" customHeight="1" s="109" thickBot="1">
      <c r="B1747" s="96" t="inlineStr">
        <is>
          <t>IGC INDUSTRIES LTD</t>
        </is>
      </c>
      <c r="C1747" s="97" t="n">
        <v>539449</v>
      </c>
      <c r="D1747" s="96" t="inlineStr">
        <is>
          <t>Not Listed</t>
        </is>
      </c>
      <c r="E1747" s="96" t="inlineStr">
        <is>
          <t>Comm.Trading &amp; Distribution</t>
        </is>
      </c>
    </row>
    <row r="1748" ht="15" customHeight="1" s="109" thickBot="1">
      <c r="B1748" s="96" t="inlineStr">
        <is>
          <t>IIFL HOLDINGS LTD</t>
        </is>
      </c>
      <c r="C1748" s="97" t="n">
        <v>532636</v>
      </c>
      <c r="D1748" s="96" t="inlineStr">
        <is>
          <t>IIFL</t>
        </is>
      </c>
      <c r="E1748" s="96" t="inlineStr">
        <is>
          <t>Other Financial Services</t>
        </is>
      </c>
    </row>
    <row r="1749" ht="15" customHeight="1" s="109" thickBot="1">
      <c r="B1749" s="96" t="inlineStr">
        <is>
          <t>IITL PROJECTS LTD</t>
        </is>
      </c>
      <c r="C1749" s="97" t="n">
        <v>531968</v>
      </c>
      <c r="D1749" s="96" t="inlineStr">
        <is>
          <t>IITLPROJ</t>
        </is>
      </c>
      <c r="E1749" s="96" t="inlineStr">
        <is>
          <t>Realty</t>
        </is>
      </c>
    </row>
    <row r="1750" ht="15" customHeight="1" s="109" thickBot="1">
      <c r="B1750" s="96" t="inlineStr">
        <is>
          <t>IKAB SECURITIES &amp; INVESTMENT LTD</t>
        </is>
      </c>
      <c r="C1750" s="97" t="n">
        <v>514238</v>
      </c>
      <c r="D1750" s="96" t="inlineStr">
        <is>
          <t>Not Listed</t>
        </is>
      </c>
      <c r="E1750" s="96" t="inlineStr">
        <is>
          <t>Other Financial Services</t>
        </is>
      </c>
    </row>
    <row r="1751" ht="15" customHeight="1" s="109" thickBot="1">
      <c r="B1751" s="96" t="inlineStr">
        <is>
          <t>IKF TECHNOLOGIES LTD</t>
        </is>
      </c>
      <c r="C1751" s="97" t="n">
        <v>532414</v>
      </c>
      <c r="D1751" s="96" t="inlineStr">
        <is>
          <t>Not Listed</t>
        </is>
      </c>
      <c r="E1751" s="96" t="inlineStr">
        <is>
          <t>IT Software Products</t>
        </is>
      </c>
    </row>
    <row r="1752" ht="15" customHeight="1" s="109" thickBot="1">
      <c r="B1752" s="96" t="inlineStr">
        <is>
          <t>IL&amp;FS ENGINEERING AND CONSTRUCTION COMPANY LTD</t>
        </is>
      </c>
      <c r="C1752" s="97" t="n">
        <v>532907</v>
      </c>
      <c r="D1752" s="96" t="inlineStr">
        <is>
          <t>IL&amp;FSENGG</t>
        </is>
      </c>
      <c r="E1752" s="96" t="inlineStr">
        <is>
          <t>Construction &amp; Engineering</t>
        </is>
      </c>
    </row>
    <row r="1753" ht="15" customHeight="1" s="109" thickBot="1">
      <c r="B1753" s="96" t="inlineStr">
        <is>
          <t>IL&amp;FS INVESTMENT MANAGERS LTD</t>
        </is>
      </c>
      <c r="C1753" s="97" t="n">
        <v>511208</v>
      </c>
      <c r="D1753" s="96" t="inlineStr">
        <is>
          <t>IVC</t>
        </is>
      </c>
      <c r="E1753" s="96" t="inlineStr">
        <is>
          <t>Asset Management Cos.</t>
        </is>
      </c>
    </row>
    <row r="1754" ht="15" customHeight="1" s="109" thickBot="1">
      <c r="B1754" s="96" t="inlineStr">
        <is>
          <t>IL&amp;FS TRANSPORTATION NETWORKS LTD</t>
        </is>
      </c>
      <c r="C1754" s="97" t="n">
        <v>533177</v>
      </c>
      <c r="D1754" s="96" t="inlineStr">
        <is>
          <t>IL&amp;FSTRANS</t>
        </is>
      </c>
      <c r="E1754" s="96" t="inlineStr">
        <is>
          <t>Roads &amp; Highways</t>
        </is>
      </c>
    </row>
    <row r="1755" ht="15" customHeight="1" s="109" thickBot="1">
      <c r="B1755" s="96" t="inlineStr">
        <is>
          <t>IM+ CAPITALS LTD</t>
        </is>
      </c>
      <c r="C1755" s="97" t="n">
        <v>511628</v>
      </c>
      <c r="D1755" s="96" t="inlineStr">
        <is>
          <t>Not Listed</t>
        </is>
      </c>
      <c r="E1755" s="96" t="inlineStr">
        <is>
          <t>Finance (including NBFCs)</t>
        </is>
      </c>
    </row>
    <row r="1756" ht="15" customHeight="1" s="109" thickBot="1">
      <c r="B1756" s="96" t="inlineStr">
        <is>
          <t>IMC FINANCE LTD</t>
        </is>
      </c>
      <c r="C1756" s="97" t="n">
        <v>505539</v>
      </c>
      <c r="D1756" s="96" t="inlineStr">
        <is>
          <t>Not Listed</t>
        </is>
      </c>
      <c r="E1756" s="96" t="inlineStr">
        <is>
          <t>Misc.Commercial Services</t>
        </is>
      </c>
    </row>
    <row r="1757" ht="15" customHeight="1" s="109" thickBot="1">
      <c r="B1757" s="96" t="inlineStr">
        <is>
          <t>IMEC SERVICES LTD</t>
        </is>
      </c>
      <c r="C1757" s="97" t="n">
        <v>513295</v>
      </c>
      <c r="D1757" s="96" t="inlineStr">
        <is>
          <t>Not Listed</t>
        </is>
      </c>
      <c r="E1757" s="96" t="inlineStr">
        <is>
          <t>Iron &amp; Steel/Interm.Products</t>
        </is>
      </c>
    </row>
    <row r="1758" ht="15" customHeight="1" s="109" thickBot="1">
      <c r="B1758" s="96" t="inlineStr">
        <is>
          <t>IMP POWERS LTD</t>
        </is>
      </c>
      <c r="C1758" s="97" t="n">
        <v>517571</v>
      </c>
      <c r="D1758" s="96" t="inlineStr">
        <is>
          <t>INDLMETER</t>
        </is>
      </c>
      <c r="E1758" s="96" t="inlineStr">
        <is>
          <t>Heavy Electrical Equipment</t>
        </is>
      </c>
    </row>
    <row r="1759" ht="15" customHeight="1" s="109" thickBot="1">
      <c r="B1759" s="96" t="inlineStr">
        <is>
          <t>IMPEX FERRO TECH LTD</t>
        </is>
      </c>
      <c r="C1759" s="97" t="n">
        <v>532614</v>
      </c>
      <c r="D1759" s="96" t="inlineStr">
        <is>
          <t>IMPEXFERRO</t>
        </is>
      </c>
      <c r="E1759" s="96" t="inlineStr">
        <is>
          <t>Iron &amp; Steel/Interm.Products</t>
        </is>
      </c>
    </row>
    <row r="1760" ht="15" customHeight="1" s="109" thickBot="1">
      <c r="B1760" s="96" t="inlineStr">
        <is>
          <t>INANI MARBLES &amp; INDUSTRIES LTD</t>
        </is>
      </c>
      <c r="C1760" s="97" t="n">
        <v>531129</v>
      </c>
      <c r="D1760" s="96" t="inlineStr">
        <is>
          <t>Not Listed</t>
        </is>
      </c>
      <c r="E1760" s="96" t="inlineStr">
        <is>
          <t>Construction Materials</t>
        </is>
      </c>
    </row>
    <row r="1761" ht="15" customHeight="1" s="109" thickBot="1">
      <c r="B1761" s="96" t="inlineStr">
        <is>
          <t>INANI SECURITIES LTD</t>
        </is>
      </c>
      <c r="C1761" s="97" t="n">
        <v>531672</v>
      </c>
      <c r="D1761" s="96" t="inlineStr">
        <is>
          <t>Not Listed</t>
        </is>
      </c>
      <c r="E1761" s="96" t="inlineStr">
        <is>
          <t>Other Financial Services</t>
        </is>
      </c>
    </row>
    <row r="1762" ht="15" customHeight="1" s="109" thickBot="1">
      <c r="B1762" s="96" t="inlineStr">
        <is>
          <t>INCAP LTD</t>
        </is>
      </c>
      <c r="C1762" s="97" t="n">
        <v>517370</v>
      </c>
      <c r="D1762" s="96" t="inlineStr">
        <is>
          <t>Not Listed</t>
        </is>
      </c>
      <c r="E1762" s="96" t="inlineStr">
        <is>
          <t>Other Elect.Equip./ Prod.</t>
        </is>
      </c>
    </row>
    <row r="1763" ht="15" customHeight="1" s="109" thickBot="1">
      <c r="B1763" s="96" t="inlineStr">
        <is>
          <t>INCEPTUM ENTERPRISES LTD</t>
        </is>
      </c>
      <c r="C1763" s="97" t="n">
        <v>538541</v>
      </c>
      <c r="D1763" s="96" t="inlineStr">
        <is>
          <t>Not Listed</t>
        </is>
      </c>
      <c r="E1763" s="96" t="inlineStr">
        <is>
          <t>Comm.Trading &amp; Distribution</t>
        </is>
      </c>
    </row>
    <row r="1764" ht="15" customHeight="1" s="109" thickBot="1">
      <c r="B1764" s="96" t="inlineStr">
        <is>
          <t>INCON ENGINEERS LTD</t>
        </is>
      </c>
      <c r="C1764" s="97" t="n">
        <v>531594</v>
      </c>
      <c r="D1764" s="96" t="inlineStr">
        <is>
          <t>Not Listed</t>
        </is>
      </c>
      <c r="E1764" s="96" t="inlineStr">
        <is>
          <t>Industrial Machinery</t>
        </is>
      </c>
    </row>
    <row r="1765" ht="15" customHeight="1" s="109" thickBot="1">
      <c r="B1765" s="96" t="inlineStr">
        <is>
          <t>IND BANK HOUSING LTD</t>
        </is>
      </c>
      <c r="C1765" s="97" t="n">
        <v>523465</v>
      </c>
      <c r="D1765" s="96" t="inlineStr">
        <is>
          <t>Not Listed</t>
        </is>
      </c>
      <c r="E1765" s="96" t="inlineStr">
        <is>
          <t>Housing Finance</t>
        </is>
      </c>
    </row>
    <row r="1766" ht="15" customHeight="1" s="109" thickBot="1">
      <c r="B1766" s="96" t="inlineStr">
        <is>
          <t>IND RENEWABLE ENERGY LTD</t>
        </is>
      </c>
      <c r="C1766" s="97" t="n">
        <v>536709</v>
      </c>
      <c r="D1766" s="96" t="inlineStr">
        <is>
          <t>Not Listed</t>
        </is>
      </c>
      <c r="E1766" s="96" t="inlineStr">
        <is>
          <t>Electric Utilities</t>
        </is>
      </c>
    </row>
    <row r="1767" ht="15" customHeight="1" s="109" thickBot="1">
      <c r="B1767" s="96" t="inlineStr">
        <is>
          <t>INDAG RUBBER LTD</t>
        </is>
      </c>
      <c r="C1767" s="97" t="n">
        <v>509162</v>
      </c>
      <c r="D1767" s="96" t="inlineStr">
        <is>
          <t>Not Listed</t>
        </is>
      </c>
      <c r="E1767" s="96" t="inlineStr">
        <is>
          <t>Auto Tyres &amp; Rubber Products</t>
        </is>
      </c>
    </row>
    <row r="1768" ht="15" customHeight="1" s="109" thickBot="1">
      <c r="B1768" s="96" t="inlineStr">
        <is>
          <t>IND-AGIV COMMERCE LTD</t>
        </is>
      </c>
      <c r="C1768" s="97" t="n">
        <v>517077</v>
      </c>
      <c r="D1768" s="96" t="inlineStr">
        <is>
          <t>Not Listed</t>
        </is>
      </c>
      <c r="E1768" s="96" t="inlineStr">
        <is>
          <t>Comm.Trading &amp; Distribution</t>
        </is>
      </c>
    </row>
    <row r="1769" ht="15" customHeight="1" s="109" thickBot="1">
      <c r="B1769" s="96" t="inlineStr">
        <is>
          <t>INDBANK MERCHANT BANKING SERVICES LTD</t>
        </is>
      </c>
      <c r="C1769" s="97" t="n">
        <v>511473</v>
      </c>
      <c r="D1769" s="96" t="inlineStr">
        <is>
          <t>INDBANK</t>
        </is>
      </c>
      <c r="E1769" s="96" t="inlineStr">
        <is>
          <t>Other Financial Services</t>
        </is>
      </c>
    </row>
    <row r="1770" ht="15" customHeight="1" s="109" thickBot="1">
      <c r="B1770" s="96" t="inlineStr">
        <is>
          <t>INDERGIRI FINANCE LTD</t>
        </is>
      </c>
      <c r="C1770" s="97" t="n">
        <v>531505</v>
      </c>
      <c r="D1770" s="96" t="inlineStr">
        <is>
          <t>Not Listed</t>
        </is>
      </c>
      <c r="E1770" s="96" t="inlineStr">
        <is>
          <t>Finance (including NBFCs)</t>
        </is>
      </c>
    </row>
    <row r="1771" ht="15" customHeight="1" s="109" thickBot="1">
      <c r="B1771" s="96" t="inlineStr">
        <is>
          <t>INDIA CEMENTS CAPITAL LTD</t>
        </is>
      </c>
      <c r="C1771" s="97" t="n">
        <v>511355</v>
      </c>
      <c r="D1771" s="96" t="inlineStr">
        <is>
          <t>Not Listed</t>
        </is>
      </c>
      <c r="E1771" s="96" t="inlineStr">
        <is>
          <t>Finance (including NBFCs)</t>
        </is>
      </c>
    </row>
    <row r="1772" ht="15" customHeight="1" s="109" thickBot="1">
      <c r="B1772" s="96" t="inlineStr">
        <is>
          <t>INDIA FINSEC LTD</t>
        </is>
      </c>
      <c r="C1772" s="97" t="n">
        <v>535667</v>
      </c>
      <c r="D1772" s="96" t="inlineStr">
        <is>
          <t>Not Listed</t>
        </is>
      </c>
      <c r="E1772" s="96" t="inlineStr">
        <is>
          <t>Finance (including NBFCs)</t>
        </is>
      </c>
    </row>
    <row r="1773" ht="15" customHeight="1" s="109" thickBot="1">
      <c r="B1773" s="96" t="inlineStr">
        <is>
          <t>INDIA GELATINE &amp; CHEMICALS LTD</t>
        </is>
      </c>
      <c r="C1773" s="97" t="n">
        <v>531253</v>
      </c>
      <c r="D1773" s="96" t="inlineStr">
        <is>
          <t>Not Listed</t>
        </is>
      </c>
      <c r="E1773" s="96" t="inlineStr">
        <is>
          <t>Specialty Chemicals</t>
        </is>
      </c>
    </row>
    <row r="1774" ht="15" customHeight="1" s="109" thickBot="1">
      <c r="B1774" s="96" t="inlineStr">
        <is>
          <t>INDIA GLYCOLS LTD</t>
        </is>
      </c>
      <c r="C1774" s="97" t="n">
        <v>500201</v>
      </c>
      <c r="D1774" s="96" t="inlineStr">
        <is>
          <t>INDIAGLYCO</t>
        </is>
      </c>
      <c r="E1774" s="96" t="inlineStr">
        <is>
          <t>Commodity Chemicals</t>
        </is>
      </c>
    </row>
    <row r="1775" ht="15" customHeight="1" s="109" thickBot="1">
      <c r="B1775" s="96" t="inlineStr">
        <is>
          <t>INDIA GREEN REALITY LTD</t>
        </is>
      </c>
      <c r="C1775" s="97" t="n">
        <v>540152</v>
      </c>
      <c r="D1775" s="96" t="inlineStr">
        <is>
          <t>Not Listed</t>
        </is>
      </c>
      <c r="E1775" s="96" t="inlineStr">
        <is>
          <t>Realty</t>
        </is>
      </c>
    </row>
    <row r="1776" ht="15" customHeight="1" s="109" thickBot="1">
      <c r="B1776" s="96" t="inlineStr">
        <is>
          <t>India Grid Trust</t>
        </is>
      </c>
      <c r="C1776" s="97" t="n">
        <v>540565</v>
      </c>
      <c r="D1776" s="96" t="inlineStr">
        <is>
          <t>INDIGRID</t>
        </is>
      </c>
      <c r="E1776" s="96" t="inlineStr">
        <is>
          <t>Investment Companies</t>
        </is>
      </c>
    </row>
    <row r="1777" ht="15" customHeight="1" s="109" thickBot="1">
      <c r="B1777" s="96" t="inlineStr">
        <is>
          <t>INDIA HOME LOAN LTD</t>
        </is>
      </c>
      <c r="C1777" s="97" t="n">
        <v>530979</v>
      </c>
      <c r="D1777" s="96" t="inlineStr">
        <is>
          <t>Not Listed</t>
        </is>
      </c>
      <c r="E1777" s="96" t="inlineStr">
        <is>
          <t>Housing Finance</t>
        </is>
      </c>
    </row>
    <row r="1778" ht="15" customHeight="1" s="109" thickBot="1">
      <c r="B1778" s="96" t="inlineStr">
        <is>
          <t>INDIA INFRASPACE LTD</t>
        </is>
      </c>
      <c r="C1778" s="97" t="n">
        <v>531343</v>
      </c>
      <c r="D1778" s="96" t="inlineStr">
        <is>
          <t>Not Listed</t>
        </is>
      </c>
      <c r="E1778" s="96" t="inlineStr">
        <is>
          <t>Misc.Commercial Services</t>
        </is>
      </c>
    </row>
    <row r="1779" ht="15" customHeight="1" s="109" thickBot="1">
      <c r="B1779" s="96" t="inlineStr">
        <is>
          <t>INDIA MOTOR PARTS AND ACCESSORIES LTD</t>
        </is>
      </c>
      <c r="C1779" s="97" t="n">
        <v>590065</v>
      </c>
      <c r="D1779" s="96" t="inlineStr">
        <is>
          <t>IMPAL</t>
        </is>
      </c>
      <c r="E1779" s="96" t="inlineStr">
        <is>
          <t>Comm.Trading &amp; Distribution</t>
        </is>
      </c>
    </row>
    <row r="1780" ht="15" customHeight="1" s="109" thickBot="1">
      <c r="B1780" s="96" t="inlineStr">
        <is>
          <t>INDIA NIPPON ELECTRICALS LTD</t>
        </is>
      </c>
      <c r="C1780" s="97" t="n">
        <v>532240</v>
      </c>
      <c r="D1780" s="96" t="inlineStr">
        <is>
          <t>INDNIPPON</t>
        </is>
      </c>
      <c r="E1780" s="96" t="inlineStr">
        <is>
          <t>Auto Parts &amp; Equipment</t>
        </is>
      </c>
    </row>
    <row r="1781" ht="15" customHeight="1" s="109" thickBot="1">
      <c r="B1781" s="96" t="inlineStr">
        <is>
          <t>INDIA STEEL WORKS LTD</t>
        </is>
      </c>
      <c r="C1781" s="97" t="n">
        <v>513361</v>
      </c>
      <c r="D1781" s="96" t="inlineStr">
        <is>
          <t>Not Listed</t>
        </is>
      </c>
      <c r="E1781" s="96" t="inlineStr">
        <is>
          <t>Iron &amp; Steel/Interm.Products</t>
        </is>
      </c>
    </row>
    <row r="1782" ht="15" customHeight="1" s="109" thickBot="1">
      <c r="B1782" s="96" t="inlineStr">
        <is>
          <t>INDIA TOURISM DEVELOPMENT CORPORATION LTD</t>
        </is>
      </c>
      <c r="C1782" s="97" t="n">
        <v>532189</v>
      </c>
      <c r="D1782" s="96" t="inlineStr">
        <is>
          <t>ITDC</t>
        </is>
      </c>
      <c r="E1782" s="96" t="inlineStr">
        <is>
          <t>Hotels</t>
        </is>
      </c>
    </row>
    <row r="1783" ht="15" customHeight="1" s="109" thickBot="1">
      <c r="B1783" s="96" t="inlineStr">
        <is>
          <t>INDIABULLS HOUSING FINANCE LTD</t>
        </is>
      </c>
      <c r="C1783" s="97" t="n">
        <v>535789</v>
      </c>
      <c r="D1783" s="96" t="inlineStr">
        <is>
          <t>IBULHSGFIN</t>
        </is>
      </c>
      <c r="E1783" s="96" t="inlineStr">
        <is>
          <t>Housing Finance</t>
        </is>
      </c>
    </row>
    <row r="1784" ht="15" customHeight="1" s="109" thickBot="1">
      <c r="B1784" s="96" t="inlineStr">
        <is>
          <t>INDIABULLS INTEGRATED SERVICES LTD</t>
        </is>
      </c>
      <c r="C1784" s="97" t="n">
        <v>533520</v>
      </c>
      <c r="D1784" s="96" t="inlineStr">
        <is>
          <t>IBULISL</t>
        </is>
      </c>
      <c r="E1784" s="96" t="inlineStr">
        <is>
          <t>Comm.Trading &amp; Distribution</t>
        </is>
      </c>
    </row>
    <row r="1785" ht="15" customHeight="1" s="109" thickBot="1">
      <c r="B1785" s="96" t="inlineStr">
        <is>
          <t>INDIABULLS REAL ESTATE LTD</t>
        </is>
      </c>
      <c r="C1785" s="97" t="n">
        <v>532832</v>
      </c>
      <c r="D1785" s="96" t="inlineStr">
        <is>
          <t>IBREALEST</t>
        </is>
      </c>
      <c r="E1785" s="96" t="inlineStr">
        <is>
          <t>Realty</t>
        </is>
      </c>
    </row>
    <row r="1786" ht="15" customHeight="1" s="109" thickBot="1">
      <c r="B1786" s="96" t="inlineStr">
        <is>
          <t>INDIABULLS VENTURES LTD</t>
        </is>
      </c>
      <c r="C1786" s="97" t="n">
        <v>532960</v>
      </c>
      <c r="D1786" s="96" t="inlineStr">
        <is>
          <t>IBVENTURES</t>
        </is>
      </c>
      <c r="E1786" s="96" t="inlineStr">
        <is>
          <t>Other Financial Services</t>
        </is>
      </c>
    </row>
    <row r="1787" ht="15" customHeight="1" s="109" thickBot="1">
      <c r="B1787" s="96" t="inlineStr">
        <is>
          <t>INDIAN ACRYLICS LTD</t>
        </is>
      </c>
      <c r="C1787" s="97" t="n">
        <v>514165</v>
      </c>
      <c r="D1787" s="96" t="inlineStr">
        <is>
          <t>Not Listed</t>
        </is>
      </c>
      <c r="E1787" s="96" t="inlineStr">
        <is>
          <t>Fibres &amp; Plastics</t>
        </is>
      </c>
    </row>
    <row r="1788" ht="15" customHeight="1" s="109" thickBot="1">
      <c r="B1788" s="96" t="inlineStr">
        <is>
          <t>INDIAN BANK</t>
        </is>
      </c>
      <c r="C1788" s="97" t="n">
        <v>532814</v>
      </c>
      <c r="D1788" s="96" t="inlineStr">
        <is>
          <t>INDIANB</t>
        </is>
      </c>
      <c r="E1788" s="96" t="inlineStr">
        <is>
          <t>Banks</t>
        </is>
      </c>
    </row>
    <row r="1789" ht="15" customHeight="1" s="109" thickBot="1">
      <c r="B1789" s="96" t="inlineStr">
        <is>
          <t>INDIAN BRIGHT STEEL CO LTD</t>
        </is>
      </c>
      <c r="C1789" s="97" t="n">
        <v>504731</v>
      </c>
      <c r="D1789" s="96" t="inlineStr">
        <is>
          <t>Not Listed</t>
        </is>
      </c>
      <c r="E1789" s="96" t="inlineStr">
        <is>
          <t>Iron &amp; Steel/Interm.Products</t>
        </is>
      </c>
    </row>
    <row r="1790" ht="15" customHeight="1" s="109" thickBot="1">
      <c r="B1790" s="96" t="inlineStr">
        <is>
          <t>INDIAN CARD CLOTHING COMPANY LTD</t>
        </is>
      </c>
      <c r="C1790" s="97" t="n">
        <v>509692</v>
      </c>
      <c r="D1790" s="96" t="inlineStr">
        <is>
          <t>INDIANCARD</t>
        </is>
      </c>
      <c r="E1790" s="96" t="inlineStr">
        <is>
          <t>Textiles</t>
        </is>
      </c>
    </row>
    <row r="1791" ht="15" customHeight="1" s="109" thickBot="1">
      <c r="B1791" s="96" t="inlineStr">
        <is>
          <t>INDIAN ENERGY EXCHANGE LTD</t>
        </is>
      </c>
      <c r="C1791" s="97" t="n">
        <v>540750</v>
      </c>
      <c r="D1791" s="96" t="inlineStr">
        <is>
          <t>IEX</t>
        </is>
      </c>
      <c r="E1791" s="96" t="inlineStr">
        <is>
          <t>Electric Utilities</t>
        </is>
      </c>
    </row>
    <row r="1792" ht="15" customHeight="1" s="109" thickBot="1">
      <c r="B1792" s="96" t="inlineStr">
        <is>
          <t>INDIAN EXTRACTIONS LTD</t>
        </is>
      </c>
      <c r="C1792" s="97" t="n">
        <v>524614</v>
      </c>
      <c r="D1792" s="96" t="inlineStr">
        <is>
          <t>Not Listed</t>
        </is>
      </c>
      <c r="E1792" s="96" t="inlineStr">
        <is>
          <t>Other Food Products</t>
        </is>
      </c>
    </row>
    <row r="1793" ht="15" customHeight="1" s="109" thickBot="1">
      <c r="B1793" s="96" t="inlineStr">
        <is>
          <t>INDIAN HUME PIPE COMPANY LTD</t>
        </is>
      </c>
      <c r="C1793" s="97" t="n">
        <v>504741</v>
      </c>
      <c r="D1793" s="96" t="inlineStr">
        <is>
          <t>INDIANHUME</t>
        </is>
      </c>
      <c r="E1793" s="96" t="inlineStr">
        <is>
          <t>Cement &amp; Cement Products</t>
        </is>
      </c>
    </row>
    <row r="1794" ht="15" customHeight="1" s="109" thickBot="1">
      <c r="B1794" s="96" t="inlineStr">
        <is>
          <t>INDIAN INFOTECH &amp; SOFTWARE LTD</t>
        </is>
      </c>
      <c r="C1794" s="97" t="n">
        <v>509051</v>
      </c>
      <c r="D1794" s="96" t="inlineStr">
        <is>
          <t>Not Listed</t>
        </is>
      </c>
      <c r="E1794" s="96" t="inlineStr">
        <is>
          <t>IT Software Products</t>
        </is>
      </c>
    </row>
    <row r="1795" ht="15" customHeight="1" s="109" thickBot="1">
      <c r="B1795" s="96" t="inlineStr">
        <is>
          <t>INDIAN LINK CHAIN MANUFACTURES LTD</t>
        </is>
      </c>
      <c r="C1795" s="97" t="n">
        <v>504746</v>
      </c>
      <c r="D1795" s="96" t="inlineStr">
        <is>
          <t>Not Listed</t>
        </is>
      </c>
      <c r="E1795" s="96" t="inlineStr">
        <is>
          <t>Other Industrial Products</t>
        </is>
      </c>
    </row>
    <row r="1796" ht="15" customHeight="1" s="109" thickBot="1">
      <c r="B1796" s="96" t="inlineStr">
        <is>
          <t>INDIAN METALS &amp; FERRO ALLOYS LTD</t>
        </is>
      </c>
      <c r="C1796" s="97" t="n">
        <v>533047</v>
      </c>
      <c r="D1796" s="96" t="inlineStr">
        <is>
          <t>IMFA</t>
        </is>
      </c>
      <c r="E1796" s="96" t="inlineStr">
        <is>
          <t>Iron &amp; Steel/Interm.Products</t>
        </is>
      </c>
    </row>
    <row r="1797" ht="15" customHeight="1" s="109" thickBot="1">
      <c r="B1797" s="96" t="inlineStr">
        <is>
          <t>INDIAN OIL CORPORATION LTD</t>
        </is>
      </c>
      <c r="C1797" s="97" t="n">
        <v>530965</v>
      </c>
      <c r="D1797" s="96" t="inlineStr">
        <is>
          <t>IOC</t>
        </is>
      </c>
      <c r="E1797" s="96" t="inlineStr">
        <is>
          <t>Oil Marketing &amp; Distribution</t>
        </is>
      </c>
    </row>
    <row r="1798" ht="15" customHeight="1" s="109" thickBot="1">
      <c r="B1798" s="96" t="inlineStr">
        <is>
          <t>INDIAN OVERSEAS BANK</t>
        </is>
      </c>
      <c r="C1798" s="97" t="n">
        <v>532388</v>
      </c>
      <c r="D1798" s="96" t="inlineStr">
        <is>
          <t>IOB</t>
        </is>
      </c>
      <c r="E1798" s="96" t="inlineStr">
        <is>
          <t>Banks</t>
        </is>
      </c>
    </row>
    <row r="1799" ht="15" customHeight="1" s="109" thickBot="1">
      <c r="B1799" s="96" t="inlineStr">
        <is>
          <t>INDIAN SUCROSE LTD</t>
        </is>
      </c>
      <c r="C1799" s="97" t="n">
        <v>500319</v>
      </c>
      <c r="D1799" s="96" t="inlineStr">
        <is>
          <t>Not Listed</t>
        </is>
      </c>
      <c r="E1799" s="96" t="inlineStr">
        <is>
          <t>Sugar</t>
        </is>
      </c>
    </row>
    <row r="1800" ht="15" customHeight="1" s="109" thickBot="1">
      <c r="B1800" s="96" t="inlineStr">
        <is>
          <t>INDIAN TERRAIN FASHIONS LTD</t>
        </is>
      </c>
      <c r="C1800" s="97" t="n">
        <v>533329</v>
      </c>
      <c r="D1800" s="96" t="inlineStr">
        <is>
          <t>INDTERRAIN</t>
        </is>
      </c>
      <c r="E1800" s="96" t="inlineStr">
        <is>
          <t>Other Apparels &amp; Accessories</t>
        </is>
      </c>
    </row>
    <row r="1801" ht="15" customHeight="1" s="109" thickBot="1">
      <c r="B1801" s="96" t="inlineStr">
        <is>
          <t>INDIAN TONERS &amp; DEVELOPERS LTD</t>
        </is>
      </c>
      <c r="C1801" s="97" t="n">
        <v>523586</v>
      </c>
      <c r="D1801" s="96" t="inlineStr">
        <is>
          <t>Not Listed</t>
        </is>
      </c>
      <c r="E1801" s="96" t="inlineStr">
        <is>
          <t>Specialty Chemicals</t>
        </is>
      </c>
    </row>
    <row r="1802" ht="15" customHeight="1" s="109" thickBot="1">
      <c r="B1802" s="96" t="inlineStr">
        <is>
          <t>INDIANIVESH LTD</t>
        </is>
      </c>
      <c r="C1802" s="97" t="n">
        <v>501700</v>
      </c>
      <c r="D1802" s="96" t="inlineStr">
        <is>
          <t>Not Listed</t>
        </is>
      </c>
      <c r="E1802" s="96" t="inlineStr">
        <is>
          <t>Finance (including NBFCs)</t>
        </is>
      </c>
    </row>
    <row r="1803" ht="15" customHeight="1" s="109" thickBot="1">
      <c r="B1803" s="96" t="inlineStr">
        <is>
          <t>INDITRADE CAPITAL LTD</t>
        </is>
      </c>
      <c r="C1803" s="97" t="n">
        <v>532745</v>
      </c>
      <c r="D1803" s="96" t="inlineStr">
        <is>
          <t>Not Listed</t>
        </is>
      </c>
      <c r="E1803" s="96" t="inlineStr">
        <is>
          <t>Other Financial Services</t>
        </is>
      </c>
    </row>
    <row r="1804" ht="15" customHeight="1" s="109" thickBot="1">
      <c r="B1804" s="96" t="inlineStr">
        <is>
          <t>INDO AMINES LTD</t>
        </is>
      </c>
      <c r="C1804" s="97" t="n">
        <v>524648</v>
      </c>
      <c r="D1804" s="96" t="inlineStr">
        <is>
          <t>Not Listed</t>
        </is>
      </c>
      <c r="E1804" s="96" t="inlineStr">
        <is>
          <t>Commodity Chemicals</t>
        </is>
      </c>
    </row>
    <row r="1805" ht="15" customHeight="1" s="109" thickBot="1">
      <c r="B1805" s="96" t="inlineStr">
        <is>
          <t>INDO ASIAN FINANCE LTD</t>
        </is>
      </c>
      <c r="C1805" s="97" t="n">
        <v>530747</v>
      </c>
      <c r="D1805" s="96" t="inlineStr">
        <is>
          <t>Not Listed</t>
        </is>
      </c>
      <c r="E1805" s="96" t="inlineStr">
        <is>
          <t>Finance (including NBFCs)</t>
        </is>
      </c>
    </row>
    <row r="1806" ht="15" customHeight="1" s="109" thickBot="1">
      <c r="B1806" s="96" t="inlineStr">
        <is>
          <t>INDO BORAX &amp; CHEMICALS LTD</t>
        </is>
      </c>
      <c r="C1806" s="97" t="n">
        <v>524342</v>
      </c>
      <c r="D1806" s="96" t="inlineStr">
        <is>
          <t>Not Listed</t>
        </is>
      </c>
      <c r="E1806" s="96" t="inlineStr">
        <is>
          <t>Commodity Chemicals</t>
        </is>
      </c>
    </row>
    <row r="1807" ht="15" customHeight="1" s="109" thickBot="1">
      <c r="B1807" s="96" t="inlineStr">
        <is>
          <t>INDO COTSPIN LTD</t>
        </is>
      </c>
      <c r="C1807" s="97" t="n">
        <v>538838</v>
      </c>
      <c r="D1807" s="96" t="inlineStr">
        <is>
          <t>Not Listed</t>
        </is>
      </c>
      <c r="E1807" s="96" t="inlineStr">
        <is>
          <t>Textiles</t>
        </is>
      </c>
    </row>
    <row r="1808" ht="15" customHeight="1" s="109" thickBot="1">
      <c r="B1808" s="96" t="inlineStr">
        <is>
          <t>INDO COUNT INDUSTRIES LTD</t>
        </is>
      </c>
      <c r="C1808" s="97" t="n">
        <v>521016</v>
      </c>
      <c r="D1808" s="96" t="inlineStr">
        <is>
          <t>ICIL</t>
        </is>
      </c>
      <c r="E1808" s="96" t="inlineStr">
        <is>
          <t>Textiles</t>
        </is>
      </c>
    </row>
    <row r="1809" ht="15" customHeight="1" s="109" thickBot="1">
      <c r="B1809" s="96" t="inlineStr">
        <is>
          <t>INDO CREDIT CAPITAL LTD</t>
        </is>
      </c>
      <c r="C1809" s="97" t="n">
        <v>526887</v>
      </c>
      <c r="D1809" s="96" t="inlineStr">
        <is>
          <t>Not Listed</t>
        </is>
      </c>
      <c r="E1809" s="96" t="inlineStr">
        <is>
          <t>Finance (including NBFCs)</t>
        </is>
      </c>
    </row>
    <row r="1810" ht="15" customHeight="1" s="109" thickBot="1">
      <c r="B1810" s="96" t="inlineStr">
        <is>
          <t>INDO EURO INDCHEM LTD</t>
        </is>
      </c>
      <c r="C1810" s="97" t="n">
        <v>524458</v>
      </c>
      <c r="D1810" s="96" t="inlineStr">
        <is>
          <t>Not Listed</t>
        </is>
      </c>
      <c r="E1810" s="96" t="inlineStr">
        <is>
          <t>Specialty Chemicals</t>
        </is>
      </c>
    </row>
    <row r="1811" ht="15" customHeight="1" s="109" thickBot="1">
      <c r="B1811" s="96" t="inlineStr">
        <is>
          <t>INDO GULF INDUSTRIES LTD</t>
        </is>
      </c>
      <c r="C1811" s="97" t="n">
        <v>506945</v>
      </c>
      <c r="D1811" s="96" t="inlineStr">
        <is>
          <t>Not Listed</t>
        </is>
      </c>
      <c r="E1811" s="96" t="inlineStr">
        <is>
          <t>Specialty Chemicals</t>
        </is>
      </c>
    </row>
    <row r="1812" ht="15" customHeight="1" s="109" thickBot="1">
      <c r="B1812" s="96" t="inlineStr">
        <is>
          <t>INDO PACIFIC PROJECTS LTD</t>
        </is>
      </c>
      <c r="C1812" s="97" t="n">
        <v>531565</v>
      </c>
      <c r="D1812" s="96" t="inlineStr">
        <is>
          <t>Not Listed</t>
        </is>
      </c>
      <c r="E1812" s="96" t="inlineStr">
        <is>
          <t>Realty</t>
        </is>
      </c>
    </row>
    <row r="1813" ht="15" customHeight="1" s="109" thickBot="1">
      <c r="B1813" s="96" t="inlineStr">
        <is>
          <t>INDO RAMA SYNTHETICS (INDIA) LTD</t>
        </is>
      </c>
      <c r="C1813" s="97" t="n">
        <v>500207</v>
      </c>
      <c r="D1813" s="96" t="inlineStr">
        <is>
          <t>INDORAMA</t>
        </is>
      </c>
      <c r="E1813" s="96" t="inlineStr">
        <is>
          <t>Textiles</t>
        </is>
      </c>
    </row>
    <row r="1814" ht="15" customHeight="1" s="109" thickBot="1">
      <c r="B1814" s="96" t="inlineStr">
        <is>
          <t>INDO RAMA SYNTHETICS INDIA LTD</t>
        </is>
      </c>
      <c r="C1814" s="97" t="n">
        <v>500207</v>
      </c>
      <c r="D1814" s="96" t="inlineStr">
        <is>
          <t>INDORAMA</t>
        </is>
      </c>
      <c r="E1814" s="96" t="inlineStr">
        <is>
          <t>Textiles</t>
        </is>
      </c>
    </row>
    <row r="1815" ht="15" customHeight="1" s="109" thickBot="1">
      <c r="B1815" s="96" t="inlineStr">
        <is>
          <t>INDO TECH TRANSFORMERS LTD</t>
        </is>
      </c>
      <c r="C1815" s="97" t="n">
        <v>532717</v>
      </c>
      <c r="D1815" s="96" t="inlineStr">
        <is>
          <t>INDOTECH</t>
        </is>
      </c>
      <c r="E1815" s="96" t="inlineStr">
        <is>
          <t>Heavy Electrical Equipment</t>
        </is>
      </c>
    </row>
    <row r="1816" ht="15" customHeight="1" s="109" thickBot="1">
      <c r="B1816" s="96" t="inlineStr">
        <is>
          <t>INDO THAI SECURITIES LTD</t>
        </is>
      </c>
      <c r="C1816" s="97" t="n">
        <v>533676</v>
      </c>
      <c r="D1816" s="96" t="inlineStr">
        <is>
          <t>INDOTHAI</t>
        </is>
      </c>
      <c r="E1816" s="96" t="inlineStr">
        <is>
          <t>Other Financial Services</t>
        </is>
      </c>
    </row>
    <row r="1817" ht="15" customHeight="1" s="109" thickBot="1">
      <c r="B1817" s="96" t="inlineStr">
        <is>
          <t>INDO US BIO-TECH LTD</t>
        </is>
      </c>
      <c r="C1817" s="97" t="n">
        <v>541304</v>
      </c>
      <c r="D1817" s="96" t="inlineStr">
        <is>
          <t>Not Listed</t>
        </is>
      </c>
      <c r="E1817" s="96" t="inlineStr">
        <is>
          <t>Other Agricultural Products</t>
        </is>
      </c>
    </row>
    <row r="1818" ht="15" customHeight="1" s="109" thickBot="1">
      <c r="B1818" s="96" t="inlineStr">
        <is>
          <t>INDO-CITY INFOTECH LTD</t>
        </is>
      </c>
      <c r="C1818" s="97" t="n">
        <v>532100</v>
      </c>
      <c r="D1818" s="96" t="inlineStr">
        <is>
          <t>Not Listed</t>
        </is>
      </c>
      <c r="E1818" s="96" t="inlineStr">
        <is>
          <t>IT Software Products</t>
        </is>
      </c>
    </row>
    <row r="1819" ht="15" customHeight="1" s="109" thickBot="1">
      <c r="B1819" s="96" t="inlineStr">
        <is>
          <t>INDOCO REMEDIES LTD</t>
        </is>
      </c>
      <c r="C1819" s="97" t="n">
        <v>532612</v>
      </c>
      <c r="D1819" s="96" t="inlineStr">
        <is>
          <t>INDOCO</t>
        </is>
      </c>
      <c r="E1819" s="96" t="inlineStr">
        <is>
          <t>Pharmaceuticals</t>
        </is>
      </c>
    </row>
    <row r="1820" ht="15" customHeight="1" s="109" thickBot="1">
      <c r="B1820" s="96" t="inlineStr">
        <is>
          <t>INDO-GLOBAL ENTERPRISES LTD</t>
        </is>
      </c>
      <c r="C1820" s="97" t="n">
        <v>539433</v>
      </c>
      <c r="D1820" s="96" t="inlineStr">
        <is>
          <t>Not Listed</t>
        </is>
      </c>
      <c r="E1820" s="96" t="inlineStr">
        <is>
          <t>Healthcare Facilities</t>
        </is>
      </c>
    </row>
    <row r="1821" ht="15" customHeight="1" s="109" thickBot="1">
      <c r="B1821" s="96" t="inlineStr">
        <is>
          <t>INDOKEM LTD</t>
        </is>
      </c>
      <c r="C1821" s="97" t="n">
        <v>504092</v>
      </c>
      <c r="D1821" s="96" t="inlineStr">
        <is>
          <t>Not Listed</t>
        </is>
      </c>
      <c r="E1821" s="96" t="inlineStr">
        <is>
          <t>Specialty Chemicals</t>
        </is>
      </c>
    </row>
    <row r="1822" ht="15" customHeight="1" s="109" thickBot="1">
      <c r="B1822" s="96" t="inlineStr">
        <is>
          <t>INDO-NATIONAL LTD</t>
        </is>
      </c>
      <c r="C1822" s="97" t="n">
        <v>504058</v>
      </c>
      <c r="D1822" s="96" t="inlineStr">
        <is>
          <t>NIPPOBATRY</t>
        </is>
      </c>
      <c r="E1822" s="96" t="inlineStr">
        <is>
          <t>Non-Durable Household Prod.</t>
        </is>
      </c>
    </row>
    <row r="1823" ht="15" customHeight="1" s="109" thickBot="1">
      <c r="B1823" s="96" t="inlineStr">
        <is>
          <t>INDOSOLAR LTD</t>
        </is>
      </c>
      <c r="C1823" s="97" t="n">
        <v>533257</v>
      </c>
      <c r="D1823" s="96" t="inlineStr">
        <is>
          <t>INDOSOLAR</t>
        </is>
      </c>
      <c r="E1823" s="96" t="inlineStr">
        <is>
          <t>Other Elect.Equip./ Prod.</t>
        </is>
      </c>
    </row>
    <row r="1824" ht="15" customHeight="1" s="109" thickBot="1">
      <c r="B1824" s="96" t="inlineStr">
        <is>
          <t>INDOSTAR CAPITAL FINANCE LTD</t>
        </is>
      </c>
      <c r="C1824" s="97" t="n">
        <v>541336</v>
      </c>
      <c r="D1824" s="96" t="inlineStr">
        <is>
          <t>INDOSTAR</t>
        </is>
      </c>
      <c r="E1824" s="96" t="inlineStr">
        <is>
          <t>Finance (including NBFCs)</t>
        </is>
      </c>
    </row>
    <row r="1825" ht="15" customHeight="1" s="109" thickBot="1">
      <c r="B1825" s="96" t="inlineStr">
        <is>
          <t>INDOVATION TECHNOLOGIES LTD</t>
        </is>
      </c>
      <c r="C1825" s="97" t="n">
        <v>521005</v>
      </c>
      <c r="D1825" s="96" t="inlineStr">
        <is>
          <t>Not Listed</t>
        </is>
      </c>
      <c r="E1825" s="96" t="inlineStr">
        <is>
          <t>Textiles</t>
        </is>
      </c>
    </row>
    <row r="1826" ht="15" customHeight="1" s="109" thickBot="1">
      <c r="B1826" s="96" t="inlineStr">
        <is>
          <t>INDOWIND ENERGY LTD</t>
        </is>
      </c>
      <c r="C1826" s="97" t="n">
        <v>532894</v>
      </c>
      <c r="D1826" s="96" t="inlineStr">
        <is>
          <t>INDOWIND</t>
        </is>
      </c>
      <c r="E1826" s="96" t="inlineStr">
        <is>
          <t>Electric Utilities</t>
        </is>
      </c>
    </row>
    <row r="1827" ht="15" customHeight="1" s="109" thickBot="1">
      <c r="B1827" s="96" t="inlineStr">
        <is>
          <t>INDRA INDUSTRIES LTD</t>
        </is>
      </c>
      <c r="C1827" s="97" t="n">
        <v>539175</v>
      </c>
      <c r="D1827" s="96" t="inlineStr">
        <is>
          <t>Not Listed</t>
        </is>
      </c>
      <c r="E1827" s="96" t="inlineStr">
        <is>
          <t>Fertilizers</t>
        </is>
      </c>
    </row>
    <row r="1828" ht="15" customHeight="1" s="109" thickBot="1">
      <c r="B1828" s="96" t="inlineStr">
        <is>
          <t>INDRAPRASTHA GAS LTD</t>
        </is>
      </c>
      <c r="C1828" s="97" t="n">
        <v>532514</v>
      </c>
      <c r="D1828" s="96" t="inlineStr">
        <is>
          <t>IGL</t>
        </is>
      </c>
      <c r="E1828" s="96" t="inlineStr">
        <is>
          <t>Utilities:Non-Elec.</t>
        </is>
      </c>
    </row>
    <row r="1829" ht="15" customHeight="1" s="109" thickBot="1">
      <c r="B1829" s="96" t="inlineStr">
        <is>
          <t>INDRAPRASTHA MEDICAL CORPORATION LTD</t>
        </is>
      </c>
      <c r="C1829" s="97" t="n">
        <v>532150</v>
      </c>
      <c r="D1829" s="96" t="inlineStr">
        <is>
          <t>INDRAMEDCO</t>
        </is>
      </c>
      <c r="E1829" s="96" t="inlineStr">
        <is>
          <t>Healthcare Facilities</t>
        </is>
      </c>
    </row>
    <row r="1830" ht="15" customHeight="1" s="109" thickBot="1">
      <c r="B1830" s="96" t="inlineStr">
        <is>
          <t>INDRAYANI BIOTECH LTD.</t>
        </is>
      </c>
      <c r="C1830" s="97" t="n">
        <v>526445</v>
      </c>
      <c r="D1830" s="96" t="inlineStr">
        <is>
          <t>INDRANIB</t>
        </is>
      </c>
      <c r="E1830" s="96" t="inlineStr">
        <is>
          <t>Other Agricultural Products</t>
        </is>
      </c>
    </row>
    <row r="1831" ht="15" customHeight="1" s="109" thickBot="1">
      <c r="B1831" s="96" t="inlineStr">
        <is>
          <t>INDSIL HYDRO POWER AND MANGANESE LTD</t>
        </is>
      </c>
      <c r="C1831" s="97" t="n">
        <v>522165</v>
      </c>
      <c r="D1831" s="96" t="inlineStr">
        <is>
          <t>Not Listed</t>
        </is>
      </c>
      <c r="E1831" s="96" t="inlineStr">
        <is>
          <t>Iron &amp; Steel/Interm.Products</t>
        </is>
      </c>
    </row>
    <row r="1832" ht="15" customHeight="1" s="109" thickBot="1">
      <c r="B1832" s="96" t="inlineStr">
        <is>
          <t>INDSOYA LTD</t>
        </is>
      </c>
      <c r="C1832" s="97" t="n">
        <v>503639</v>
      </c>
      <c r="D1832" s="96" t="inlineStr">
        <is>
          <t>Not Listed</t>
        </is>
      </c>
      <c r="E1832" s="96" t="inlineStr">
        <is>
          <t>Misc.Commercial Services</t>
        </is>
      </c>
    </row>
    <row r="1833" ht="15" customHeight="1" s="109" thickBot="1">
      <c r="B1833" s="96" t="inlineStr">
        <is>
          <t>IND-SWIFT LABORATORIES LTD</t>
        </is>
      </c>
      <c r="C1833" s="97" t="n">
        <v>532305</v>
      </c>
      <c r="D1833" s="96" t="inlineStr">
        <is>
          <t>INDSWFTLAB</t>
        </is>
      </c>
      <c r="E1833" s="96" t="inlineStr">
        <is>
          <t>Pharmaceuticals</t>
        </is>
      </c>
    </row>
    <row r="1834" ht="15" customHeight="1" s="109" thickBot="1">
      <c r="B1834" s="96" t="inlineStr">
        <is>
          <t>IND-SWIFT LTD</t>
        </is>
      </c>
      <c r="C1834" s="97" t="n">
        <v>524652</v>
      </c>
      <c r="D1834" s="96" t="inlineStr">
        <is>
          <t>INDSWFTLTD</t>
        </is>
      </c>
      <c r="E1834" s="96" t="inlineStr">
        <is>
          <t>Pharmaceuticals</t>
        </is>
      </c>
    </row>
    <row r="1835" ht="15" customHeight="1" s="109" thickBot="1">
      <c r="B1835" s="96" t="inlineStr">
        <is>
          <t>INDUCTO STEEL LTD</t>
        </is>
      </c>
      <c r="C1835" s="97" t="n">
        <v>532001</v>
      </c>
      <c r="D1835" s="96" t="inlineStr">
        <is>
          <t>Not Listed</t>
        </is>
      </c>
      <c r="E1835" s="96" t="inlineStr">
        <is>
          <t>Iron &amp; Steel/Interm.Products</t>
        </is>
      </c>
    </row>
    <row r="1836" ht="15" customHeight="1" s="109" thickBot="1">
      <c r="B1836" s="96" t="inlineStr">
        <is>
          <t>INDUS FINANCE LTD</t>
        </is>
      </c>
      <c r="C1836" s="97" t="n">
        <v>531841</v>
      </c>
      <c r="D1836" s="96" t="inlineStr">
        <is>
          <t>Not Listed</t>
        </is>
      </c>
      <c r="E1836" s="96" t="inlineStr">
        <is>
          <t>Finance (including NBFCs)</t>
        </is>
      </c>
    </row>
    <row r="1837" ht="15" customHeight="1" s="109" thickBot="1">
      <c r="B1837" s="96" t="inlineStr">
        <is>
          <t>INDUSIND BANK LTD</t>
        </is>
      </c>
      <c r="C1837" s="97" t="n">
        <v>532187</v>
      </c>
      <c r="D1837" s="96" t="inlineStr">
        <is>
          <t>INDUSINDBK</t>
        </is>
      </c>
      <c r="E1837" s="96" t="inlineStr">
        <is>
          <t>Banks</t>
        </is>
      </c>
    </row>
    <row r="1838" ht="15" customHeight="1" s="109" thickBot="1">
      <c r="B1838" s="96" t="inlineStr">
        <is>
          <t>INDUSTRIAL &amp; PRUDENTIAL INVESTMENTS CO LTD</t>
        </is>
      </c>
      <c r="C1838" s="97" t="n">
        <v>501298</v>
      </c>
      <c r="D1838" s="96" t="inlineStr">
        <is>
          <t>Not Listed</t>
        </is>
      </c>
      <c r="E1838" s="96" t="inlineStr">
        <is>
          <t>Investment Companies</t>
        </is>
      </c>
    </row>
    <row r="1839" ht="15" customHeight="1" s="109" thickBot="1">
      <c r="B1839" s="96" t="inlineStr">
        <is>
          <t>INDUSTRIAL INVESTMENT TRUST LTD</t>
        </is>
      </c>
      <c r="C1839" s="97" t="n">
        <v>501295</v>
      </c>
      <c r="D1839" s="96" t="inlineStr">
        <is>
          <t>IITL</t>
        </is>
      </c>
      <c r="E1839" s="96" t="inlineStr">
        <is>
          <t>Finance (including NBFCs)</t>
        </is>
      </c>
    </row>
    <row r="1840" ht="15" customHeight="1" s="109" thickBot="1">
      <c r="B1840" s="96" t="inlineStr">
        <is>
          <t>INEOS STYROLUTION (INDIA) LTD</t>
        </is>
      </c>
      <c r="C1840" s="97" t="n">
        <v>506222</v>
      </c>
      <c r="D1840" s="96" t="inlineStr">
        <is>
          <t>INEOSSTYRO</t>
        </is>
      </c>
      <c r="E1840" s="96" t="inlineStr">
        <is>
          <t>Specialty Chemicals</t>
        </is>
      </c>
    </row>
    <row r="1841" ht="15" customHeight="1" s="109" thickBot="1">
      <c r="B1841" s="96" t="inlineStr">
        <is>
          <t>INEOS STYROLUTION INDIA LTD</t>
        </is>
      </c>
      <c r="C1841" s="97" t="n">
        <v>506222</v>
      </c>
      <c r="D1841" s="96" t="inlineStr">
        <is>
          <t>INEOSSTYRO</t>
        </is>
      </c>
      <c r="E1841" s="96" t="inlineStr">
        <is>
          <t>Specialty Chemicals</t>
        </is>
      </c>
    </row>
    <row r="1842" ht="15" customHeight="1" s="109" thickBot="1">
      <c r="B1842" s="96" t="inlineStr">
        <is>
          <t>INERTIA STEEL LTD</t>
        </is>
      </c>
      <c r="C1842" s="97" t="n">
        <v>512025</v>
      </c>
      <c r="D1842" s="96" t="inlineStr">
        <is>
          <t>Not Listed</t>
        </is>
      </c>
      <c r="E1842" s="96" t="inlineStr">
        <is>
          <t>Misc.Commercial Services</t>
        </is>
      </c>
    </row>
    <row r="1843" ht="15" customHeight="1" s="109" thickBot="1">
      <c r="B1843" s="96" t="inlineStr">
        <is>
          <t>INFIBEAM AVENUES LTD</t>
        </is>
      </c>
      <c r="C1843" s="97" t="n">
        <v>539807</v>
      </c>
      <c r="D1843" s="96" t="inlineStr">
        <is>
          <t>INFIBEAM</t>
        </is>
      </c>
      <c r="E1843" s="96" t="inlineStr">
        <is>
          <t>Internet Software &amp; Services</t>
        </is>
      </c>
    </row>
    <row r="1844" ht="15" customHeight="1" s="109" thickBot="1">
      <c r="B1844" s="96" t="inlineStr">
        <is>
          <t>INFINITE COMPUTER SOLUTIONS (INDIA) LTD</t>
        </is>
      </c>
      <c r="C1844" s="97" t="n">
        <v>533154</v>
      </c>
      <c r="D1844" s="96" t="inlineStr">
        <is>
          <t>INFINITE</t>
        </is>
      </c>
      <c r="E1844" s="96" t="inlineStr">
        <is>
          <t>IT Consulting &amp; Software</t>
        </is>
      </c>
    </row>
    <row r="1845" ht="15" customHeight="1" s="109" thickBot="1">
      <c r="B1845" s="96" t="inlineStr">
        <is>
          <t>INFINITE COMPUTER SOLUTIONS INDIA LTD</t>
        </is>
      </c>
      <c r="C1845" s="97" t="n">
        <v>533154</v>
      </c>
      <c r="D1845" s="96" t="inlineStr">
        <is>
          <t>INFINITE</t>
        </is>
      </c>
      <c r="E1845" s="96" t="inlineStr">
        <is>
          <t>IT Consulting &amp; Software</t>
        </is>
      </c>
    </row>
    <row r="1846" ht="15" customHeight="1" s="109" thickBot="1">
      <c r="B1846" s="96" t="inlineStr">
        <is>
          <t>INFLAME APPLIANCES LTD</t>
        </is>
      </c>
      <c r="C1846" s="97" t="n">
        <v>541083</v>
      </c>
      <c r="D1846" s="96" t="inlineStr">
        <is>
          <t>Not Listed</t>
        </is>
      </c>
      <c r="E1846" s="96" t="inlineStr">
        <is>
          <t>Houseware</t>
        </is>
      </c>
    </row>
    <row r="1847" ht="15" customHeight="1" s="109" thickBot="1">
      <c r="B1847" s="96" t="inlineStr">
        <is>
          <t>INFO EDGE (INDIA) LTD</t>
        </is>
      </c>
      <c r="C1847" s="97" t="n">
        <v>532777</v>
      </c>
      <c r="D1847" s="96" t="inlineStr">
        <is>
          <t>NAUKRI</t>
        </is>
      </c>
      <c r="E1847" s="96" t="inlineStr">
        <is>
          <t>Internet &amp; Catalogue Retail</t>
        </is>
      </c>
    </row>
    <row r="1848" ht="15" customHeight="1" s="109" thickBot="1">
      <c r="B1848" s="96" t="inlineStr">
        <is>
          <t>INFO EDGE INDIA LTD</t>
        </is>
      </c>
      <c r="C1848" s="97" t="n">
        <v>532777</v>
      </c>
      <c r="D1848" s="96" t="inlineStr">
        <is>
          <t>NAUKRI</t>
        </is>
      </c>
      <c r="E1848" s="96" t="inlineStr">
        <is>
          <t>Internet &amp; Catalogue Retail</t>
        </is>
      </c>
    </row>
    <row r="1849" ht="15" customHeight="1" s="109" thickBot="1">
      <c r="B1849" s="96" t="inlineStr">
        <is>
          <t>INFOBEANS TECHNOLOGIES LTD</t>
        </is>
      </c>
      <c r="C1849" s="96" t="inlineStr">
        <is>
          <t>Not Listed</t>
        </is>
      </c>
      <c r="D1849" s="96" t="inlineStr">
        <is>
          <t>INFOBEAN</t>
        </is>
      </c>
      <c r="E1849" s="96" t="inlineStr">
        <is>
          <t>SME</t>
        </is>
      </c>
    </row>
    <row r="1850" ht="15" customHeight="1" s="109" thickBot="1">
      <c r="B1850" s="96" t="inlineStr">
        <is>
          <t>INFORMED TECHNOLOGIES (INDIA) LTD</t>
        </is>
      </c>
      <c r="C1850" s="97" t="n">
        <v>504810</v>
      </c>
      <c r="D1850" s="96" t="inlineStr">
        <is>
          <t>Not Listed</t>
        </is>
      </c>
      <c r="E1850" s="96" t="inlineStr">
        <is>
          <t>BPO/KPO</t>
        </is>
      </c>
    </row>
    <row r="1851" ht="15" customHeight="1" s="109" thickBot="1">
      <c r="B1851" s="96" t="inlineStr">
        <is>
          <t>INFORMED TECHNOLOGIES INDIA LTD</t>
        </is>
      </c>
      <c r="C1851" s="97" t="n">
        <v>504810</v>
      </c>
      <c r="D1851" s="96" t="inlineStr">
        <is>
          <t>Not Listed</t>
        </is>
      </c>
      <c r="E1851" s="96" t="inlineStr">
        <is>
          <t>BPO/KPO</t>
        </is>
      </c>
    </row>
    <row r="1852" ht="15" customHeight="1" s="109" thickBot="1">
      <c r="B1852" s="96" t="inlineStr">
        <is>
          <t>INFOSYS LTD</t>
        </is>
      </c>
      <c r="C1852" s="97" t="n">
        <v>500209</v>
      </c>
      <c r="D1852" s="96" t="inlineStr">
        <is>
          <t>INFY</t>
        </is>
      </c>
      <c r="E1852" s="96" t="inlineStr">
        <is>
          <t>IT Consulting &amp; Software</t>
        </is>
      </c>
    </row>
    <row r="1853" ht="15" customHeight="1" s="109" thickBot="1">
      <c r="B1853" s="96" t="inlineStr">
        <is>
          <t>INFRA INDUSTRIES LTD</t>
        </is>
      </c>
      <c r="C1853" s="97" t="n">
        <v>530777</v>
      </c>
      <c r="D1853" s="96" t="inlineStr">
        <is>
          <t>Not Listed</t>
        </is>
      </c>
      <c r="E1853" s="96" t="inlineStr">
        <is>
          <t>Plastic Products</t>
        </is>
      </c>
    </row>
    <row r="1854" ht="15" customHeight="1" s="109" thickBot="1">
      <c r="B1854" s="96" t="inlineStr">
        <is>
          <t>INFRONICS SYSTEMS LTD</t>
        </is>
      </c>
      <c r="C1854" s="97" t="n">
        <v>537985</v>
      </c>
      <c r="D1854" s="96" t="inlineStr">
        <is>
          <t>Not Listed</t>
        </is>
      </c>
      <c r="E1854" s="96" t="inlineStr">
        <is>
          <t>IT Software Products</t>
        </is>
      </c>
    </row>
    <row r="1855" ht="15" customHeight="1" s="109" thickBot="1">
      <c r="B1855" s="96" t="inlineStr">
        <is>
          <t>INGERSOLL RAND (INDIA) LTD</t>
        </is>
      </c>
      <c r="C1855" s="97" t="n">
        <v>500210</v>
      </c>
      <c r="D1855" s="96" t="inlineStr">
        <is>
          <t>INGERRAND</t>
        </is>
      </c>
      <c r="E1855" s="96" t="inlineStr">
        <is>
          <t>Industrial Machinery</t>
        </is>
      </c>
    </row>
    <row r="1856" ht="15" customHeight="1" s="109" thickBot="1">
      <c r="B1856" s="96" t="inlineStr">
        <is>
          <t>INGERSOLL RAND INDIA LTD</t>
        </is>
      </c>
      <c r="C1856" s="97" t="n">
        <v>500210</v>
      </c>
      <c r="D1856" s="96" t="inlineStr">
        <is>
          <t>INGERRAND</t>
        </is>
      </c>
      <c r="E1856" s="96" t="inlineStr">
        <is>
          <t>Industrial Machinery</t>
        </is>
      </c>
    </row>
    <row r="1857" ht="15" customHeight="1" s="109" thickBot="1">
      <c r="B1857" s="96" t="inlineStr">
        <is>
          <t>INLAND PRINTERS LTD</t>
        </is>
      </c>
      <c r="C1857" s="97" t="n">
        <v>530787</v>
      </c>
      <c r="D1857" s="96" t="inlineStr">
        <is>
          <t>Not Listed</t>
        </is>
      </c>
      <c r="E1857" s="96" t="inlineStr">
        <is>
          <t>Comm.Printing/Stationery</t>
        </is>
      </c>
    </row>
    <row r="1858" ht="15" customHeight="1" s="109" thickBot="1">
      <c r="B1858" s="96" t="inlineStr">
        <is>
          <t>INNOCORP LTD.</t>
        </is>
      </c>
      <c r="C1858" s="97" t="n">
        <v>531929</v>
      </c>
      <c r="D1858" s="96" t="inlineStr">
        <is>
          <t>INNOCORP</t>
        </is>
      </c>
      <c r="E1858" s="96" t="inlineStr">
        <is>
          <t>Plastic Products</t>
        </is>
      </c>
    </row>
    <row r="1859" ht="15" customHeight="1" s="109" thickBot="1">
      <c r="B1859" s="96" t="inlineStr">
        <is>
          <t>INNOVANA THINKLABS LTD</t>
        </is>
      </c>
      <c r="C1859" s="96" t="inlineStr">
        <is>
          <t>Not Listed</t>
        </is>
      </c>
      <c r="D1859" s="96" t="inlineStr">
        <is>
          <t>INNOVANA</t>
        </is>
      </c>
      <c r="E1859" s="96" t="inlineStr">
        <is>
          <t>SME</t>
        </is>
      </c>
    </row>
    <row r="1860" ht="15" customHeight="1" s="109" thickBot="1">
      <c r="B1860" s="96" t="inlineStr">
        <is>
          <t>INNOVASSYNTH INVESTMENTS LTD</t>
        </is>
      </c>
      <c r="C1860" s="97" t="n">
        <v>533315</v>
      </c>
      <c r="D1860" s="96" t="inlineStr">
        <is>
          <t>Not Listed</t>
        </is>
      </c>
      <c r="E1860" s="96" t="inlineStr">
        <is>
          <t>Holding Companies</t>
        </is>
      </c>
    </row>
    <row r="1861" ht="15" customHeight="1" s="109" thickBot="1">
      <c r="B1861" s="96" t="inlineStr">
        <is>
          <t>INNOVATION SOFTWARE EXPORTS LTD</t>
        </is>
      </c>
      <c r="C1861" s="97" t="n">
        <v>517433</v>
      </c>
      <c r="D1861" s="96" t="inlineStr">
        <is>
          <t>Not Listed</t>
        </is>
      </c>
      <c r="E1861" s="96" t="inlineStr">
        <is>
          <t>IT Consulting &amp; Software</t>
        </is>
      </c>
    </row>
    <row r="1862" ht="15" customHeight="1" s="109" thickBot="1">
      <c r="B1862" s="96" t="inlineStr">
        <is>
          <t>INNOVATIVE IDEALS AND SERVICES (INDIA) LTD</t>
        </is>
      </c>
      <c r="C1862" s="97" t="n">
        <v>541983</v>
      </c>
      <c r="D1862" s="96" t="inlineStr">
        <is>
          <t>Not Listed</t>
        </is>
      </c>
      <c r="E1862" s="96" t="inlineStr">
        <is>
          <t>Sp.Consumer Services</t>
        </is>
      </c>
    </row>
    <row r="1863" ht="15" customHeight="1" s="109" thickBot="1">
      <c r="B1863" s="96" t="inlineStr">
        <is>
          <t>INNOVATIVE IDEALS AND SERVICES INDIA LTD</t>
        </is>
      </c>
      <c r="C1863" s="97" t="n">
        <v>541983</v>
      </c>
      <c r="D1863" s="96" t="inlineStr">
        <is>
          <t>Not Listed</t>
        </is>
      </c>
      <c r="E1863" s="96" t="inlineStr">
        <is>
          <t>Sp.Consumer Services</t>
        </is>
      </c>
    </row>
    <row r="1864" ht="15" customHeight="1" s="109" thickBot="1">
      <c r="B1864" s="96" t="inlineStr">
        <is>
          <t>INNOVATIVE TECH PACK LTD</t>
        </is>
      </c>
      <c r="C1864" s="97" t="n">
        <v>523840</v>
      </c>
      <c r="D1864" s="96" t="inlineStr">
        <is>
          <t>Not Listed</t>
        </is>
      </c>
      <c r="E1864" s="96" t="inlineStr">
        <is>
          <t>Containers &amp; Packaging</t>
        </is>
      </c>
    </row>
    <row r="1865" ht="15" customHeight="1" s="109" thickBot="1">
      <c r="B1865" s="96" t="inlineStr">
        <is>
          <t>INNOVATIVE TYRES AND TUBES LTD</t>
        </is>
      </c>
      <c r="C1865" s="96" t="inlineStr">
        <is>
          <t>Not Listed</t>
        </is>
      </c>
      <c r="D1865" s="96" t="inlineStr">
        <is>
          <t>INNOVATIVE</t>
        </is>
      </c>
      <c r="E1865" s="96" t="inlineStr">
        <is>
          <t>SME</t>
        </is>
      </c>
    </row>
    <row r="1866" ht="15" customHeight="1" s="109" thickBot="1">
      <c r="B1866" s="96" t="inlineStr">
        <is>
          <t>INNOVATORS FACADE SYSTEMS LTD</t>
        </is>
      </c>
      <c r="C1866" s="97" t="n">
        <v>541353</v>
      </c>
      <c r="D1866" s="96" t="inlineStr">
        <is>
          <t>Not Listed</t>
        </is>
      </c>
      <c r="E1866" s="96" t="inlineStr">
        <is>
          <t>Construction &amp; Engineering</t>
        </is>
      </c>
    </row>
    <row r="1867" ht="15" customHeight="1" s="109" thickBot="1">
      <c r="B1867" s="96" t="inlineStr">
        <is>
          <t>INOX LEISURE LTD</t>
        </is>
      </c>
      <c r="C1867" s="97" t="n">
        <v>532706</v>
      </c>
      <c r="D1867" s="96" t="inlineStr">
        <is>
          <t>INOXLEISUR</t>
        </is>
      </c>
      <c r="E1867" s="96" t="inlineStr">
        <is>
          <t>Specialty Retail</t>
        </is>
      </c>
    </row>
    <row r="1868" ht="15" customHeight="1" s="109" thickBot="1">
      <c r="B1868" s="96" t="inlineStr">
        <is>
          <t>INOX WIND LTD</t>
        </is>
      </c>
      <c r="C1868" s="97" t="n">
        <v>539083</v>
      </c>
      <c r="D1868" s="96" t="inlineStr">
        <is>
          <t>INOXWIND</t>
        </is>
      </c>
      <c r="E1868" s="96" t="inlineStr">
        <is>
          <t>Heavy Electrical Equipment</t>
        </is>
      </c>
    </row>
    <row r="1869" ht="15" customHeight="1" s="109" thickBot="1">
      <c r="B1869" s="96" t="inlineStr">
        <is>
          <t>INSECTICIDES (INDIA) LTD</t>
        </is>
      </c>
      <c r="C1869" s="97" t="n">
        <v>532851</v>
      </c>
      <c r="D1869" s="96" t="inlineStr">
        <is>
          <t>INSECTICID</t>
        </is>
      </c>
      <c r="E1869" s="96" t="inlineStr">
        <is>
          <t>Agrochemicals</t>
        </is>
      </c>
    </row>
    <row r="1870" ht="15" customHeight="1" s="109" thickBot="1">
      <c r="B1870" s="96" t="inlineStr">
        <is>
          <t>INSECTICIDES INDIA LTD</t>
        </is>
      </c>
      <c r="C1870" s="97" t="n">
        <v>532851</v>
      </c>
      <c r="D1870" s="96" t="inlineStr">
        <is>
          <t>INSECTICID</t>
        </is>
      </c>
      <c r="E1870" s="96" t="inlineStr">
        <is>
          <t>Agrochemicals</t>
        </is>
      </c>
    </row>
    <row r="1871" ht="15" customHeight="1" s="109" thickBot="1">
      <c r="B1871" s="96" t="inlineStr">
        <is>
          <t>INSILCO LTD</t>
        </is>
      </c>
      <c r="C1871" s="97" t="n">
        <v>500211</v>
      </c>
      <c r="D1871" s="96" t="inlineStr">
        <is>
          <t>Not Listed</t>
        </is>
      </c>
      <c r="E1871" s="96" t="inlineStr">
        <is>
          <t>Other Industrial Goods</t>
        </is>
      </c>
    </row>
    <row r="1872" ht="15" customHeight="1" s="109" thickBot="1">
      <c r="B1872" s="96" t="inlineStr">
        <is>
          <t>INSPIRISYS SOLUTIONS LTD</t>
        </is>
      </c>
      <c r="C1872" s="97" t="n">
        <v>532774</v>
      </c>
      <c r="D1872" s="96" t="inlineStr">
        <is>
          <t>INSPIRISYS</t>
        </is>
      </c>
      <c r="E1872" s="96" t="inlineStr">
        <is>
          <t>IT Consulting &amp; Software</t>
        </is>
      </c>
    </row>
    <row r="1873" ht="15" customHeight="1" s="109" thickBot="1">
      <c r="B1873" s="96" t="inlineStr">
        <is>
          <t>INTEC CAPITAL LTD</t>
        </is>
      </c>
      <c r="C1873" s="97" t="n">
        <v>526871</v>
      </c>
      <c r="D1873" s="96" t="inlineStr">
        <is>
          <t>Not Listed</t>
        </is>
      </c>
      <c r="E1873" s="96" t="inlineStr">
        <is>
          <t>Other Financial Services</t>
        </is>
      </c>
    </row>
    <row r="1874" ht="15" customHeight="1" s="109" thickBot="1">
      <c r="B1874" s="96" t="inlineStr">
        <is>
          <t>INTEGRA CAPITAL MANAGEMENT LTD.</t>
        </is>
      </c>
      <c r="C1874" s="97" t="n">
        <v>531314</v>
      </c>
      <c r="D1874" s="96" t="inlineStr">
        <is>
          <t>INTCAPM</t>
        </is>
      </c>
      <c r="E1874" s="96" t="inlineStr">
        <is>
          <t>Finance (including NBFCs)</t>
        </is>
      </c>
    </row>
    <row r="1875" ht="15" customHeight="1" s="109" thickBot="1">
      <c r="B1875" s="96" t="inlineStr">
        <is>
          <t>INTEGRA ENGINEERING (INDIA) LTD</t>
        </is>
      </c>
      <c r="C1875" s="97" t="n">
        <v>505358</v>
      </c>
      <c r="D1875" s="96" t="inlineStr">
        <is>
          <t>Not Listed</t>
        </is>
      </c>
      <c r="E1875" s="96" t="inlineStr">
        <is>
          <t>Industrial Machinery</t>
        </is>
      </c>
    </row>
    <row r="1876" ht="15" customHeight="1" s="109" thickBot="1">
      <c r="B1876" s="96" t="inlineStr">
        <is>
          <t>INTEGRA ENGINEERING INDIA LTD</t>
        </is>
      </c>
      <c r="C1876" s="97" t="n">
        <v>505358</v>
      </c>
      <c r="D1876" s="96" t="inlineStr">
        <is>
          <t>Not Listed</t>
        </is>
      </c>
      <c r="E1876" s="96" t="inlineStr">
        <is>
          <t>Industrial Machinery</t>
        </is>
      </c>
    </row>
    <row r="1877" ht="15" customHeight="1" s="109" thickBot="1">
      <c r="B1877" s="96" t="inlineStr">
        <is>
          <t>INTEGRA GARMENTS AND TEXTILES LTD</t>
        </is>
      </c>
      <c r="C1877" s="97" t="n">
        <v>535958</v>
      </c>
      <c r="D1877" s="96" t="inlineStr">
        <is>
          <t>INTEGRA</t>
        </is>
      </c>
      <c r="E1877" s="96" t="inlineStr">
        <is>
          <t>Other Apparels &amp; Accessories</t>
        </is>
      </c>
    </row>
    <row r="1878" ht="15" customHeight="1" s="109" thickBot="1">
      <c r="B1878" s="96" t="inlineStr">
        <is>
          <t>INTEGRA SWITCHGEAR LTD</t>
        </is>
      </c>
      <c r="C1878" s="97" t="n">
        <v>517423</v>
      </c>
      <c r="D1878" s="96" t="inlineStr">
        <is>
          <t>Not Listed</t>
        </is>
      </c>
      <c r="E1878" s="96" t="inlineStr">
        <is>
          <t>Other Elect.Equip./ Prod.</t>
        </is>
      </c>
    </row>
    <row r="1879" ht="15" customHeight="1" s="109" thickBot="1">
      <c r="B1879" s="96" t="inlineStr">
        <is>
          <t>INTEGRA TELECOMMUNICATION &amp; SOFTWARE LTD</t>
        </is>
      </c>
      <c r="C1879" s="97" t="n">
        <v>536868</v>
      </c>
      <c r="D1879" s="96" t="inlineStr">
        <is>
          <t>Not Listed</t>
        </is>
      </c>
      <c r="E1879" s="96" t="inlineStr">
        <is>
          <t>IT Consulting &amp; Software</t>
        </is>
      </c>
    </row>
    <row r="1880" ht="15" customHeight="1" s="109" thickBot="1">
      <c r="B1880" s="96" t="inlineStr">
        <is>
          <t>INTEGRATED CAPITAL SERVICES LTD</t>
        </is>
      </c>
      <c r="C1880" s="97" t="n">
        <v>539149</v>
      </c>
      <c r="D1880" s="96" t="inlineStr">
        <is>
          <t>Not Listed</t>
        </is>
      </c>
      <c r="E1880" s="96" t="inlineStr">
        <is>
          <t>Consulting Services</t>
        </is>
      </c>
    </row>
    <row r="1881" ht="15" customHeight="1" s="109" thickBot="1">
      <c r="B1881" s="96" t="inlineStr">
        <is>
          <t>INTEGRATED FINANCIAL SERVICES LTD</t>
        </is>
      </c>
      <c r="C1881" s="97" t="n">
        <v>500212</v>
      </c>
      <c r="D1881" s="96" t="inlineStr">
        <is>
          <t>Not Listed</t>
        </is>
      </c>
      <c r="E1881" s="96" t="inlineStr">
        <is>
          <t>Finance (including NBFCs)</t>
        </is>
      </c>
    </row>
    <row r="1882" ht="15" customHeight="1" s="109" thickBot="1">
      <c r="B1882" s="96" t="inlineStr">
        <is>
          <t>INTEGRATED PROTEINS LTD</t>
        </is>
      </c>
      <c r="C1882" s="97" t="n">
        <v>519606</v>
      </c>
      <c r="D1882" s="96" t="inlineStr">
        <is>
          <t>Not Listed</t>
        </is>
      </c>
      <c r="E1882" s="96" t="inlineStr">
        <is>
          <t>Edible Oils</t>
        </is>
      </c>
    </row>
    <row r="1883" ht="15" customHeight="1" s="109" thickBot="1">
      <c r="B1883" s="96" t="inlineStr">
        <is>
          <t>INTEGRATED TECHNOLOGIES LTD</t>
        </is>
      </c>
      <c r="C1883" s="97" t="n">
        <v>531889</v>
      </c>
      <c r="D1883" s="96" t="inlineStr">
        <is>
          <t>Not Listed</t>
        </is>
      </c>
      <c r="E1883" s="96" t="inlineStr">
        <is>
          <t>Electronic Components</t>
        </is>
      </c>
    </row>
    <row r="1884" ht="15" customHeight="1" s="109" thickBot="1">
      <c r="B1884" s="96" t="inlineStr">
        <is>
          <t>INTEGRATED THERMOPLASTICS LTD</t>
        </is>
      </c>
      <c r="C1884" s="97" t="n">
        <v>530921</v>
      </c>
      <c r="D1884" s="96" t="inlineStr">
        <is>
          <t>Not Listed</t>
        </is>
      </c>
      <c r="E1884" s="96" t="inlineStr">
        <is>
          <t>Plastic Products</t>
        </is>
      </c>
    </row>
    <row r="1885" ht="15" customHeight="1" s="109" thickBot="1">
      <c r="B1885" s="96" t="inlineStr">
        <is>
          <t>INTELLECT DESIGN ARENA LTD</t>
        </is>
      </c>
      <c r="C1885" s="97" t="n">
        <v>538835</v>
      </c>
      <c r="D1885" s="96" t="inlineStr">
        <is>
          <t>INTELLECT</t>
        </is>
      </c>
      <c r="E1885" s="96" t="inlineStr">
        <is>
          <t>IT Software Products</t>
        </is>
      </c>
    </row>
    <row r="1886" ht="15" customHeight="1" s="109" thickBot="1">
      <c r="B1886" s="96" t="inlineStr">
        <is>
          <t>INTELLIVATE CAPITAL ADVISORS LTD</t>
        </is>
      </c>
      <c r="C1886" s="97" t="n">
        <v>534732</v>
      </c>
      <c r="D1886" s="96" t="inlineStr">
        <is>
          <t>Not Listed</t>
        </is>
      </c>
      <c r="E1886" s="96" t="inlineStr">
        <is>
          <t>Other Financial Services</t>
        </is>
      </c>
    </row>
    <row r="1887" ht="15" customHeight="1" s="109" thickBot="1">
      <c r="B1887" s="96" t="inlineStr">
        <is>
          <t>INTELLIVATE CAPITAL VENTURES LTD</t>
        </is>
      </c>
      <c r="C1887" s="97" t="n">
        <v>506134</v>
      </c>
      <c r="D1887" s="96" t="inlineStr">
        <is>
          <t>Not Listed</t>
        </is>
      </c>
      <c r="E1887" s="96" t="inlineStr">
        <is>
          <t>Plastic Products</t>
        </is>
      </c>
    </row>
    <row r="1888" ht="15" customHeight="1" s="109" thickBot="1">
      <c r="B1888" s="96" t="inlineStr">
        <is>
          <t>INTENSE TECHNOLOGIES LTD</t>
        </is>
      </c>
      <c r="C1888" s="97" t="n">
        <v>532326</v>
      </c>
      <c r="D1888" s="96" t="inlineStr">
        <is>
          <t>INTENTECH</t>
        </is>
      </c>
      <c r="E1888" s="96" t="inlineStr">
        <is>
          <t>IT Software Products</t>
        </is>
      </c>
    </row>
    <row r="1889" ht="15" customHeight="1" s="109" thickBot="1">
      <c r="B1889" s="96" t="inlineStr">
        <is>
          <t>INTER GLOBE FINANCE LTD</t>
        </is>
      </c>
      <c r="C1889" s="97" t="n">
        <v>511391</v>
      </c>
      <c r="D1889" s="96" t="inlineStr">
        <is>
          <t>Not Listed</t>
        </is>
      </c>
      <c r="E1889" s="96" t="inlineStr">
        <is>
          <t>Finance (including NBFCs)</t>
        </is>
      </c>
    </row>
    <row r="1890" ht="15" customHeight="1" s="109" thickBot="1">
      <c r="B1890" s="96" t="inlineStr">
        <is>
          <t>INTER STATE OIL CARRIER LTD</t>
        </is>
      </c>
      <c r="C1890" s="97" t="n">
        <v>530259</v>
      </c>
      <c r="D1890" s="96" t="inlineStr">
        <is>
          <t>Not Listed</t>
        </is>
      </c>
      <c r="E1890" s="96" t="inlineStr">
        <is>
          <t>Surface Transportation</t>
        </is>
      </c>
    </row>
    <row r="1891" ht="15" customHeight="1" s="109" thickBot="1">
      <c r="B1891" s="96" t="inlineStr">
        <is>
          <t>INTERACTIVE FINANCIAL SERVICES LTD</t>
        </is>
      </c>
      <c r="C1891" s="97" t="n">
        <v>539692</v>
      </c>
      <c r="D1891" s="96" t="inlineStr">
        <is>
          <t>Not Listed</t>
        </is>
      </c>
      <c r="E1891" s="96" t="inlineStr">
        <is>
          <t>Finance (including NBFCs)</t>
        </is>
      </c>
    </row>
    <row r="1892" ht="15" customHeight="1" s="109" thickBot="1">
      <c r="B1892" s="96" t="inlineStr">
        <is>
          <t>INTERGLOBE AVIATION LTD</t>
        </is>
      </c>
      <c r="C1892" s="97" t="n">
        <v>539448</v>
      </c>
      <c r="D1892" s="96" t="inlineStr">
        <is>
          <t>INDIGO</t>
        </is>
      </c>
      <c r="E1892" s="96" t="inlineStr">
        <is>
          <t>Airlines</t>
        </is>
      </c>
    </row>
    <row r="1893" ht="15" customHeight="1" s="109" thickBot="1">
      <c r="B1893" s="96" t="inlineStr">
        <is>
          <t>INTERLINK PETROLEUM LTD</t>
        </is>
      </c>
      <c r="C1893" s="97" t="n">
        <v>526512</v>
      </c>
      <c r="D1893" s="96" t="inlineStr">
        <is>
          <t>Not Listed</t>
        </is>
      </c>
      <c r="E1893" s="96" t="inlineStr">
        <is>
          <t>Exploration &amp; Production</t>
        </is>
      </c>
    </row>
    <row r="1894" ht="15" customHeight="1" s="109" thickBot="1">
      <c r="B1894" s="96" t="inlineStr">
        <is>
          <t>INTERNATIONAL COMBUSTION (INDIA) LTD</t>
        </is>
      </c>
      <c r="C1894" s="97" t="n">
        <v>505737</v>
      </c>
      <c r="D1894" s="96" t="inlineStr">
        <is>
          <t>Not Listed</t>
        </is>
      </c>
      <c r="E1894" s="96" t="inlineStr">
        <is>
          <t>Industrial Machinery</t>
        </is>
      </c>
    </row>
    <row r="1895" ht="15" customHeight="1" s="109" thickBot="1">
      <c r="B1895" s="96" t="inlineStr">
        <is>
          <t>INTERNATIONAL COMBUSTION INDIA LTD</t>
        </is>
      </c>
      <c r="C1895" s="97" t="n">
        <v>505737</v>
      </c>
      <c r="D1895" s="96" t="inlineStr">
        <is>
          <t>Not Listed</t>
        </is>
      </c>
      <c r="E1895" s="96" t="inlineStr">
        <is>
          <t>Industrial Machinery</t>
        </is>
      </c>
    </row>
    <row r="1896" ht="15" customHeight="1" s="109" thickBot="1">
      <c r="B1896" s="96" t="inlineStr">
        <is>
          <t>INTERNATIONAL CONSTRUCTIONS LTD</t>
        </is>
      </c>
      <c r="C1896" s="96" t="inlineStr">
        <is>
          <t>Not Listed</t>
        </is>
      </c>
      <c r="D1896" s="96" t="inlineStr">
        <is>
          <t>SUBCAPCITY</t>
        </is>
      </c>
      <c r="E1896" s="96" t="inlineStr">
        <is>
          <t>Others</t>
        </is>
      </c>
    </row>
    <row r="1897" ht="15" customHeight="1" s="109" thickBot="1">
      <c r="B1897" s="96" t="inlineStr">
        <is>
          <t>INTERNATIONAL CONVEYORS LTD</t>
        </is>
      </c>
      <c r="C1897" s="97" t="n">
        <v>509709</v>
      </c>
      <c r="D1897" s="96" t="inlineStr">
        <is>
          <t>Not Listed</t>
        </is>
      </c>
      <c r="E1897" s="96" t="inlineStr">
        <is>
          <t>Plastic Products</t>
        </is>
      </c>
    </row>
    <row r="1898" ht="15" customHeight="1" s="109" thickBot="1">
      <c r="B1898" s="96" t="inlineStr">
        <is>
          <t>INTERNATIONAL DATA MANAGEMENT LTD</t>
        </is>
      </c>
      <c r="C1898" s="97" t="n">
        <v>517044</v>
      </c>
      <c r="D1898" s="96" t="inlineStr">
        <is>
          <t>Not Listed</t>
        </is>
      </c>
      <c r="E1898" s="96" t="inlineStr">
        <is>
          <t>Consulting Services</t>
        </is>
      </c>
    </row>
    <row r="1899" ht="15" customHeight="1" s="109" thickBot="1">
      <c r="B1899" s="96" t="inlineStr">
        <is>
          <t>INTERNATIONAL HOUSING FINANCE CORPORATION LTD</t>
        </is>
      </c>
      <c r="C1899" s="97" t="n">
        <v>530781</v>
      </c>
      <c r="D1899" s="96" t="inlineStr">
        <is>
          <t>Not Listed</t>
        </is>
      </c>
      <c r="E1899" s="96" t="inlineStr">
        <is>
          <t>Housing Finance</t>
        </is>
      </c>
    </row>
    <row r="1900" ht="15" customHeight="1" s="109" thickBot="1">
      <c r="B1900" s="96" t="inlineStr">
        <is>
          <t>INTERNATIONAL PAPER APPM LTD</t>
        </is>
      </c>
      <c r="C1900" s="97" t="n">
        <v>502330</v>
      </c>
      <c r="D1900" s="96" t="inlineStr">
        <is>
          <t>IPAPPM</t>
        </is>
      </c>
      <c r="E1900" s="96" t="inlineStr">
        <is>
          <t>Paper &amp; Paper Products</t>
        </is>
      </c>
    </row>
    <row r="1901" ht="15" customHeight="1" s="109" thickBot="1">
      <c r="B1901" s="96" t="inlineStr">
        <is>
          <t>INTERNATIONAL TRAVEL HOUSE LTD</t>
        </is>
      </c>
      <c r="C1901" s="97" t="n">
        <v>500213</v>
      </c>
      <c r="D1901" s="96" t="inlineStr">
        <is>
          <t>Not Listed</t>
        </is>
      </c>
      <c r="E1901" s="96" t="inlineStr">
        <is>
          <t>Travel Support Services</t>
        </is>
      </c>
    </row>
    <row r="1902" ht="15" customHeight="1" s="109" thickBot="1">
      <c r="B1902" s="96" t="inlineStr">
        <is>
          <t>INTERWORLD DIGITAL LTD</t>
        </is>
      </c>
      <c r="C1902" s="97" t="n">
        <v>532072</v>
      </c>
      <c r="D1902" s="96" t="inlineStr">
        <is>
          <t>Not Listed</t>
        </is>
      </c>
      <c r="E1902" s="96" t="inlineStr">
        <is>
          <t>Movies &amp; Entertainment</t>
        </is>
      </c>
    </row>
    <row r="1903" ht="15" customHeight="1" s="109" thickBot="1">
      <c r="B1903" s="96" t="inlineStr">
        <is>
          <t>INTRASOFT TECHNOLOGIES LTD</t>
        </is>
      </c>
      <c r="C1903" s="97" t="n">
        <v>533181</v>
      </c>
      <c r="D1903" s="96" t="inlineStr">
        <is>
          <t>ISFT</t>
        </is>
      </c>
      <c r="E1903" s="96" t="inlineStr">
        <is>
          <t>Internet &amp; Catalogue Retail</t>
        </is>
      </c>
    </row>
    <row r="1904" ht="15" customHeight="1" s="109" thickBot="1">
      <c r="B1904" s="96" t="inlineStr">
        <is>
          <t>INVENTURE GROWTH &amp; SECURITIES LTD</t>
        </is>
      </c>
      <c r="C1904" s="97" t="n">
        <v>533506</v>
      </c>
      <c r="D1904" s="96" t="inlineStr">
        <is>
          <t>INVENTURE</t>
        </is>
      </c>
      <c r="E1904" s="96" t="inlineStr">
        <is>
          <t>Other Financial Services</t>
        </is>
      </c>
    </row>
    <row r="1905" ht="15" customHeight="1" s="109" thickBot="1">
      <c r="B1905" s="96" t="inlineStr">
        <is>
          <t>Invesco India Gold Exchange Traded Fund</t>
        </is>
      </c>
      <c r="C1905" s="97" t="n">
        <v>533172</v>
      </c>
      <c r="D1905" s="96" t="inlineStr">
        <is>
          <t>IVZINGOLD</t>
        </is>
      </c>
      <c r="E1905" s="96" t="inlineStr">
        <is>
          <t>Other Financial Services</t>
        </is>
      </c>
    </row>
    <row r="1906" ht="15" customHeight="1" s="109" thickBot="1">
      <c r="B1906" s="96" t="inlineStr">
        <is>
          <t>INVESTMENT &amp; PRECISION CASTINGS LTD</t>
        </is>
      </c>
      <c r="C1906" s="97" t="n">
        <v>504786</v>
      </c>
      <c r="D1906" s="96" t="inlineStr">
        <is>
          <t>Not Listed</t>
        </is>
      </c>
      <c r="E1906" s="96" t="inlineStr">
        <is>
          <t>Other Industrial Products</t>
        </is>
      </c>
    </row>
    <row r="1907" ht="15" customHeight="1" s="109" thickBot="1">
      <c r="B1907" s="96" t="inlineStr">
        <is>
          <t>INVICTA MEDITEK LTD</t>
        </is>
      </c>
      <c r="C1907" s="97" t="n">
        <v>523844</v>
      </c>
      <c r="D1907" s="96" t="inlineStr">
        <is>
          <t>Not Listed</t>
        </is>
      </c>
      <c r="E1907" s="96" t="inlineStr">
        <is>
          <t>Medical Equipment</t>
        </is>
      </c>
    </row>
    <row r="1908" ht="15" customHeight="1" s="109" thickBot="1">
      <c r="B1908" s="96" t="inlineStr">
        <is>
          <t>IO SYSTEM LTD</t>
        </is>
      </c>
      <c r="C1908" s="97" t="n">
        <v>523752</v>
      </c>
      <c r="D1908" s="96" t="inlineStr">
        <is>
          <t>Not Listed</t>
        </is>
      </c>
      <c r="E1908" s="96" t="inlineStr">
        <is>
          <t>Industrial Machinery</t>
        </is>
      </c>
    </row>
    <row r="1909" ht="15" customHeight="1" s="109" thickBot="1">
      <c r="B1909" s="96" t="inlineStr">
        <is>
          <t>IOL CHEMICALS AND PHARMACEUTICALS LTD</t>
        </is>
      </c>
      <c r="C1909" s="97" t="n">
        <v>524164</v>
      </c>
      <c r="D1909" s="96" t="inlineStr">
        <is>
          <t>IOLCP</t>
        </is>
      </c>
      <c r="E1909" s="96" t="inlineStr">
        <is>
          <t>Pharmaceuticals</t>
        </is>
      </c>
    </row>
    <row r="1910" ht="15" customHeight="1" s="109" thickBot="1">
      <c r="B1910" s="96" t="inlineStr">
        <is>
          <t>ION EXCHANGE (INDIA) LTD</t>
        </is>
      </c>
      <c r="C1910" s="97" t="n">
        <v>500214</v>
      </c>
      <c r="D1910" s="96" t="inlineStr">
        <is>
          <t>Not Listed</t>
        </is>
      </c>
      <c r="E1910" s="96" t="inlineStr">
        <is>
          <t>Industrial Machinery</t>
        </is>
      </c>
    </row>
    <row r="1911" ht="15" customHeight="1" s="109" thickBot="1">
      <c r="B1911" s="96" t="inlineStr">
        <is>
          <t>ION EXCHANGE INDIA LTD</t>
        </is>
      </c>
      <c r="C1911" s="97" t="n">
        <v>500214</v>
      </c>
      <c r="D1911" s="96" t="inlineStr">
        <is>
          <t>Not Listed</t>
        </is>
      </c>
      <c r="E1911" s="96" t="inlineStr">
        <is>
          <t>Industrial Machinery</t>
        </is>
      </c>
    </row>
    <row r="1912" ht="15" customHeight="1" s="109" thickBot="1">
      <c r="B1912" s="96" t="inlineStr">
        <is>
          <t>IP RINGS LTD</t>
        </is>
      </c>
      <c r="C1912" s="97" t="n">
        <v>523638</v>
      </c>
      <c r="D1912" s="96" t="inlineStr">
        <is>
          <t>Not Listed</t>
        </is>
      </c>
      <c r="E1912" s="96" t="inlineStr">
        <is>
          <t>Auto Parts &amp; Equipment</t>
        </is>
      </c>
    </row>
    <row r="1913" ht="15" customHeight="1" s="109" thickBot="1">
      <c r="B1913" s="96" t="inlineStr">
        <is>
          <t>IPCA LABORATORIES LTD</t>
        </is>
      </c>
      <c r="C1913" s="97" t="n">
        <v>524494</v>
      </c>
      <c r="D1913" s="96" t="inlineStr">
        <is>
          <t>IPCALAB</t>
        </is>
      </c>
      <c r="E1913" s="96" t="inlineStr">
        <is>
          <t>Pharmaceuticals</t>
        </is>
      </c>
    </row>
    <row r="1914" ht="15" customHeight="1" s="109" thickBot="1">
      <c r="B1914" s="96" t="inlineStr">
        <is>
          <t>I-POWER SOLUTIONS (INDIA) LTD</t>
        </is>
      </c>
      <c r="C1914" s="97" t="n">
        <v>512405</v>
      </c>
      <c r="D1914" s="96" t="inlineStr">
        <is>
          <t>Not Listed</t>
        </is>
      </c>
      <c r="E1914" s="96" t="inlineStr">
        <is>
          <t>Internet Software &amp; Services</t>
        </is>
      </c>
    </row>
    <row r="1915" ht="15" customHeight="1" s="109" thickBot="1">
      <c r="B1915" s="96" t="inlineStr">
        <is>
          <t>I-POWER SOLUTIONS INDIA LTD</t>
        </is>
      </c>
      <c r="C1915" s="97" t="n">
        <v>512405</v>
      </c>
      <c r="D1915" s="96" t="inlineStr">
        <is>
          <t>Not Listed</t>
        </is>
      </c>
      <c r="E1915" s="96" t="inlineStr">
        <is>
          <t>Internet Software &amp; Services</t>
        </is>
      </c>
    </row>
    <row r="1916" ht="15" customHeight="1" s="109" thickBot="1">
      <c r="B1916" s="96" t="inlineStr">
        <is>
          <t>IRB INFRASTRUCTURE DEVELOPERS LTD</t>
        </is>
      </c>
      <c r="C1916" s="97" t="n">
        <v>532947</v>
      </c>
      <c r="D1916" s="96" t="inlineStr">
        <is>
          <t>IRB</t>
        </is>
      </c>
      <c r="E1916" s="96" t="inlineStr">
        <is>
          <t>Roads &amp; Highways</t>
        </is>
      </c>
    </row>
    <row r="1917" ht="15" customHeight="1" s="109" thickBot="1">
      <c r="B1917" s="96" t="inlineStr">
        <is>
          <t>IRB InvIT Fund</t>
        </is>
      </c>
      <c r="C1917" s="97" t="n">
        <v>540526</v>
      </c>
      <c r="D1917" s="96" t="inlineStr">
        <is>
          <t>IRBINVIT</t>
        </is>
      </c>
      <c r="E1917" s="96" t="inlineStr">
        <is>
          <t>Investment Companies</t>
        </is>
      </c>
    </row>
    <row r="1918" ht="15" customHeight="1" s="109" thickBot="1">
      <c r="B1918" s="96" t="inlineStr">
        <is>
          <t>IRCON INTERNATIONAL LTD</t>
        </is>
      </c>
      <c r="C1918" s="97" t="n">
        <v>541956</v>
      </c>
      <c r="D1918" s="96" t="inlineStr">
        <is>
          <t>IRCON</t>
        </is>
      </c>
      <c r="E1918" s="96" t="inlineStr">
        <is>
          <t>Construction &amp; Engineering</t>
        </is>
      </c>
    </row>
    <row r="1919" ht="15" customHeight="1" s="109" thickBot="1">
      <c r="B1919" s="96" t="inlineStr">
        <is>
          <t>IRIS BUSINESS SERVICES LTD</t>
        </is>
      </c>
      <c r="C1919" s="97" t="n">
        <v>540735</v>
      </c>
      <c r="D1919" s="96" t="inlineStr">
        <is>
          <t>Not Listed</t>
        </is>
      </c>
      <c r="E1919" s="96" t="inlineStr">
        <is>
          <t>IT Software Products</t>
        </is>
      </c>
    </row>
    <row r="1920" ht="15" customHeight="1" s="109" thickBot="1">
      <c r="B1920" s="96" t="inlineStr">
        <is>
          <t>IRIS CLOTHINGS LTD</t>
        </is>
      </c>
      <c r="C1920" s="96" t="inlineStr">
        <is>
          <t>Not Listed</t>
        </is>
      </c>
      <c r="D1920" s="96" t="inlineStr">
        <is>
          <t>IRISDOREME</t>
        </is>
      </c>
      <c r="E1920" s="96" t="inlineStr">
        <is>
          <t>SME</t>
        </is>
      </c>
    </row>
    <row r="1921" ht="15" customHeight="1" s="109" thickBot="1">
      <c r="B1921" s="96" t="inlineStr">
        <is>
          <t>IRIS MEDIAWORKS LTD</t>
        </is>
      </c>
      <c r="C1921" s="97" t="n">
        <v>531337</v>
      </c>
      <c r="D1921" s="96" t="inlineStr">
        <is>
          <t>Not Listed</t>
        </is>
      </c>
      <c r="E1921" s="96" t="inlineStr">
        <is>
          <t>Other Financial Services</t>
        </is>
      </c>
    </row>
    <row r="1922" ht="15" customHeight="1" s="109" thickBot="1">
      <c r="B1922" s="96" t="inlineStr">
        <is>
          <t>ISF LTD</t>
        </is>
      </c>
      <c r="C1922" s="97" t="n">
        <v>526859</v>
      </c>
      <c r="D1922" s="96" t="inlineStr">
        <is>
          <t>Not Listed</t>
        </is>
      </c>
      <c r="E1922" s="96" t="inlineStr">
        <is>
          <t>Finance (including NBFCs)</t>
        </is>
      </c>
    </row>
    <row r="1923" ht="15" customHeight="1" s="109" thickBot="1">
      <c r="B1923" s="96" t="inlineStr">
        <is>
          <t>ISGEC HEAVY ENGINEERING LTD</t>
        </is>
      </c>
      <c r="C1923" s="97" t="n">
        <v>533033</v>
      </c>
      <c r="D1923" s="96" t="inlineStr">
        <is>
          <t>Not Listed</t>
        </is>
      </c>
      <c r="E1923" s="96" t="inlineStr">
        <is>
          <t>Industrial Machinery</t>
        </is>
      </c>
    </row>
    <row r="1924" ht="15" customHeight="1" s="109" thickBot="1">
      <c r="B1924" s="96" t="inlineStr">
        <is>
          <t>ISHAAN INFRASTRUCTURES AND SHELTERS LTD</t>
        </is>
      </c>
      <c r="C1924" s="97" t="n">
        <v>540134</v>
      </c>
      <c r="D1924" s="96" t="inlineStr">
        <is>
          <t>Not Listed</t>
        </is>
      </c>
      <c r="E1924" s="96" t="inlineStr">
        <is>
          <t>Construction &amp; Engineering</t>
        </is>
      </c>
    </row>
    <row r="1925" ht="15" customHeight="1" s="109" thickBot="1">
      <c r="B1925" s="96" t="inlineStr">
        <is>
          <t>ISHAN DYES &amp; CHEMICALS LTD</t>
        </is>
      </c>
      <c r="C1925" s="97" t="n">
        <v>531109</v>
      </c>
      <c r="D1925" s="96" t="inlineStr">
        <is>
          <t>Not Listed</t>
        </is>
      </c>
      <c r="E1925" s="96" t="inlineStr">
        <is>
          <t>Specialty Chemicals</t>
        </is>
      </c>
    </row>
    <row r="1926" ht="15" customHeight="1" s="109" thickBot="1">
      <c r="B1926" s="96" t="inlineStr">
        <is>
          <t>ISHITA DRUGS &amp; INDUSTRIES LTD</t>
        </is>
      </c>
      <c r="C1926" s="97" t="n">
        <v>524400</v>
      </c>
      <c r="D1926" s="96" t="inlineStr">
        <is>
          <t>Not Listed</t>
        </is>
      </c>
      <c r="E1926" s="96" t="inlineStr">
        <is>
          <t>Pharmaceuticals</t>
        </is>
      </c>
    </row>
    <row r="1927" ht="15" customHeight="1" s="109" thickBot="1">
      <c r="B1927" s="96" t="inlineStr">
        <is>
          <t>ISHWARSHAKTI HOLDINGS &amp; TRADERS LTD</t>
        </is>
      </c>
      <c r="C1927" s="97" t="n">
        <v>506161</v>
      </c>
      <c r="D1927" s="96" t="inlineStr">
        <is>
          <t>Not Listed</t>
        </is>
      </c>
      <c r="E1927" s="96" t="inlineStr">
        <is>
          <t>Finance (including NBFCs)</t>
        </is>
      </c>
    </row>
    <row r="1928" ht="15" customHeight="1" s="109" thickBot="1">
      <c r="B1928" s="96" t="inlineStr">
        <is>
          <t>ISL CONSULTING LTD</t>
        </is>
      </c>
      <c r="C1928" s="97" t="n">
        <v>511609</v>
      </c>
      <c r="D1928" s="96" t="inlineStr">
        <is>
          <t>Not Listed</t>
        </is>
      </c>
      <c r="E1928" s="96" t="inlineStr">
        <is>
          <t>Finance (including NBFCs)</t>
        </is>
      </c>
    </row>
    <row r="1929" ht="15" customHeight="1" s="109" thickBot="1">
      <c r="B1929" s="96" t="inlineStr">
        <is>
          <t>ISMT LTD</t>
        </is>
      </c>
      <c r="C1929" s="97" t="n">
        <v>532479</v>
      </c>
      <c r="D1929" s="96" t="inlineStr">
        <is>
          <t>ISMTLTD</t>
        </is>
      </c>
      <c r="E1929" s="96" t="inlineStr">
        <is>
          <t>Iron &amp; Steel/Interm.Products</t>
        </is>
      </c>
    </row>
    <row r="1930" ht="15" customHeight="1" s="109" thickBot="1">
      <c r="B1930" s="96" t="inlineStr">
        <is>
          <t>IST LTD</t>
        </is>
      </c>
      <c r="C1930" s="97" t="n">
        <v>508807</v>
      </c>
      <c r="D1930" s="96" t="inlineStr">
        <is>
          <t>Not Listed</t>
        </is>
      </c>
      <c r="E1930" s="96" t="inlineStr">
        <is>
          <t>Auto Parts &amp; Equipment</t>
        </is>
      </c>
    </row>
    <row r="1931" ht="15" customHeight="1" s="109" thickBot="1">
      <c r="B1931" s="96" t="inlineStr">
        <is>
          <t>ISTREET NETWORK LTD</t>
        </is>
      </c>
      <c r="C1931" s="97" t="n">
        <v>524622</v>
      </c>
      <c r="D1931" s="96" t="inlineStr">
        <is>
          <t>Not Listed</t>
        </is>
      </c>
      <c r="E1931" s="96" t="inlineStr">
        <is>
          <t>Internet &amp; Catalogue Retail</t>
        </is>
      </c>
    </row>
    <row r="1932" ht="15" customHeight="1" s="109" thickBot="1">
      <c r="B1932" s="96" t="inlineStr">
        <is>
          <t>ITC LTD</t>
        </is>
      </c>
      <c r="C1932" s="97" t="n">
        <v>500875</v>
      </c>
      <c r="D1932" s="96" t="inlineStr">
        <is>
          <t>ITC</t>
        </is>
      </c>
      <c r="E1932" s="96" t="inlineStr">
        <is>
          <t>Cigarettes-Tobacco Products</t>
        </is>
      </c>
    </row>
    <row r="1933" ht="15" customHeight="1" s="109" thickBot="1">
      <c r="B1933" s="96" t="inlineStr">
        <is>
          <t>ITD CEMENTATION (INDIA) LTD</t>
        </is>
      </c>
      <c r="C1933" s="97" t="n">
        <v>509496</v>
      </c>
      <c r="D1933" s="96" t="inlineStr">
        <is>
          <t>ITDCEM</t>
        </is>
      </c>
      <c r="E1933" s="96" t="inlineStr">
        <is>
          <t>Construction &amp; Engineering</t>
        </is>
      </c>
    </row>
    <row r="1934" ht="15" customHeight="1" s="109" thickBot="1">
      <c r="B1934" s="96" t="inlineStr">
        <is>
          <t>ITD CEMENTATION INDIA LTD</t>
        </is>
      </c>
      <c r="C1934" s="97" t="n">
        <v>509496</v>
      </c>
      <c r="D1934" s="96" t="inlineStr">
        <is>
          <t>ITDCEM</t>
        </is>
      </c>
      <c r="E1934" s="96" t="inlineStr">
        <is>
          <t>Construction &amp; Engineering</t>
        </is>
      </c>
    </row>
    <row r="1935" ht="15" customHeight="1" s="109" thickBot="1">
      <c r="B1935" s="96" t="inlineStr">
        <is>
          <t>ITI LTD</t>
        </is>
      </c>
      <c r="C1935" s="97" t="n">
        <v>523610</v>
      </c>
      <c r="D1935" s="96" t="inlineStr">
        <is>
          <t>ITI</t>
        </is>
      </c>
      <c r="E1935" s="96" t="inlineStr">
        <is>
          <t>Telecom Equipment</t>
        </is>
      </c>
    </row>
    <row r="1936" ht="15" customHeight="1" s="109" thickBot="1">
      <c r="B1936" s="96" t="inlineStr">
        <is>
          <t>ITL INDUSTRIES LTD</t>
        </is>
      </c>
      <c r="C1936" s="97" t="n">
        <v>522183</v>
      </c>
      <c r="D1936" s="96" t="inlineStr">
        <is>
          <t>Not Listed</t>
        </is>
      </c>
      <c r="E1936" s="96" t="inlineStr">
        <is>
          <t>Industrial Machinery</t>
        </is>
      </c>
    </row>
    <row r="1937" ht="15" customHeight="1" s="109" thickBot="1">
      <c r="B1937" s="96" t="inlineStr">
        <is>
          <t>IVP LTD</t>
        </is>
      </c>
      <c r="C1937" s="97" t="n">
        <v>507580</v>
      </c>
      <c r="D1937" s="96" t="inlineStr">
        <is>
          <t>IVP</t>
        </is>
      </c>
      <c r="E1937" s="96" t="inlineStr">
        <is>
          <t>Commodity Chemicals</t>
        </is>
      </c>
    </row>
    <row r="1938" ht="15" customHeight="1" s="109" thickBot="1">
      <c r="B1938" s="96" t="inlineStr">
        <is>
          <t>IVRCL LTD</t>
        </is>
      </c>
      <c r="C1938" s="97" t="n">
        <v>530773</v>
      </c>
      <c r="D1938" s="96" t="inlineStr">
        <is>
          <t>IVRCLINFRA</t>
        </is>
      </c>
      <c r="E1938" s="96" t="inlineStr">
        <is>
          <t>Construction &amp; Engineering</t>
        </is>
      </c>
    </row>
    <row r="1939" ht="15" customHeight="1" s="109" thickBot="1">
      <c r="B1939" s="96" t="inlineStr">
        <is>
          <t>IYKOT HITECH TOOLROOM LTD</t>
        </is>
      </c>
      <c r="C1939" s="97" t="n">
        <v>522245</v>
      </c>
      <c r="D1939" s="96" t="inlineStr">
        <is>
          <t>Not Listed</t>
        </is>
      </c>
      <c r="E1939" s="96" t="inlineStr">
        <is>
          <t>Other Industrial Goods</t>
        </is>
      </c>
    </row>
    <row r="1940" ht="15" customHeight="1" s="109" thickBot="1">
      <c r="B1940" s="96" t="inlineStr">
        <is>
          <t>IZMO LTD</t>
        </is>
      </c>
      <c r="C1940" s="97" t="n">
        <v>532341</v>
      </c>
      <c r="D1940" s="96" t="inlineStr">
        <is>
          <t>IZMO</t>
        </is>
      </c>
      <c r="E1940" s="96" t="inlineStr">
        <is>
          <t>IT Consulting &amp; Software</t>
        </is>
      </c>
    </row>
    <row r="1941" ht="15" customHeight="1" s="109" thickBot="1">
      <c r="B1941" s="96" t="inlineStr">
        <is>
          <t>J TAPARIA PROJECTS LTD</t>
        </is>
      </c>
      <c r="C1941" s="97" t="n">
        <v>538539</v>
      </c>
      <c r="D1941" s="96" t="inlineStr">
        <is>
          <t>Not Listed</t>
        </is>
      </c>
      <c r="E1941" s="96" t="inlineStr">
        <is>
          <t>Investment Companies</t>
        </is>
      </c>
    </row>
    <row r="1942" ht="15" customHeight="1" s="109" thickBot="1">
      <c r="B1942" s="96" t="inlineStr">
        <is>
          <t>J J EXPORTERS LTD</t>
        </is>
      </c>
      <c r="C1942" s="97" t="n">
        <v>530049</v>
      </c>
      <c r="D1942" s="96" t="inlineStr">
        <is>
          <t>Not Listed</t>
        </is>
      </c>
      <c r="E1942" s="96" t="inlineStr">
        <is>
          <t>Textiles</t>
        </is>
      </c>
    </row>
    <row r="1943" ht="15" customHeight="1" s="109" thickBot="1">
      <c r="B1943" s="96" t="inlineStr">
        <is>
          <t>J J FINANCE CORPORATION LTD</t>
        </is>
      </c>
      <c r="C1943" s="97" t="n">
        <v>523062</v>
      </c>
      <c r="D1943" s="96" t="inlineStr">
        <is>
          <t>Not Listed</t>
        </is>
      </c>
      <c r="E1943" s="96" t="inlineStr">
        <is>
          <t>Finance (including NBFCs)</t>
        </is>
      </c>
    </row>
    <row r="1944" ht="15" customHeight="1" s="109" thickBot="1">
      <c r="B1944" s="96" t="inlineStr">
        <is>
          <t>J KUMAR INFRAPROJECTS LTD</t>
        </is>
      </c>
      <c r="C1944" s="97" t="n">
        <v>532940</v>
      </c>
      <c r="D1944" s="96" t="inlineStr">
        <is>
          <t>JKIL</t>
        </is>
      </c>
      <c r="E1944" s="96" t="inlineStr">
        <is>
          <t>Construction &amp; Engineering</t>
        </is>
      </c>
    </row>
    <row r="1945" ht="15" customHeight="1" s="109" thickBot="1">
      <c r="B1945" s="96" t="inlineStr">
        <is>
          <t>J L MORISON (INDIA) LTD</t>
        </is>
      </c>
      <c r="C1945" s="97" t="n">
        <v>506522</v>
      </c>
      <c r="D1945" s="96" t="inlineStr">
        <is>
          <t>Not Listed</t>
        </is>
      </c>
      <c r="E1945" s="96" t="inlineStr">
        <is>
          <t>Personal Products</t>
        </is>
      </c>
    </row>
    <row r="1946" ht="15" customHeight="1" s="109" thickBot="1">
      <c r="B1946" s="96" t="inlineStr">
        <is>
          <t>J L MORISON INDIA LTD</t>
        </is>
      </c>
      <c r="C1946" s="97" t="n">
        <v>506522</v>
      </c>
      <c r="D1946" s="96" t="inlineStr">
        <is>
          <t>Not Listed</t>
        </is>
      </c>
      <c r="E1946" s="96" t="inlineStr">
        <is>
          <t>Personal Products</t>
        </is>
      </c>
    </row>
    <row r="1947" ht="15" customHeight="1" s="109" thickBot="1">
      <c r="B1947" s="96" t="inlineStr">
        <is>
          <t>J R FOODS LTD</t>
        </is>
      </c>
      <c r="C1947" s="97" t="n">
        <v>530915</v>
      </c>
      <c r="D1947" s="96" t="inlineStr">
        <is>
          <t>Not Listed</t>
        </is>
      </c>
      <c r="E1947" s="96" t="inlineStr">
        <is>
          <t>Edible Oils</t>
        </is>
      </c>
    </row>
    <row r="1948" ht="15" customHeight="1" s="109" thickBot="1">
      <c r="B1948" s="96" t="inlineStr">
        <is>
          <t>JACKSON INVESTMENTS LTD</t>
        </is>
      </c>
      <c r="C1948" s="97" t="n">
        <v>538422</v>
      </c>
      <c r="D1948" s="96" t="inlineStr">
        <is>
          <t>Not Listed</t>
        </is>
      </c>
      <c r="E1948" s="96" t="inlineStr">
        <is>
          <t>Investment Companies</t>
        </is>
      </c>
    </row>
    <row r="1949" ht="15" customHeight="1" s="109" thickBot="1">
      <c r="B1949" s="96" t="inlineStr">
        <is>
          <t>JAGAN LAMPS LTD</t>
        </is>
      </c>
      <c r="C1949" s="97" t="n">
        <v>530711</v>
      </c>
      <c r="D1949" s="96" t="inlineStr">
        <is>
          <t>Not Listed</t>
        </is>
      </c>
      <c r="E1949" s="96" t="inlineStr">
        <is>
          <t>Auto Parts &amp; Equipment</t>
        </is>
      </c>
    </row>
    <row r="1950" ht="15" customHeight="1" s="109" thickBot="1">
      <c r="B1950" s="96" t="inlineStr">
        <is>
          <t>JAGATJIT INDUSTRIES LTD</t>
        </is>
      </c>
      <c r="C1950" s="97" t="n">
        <v>507155</v>
      </c>
      <c r="D1950" s="96" t="inlineStr">
        <is>
          <t>Not Listed</t>
        </is>
      </c>
      <c r="E1950" s="96" t="inlineStr">
        <is>
          <t>Breweries &amp; Distilleries</t>
        </is>
      </c>
    </row>
    <row r="1951" ht="15" customHeight="1" s="109" thickBot="1">
      <c r="B1951" s="96" t="inlineStr">
        <is>
          <t>JAGJANANI TEXTILES LTD</t>
        </is>
      </c>
      <c r="C1951" s="97" t="n">
        <v>532825</v>
      </c>
      <c r="D1951" s="96" t="inlineStr">
        <is>
          <t>Not Listed</t>
        </is>
      </c>
      <c r="E1951" s="96" t="inlineStr">
        <is>
          <t>Textiles</t>
        </is>
      </c>
    </row>
    <row r="1952" ht="15" customHeight="1" s="109" thickBot="1">
      <c r="B1952" s="96" t="inlineStr">
        <is>
          <t>JAGRAN PRAKASHAN LTD</t>
        </is>
      </c>
      <c r="C1952" s="97" t="n">
        <v>532705</v>
      </c>
      <c r="D1952" s="96" t="inlineStr">
        <is>
          <t>JAGRAN</t>
        </is>
      </c>
      <c r="E1952" s="96" t="inlineStr">
        <is>
          <t>Publishing</t>
        </is>
      </c>
    </row>
    <row r="1953" ht="15" customHeight="1" s="109" thickBot="1">
      <c r="B1953" s="96" t="inlineStr">
        <is>
          <t>JAGSON AIRLINES LTD</t>
        </is>
      </c>
      <c r="C1953" s="97" t="n">
        <v>520139</v>
      </c>
      <c r="D1953" s="96" t="inlineStr">
        <is>
          <t>Not Listed</t>
        </is>
      </c>
      <c r="E1953" s="96" t="inlineStr">
        <is>
          <t>Airlines</t>
        </is>
      </c>
    </row>
    <row r="1954" ht="15" customHeight="1" s="109" thickBot="1">
      <c r="B1954" s="96" t="inlineStr">
        <is>
          <t>JAGSONPAL FINANCE &amp; LEASING LTD</t>
        </is>
      </c>
      <c r="C1954" s="97" t="n">
        <v>530601</v>
      </c>
      <c r="D1954" s="96" t="inlineStr">
        <is>
          <t>Not Listed</t>
        </is>
      </c>
      <c r="E1954" s="96" t="inlineStr">
        <is>
          <t>Finance (including NBFCs)</t>
        </is>
      </c>
    </row>
    <row r="1955" ht="15" customHeight="1" s="109" thickBot="1">
      <c r="B1955" s="96" t="inlineStr">
        <is>
          <t>JAGSONPAL PHARMACEUTICALS LTD</t>
        </is>
      </c>
      <c r="C1955" s="97" t="n">
        <v>507789</v>
      </c>
      <c r="D1955" s="96" t="inlineStr">
        <is>
          <t>JAGSNPHARM</t>
        </is>
      </c>
      <c r="E1955" s="96" t="inlineStr">
        <is>
          <t>Pharmaceuticals</t>
        </is>
      </c>
    </row>
    <row r="1956" ht="15" customHeight="1" s="109" thickBot="1">
      <c r="B1956" s="96" t="inlineStr">
        <is>
          <t>JAI BALAJI INDUSTRIES LTD</t>
        </is>
      </c>
      <c r="C1956" s="97" t="n">
        <v>532976</v>
      </c>
      <c r="D1956" s="96" t="inlineStr">
        <is>
          <t>JAIBALAJI</t>
        </is>
      </c>
      <c r="E1956" s="96" t="inlineStr">
        <is>
          <t>Iron &amp; Steel/Interm.Products</t>
        </is>
      </c>
    </row>
    <row r="1957" ht="15" customHeight="1" s="109" thickBot="1">
      <c r="B1957" s="96" t="inlineStr">
        <is>
          <t>JAI CORP LTD</t>
        </is>
      </c>
      <c r="C1957" s="97" t="n">
        <v>512237</v>
      </c>
      <c r="D1957" s="96" t="inlineStr">
        <is>
          <t>JAICORPLTD</t>
        </is>
      </c>
      <c r="E1957" s="96" t="inlineStr">
        <is>
          <t>Iron &amp; Steel/Interm.Products</t>
        </is>
      </c>
    </row>
    <row r="1958" ht="15" customHeight="1" s="109" thickBot="1">
      <c r="B1958" s="96" t="inlineStr">
        <is>
          <t>JAI MATA GLASS LTD</t>
        </is>
      </c>
      <c r="C1958" s="97" t="n">
        <v>523467</v>
      </c>
      <c r="D1958" s="96" t="inlineStr">
        <is>
          <t>Not Listed</t>
        </is>
      </c>
      <c r="E1958" s="96" t="inlineStr">
        <is>
          <t>Construction Materials</t>
        </is>
      </c>
    </row>
    <row r="1959" ht="15" customHeight="1" s="109" thickBot="1">
      <c r="B1959" s="96" t="inlineStr">
        <is>
          <t>JAIHIND PROJECTS LTD</t>
        </is>
      </c>
      <c r="C1959" s="97" t="n">
        <v>531339</v>
      </c>
      <c r="D1959" s="96" t="inlineStr">
        <is>
          <t>JAIHINDPRO</t>
        </is>
      </c>
      <c r="E1959" s="96" t="inlineStr">
        <is>
          <t>Construction &amp; Engineering</t>
        </is>
      </c>
    </row>
    <row r="1960" ht="15" customHeight="1" s="109" thickBot="1">
      <c r="B1960" s="96" t="inlineStr">
        <is>
          <t>JAIHIND SYNTHETICS LTD</t>
        </is>
      </c>
      <c r="C1960" s="97" t="n">
        <v>514312</v>
      </c>
      <c r="D1960" s="96" t="inlineStr">
        <is>
          <t>Not Listed</t>
        </is>
      </c>
      <c r="E1960" s="96" t="inlineStr">
        <is>
          <t>Textiles</t>
        </is>
      </c>
    </row>
    <row r="1961" ht="15" customHeight="1" s="109" thickBot="1">
      <c r="B1961" s="96" t="inlineStr">
        <is>
          <t>JAIN IRRIGATION SYSTEMS LTD</t>
        </is>
      </c>
      <c r="C1961" s="97" t="n">
        <v>500219</v>
      </c>
      <c r="D1961" s="96" t="inlineStr">
        <is>
          <t>JISLJALEQS</t>
        </is>
      </c>
      <c r="E1961" s="96" t="inlineStr">
        <is>
          <t>Plastic Products</t>
        </is>
      </c>
    </row>
    <row r="1962" ht="15" customHeight="1" s="109" thickBot="1">
      <c r="B1962" s="96" t="inlineStr">
        <is>
          <t>JAIN IRRIGATION SYSTEMS LTD</t>
        </is>
      </c>
      <c r="C1962" s="97" t="n">
        <v>570004</v>
      </c>
      <c r="D1962" s="96" t="inlineStr">
        <is>
          <t>JISLDVREQS</t>
        </is>
      </c>
      <c r="E1962" s="96" t="inlineStr">
        <is>
          <t>Plastic Products</t>
        </is>
      </c>
    </row>
    <row r="1963" ht="15" customHeight="1" s="109" thickBot="1">
      <c r="B1963" s="96" t="inlineStr">
        <is>
          <t>JAIN MARMO INDUSTRIES LTD</t>
        </is>
      </c>
      <c r="C1963" s="97" t="n">
        <v>539119</v>
      </c>
      <c r="D1963" s="96" t="inlineStr">
        <is>
          <t>Not Listed</t>
        </is>
      </c>
      <c r="E1963" s="96" t="inlineStr">
        <is>
          <t>Construction Materials</t>
        </is>
      </c>
    </row>
    <row r="1964" ht="15" customHeight="1" s="109" thickBot="1">
      <c r="B1964" s="96" t="inlineStr">
        <is>
          <t>JAIN STUDIOS LTD</t>
        </is>
      </c>
      <c r="C1964" s="97" t="n">
        <v>532033</v>
      </c>
      <c r="D1964" s="96" t="inlineStr">
        <is>
          <t>JAINSTUDIO</t>
        </is>
      </c>
      <c r="E1964" s="96" t="inlineStr">
        <is>
          <t>Broadcasting &amp; Cable TV</t>
        </is>
      </c>
    </row>
    <row r="1965" ht="15" customHeight="1" s="109" thickBot="1">
      <c r="B1965" s="96" t="inlineStr">
        <is>
          <t>JAINCO PROJECTS (INDIA) LTD</t>
        </is>
      </c>
      <c r="C1965" s="97" t="n">
        <v>526865</v>
      </c>
      <c r="D1965" s="96" t="inlineStr">
        <is>
          <t>Not Listed</t>
        </is>
      </c>
      <c r="E1965" s="96" t="inlineStr">
        <is>
          <t>Comm.Trading &amp; Distribution</t>
        </is>
      </c>
    </row>
    <row r="1966" ht="15" customHeight="1" s="109" thickBot="1">
      <c r="B1966" s="96" t="inlineStr">
        <is>
          <t>JAINCO PROJECTS INDIA LTD</t>
        </is>
      </c>
      <c r="C1966" s="97" t="n">
        <v>526865</v>
      </c>
      <c r="D1966" s="96" t="inlineStr">
        <is>
          <t>Not Listed</t>
        </is>
      </c>
      <c r="E1966" s="96" t="inlineStr">
        <is>
          <t>Comm.Trading &amp; Distribution</t>
        </is>
      </c>
    </row>
    <row r="1967" ht="15" customHeight="1" s="109" thickBot="1">
      <c r="B1967" s="96" t="inlineStr">
        <is>
          <t>JAINEX AAMCOL LTD</t>
        </is>
      </c>
      <c r="C1967" s="97" t="n">
        <v>505212</v>
      </c>
      <c r="D1967" s="96" t="inlineStr">
        <is>
          <t>Not Listed</t>
        </is>
      </c>
      <c r="E1967" s="96" t="inlineStr">
        <is>
          <t>Auto Parts &amp; Equipment</t>
        </is>
      </c>
    </row>
    <row r="1968" ht="15" customHeight="1" s="109" thickBot="1">
      <c r="B1968" s="96" t="inlineStr">
        <is>
          <t>JAIPAN INDUSTRIES LTD</t>
        </is>
      </c>
      <c r="C1968" s="97" t="n">
        <v>505840</v>
      </c>
      <c r="D1968" s="96" t="inlineStr">
        <is>
          <t>Not Listed</t>
        </is>
      </c>
      <c r="E1968" s="96" t="inlineStr">
        <is>
          <t>Household Appliances</t>
        </is>
      </c>
    </row>
    <row r="1969" ht="15" customHeight="1" s="109" thickBot="1">
      <c r="B1969" s="96" t="inlineStr">
        <is>
          <t>JAIPRAKASH ASSOCIATES LTD</t>
        </is>
      </c>
      <c r="C1969" s="97" t="n">
        <v>532532</v>
      </c>
      <c r="D1969" s="96" t="inlineStr">
        <is>
          <t>JPASSOCIAT</t>
        </is>
      </c>
      <c r="E1969" s="96" t="inlineStr">
        <is>
          <t>Construction &amp; Engineering</t>
        </is>
      </c>
    </row>
    <row r="1970" ht="15" customHeight="1" s="109" thickBot="1">
      <c r="B1970" s="96" t="inlineStr">
        <is>
          <t>JAIPRAKASH POWER VENTURES LTD</t>
        </is>
      </c>
      <c r="C1970" s="97" t="n">
        <v>532627</v>
      </c>
      <c r="D1970" s="96" t="inlineStr">
        <is>
          <t>JPPOWER</t>
        </is>
      </c>
      <c r="E1970" s="96" t="inlineStr">
        <is>
          <t>Electric Utilities</t>
        </is>
      </c>
    </row>
    <row r="1971" ht="15" customHeight="1" s="109" thickBot="1">
      <c r="B1971" s="96" t="inlineStr">
        <is>
          <t>JAISUKH DEALERS LTD</t>
        </is>
      </c>
      <c r="C1971" s="97" t="n">
        <v>780001</v>
      </c>
      <c r="D1971" s="96" t="inlineStr">
        <is>
          <t>Not Listed</t>
        </is>
      </c>
      <c r="E1971" s="96" t="inlineStr">
        <is>
          <t>Others</t>
        </is>
      </c>
    </row>
    <row r="1972" ht="15" customHeight="1" s="109" thickBot="1">
      <c r="B1972" s="96" t="inlineStr">
        <is>
          <t>JAKHARIA FABRIC LTD</t>
        </is>
      </c>
      <c r="C1972" s="96" t="inlineStr">
        <is>
          <t>Not Listed</t>
        </is>
      </c>
      <c r="D1972" s="96" t="inlineStr">
        <is>
          <t>JAKHARIA</t>
        </is>
      </c>
      <c r="E1972" s="96" t="inlineStr">
        <is>
          <t>SME</t>
        </is>
      </c>
    </row>
    <row r="1973" ht="15" customHeight="1" s="109" thickBot="1">
      <c r="B1973" s="96" t="inlineStr">
        <is>
          <t>JALAN TRANSOLUTIONS (INDIA) LTD</t>
        </is>
      </c>
      <c r="C1973" s="96" t="inlineStr">
        <is>
          <t>Not Listed</t>
        </is>
      </c>
      <c r="D1973" s="96" t="inlineStr">
        <is>
          <t>JALAN</t>
        </is>
      </c>
      <c r="E1973" s="96" t="inlineStr">
        <is>
          <t>SME</t>
        </is>
      </c>
    </row>
    <row r="1974" ht="15" customHeight="1" s="109" thickBot="1">
      <c r="B1974" s="96" t="inlineStr">
        <is>
          <t>JALAN TRANSOLUTIONS INDIA LTD</t>
        </is>
      </c>
      <c r="C1974" s="96" t="inlineStr">
        <is>
          <t>Not Listed</t>
        </is>
      </c>
      <c r="D1974" s="96" t="inlineStr">
        <is>
          <t>JALAN</t>
        </is>
      </c>
      <c r="E1974" s="96" t="inlineStr">
        <is>
          <t>SME</t>
        </is>
      </c>
    </row>
    <row r="1975" ht="15" customHeight="1" s="109" thickBot="1">
      <c r="B1975" s="96" t="inlineStr">
        <is>
          <t>JAMES WARREN TEA LTD</t>
        </is>
      </c>
      <c r="C1975" s="97" t="n">
        <v>538564</v>
      </c>
      <c r="D1975" s="96" t="inlineStr">
        <is>
          <t>Not Listed</t>
        </is>
      </c>
      <c r="E1975" s="96" t="inlineStr">
        <is>
          <t>Tea &amp; Coffee</t>
        </is>
      </c>
    </row>
    <row r="1976" ht="15" customHeight="1" s="109" thickBot="1">
      <c r="B1976" s="96" t="inlineStr">
        <is>
          <t>JAMNA AUTO INDUSTRIES LTD</t>
        </is>
      </c>
      <c r="C1976" s="97" t="n">
        <v>520051</v>
      </c>
      <c r="D1976" s="96" t="inlineStr">
        <is>
          <t>JAMNAAUTO</t>
        </is>
      </c>
      <c r="E1976" s="96" t="inlineStr">
        <is>
          <t>Auto Parts &amp; Equipment</t>
        </is>
      </c>
    </row>
    <row r="1977" ht="15" customHeight="1" s="109" thickBot="1">
      <c r="B1977" s="96" t="inlineStr">
        <is>
          <t>JAMSHRI RANJITSINGHJI SPG &amp; WVG MILLS CO LTD</t>
        </is>
      </c>
      <c r="C1977" s="97" t="n">
        <v>502901</v>
      </c>
      <c r="D1977" s="96" t="inlineStr">
        <is>
          <t>Not Listed</t>
        </is>
      </c>
      <c r="E1977" s="96" t="inlineStr">
        <is>
          <t>Textiles</t>
        </is>
      </c>
    </row>
    <row r="1978" ht="15" customHeight="1" s="109" thickBot="1">
      <c r="B1978" s="96" t="inlineStr">
        <is>
          <t>JASCH INDUSTRIES LTD</t>
        </is>
      </c>
      <c r="C1978" s="97" t="n">
        <v>500220</v>
      </c>
      <c r="D1978" s="96" t="inlineStr">
        <is>
          <t>Not Listed</t>
        </is>
      </c>
      <c r="E1978" s="96" t="inlineStr">
        <is>
          <t>Textiles</t>
        </is>
      </c>
    </row>
    <row r="1979" ht="15" customHeight="1" s="109" thickBot="1">
      <c r="B1979" s="96" t="inlineStr">
        <is>
          <t>JASH DEALMARK LTD</t>
        </is>
      </c>
      <c r="C1979" s="97" t="n">
        <v>540394</v>
      </c>
      <c r="D1979" s="96" t="inlineStr">
        <is>
          <t>Not Listed</t>
        </is>
      </c>
      <c r="E1979" s="96" t="inlineStr">
        <is>
          <t>Comm.Trading &amp; Distribution</t>
        </is>
      </c>
    </row>
    <row r="1980" ht="15" customHeight="1" s="109" thickBot="1">
      <c r="B1980" s="96" t="inlineStr">
        <is>
          <t>JASH ENGINEERING LTD</t>
        </is>
      </c>
      <c r="C1980" s="96" t="inlineStr">
        <is>
          <t>Not Listed</t>
        </is>
      </c>
      <c r="D1980" s="96" t="inlineStr">
        <is>
          <t>JASH</t>
        </is>
      </c>
      <c r="E1980" s="96" t="inlineStr">
        <is>
          <t>SME</t>
        </is>
      </c>
    </row>
    <row r="1981" ht="15" customHeight="1" s="109" thickBot="1">
      <c r="B1981" s="96" t="inlineStr">
        <is>
          <t>JATTASHANKAR INDUSTIES LTD</t>
        </is>
      </c>
      <c r="C1981" s="97" t="n">
        <v>514318</v>
      </c>
      <c r="D1981" s="96" t="inlineStr">
        <is>
          <t>Not Listed</t>
        </is>
      </c>
      <c r="E1981" s="96" t="inlineStr">
        <is>
          <t>Textiles</t>
        </is>
      </c>
    </row>
    <row r="1982" ht="15" customHeight="1" s="109" thickBot="1">
      <c r="B1982" s="96" t="inlineStr">
        <is>
          <t>JAUSS POLYMERS LTD</t>
        </is>
      </c>
      <c r="C1982" s="97" t="n">
        <v>526001</v>
      </c>
      <c r="D1982" s="96" t="inlineStr">
        <is>
          <t>Not Listed</t>
        </is>
      </c>
      <c r="E1982" s="96" t="inlineStr">
        <is>
          <t>Containers &amp; Packaging</t>
        </is>
      </c>
    </row>
    <row r="1983" ht="15" customHeight="1" s="109" thickBot="1">
      <c r="B1983" s="96" t="inlineStr">
        <is>
          <t>JAY BHARAT MARUTI LTD</t>
        </is>
      </c>
      <c r="C1983" s="97" t="n">
        <v>520066</v>
      </c>
      <c r="D1983" s="96" t="inlineStr">
        <is>
          <t>JAYBARMARU</t>
        </is>
      </c>
      <c r="E1983" s="96" t="inlineStr">
        <is>
          <t>Auto Parts &amp; Equipment</t>
        </is>
      </c>
    </row>
    <row r="1984" ht="15" customHeight="1" s="109" thickBot="1">
      <c r="B1984" s="96" t="inlineStr">
        <is>
          <t>JAY SHREE TEA &amp; INDUSTRIES LTD</t>
        </is>
      </c>
      <c r="C1984" s="97" t="n">
        <v>509715</v>
      </c>
      <c r="D1984" s="96" t="inlineStr">
        <is>
          <t>Not Listed</t>
        </is>
      </c>
      <c r="E1984" s="96" t="inlineStr">
        <is>
          <t>Tea &amp; Coffee</t>
        </is>
      </c>
    </row>
    <row r="1985" ht="15" customHeight="1" s="109" thickBot="1">
      <c r="B1985" s="96" t="inlineStr">
        <is>
          <t>JAY USHIN LTD</t>
        </is>
      </c>
      <c r="C1985" s="97" t="n">
        <v>513252</v>
      </c>
      <c r="D1985" s="96" t="inlineStr">
        <is>
          <t>Not Listed</t>
        </is>
      </c>
      <c r="E1985" s="96" t="inlineStr">
        <is>
          <t>Auto Parts &amp; Equipment</t>
        </is>
      </c>
    </row>
    <row r="1986" ht="15" customHeight="1" s="109" thickBot="1">
      <c r="B1986" s="96" t="inlineStr">
        <is>
          <t>JAYANT AGRO ORGANICS LTD</t>
        </is>
      </c>
      <c r="C1986" s="97" t="n">
        <v>524330</v>
      </c>
      <c r="D1986" s="96" t="inlineStr">
        <is>
          <t>JAYAGROGN</t>
        </is>
      </c>
      <c r="E1986" s="96" t="inlineStr">
        <is>
          <t>Specialty Chemicals</t>
        </is>
      </c>
    </row>
    <row r="1987" ht="15" customHeight="1" s="109" thickBot="1">
      <c r="B1987" s="96" t="inlineStr">
        <is>
          <t>JAYASWAL NECO INDUSTRIES LTD</t>
        </is>
      </c>
      <c r="C1987" s="97" t="n">
        <v>522285</v>
      </c>
      <c r="D1987" s="96" t="inlineStr">
        <is>
          <t>JAYNECOIND</t>
        </is>
      </c>
      <c r="E1987" s="96" t="inlineStr">
        <is>
          <t>Iron &amp; Steel/Interm.Products</t>
        </is>
      </c>
    </row>
    <row r="1988" ht="15" customHeight="1" s="109" thickBot="1">
      <c r="B1988" s="96" t="inlineStr">
        <is>
          <t>JAYATMA ENTERPRISES LTD</t>
        </is>
      </c>
      <c r="C1988" s="97" t="n">
        <v>539005</v>
      </c>
      <c r="D1988" s="96" t="inlineStr">
        <is>
          <t>Not Listed</t>
        </is>
      </c>
      <c r="E1988" s="96" t="inlineStr">
        <is>
          <t>Misc.Commercial Services</t>
        </is>
      </c>
    </row>
    <row r="1989" ht="15" customHeight="1" s="109" thickBot="1">
      <c r="B1989" s="96" t="inlineStr">
        <is>
          <t>JAYATMA INDUSTRIES LTD</t>
        </is>
      </c>
      <c r="C1989" s="97" t="n">
        <v>531323</v>
      </c>
      <c r="D1989" s="96" t="inlineStr">
        <is>
          <t>Not Listed</t>
        </is>
      </c>
      <c r="E1989" s="96" t="inlineStr">
        <is>
          <t>Textiles</t>
        </is>
      </c>
    </row>
    <row r="1990" ht="15" customHeight="1" s="109" thickBot="1">
      <c r="B1990" s="96" t="inlineStr">
        <is>
          <t>JAYBHARAT TEXTILES &amp; REAL ESTATE LTD</t>
        </is>
      </c>
      <c r="C1990" s="97" t="n">
        <v>512233</v>
      </c>
      <c r="D1990" s="96" t="inlineStr">
        <is>
          <t>Not Listed</t>
        </is>
      </c>
      <c r="E1990" s="96" t="inlineStr">
        <is>
          <t>Textiles</t>
        </is>
      </c>
    </row>
    <row r="1991" ht="15" customHeight="1" s="109" thickBot="1">
      <c r="B1991" s="96" t="inlineStr">
        <is>
          <t>JAYKAY ENTERPRISES LTD</t>
        </is>
      </c>
      <c r="C1991" s="97" t="n">
        <v>500306</v>
      </c>
      <c r="D1991" s="96" t="inlineStr">
        <is>
          <t>Not Listed</t>
        </is>
      </c>
      <c r="E1991" s="96" t="inlineStr">
        <is>
          <t>Finance (including NBFCs)</t>
        </is>
      </c>
    </row>
    <row r="1992" ht="15" customHeight="1" s="109" thickBot="1">
      <c r="B1992" s="96" t="inlineStr">
        <is>
          <t>JAYPEE INFRATECH LTD</t>
        </is>
      </c>
      <c r="C1992" s="97" t="n">
        <v>533207</v>
      </c>
      <c r="D1992" s="96" t="inlineStr">
        <is>
          <t>JPINFRATEC</t>
        </is>
      </c>
      <c r="E1992" s="96" t="inlineStr">
        <is>
          <t>Roads &amp; Highways</t>
        </is>
      </c>
    </row>
    <row r="1993" ht="15" customHeight="1" s="109" thickBot="1">
      <c r="B1993" s="96" t="inlineStr">
        <is>
          <t>JAYSHREE CHEMICALS LTD</t>
        </is>
      </c>
      <c r="C1993" s="97" t="n">
        <v>506520</v>
      </c>
      <c r="D1993" s="96" t="inlineStr">
        <is>
          <t>Not Listed</t>
        </is>
      </c>
      <c r="E1993" s="96" t="inlineStr">
        <is>
          <t>Commodity Chemicals</t>
        </is>
      </c>
    </row>
    <row r="1994" ht="15" customHeight="1" s="109" thickBot="1">
      <c r="B1994" s="96" t="inlineStr">
        <is>
          <t>JAYSHREE TEA &amp; INDUSTRIES LTD</t>
        </is>
      </c>
      <c r="C1994" s="96" t="inlineStr">
        <is>
          <t>Not Listed</t>
        </is>
      </c>
      <c r="D1994" s="96" t="inlineStr">
        <is>
          <t>JAYSREETEA</t>
        </is>
      </c>
      <c r="E1994" s="96" t="inlineStr">
        <is>
          <t>Others</t>
        </is>
      </c>
    </row>
    <row r="1995" ht="15" customHeight="1" s="109" thickBot="1">
      <c r="B1995" s="96" t="inlineStr">
        <is>
          <t>JAYSYNTH DYESTUFF (INDIA) LTD</t>
        </is>
      </c>
      <c r="C1995" s="97" t="n">
        <v>506910</v>
      </c>
      <c r="D1995" s="96" t="inlineStr">
        <is>
          <t>Not Listed</t>
        </is>
      </c>
      <c r="E1995" s="96" t="inlineStr">
        <is>
          <t>Specialty Chemicals</t>
        </is>
      </c>
    </row>
    <row r="1996" ht="15" customHeight="1" s="109" thickBot="1">
      <c r="B1996" s="96" t="inlineStr">
        <is>
          <t>JAYSYNTH DYESTUFF INDIA LTD</t>
        </is>
      </c>
      <c r="C1996" s="97" t="n">
        <v>506910</v>
      </c>
      <c r="D1996" s="96" t="inlineStr">
        <is>
          <t>Not Listed</t>
        </is>
      </c>
      <c r="E1996" s="96" t="inlineStr">
        <is>
          <t>Specialty Chemicals</t>
        </is>
      </c>
    </row>
    <row r="1997" ht="15" customHeight="1" s="109" thickBot="1">
      <c r="B1997" s="96" t="inlineStr">
        <is>
          <t>JB CHEMICALS &amp; PHARMACEUTICALS LTD</t>
        </is>
      </c>
      <c r="C1997" s="97" t="n">
        <v>506943</v>
      </c>
      <c r="D1997" s="96" t="inlineStr">
        <is>
          <t>JBCHEPHARM</t>
        </is>
      </c>
      <c r="E1997" s="96" t="inlineStr">
        <is>
          <t>Pharmaceuticals</t>
        </is>
      </c>
    </row>
    <row r="1998" ht="15" customHeight="1" s="109" thickBot="1">
      <c r="B1998" s="96" t="inlineStr">
        <is>
          <t>JBF INDUSTRIES LTD</t>
        </is>
      </c>
      <c r="C1998" s="97" t="n">
        <v>514034</v>
      </c>
      <c r="D1998" s="96" t="inlineStr">
        <is>
          <t>JBFIND</t>
        </is>
      </c>
      <c r="E1998" s="96" t="inlineStr">
        <is>
          <t>Fibres &amp; Plastics</t>
        </is>
      </c>
    </row>
    <row r="1999" ht="15" customHeight="1" s="109" thickBot="1">
      <c r="B1999" s="96" t="inlineStr">
        <is>
          <t>JBM AUTO LTD</t>
        </is>
      </c>
      <c r="C1999" s="97" t="n">
        <v>532605</v>
      </c>
      <c r="D1999" s="96" t="inlineStr">
        <is>
          <t>JBMA</t>
        </is>
      </c>
      <c r="E1999" s="96" t="inlineStr">
        <is>
          <t>Auto Parts &amp; Equipment</t>
        </is>
      </c>
    </row>
    <row r="2000" ht="15" customHeight="1" s="109" thickBot="1">
      <c r="B2000" s="96" t="inlineStr">
        <is>
          <t>JCT LTD</t>
        </is>
      </c>
      <c r="C2000" s="97" t="n">
        <v>500223</v>
      </c>
      <c r="D2000" s="96" t="inlineStr">
        <is>
          <t>Not Listed</t>
        </is>
      </c>
      <c r="E2000" s="96" t="inlineStr">
        <is>
          <t>Textiles</t>
        </is>
      </c>
    </row>
    <row r="2001" ht="15" customHeight="1" s="109" thickBot="1">
      <c r="B2001" s="96" t="inlineStr">
        <is>
          <t>JD ORGOCHEM LTD</t>
        </is>
      </c>
      <c r="C2001" s="97" t="n">
        <v>524592</v>
      </c>
      <c r="D2001" s="96" t="inlineStr">
        <is>
          <t>Not Listed</t>
        </is>
      </c>
      <c r="E2001" s="96" t="inlineStr">
        <is>
          <t>Specialty Chemicals</t>
        </is>
      </c>
    </row>
    <row r="2002" ht="15" customHeight="1" s="109" thickBot="1">
      <c r="B2002" s="96" t="inlineStr">
        <is>
          <t>JEEVAN SCIENTIFIC TECHNOLOGY LTD</t>
        </is>
      </c>
      <c r="C2002" s="97" t="n">
        <v>538837</v>
      </c>
      <c r="D2002" s="96" t="inlineStr">
        <is>
          <t>Not Listed</t>
        </is>
      </c>
      <c r="E2002" s="96" t="inlineStr">
        <is>
          <t>Internet Software &amp; Services</t>
        </is>
      </c>
    </row>
    <row r="2003" ht="15" customHeight="1" s="109" thickBot="1">
      <c r="B2003" s="96" t="inlineStr">
        <is>
          <t>JENBURKT PHARMACEUTICALS LTD</t>
        </is>
      </c>
      <c r="C2003" s="97" t="n">
        <v>524731</v>
      </c>
      <c r="D2003" s="96" t="inlineStr">
        <is>
          <t>Not Listed</t>
        </is>
      </c>
      <c r="E2003" s="96" t="inlineStr">
        <is>
          <t>Pharmaceuticals</t>
        </is>
      </c>
    </row>
    <row r="2004" ht="15" customHeight="1" s="109" thickBot="1">
      <c r="B2004" s="96" t="inlineStr">
        <is>
          <t>JET AIRWAYS (INDIA) LTD</t>
        </is>
      </c>
      <c r="C2004" s="97" t="n">
        <v>532617</v>
      </c>
      <c r="D2004" s="96" t="inlineStr">
        <is>
          <t>JETAIRWAYS</t>
        </is>
      </c>
      <c r="E2004" s="96" t="inlineStr">
        <is>
          <t>Airlines</t>
        </is>
      </c>
    </row>
    <row r="2005" ht="15" customHeight="1" s="109" thickBot="1">
      <c r="B2005" s="96" t="inlineStr">
        <is>
          <t>JET AIRWAYS INDIA LTD</t>
        </is>
      </c>
      <c r="C2005" s="97" t="n">
        <v>532617</v>
      </c>
      <c r="D2005" s="96" t="inlineStr">
        <is>
          <t>JETAIRWAYS</t>
        </is>
      </c>
      <c r="E2005" s="96" t="inlineStr">
        <is>
          <t>Airlines</t>
        </is>
      </c>
    </row>
    <row r="2006" ht="15" customHeight="1" s="109" thickBot="1">
      <c r="B2006" s="96" t="inlineStr">
        <is>
          <t>JET FREIGHT LOGISTICS LTD</t>
        </is>
      </c>
      <c r="C2006" s="96" t="inlineStr">
        <is>
          <t>Not Listed</t>
        </is>
      </c>
      <c r="D2006" s="96" t="inlineStr">
        <is>
          <t>JETFREIGHT</t>
        </is>
      </c>
      <c r="E2006" s="96" t="inlineStr">
        <is>
          <t>SME</t>
        </is>
      </c>
    </row>
    <row r="2007" ht="15" customHeight="1" s="109" thickBot="1">
      <c r="B2007" s="96" t="inlineStr">
        <is>
          <t>JET INFRAVENTURE LTD</t>
        </is>
      </c>
      <c r="C2007" s="97" t="n">
        <v>538794</v>
      </c>
      <c r="D2007" s="96" t="inlineStr">
        <is>
          <t>Not Listed</t>
        </is>
      </c>
      <c r="E2007" s="96" t="inlineStr">
        <is>
          <t>Realty</t>
        </is>
      </c>
    </row>
    <row r="2008" ht="15" customHeight="1" s="109" thickBot="1">
      <c r="B2008" s="96" t="inlineStr">
        <is>
          <t>JET KNITWEARS LTD</t>
        </is>
      </c>
      <c r="C2008" s="96" t="inlineStr">
        <is>
          <t>Not Listed</t>
        </is>
      </c>
      <c r="D2008" s="96" t="inlineStr">
        <is>
          <t>JETKNIT</t>
        </is>
      </c>
      <c r="E2008" s="96" t="inlineStr">
        <is>
          <t>SME</t>
        </is>
      </c>
    </row>
    <row r="2009" ht="15" customHeight="1" s="109" thickBot="1">
      <c r="B2009" s="96" t="inlineStr">
        <is>
          <t>JETKING INFOTRAIN LTD</t>
        </is>
      </c>
      <c r="C2009" s="97" t="n">
        <v>517063</v>
      </c>
      <c r="D2009" s="96" t="inlineStr">
        <is>
          <t>Not Listed</t>
        </is>
      </c>
      <c r="E2009" s="96" t="inlineStr">
        <is>
          <t>IT Training Services</t>
        </is>
      </c>
    </row>
    <row r="2010" ht="15" customHeight="1" s="109" thickBot="1">
      <c r="B2010" s="96" t="inlineStr">
        <is>
          <t>JHANDEWALAS FOODS LTD</t>
        </is>
      </c>
      <c r="C2010" s="97" t="n">
        <v>540850</v>
      </c>
      <c r="D2010" s="96" t="inlineStr">
        <is>
          <t>Not Listed</t>
        </is>
      </c>
      <c r="E2010" s="96" t="inlineStr">
        <is>
          <t>Packaged Foods</t>
        </is>
      </c>
    </row>
    <row r="2011" ht="15" customHeight="1" s="109" thickBot="1">
      <c r="B2011" s="96" t="inlineStr">
        <is>
          <t>JHAVERI CREDITS &amp; CAPITAL LTD</t>
        </is>
      </c>
      <c r="C2011" s="97" t="n">
        <v>531550</v>
      </c>
      <c r="D2011" s="96" t="inlineStr">
        <is>
          <t>Not Listed</t>
        </is>
      </c>
      <c r="E2011" s="96" t="inlineStr">
        <is>
          <t>Other Financial Services</t>
        </is>
      </c>
    </row>
    <row r="2012" ht="15" customHeight="1" s="109" thickBot="1">
      <c r="B2012" s="96" t="inlineStr">
        <is>
          <t>JHS SVENDGAARD LABORATORIES LTD</t>
        </is>
      </c>
      <c r="C2012" s="97" t="n">
        <v>532771</v>
      </c>
      <c r="D2012" s="96" t="inlineStr">
        <is>
          <t>JHS</t>
        </is>
      </c>
      <c r="E2012" s="96" t="inlineStr">
        <is>
          <t>Personal Products</t>
        </is>
      </c>
    </row>
    <row r="2013" ht="15" customHeight="1" s="109" thickBot="1">
      <c r="B2013" s="96" t="inlineStr">
        <is>
          <t>JIGAR CABLES LTD</t>
        </is>
      </c>
      <c r="C2013" s="97" t="n">
        <v>540651</v>
      </c>
      <c r="D2013" s="96" t="inlineStr">
        <is>
          <t>Not Listed</t>
        </is>
      </c>
      <c r="E2013" s="96" t="inlineStr">
        <is>
          <t>Other Elect.Equip./ Prod.</t>
        </is>
      </c>
    </row>
    <row r="2014" ht="15" customHeight="1" s="109" thickBot="1">
      <c r="B2014" s="96" t="inlineStr">
        <is>
          <t>JIGYASA INFRASTRUCTURE LTD</t>
        </is>
      </c>
      <c r="C2014" s="97" t="n">
        <v>780019</v>
      </c>
      <c r="D2014" s="96" t="inlineStr">
        <is>
          <t>Not Listed</t>
        </is>
      </c>
      <c r="E2014" s="96" t="inlineStr">
        <is>
          <t>Others</t>
        </is>
      </c>
    </row>
    <row r="2015" ht="15" customHeight="1" s="109" thickBot="1">
      <c r="B2015" s="96" t="inlineStr">
        <is>
          <t>JIK INDUSTRIES LTD</t>
        </is>
      </c>
      <c r="C2015" s="97" t="n">
        <v>511618</v>
      </c>
      <c r="D2015" s="96" t="inlineStr">
        <is>
          <t>JIKIND</t>
        </is>
      </c>
      <c r="E2015" s="96" t="inlineStr">
        <is>
          <t>Comm.Trading &amp; Distribution</t>
        </is>
      </c>
    </row>
    <row r="2016" ht="15" customHeight="1" s="109" thickBot="1">
      <c r="B2016" s="96" t="inlineStr">
        <is>
          <t>Jinaams Dress Ltd</t>
        </is>
      </c>
      <c r="C2016" s="97" t="n">
        <v>542653</v>
      </c>
      <c r="D2016" s="96" t="inlineStr">
        <is>
          <t>JINAAM</t>
        </is>
      </c>
      <c r="E2016" s="96" t="inlineStr">
        <is>
          <t>Other Apparels &amp;amp; Accessories</t>
        </is>
      </c>
    </row>
    <row r="2017" ht="15" customHeight="1" s="109" thickBot="1">
      <c r="B2017" s="96" t="inlineStr">
        <is>
          <t>JINDAL CAPITAL LTD</t>
        </is>
      </c>
      <c r="C2017" s="97" t="n">
        <v>530405</v>
      </c>
      <c r="D2017" s="96" t="inlineStr">
        <is>
          <t>Not Listed</t>
        </is>
      </c>
      <c r="E2017" s="96" t="inlineStr">
        <is>
          <t>Other Financial Services</t>
        </is>
      </c>
    </row>
    <row r="2018" ht="15" customHeight="1" s="109" thickBot="1">
      <c r="B2018" s="96" t="inlineStr">
        <is>
          <t>JINDAL COTEX LTD</t>
        </is>
      </c>
      <c r="C2018" s="97" t="n">
        <v>533103</v>
      </c>
      <c r="D2018" s="96" t="inlineStr">
        <is>
          <t>JINDCOT</t>
        </is>
      </c>
      <c r="E2018" s="96" t="inlineStr">
        <is>
          <t>Textiles</t>
        </is>
      </c>
    </row>
    <row r="2019" ht="15" customHeight="1" s="109" thickBot="1">
      <c r="B2019" s="96" t="inlineStr">
        <is>
          <t>JINDAL DRILLING AND INDUSTRIES LTD</t>
        </is>
      </c>
      <c r="C2019" s="97" t="n">
        <v>511034</v>
      </c>
      <c r="D2019" s="96" t="inlineStr">
        <is>
          <t>JINDRILL</t>
        </is>
      </c>
      <c r="E2019" s="96" t="inlineStr">
        <is>
          <t>Exploration &amp; Production</t>
        </is>
      </c>
    </row>
    <row r="2020" ht="15" customHeight="1" s="109" thickBot="1">
      <c r="B2020" s="96" t="inlineStr">
        <is>
          <t>JINDAL HOTELS LTD</t>
        </is>
      </c>
      <c r="C2020" s="97" t="n">
        <v>507981</v>
      </c>
      <c r="D2020" s="96" t="inlineStr">
        <is>
          <t>Not Listed</t>
        </is>
      </c>
      <c r="E2020" s="96" t="inlineStr">
        <is>
          <t>Hotels</t>
        </is>
      </c>
    </row>
    <row r="2021" ht="15" customHeight="1" s="109" thickBot="1">
      <c r="B2021" s="96" t="inlineStr">
        <is>
          <t>JINDAL LEASEFIN LTD</t>
        </is>
      </c>
      <c r="C2021" s="97" t="n">
        <v>539947</v>
      </c>
      <c r="D2021" s="96" t="inlineStr">
        <is>
          <t>Not Listed</t>
        </is>
      </c>
      <c r="E2021" s="96" t="inlineStr">
        <is>
          <t>Investment Companies</t>
        </is>
      </c>
    </row>
    <row r="2022" ht="15" customHeight="1" s="109" thickBot="1">
      <c r="B2022" s="96" t="inlineStr">
        <is>
          <t>JINDAL PHOTO LTD</t>
        </is>
      </c>
      <c r="C2022" s="97" t="n">
        <v>532624</v>
      </c>
      <c r="D2022" s="96" t="inlineStr">
        <is>
          <t>JINDALPHOT</t>
        </is>
      </c>
      <c r="E2022" s="96" t="inlineStr">
        <is>
          <t>Photographic Products</t>
        </is>
      </c>
    </row>
    <row r="2023" ht="15" customHeight="1" s="109" thickBot="1">
      <c r="B2023" s="96" t="inlineStr">
        <is>
          <t>JINDAL POLY FILMS LTD</t>
        </is>
      </c>
      <c r="C2023" s="97" t="n">
        <v>500227</v>
      </c>
      <c r="D2023" s="96" t="inlineStr">
        <is>
          <t>JINDALPOLY</t>
        </is>
      </c>
      <c r="E2023" s="96" t="inlineStr">
        <is>
          <t>Commodity Chemicals</t>
        </is>
      </c>
    </row>
    <row r="2024" ht="15" customHeight="1" s="109" thickBot="1">
      <c r="B2024" s="96" t="inlineStr">
        <is>
          <t>JINDAL POLY INVESTMENT AND FINANCE COMPANY LTD</t>
        </is>
      </c>
      <c r="C2024" s="97" t="n">
        <v>536773</v>
      </c>
      <c r="D2024" s="96" t="inlineStr">
        <is>
          <t>JPOLYINVST</t>
        </is>
      </c>
      <c r="E2024" s="96" t="inlineStr">
        <is>
          <t>Other Financial Services</t>
        </is>
      </c>
    </row>
    <row r="2025" ht="15" customHeight="1" s="109" thickBot="1">
      <c r="B2025" s="96" t="inlineStr">
        <is>
          <t>JINDAL SAW LTD</t>
        </is>
      </c>
      <c r="C2025" s="97" t="n">
        <v>500378</v>
      </c>
      <c r="D2025" s="96" t="inlineStr">
        <is>
          <t>JINDALSAW</t>
        </is>
      </c>
      <c r="E2025" s="96" t="inlineStr">
        <is>
          <t>Construction &amp; Engineering</t>
        </is>
      </c>
    </row>
    <row r="2026" ht="15" customHeight="1" s="109" thickBot="1">
      <c r="B2026" s="96" t="inlineStr">
        <is>
          <t>JINDAL STAINLESS HISAR LTD</t>
        </is>
      </c>
      <c r="C2026" s="97" t="n">
        <v>539597</v>
      </c>
      <c r="D2026" s="96" t="inlineStr">
        <is>
          <t>JSLHISAR</t>
        </is>
      </c>
      <c r="E2026" s="96" t="inlineStr">
        <is>
          <t>Iron &amp; Steel Products</t>
        </is>
      </c>
    </row>
    <row r="2027" ht="15" customHeight="1" s="109" thickBot="1">
      <c r="B2027" s="96" t="inlineStr">
        <is>
          <t>JINDAL STAINLESS LTD</t>
        </is>
      </c>
      <c r="C2027" s="97" t="n">
        <v>532508</v>
      </c>
      <c r="D2027" s="96" t="inlineStr">
        <is>
          <t>JSL</t>
        </is>
      </c>
      <c r="E2027" s="96" t="inlineStr">
        <is>
          <t>Iron &amp; Steel/Interm.Products</t>
        </is>
      </c>
    </row>
    <row r="2028" ht="15" customHeight="1" s="109" thickBot="1">
      <c r="B2028" s="96" t="inlineStr">
        <is>
          <t>JINDAL STEEL &amp; POWER LTD</t>
        </is>
      </c>
      <c r="C2028" s="97" t="n">
        <v>532286</v>
      </c>
      <c r="D2028" s="96" t="inlineStr">
        <is>
          <t>JINDALSTEL</t>
        </is>
      </c>
      <c r="E2028" s="96" t="inlineStr">
        <is>
          <t>Iron &amp; Steel/Interm.Products</t>
        </is>
      </c>
    </row>
    <row r="2029" ht="15" customHeight="1" s="109" thickBot="1">
      <c r="B2029" s="96" t="inlineStr">
        <is>
          <t>JINDAL WORLDWIDE LTD</t>
        </is>
      </c>
      <c r="C2029" s="97" t="n">
        <v>531543</v>
      </c>
      <c r="D2029" s="96" t="inlineStr">
        <is>
          <t>JINDWORLD</t>
        </is>
      </c>
      <c r="E2029" s="96" t="inlineStr">
        <is>
          <t>Textiles</t>
        </is>
      </c>
    </row>
    <row r="2030" ht="15" customHeight="1" s="109" thickBot="1">
      <c r="B2030" s="96" t="inlineStr">
        <is>
          <t>JITF INFRALOGISTICS LTD</t>
        </is>
      </c>
      <c r="C2030" s="97" t="n">
        <v>540311</v>
      </c>
      <c r="D2030" s="96" t="inlineStr">
        <is>
          <t>JITFINFRA</t>
        </is>
      </c>
      <c r="E2030" s="96" t="inlineStr">
        <is>
          <t>Transport Related Services</t>
        </is>
      </c>
    </row>
    <row r="2031" ht="15" customHeight="1" s="109" thickBot="1">
      <c r="B2031" s="96" t="inlineStr">
        <is>
          <t>JIYA ECO-PRODUCTS LTD</t>
        </is>
      </c>
      <c r="C2031" s="97" t="n">
        <v>539225</v>
      </c>
      <c r="D2031" s="96" t="inlineStr">
        <is>
          <t>Not Listed</t>
        </is>
      </c>
      <c r="E2031" s="96" t="inlineStr">
        <is>
          <t>Utilities:Non-Elec.</t>
        </is>
      </c>
    </row>
    <row r="2032" ht="15" customHeight="1" s="109" thickBot="1">
      <c r="B2032" s="96" t="inlineStr">
        <is>
          <t>JK AGRI GENETICS LTD</t>
        </is>
      </c>
      <c r="C2032" s="97" t="n">
        <v>536493</v>
      </c>
      <c r="D2032" s="96" t="inlineStr">
        <is>
          <t>Not Listed</t>
        </is>
      </c>
      <c r="E2032" s="96" t="inlineStr">
        <is>
          <t>Other Agricultural Products</t>
        </is>
      </c>
    </row>
    <row r="2033" ht="15" customHeight="1" s="109" thickBot="1">
      <c r="B2033" s="96" t="inlineStr">
        <is>
          <t>JK CEMENT LTD</t>
        </is>
      </c>
      <c r="C2033" s="97" t="n">
        <v>532644</v>
      </c>
      <c r="D2033" s="96" t="inlineStr">
        <is>
          <t>JKCEMENT</t>
        </is>
      </c>
      <c r="E2033" s="96" t="inlineStr">
        <is>
          <t>Cement &amp; Cement Products</t>
        </is>
      </c>
    </row>
    <row r="2034" ht="15" customHeight="1" s="109" thickBot="1">
      <c r="B2034" s="96" t="inlineStr">
        <is>
          <t>JK LAKSHMI CEMENT LTD</t>
        </is>
      </c>
      <c r="C2034" s="97" t="n">
        <v>500380</v>
      </c>
      <c r="D2034" s="96" t="inlineStr">
        <is>
          <t>JKLAKSHMI</t>
        </is>
      </c>
      <c r="E2034" s="96" t="inlineStr">
        <is>
          <t>Cement &amp; Cement Products</t>
        </is>
      </c>
    </row>
    <row r="2035" ht="15" customHeight="1" s="109" thickBot="1">
      <c r="B2035" s="96" t="inlineStr">
        <is>
          <t>JK PAPER LTD</t>
        </is>
      </c>
      <c r="C2035" s="97" t="n">
        <v>532162</v>
      </c>
      <c r="D2035" s="96" t="inlineStr">
        <is>
          <t>JKPAPER</t>
        </is>
      </c>
      <c r="E2035" s="96" t="inlineStr">
        <is>
          <t>Paper &amp; Paper Products</t>
        </is>
      </c>
    </row>
    <row r="2036" ht="15" customHeight="1" s="109" thickBot="1">
      <c r="B2036" s="96" t="inlineStr">
        <is>
          <t>JK TYRE &amp; INDUSTRIES LTD</t>
        </is>
      </c>
      <c r="C2036" s="97" t="n">
        <v>530007</v>
      </c>
      <c r="D2036" s="96" t="inlineStr">
        <is>
          <t>JKTYRE</t>
        </is>
      </c>
      <c r="E2036" s="96" t="inlineStr">
        <is>
          <t>Auto Tyres &amp; Rubber Products</t>
        </is>
      </c>
    </row>
    <row r="2037" ht="15" customHeight="1" s="109" thickBot="1">
      <c r="B2037" s="96" t="inlineStr">
        <is>
          <t>JLA INFRAVILLE SHOPPERS LTD</t>
        </is>
      </c>
      <c r="C2037" s="97" t="n">
        <v>538765</v>
      </c>
      <c r="D2037" s="96" t="inlineStr">
        <is>
          <t>Not Listed</t>
        </is>
      </c>
      <c r="E2037" s="96" t="inlineStr">
        <is>
          <t>Internet &amp; Catalogue Retail</t>
        </is>
      </c>
    </row>
    <row r="2038" ht="15" customHeight="1" s="109" thickBot="1">
      <c r="B2038" s="96" t="inlineStr">
        <is>
          <t>JM FINANCIAL LTD</t>
        </is>
      </c>
      <c r="C2038" s="97" t="n">
        <v>523405</v>
      </c>
      <c r="D2038" s="96" t="inlineStr">
        <is>
          <t>JMFINANCIL</t>
        </is>
      </c>
      <c r="E2038" s="96" t="inlineStr">
        <is>
          <t>Holding Companies</t>
        </is>
      </c>
    </row>
    <row r="2039" ht="15" customHeight="1" s="109" thickBot="1">
      <c r="B2039" s="96" t="inlineStr">
        <is>
          <t>JMC PROJECTS (INDIA) LTD</t>
        </is>
      </c>
      <c r="C2039" s="97" t="n">
        <v>522263</v>
      </c>
      <c r="D2039" s="96" t="inlineStr">
        <is>
          <t>JMCPROJECT</t>
        </is>
      </c>
      <c r="E2039" s="96" t="inlineStr">
        <is>
          <t>Construction &amp; Engineering</t>
        </is>
      </c>
    </row>
    <row r="2040" ht="15" customHeight="1" s="109" thickBot="1">
      <c r="B2040" s="96" t="inlineStr">
        <is>
          <t>JMC PROJECTS INDIA LTD</t>
        </is>
      </c>
      <c r="C2040" s="97" t="n">
        <v>522263</v>
      </c>
      <c r="D2040" s="96" t="inlineStr">
        <is>
          <t>JMCPROJECT</t>
        </is>
      </c>
      <c r="E2040" s="96" t="inlineStr">
        <is>
          <t>Construction &amp; Engineering</t>
        </is>
      </c>
    </row>
    <row r="2041" ht="15" customHeight="1" s="109" thickBot="1">
      <c r="B2041" s="96" t="inlineStr">
        <is>
          <t>JMD VENTURES LTD</t>
        </is>
      </c>
      <c r="C2041" s="97" t="n">
        <v>511092</v>
      </c>
      <c r="D2041" s="96" t="inlineStr">
        <is>
          <t>Not Listed</t>
        </is>
      </c>
      <c r="E2041" s="96" t="inlineStr">
        <is>
          <t>Movies &amp; Entertainment</t>
        </is>
      </c>
    </row>
    <row r="2042" ht="15" customHeight="1" s="109" thickBot="1">
      <c r="B2042" s="96" t="inlineStr">
        <is>
          <t>JMG CORPORATION LTD</t>
        </is>
      </c>
      <c r="C2042" s="97" t="n">
        <v>523712</v>
      </c>
      <c r="D2042" s="96" t="inlineStr">
        <is>
          <t>Not Listed</t>
        </is>
      </c>
      <c r="E2042" s="96" t="inlineStr">
        <is>
          <t>Plastic Products</t>
        </is>
      </c>
    </row>
    <row r="2043" ht="15" customHeight="1" s="109" thickBot="1">
      <c r="B2043" s="96" t="inlineStr">
        <is>
          <t>JMT AUTO LTD</t>
        </is>
      </c>
      <c r="C2043" s="97" t="n">
        <v>513691</v>
      </c>
      <c r="D2043" s="96" t="inlineStr">
        <is>
          <t>JMTAUTOLTD</t>
        </is>
      </c>
      <c r="E2043" s="96" t="inlineStr">
        <is>
          <t>Auto Parts &amp; Equipment</t>
        </is>
      </c>
    </row>
    <row r="2044" ht="15" customHeight="1" s="109" thickBot="1">
      <c r="B2044" s="96" t="inlineStr">
        <is>
          <t>JOCIL LTD</t>
        </is>
      </c>
      <c r="C2044" s="96" t="inlineStr">
        <is>
          <t>Not Listed</t>
        </is>
      </c>
      <c r="D2044" s="96" t="inlineStr">
        <is>
          <t>JOCIL</t>
        </is>
      </c>
      <c r="E2044" s="96" t="inlineStr">
        <is>
          <t>Others</t>
        </is>
      </c>
    </row>
    <row r="2045" ht="15" customHeight="1" s="109" thickBot="1">
      <c r="B2045" s="96" t="inlineStr">
        <is>
          <t>JOHNSON CONTROLS – HITACHI AIR CONDITIONING (INDIA) LTD</t>
        </is>
      </c>
      <c r="C2045" s="97" t="n">
        <v>523398</v>
      </c>
      <c r="D2045" s="96" t="inlineStr">
        <is>
          <t>JCHAC</t>
        </is>
      </c>
      <c r="E2045" s="96" t="inlineStr">
        <is>
          <t>Consumer Electronics</t>
        </is>
      </c>
    </row>
    <row r="2046" ht="15" customHeight="1" s="109" thickBot="1">
      <c r="B2046" s="96" t="inlineStr">
        <is>
          <t>JOHNSON CONTROLS – HITACHI AIR CONDITIONING INDIA LTD</t>
        </is>
      </c>
      <c r="C2046" s="97" t="n">
        <v>523398</v>
      </c>
      <c r="D2046" s="96" t="inlineStr">
        <is>
          <t>JCHAC</t>
        </is>
      </c>
      <c r="E2046" s="96" t="inlineStr">
        <is>
          <t>Consumer Electronics</t>
        </is>
      </c>
    </row>
    <row r="2047" ht="15" customHeight="1" s="109" thickBot="1">
      <c r="B2047" s="96" t="inlineStr">
        <is>
          <t>JOINDRE CAPITAL SERVICES LTD</t>
        </is>
      </c>
      <c r="C2047" s="97" t="n">
        <v>531861</v>
      </c>
      <c r="D2047" s="96" t="inlineStr">
        <is>
          <t>Not Listed</t>
        </is>
      </c>
      <c r="E2047" s="96" t="inlineStr">
        <is>
          <t>Other Financial Services</t>
        </is>
      </c>
    </row>
    <row r="2048" ht="15" customHeight="1" s="109" thickBot="1">
      <c r="B2048" s="96" t="inlineStr">
        <is>
          <t>JOINTECA EDUCATION SOLUTIONS LTD</t>
        </is>
      </c>
      <c r="C2048" s="97" t="n">
        <v>534659</v>
      </c>
      <c r="D2048" s="96" t="inlineStr">
        <is>
          <t>Not Listed</t>
        </is>
      </c>
      <c r="E2048" s="96" t="inlineStr">
        <is>
          <t>IT Consulting &amp; Software</t>
        </is>
      </c>
    </row>
    <row r="2049" ht="15" customHeight="1" s="109" thickBot="1">
      <c r="B2049" s="96" t="inlineStr">
        <is>
          <t>Jonjua Overseas Ltd</t>
        </is>
      </c>
      <c r="C2049" s="97" t="n">
        <v>542446</v>
      </c>
      <c r="D2049" s="96" t="inlineStr">
        <is>
          <t>JONJUA</t>
        </is>
      </c>
      <c r="E2049" s="96" t="inlineStr">
        <is>
          <t>Consulting Services</t>
        </is>
      </c>
    </row>
    <row r="2050" ht="15" customHeight="1" s="109" thickBot="1">
      <c r="B2050" s="96" t="inlineStr">
        <is>
          <t>JOONKTOLLEE TEA &amp; INDUSTRIES LTD</t>
        </is>
      </c>
      <c r="C2050" s="97" t="n">
        <v>538092</v>
      </c>
      <c r="D2050" s="96" t="inlineStr">
        <is>
          <t>Not Listed</t>
        </is>
      </c>
      <c r="E2050" s="96" t="inlineStr">
        <is>
          <t>Tea &amp; Coffee</t>
        </is>
      </c>
    </row>
    <row r="2051" ht="15" customHeight="1" s="109" thickBot="1">
      <c r="B2051" s="96" t="inlineStr">
        <is>
          <t>JOST'S ENGINEERING CO LTD</t>
        </is>
      </c>
      <c r="C2051" s="97" t="n">
        <v>505750</v>
      </c>
      <c r="D2051" s="96" t="inlineStr">
        <is>
          <t>Not Listed</t>
        </is>
      </c>
      <c r="E2051" s="96" t="inlineStr">
        <is>
          <t>Industrial Machinery</t>
        </is>
      </c>
    </row>
    <row r="2052" ht="15" customHeight="1" s="109" thickBot="1">
      <c r="B2052" s="96" t="inlineStr">
        <is>
          <t>JOY REALTY LTD</t>
        </is>
      </c>
      <c r="C2052" s="97" t="n">
        <v>508929</v>
      </c>
      <c r="D2052" s="96" t="inlineStr">
        <is>
          <t>Not Listed</t>
        </is>
      </c>
      <c r="E2052" s="96" t="inlineStr">
        <is>
          <t>Realty</t>
        </is>
      </c>
    </row>
    <row r="2053" ht="15" customHeight="1" s="109" thickBot="1">
      <c r="B2053" s="96" t="inlineStr">
        <is>
          <t>JPT SECURITIES LTD</t>
        </is>
      </c>
      <c r="C2053" s="97" t="n">
        <v>530985</v>
      </c>
      <c r="D2053" s="96" t="inlineStr">
        <is>
          <t>Not Listed</t>
        </is>
      </c>
      <c r="E2053" s="96" t="inlineStr">
        <is>
          <t>Finance (including NBFCs)</t>
        </is>
      </c>
    </row>
    <row r="2054" ht="15" customHeight="1" s="109" thickBot="1">
      <c r="B2054" s="96" t="inlineStr">
        <is>
          <t>JRI INDUSTRIES &amp; INFRASTRUCTURE LTD</t>
        </is>
      </c>
      <c r="C2054" s="97" t="n">
        <v>506016</v>
      </c>
      <c r="D2054" s="96" t="inlineStr">
        <is>
          <t>Not Listed</t>
        </is>
      </c>
      <c r="E2054" s="96" t="inlineStr">
        <is>
          <t>Construction &amp; Engineering</t>
        </is>
      </c>
    </row>
    <row r="2055" ht="15" customHeight="1" s="109" thickBot="1">
      <c r="B2055" s="96" t="inlineStr">
        <is>
          <t>JSL INDUSTRIES LTD</t>
        </is>
      </c>
      <c r="C2055" s="97" t="n">
        <v>504080</v>
      </c>
      <c r="D2055" s="96" t="inlineStr">
        <is>
          <t>Not Listed</t>
        </is>
      </c>
      <c r="E2055" s="96" t="inlineStr">
        <is>
          <t>Other Elect.Equip./ Prod.</t>
        </is>
      </c>
    </row>
    <row r="2056" ht="15" customHeight="1" s="109" thickBot="1">
      <c r="B2056" s="96" t="inlineStr">
        <is>
          <t>JSW ENERGY LTD</t>
        </is>
      </c>
      <c r="C2056" s="97" t="n">
        <v>533148</v>
      </c>
      <c r="D2056" s="96" t="inlineStr">
        <is>
          <t>JSWENERGY</t>
        </is>
      </c>
      <c r="E2056" s="96" t="inlineStr">
        <is>
          <t>Electric Utilities</t>
        </is>
      </c>
    </row>
    <row r="2057" ht="15" customHeight="1" s="109" thickBot="1">
      <c r="B2057" s="96" t="inlineStr">
        <is>
          <t>JSW HOLDINGS LTD</t>
        </is>
      </c>
      <c r="C2057" s="97" t="n">
        <v>532642</v>
      </c>
      <c r="D2057" s="96" t="inlineStr">
        <is>
          <t>JSWHL</t>
        </is>
      </c>
      <c r="E2057" s="96" t="inlineStr">
        <is>
          <t>Holding Companies</t>
        </is>
      </c>
    </row>
    <row r="2058" ht="15" customHeight="1" s="109" thickBot="1">
      <c r="B2058" s="96" t="inlineStr">
        <is>
          <t>JSW STEEL LTD</t>
        </is>
      </c>
      <c r="C2058" s="97" t="n">
        <v>500228</v>
      </c>
      <c r="D2058" s="96" t="inlineStr">
        <is>
          <t>JSWSTEEL</t>
        </is>
      </c>
      <c r="E2058" s="96" t="inlineStr">
        <is>
          <t>Iron &amp; Steel/Interm.Products</t>
        </is>
      </c>
    </row>
    <row r="2059" ht="15" customHeight="1" s="109" thickBot="1">
      <c r="B2059" s="96" t="inlineStr">
        <is>
          <t>JTEKT (INDIA) LTD</t>
        </is>
      </c>
      <c r="C2059" s="97" t="n">
        <v>520057</v>
      </c>
      <c r="D2059" s="96" t="inlineStr">
        <is>
          <t>JTEKT(INDIA)</t>
        </is>
      </c>
      <c r="E2059" s="96" t="inlineStr">
        <is>
          <t>Auto Parts &amp; Equipment</t>
        </is>
      </c>
    </row>
    <row r="2060" ht="15" customHeight="1" s="109" thickBot="1">
      <c r="B2060" s="96" t="inlineStr">
        <is>
          <t>JTEKT INDIA LTD</t>
        </is>
      </c>
      <c r="C2060" s="97" t="n">
        <v>520057</v>
      </c>
      <c r="D2060" s="96" t="inlineStr">
        <is>
          <t>JTEKTINDIA</t>
        </is>
      </c>
      <c r="E2060" s="96" t="inlineStr">
        <is>
          <t>Auto Parts &amp; Equipment</t>
        </is>
      </c>
    </row>
    <row r="2061" ht="15" customHeight="1" s="109" thickBot="1">
      <c r="B2061" s="96" t="inlineStr">
        <is>
          <t>JTL INFRA LTD</t>
        </is>
      </c>
      <c r="C2061" s="97" t="n">
        <v>534600</v>
      </c>
      <c r="D2061" s="96" t="inlineStr">
        <is>
          <t>Not Listed</t>
        </is>
      </c>
      <c r="E2061" s="96" t="inlineStr">
        <is>
          <t>Iron &amp; Steel Products</t>
        </is>
      </c>
    </row>
    <row r="2062" ht="15" customHeight="1" s="109" thickBot="1">
      <c r="B2062" s="96" t="inlineStr">
        <is>
          <t>JUBILANT FOODWORKS LTD</t>
        </is>
      </c>
      <c r="C2062" s="97" t="n">
        <v>533155</v>
      </c>
      <c r="D2062" s="96" t="inlineStr">
        <is>
          <t>JUBLFOOD</t>
        </is>
      </c>
      <c r="E2062" s="96" t="inlineStr">
        <is>
          <t>Restaurants</t>
        </is>
      </c>
    </row>
    <row r="2063" ht="15" customHeight="1" s="109" thickBot="1">
      <c r="B2063" s="96" t="inlineStr">
        <is>
          <t>JUBILANT INDUSTRIES LTD</t>
        </is>
      </c>
      <c r="C2063" s="97" t="n">
        <v>533320</v>
      </c>
      <c r="D2063" s="96" t="inlineStr">
        <is>
          <t>JUBLINDS</t>
        </is>
      </c>
      <c r="E2063" s="96" t="inlineStr">
        <is>
          <t>Agrochemicals</t>
        </is>
      </c>
    </row>
    <row r="2064" ht="15" customHeight="1" s="109" thickBot="1">
      <c r="B2064" s="96" t="inlineStr">
        <is>
          <t>JUBILANT LIFE SCIENCES LTD</t>
        </is>
      </c>
      <c r="C2064" s="97" t="n">
        <v>530019</v>
      </c>
      <c r="D2064" s="96" t="inlineStr">
        <is>
          <t>JUBILANT</t>
        </is>
      </c>
      <c r="E2064" s="96" t="inlineStr">
        <is>
          <t>Pharmaceuticals</t>
        </is>
      </c>
    </row>
    <row r="2065" ht="15" customHeight="1" s="109" thickBot="1">
      <c r="B2065" s="96" t="inlineStr">
        <is>
          <t>JULLUNDUR MOTOR AGENCY DELHI LTD</t>
        </is>
      </c>
      <c r="C2065" s="96" t="inlineStr">
        <is>
          <t>Not Listed</t>
        </is>
      </c>
      <c r="D2065" s="96" t="inlineStr">
        <is>
          <t>JMA</t>
        </is>
      </c>
      <c r="E2065" s="96" t="inlineStr">
        <is>
          <t>Others</t>
        </is>
      </c>
    </row>
    <row r="2066" ht="15" customHeight="1" s="109" thickBot="1">
      <c r="B2066" s="96" t="inlineStr">
        <is>
          <t>JUMBO BAG LTD</t>
        </is>
      </c>
      <c r="C2066" s="97" t="n">
        <v>516078</v>
      </c>
      <c r="D2066" s="96" t="inlineStr">
        <is>
          <t>Not Listed</t>
        </is>
      </c>
      <c r="E2066" s="96" t="inlineStr">
        <is>
          <t>Containers &amp; Packaging</t>
        </is>
      </c>
    </row>
    <row r="2067" ht="15" customHeight="1" s="109" thickBot="1">
      <c r="B2067" s="96" t="inlineStr">
        <is>
          <t>JUMBO FINANCE LTD</t>
        </is>
      </c>
      <c r="C2067" s="97" t="n">
        <v>511060</v>
      </c>
      <c r="D2067" s="96" t="inlineStr">
        <is>
          <t>Not Listed</t>
        </is>
      </c>
      <c r="E2067" s="96" t="inlineStr">
        <is>
          <t>Misc.Commercial Services</t>
        </is>
      </c>
    </row>
    <row r="2068" ht="15" customHeight="1" s="109" thickBot="1">
      <c r="B2068" s="96" t="inlineStr">
        <is>
          <t>JUNCTION FABRICS AND APPARELS LTD</t>
        </is>
      </c>
      <c r="C2068" s="97" t="n">
        <v>539216</v>
      </c>
      <c r="D2068" s="96" t="inlineStr">
        <is>
          <t>Not Listed</t>
        </is>
      </c>
      <c r="E2068" s="96" t="inlineStr">
        <is>
          <t>Textiles</t>
        </is>
      </c>
    </row>
    <row r="2069" ht="15" customHeight="1" s="109" thickBot="1">
      <c r="B2069" s="96" t="inlineStr">
        <is>
          <t>JUPITER INDUSTRIES &amp; LEASING LTD</t>
        </is>
      </c>
      <c r="C2069" s="97" t="n">
        <v>507987</v>
      </c>
      <c r="D2069" s="96" t="inlineStr">
        <is>
          <t>Not Listed</t>
        </is>
      </c>
      <c r="E2069" s="96" t="inlineStr">
        <is>
          <t>Finance (including NBFCs)</t>
        </is>
      </c>
    </row>
    <row r="2070" ht="15" customHeight="1" s="109" thickBot="1">
      <c r="B2070" s="96" t="inlineStr">
        <is>
          <t>JUPITER INFOMEDIA LTD</t>
        </is>
      </c>
      <c r="C2070" s="97" t="n">
        <v>534623</v>
      </c>
      <c r="D2070" s="96" t="inlineStr">
        <is>
          <t>Not Listed</t>
        </is>
      </c>
      <c r="E2070" s="96" t="inlineStr">
        <is>
          <t>Internet &amp; Catalogue Retail</t>
        </is>
      </c>
    </row>
    <row r="2071" ht="15" customHeight="1" s="109" thickBot="1">
      <c r="B2071" s="96" t="inlineStr">
        <is>
          <t>JUST DIAL LTD</t>
        </is>
      </c>
      <c r="C2071" s="97" t="n">
        <v>535648</v>
      </c>
      <c r="D2071" s="96" t="inlineStr">
        <is>
          <t>JUSTDIAL</t>
        </is>
      </c>
      <c r="E2071" s="96" t="inlineStr">
        <is>
          <t>Publishing</t>
        </is>
      </c>
    </row>
    <row r="2072" ht="15" customHeight="1" s="109" thickBot="1">
      <c r="B2072" s="96" t="inlineStr">
        <is>
          <t>JUSTRIDE ENTERPRISES LTD</t>
        </is>
      </c>
      <c r="C2072" s="97" t="n">
        <v>531035</v>
      </c>
      <c r="D2072" s="96" t="inlineStr">
        <is>
          <t>Not Listed</t>
        </is>
      </c>
      <c r="E2072" s="96" t="inlineStr">
        <is>
          <t>2/3 Wheelers</t>
        </is>
      </c>
    </row>
    <row r="2073" ht="15" customHeight="1" s="109" thickBot="1">
      <c r="B2073" s="96" t="inlineStr">
        <is>
          <t>JVL AGRO INDUSTRIES LTD</t>
        </is>
      </c>
      <c r="C2073" s="97" t="n">
        <v>519248</v>
      </c>
      <c r="D2073" s="96" t="inlineStr">
        <is>
          <t>JVLAGRO</t>
        </is>
      </c>
      <c r="E2073" s="96" t="inlineStr">
        <is>
          <t>Edible Oils</t>
        </is>
      </c>
    </row>
    <row r="2074" ht="15" customHeight="1" s="109" thickBot="1">
      <c r="B2074" s="96" t="inlineStr">
        <is>
          <t>Jyot International Marketing Ltd</t>
        </is>
      </c>
      <c r="C2074" s="97" t="n">
        <v>542544</v>
      </c>
      <c r="D2074" s="96" t="inlineStr">
        <is>
          <t>JYOTIN</t>
        </is>
      </c>
      <c r="E2074" s="96" t="inlineStr">
        <is>
          <t>Other Financial Services</t>
        </is>
      </c>
    </row>
    <row r="2075" ht="15" customHeight="1" s="109" thickBot="1">
      <c r="B2075" s="96" t="inlineStr">
        <is>
          <t>JYOTHY LABORATORIES LTD</t>
        </is>
      </c>
      <c r="C2075" s="97" t="n">
        <v>532926</v>
      </c>
      <c r="D2075" s="96" t="inlineStr">
        <is>
          <t>JYOTHYLAB</t>
        </is>
      </c>
      <c r="E2075" s="96" t="inlineStr">
        <is>
          <t>Household Products</t>
        </is>
      </c>
    </row>
    <row r="2076" ht="15" customHeight="1" s="109" thickBot="1">
      <c r="B2076" s="96" t="inlineStr">
        <is>
          <t>JYOTI LTD</t>
        </is>
      </c>
      <c r="C2076" s="97" t="n">
        <v>504076</v>
      </c>
      <c r="D2076" s="96" t="inlineStr">
        <is>
          <t>Not Listed</t>
        </is>
      </c>
      <c r="E2076" s="96" t="inlineStr">
        <is>
          <t>Heavy Electrical Equipment</t>
        </is>
      </c>
    </row>
    <row r="2077" ht="15" customHeight="1" s="109" thickBot="1">
      <c r="B2077" s="96" t="inlineStr">
        <is>
          <t>JYOTI RESINS &amp; ADHESIVES LTD</t>
        </is>
      </c>
      <c r="C2077" s="97" t="n">
        <v>514448</v>
      </c>
      <c r="D2077" s="96" t="inlineStr">
        <is>
          <t>Not Listed</t>
        </is>
      </c>
      <c r="E2077" s="96" t="inlineStr">
        <is>
          <t>Specialty Chemicals</t>
        </is>
      </c>
    </row>
    <row r="2078" ht="15" customHeight="1" s="109" thickBot="1">
      <c r="B2078" s="96" t="inlineStr">
        <is>
          <t>JYOTI STRUCTURES LTD</t>
        </is>
      </c>
      <c r="C2078" s="97" t="n">
        <v>513250</v>
      </c>
      <c r="D2078" s="96" t="inlineStr">
        <is>
          <t>JYOTISTRUC</t>
        </is>
      </c>
      <c r="E2078" s="96" t="inlineStr">
        <is>
          <t>Heavy Electrical Equipment</t>
        </is>
      </c>
    </row>
    <row r="2079" ht="15" customHeight="1" s="109" thickBot="1">
      <c r="B2079" s="96" t="inlineStr">
        <is>
          <t>JYOTIRGAMYA ENTERPRISES LTD</t>
        </is>
      </c>
      <c r="C2079" s="97" t="n">
        <v>539246</v>
      </c>
      <c r="D2079" s="96" t="inlineStr">
        <is>
          <t>Not Listed</t>
        </is>
      </c>
      <c r="E2079" s="96" t="inlineStr">
        <is>
          <t>Comm.Trading &amp; Distribution</t>
        </is>
      </c>
    </row>
    <row r="2080" ht="15" customHeight="1" s="109" thickBot="1">
      <c r="B2080" s="96" t="inlineStr">
        <is>
          <t>K M SUGAR MILLS LTD</t>
        </is>
      </c>
      <c r="C2080" s="97" t="n">
        <v>532673</v>
      </c>
      <c r="D2080" s="96" t="inlineStr">
        <is>
          <t>KMSUGAR</t>
        </is>
      </c>
      <c r="E2080" s="96" t="inlineStr">
        <is>
          <t>Sugar</t>
        </is>
      </c>
    </row>
    <row r="2081" ht="15" customHeight="1" s="109" thickBot="1">
      <c r="B2081" s="96" t="inlineStr">
        <is>
          <t>K P ENERGY LTD</t>
        </is>
      </c>
      <c r="C2081" s="97" t="n">
        <v>539686</v>
      </c>
      <c r="D2081" s="96" t="inlineStr">
        <is>
          <t>Not Listed</t>
        </is>
      </c>
      <c r="E2081" s="96" t="inlineStr">
        <is>
          <t>Electric Utilities</t>
        </is>
      </c>
    </row>
    <row r="2082" ht="15" customHeight="1" s="109" thickBot="1">
      <c r="B2082" s="96" t="inlineStr">
        <is>
          <t>K P R MILL LTD</t>
        </is>
      </c>
      <c r="C2082" s="97" t="n">
        <v>532889</v>
      </c>
      <c r="D2082" s="96" t="inlineStr">
        <is>
          <t>KPRMILL</t>
        </is>
      </c>
      <c r="E2082" s="96" t="inlineStr">
        <is>
          <t>Textiles</t>
        </is>
      </c>
    </row>
    <row r="2083" ht="15" customHeight="1" s="109" thickBot="1">
      <c r="B2083" s="96" t="inlineStr">
        <is>
          <t>K Z LEASING &amp; FINANCE LTD</t>
        </is>
      </c>
      <c r="C2083" s="97" t="n">
        <v>511728</v>
      </c>
      <c r="D2083" s="96" t="inlineStr">
        <is>
          <t>Not Listed</t>
        </is>
      </c>
      <c r="E2083" s="96" t="inlineStr">
        <is>
          <t>Finance (including NBFCs)</t>
        </is>
      </c>
    </row>
    <row r="2084" ht="15" customHeight="1" s="109" thickBot="1">
      <c r="B2084" s="96" t="inlineStr">
        <is>
          <t>K&amp;R RAIL ENGINEERING LTD</t>
        </is>
      </c>
      <c r="C2084" s="97" t="n">
        <v>514360</v>
      </c>
      <c r="D2084" s="96" t="inlineStr">
        <is>
          <t>Not Listed</t>
        </is>
      </c>
      <c r="E2084" s="96" t="inlineStr">
        <is>
          <t>Construction &amp; Engineering</t>
        </is>
      </c>
    </row>
    <row r="2085" ht="15" customHeight="1" s="109" thickBot="1">
      <c r="B2085" s="96" t="inlineStr">
        <is>
          <t>K.P.I. Global Infrastructure Ltd</t>
        </is>
      </c>
      <c r="C2085" s="97" t="n">
        <v>542323</v>
      </c>
      <c r="D2085" s="96" t="inlineStr">
        <is>
          <t>KPIGLOBAL</t>
        </is>
      </c>
      <c r="E2085" s="96" t="inlineStr">
        <is>
          <t>Electric Utilities</t>
        </is>
      </c>
    </row>
    <row r="2086" ht="15" customHeight="1" s="109" thickBot="1">
      <c r="B2086" s="96" t="inlineStr">
        <is>
          <t>KAARYA FACILITIES AND SERVICES LTD</t>
        </is>
      </c>
      <c r="C2086" s="97" t="n">
        <v>540756</v>
      </c>
      <c r="D2086" s="96" t="inlineStr">
        <is>
          <t>Not Listed</t>
        </is>
      </c>
      <c r="E2086" s="96" t="inlineStr">
        <is>
          <t>Sp.Consumer Services</t>
        </is>
      </c>
    </row>
    <row r="2087" ht="15" customHeight="1" s="109" thickBot="1">
      <c r="B2087" s="96" t="inlineStr">
        <is>
          <t>KABRA COMMERCIAL LTD</t>
        </is>
      </c>
      <c r="C2087" s="97" t="n">
        <v>539393</v>
      </c>
      <c r="D2087" s="96" t="inlineStr">
        <is>
          <t>Not Listed</t>
        </is>
      </c>
      <c r="E2087" s="96" t="inlineStr">
        <is>
          <t>Coal</t>
        </is>
      </c>
    </row>
    <row r="2088" ht="15" customHeight="1" s="109" thickBot="1">
      <c r="B2088" s="96" t="inlineStr">
        <is>
          <t>KABRA DRUGS LTD</t>
        </is>
      </c>
      <c r="C2088" s="97" t="n">
        <v>524322</v>
      </c>
      <c r="D2088" s="96" t="inlineStr">
        <is>
          <t>Not Listed</t>
        </is>
      </c>
      <c r="E2088" s="96" t="inlineStr">
        <is>
          <t>Pharmaceuticals</t>
        </is>
      </c>
    </row>
    <row r="2089" ht="15" customHeight="1" s="109" thickBot="1">
      <c r="B2089" s="96" t="inlineStr">
        <is>
          <t>KABRA EXTRUSION TECHNIK LTD</t>
        </is>
      </c>
      <c r="C2089" s="97" t="n">
        <v>524109</v>
      </c>
      <c r="D2089" s="96" t="inlineStr">
        <is>
          <t>KABRAEXTRU</t>
        </is>
      </c>
      <c r="E2089" s="96" t="inlineStr">
        <is>
          <t>Industrial Machinery</t>
        </is>
      </c>
    </row>
    <row r="2090" ht="15" customHeight="1" s="109" thickBot="1">
      <c r="B2090" s="96" t="inlineStr">
        <is>
          <t>KABSONS INDUSTRIES LTD</t>
        </is>
      </c>
      <c r="C2090" s="97" t="n">
        <v>524675</v>
      </c>
      <c r="D2090" s="96" t="inlineStr">
        <is>
          <t>Not Listed</t>
        </is>
      </c>
      <c r="E2090" s="96" t="inlineStr">
        <is>
          <t>Comm.Trading &amp; Distribution</t>
        </is>
      </c>
    </row>
    <row r="2091" ht="15" customHeight="1" s="109" thickBot="1">
      <c r="B2091" s="96" t="inlineStr">
        <is>
          <t>KACHCHH MINERALS LTD</t>
        </is>
      </c>
      <c r="C2091" s="97" t="n">
        <v>531778</v>
      </c>
      <c r="D2091" s="96" t="inlineStr">
        <is>
          <t>Not Listed</t>
        </is>
      </c>
      <c r="E2091" s="96" t="inlineStr">
        <is>
          <t>Mining</t>
        </is>
      </c>
    </row>
    <row r="2092" ht="15" customHeight="1" s="109" thickBot="1">
      <c r="B2092" s="96" t="inlineStr">
        <is>
          <t>KAIRA CAN CO LTD</t>
        </is>
      </c>
      <c r="C2092" s="97" t="n">
        <v>504840</v>
      </c>
      <c r="D2092" s="96" t="inlineStr">
        <is>
          <t>Not Listed</t>
        </is>
      </c>
      <c r="E2092" s="96" t="inlineStr">
        <is>
          <t>Containers &amp; Packaging</t>
        </is>
      </c>
    </row>
    <row r="2093" ht="15" customHeight="1" s="109" thickBot="1">
      <c r="B2093" s="96" t="inlineStr">
        <is>
          <t>KAISER CORPORATION LTD</t>
        </is>
      </c>
      <c r="C2093" s="97" t="n">
        <v>531780</v>
      </c>
      <c r="D2093" s="96" t="inlineStr">
        <is>
          <t>Not Listed</t>
        </is>
      </c>
      <c r="E2093" s="96" t="inlineStr">
        <is>
          <t>Comm.Trading &amp; Distribution</t>
        </is>
      </c>
    </row>
    <row r="2094" ht="15" customHeight="1" s="109" thickBot="1">
      <c r="B2094" s="96" t="inlineStr">
        <is>
          <t>KAJARIA CERAMICS LTD</t>
        </is>
      </c>
      <c r="C2094" s="97" t="n">
        <v>500233</v>
      </c>
      <c r="D2094" s="96" t="inlineStr">
        <is>
          <t>KAJARIACER</t>
        </is>
      </c>
      <c r="E2094" s="96" t="inlineStr">
        <is>
          <t>Furniture-Furnishing-Paints</t>
        </is>
      </c>
    </row>
    <row r="2095" ht="15" customHeight="1" s="109" thickBot="1">
      <c r="B2095" s="96" t="inlineStr">
        <is>
          <t>KAKATIYA CEMENT SUGAR &amp; INDUSTRIES LTD</t>
        </is>
      </c>
      <c r="C2095" s="97" t="n">
        <v>500234</v>
      </c>
      <c r="D2095" s="96" t="inlineStr">
        <is>
          <t>KAKATCEM</t>
        </is>
      </c>
      <c r="E2095" s="96" t="inlineStr">
        <is>
          <t>Cement &amp; Cement Products</t>
        </is>
      </c>
    </row>
    <row r="2096" ht="15" customHeight="1" s="109" thickBot="1">
      <c r="B2096" s="96" t="inlineStr">
        <is>
          <t>KAKATIYA TEXTILES LTD</t>
        </is>
      </c>
      <c r="C2096" s="97" t="n">
        <v>521054</v>
      </c>
      <c r="D2096" s="96" t="inlineStr">
        <is>
          <t>Not Listed</t>
        </is>
      </c>
      <c r="E2096" s="96" t="inlineStr">
        <is>
          <t>Textiles</t>
        </is>
      </c>
    </row>
    <row r="2097" ht="15" customHeight="1" s="109" thickBot="1">
      <c r="B2097" s="96" t="inlineStr">
        <is>
          <t>KALLAM TEXTILES LTD</t>
        </is>
      </c>
      <c r="C2097" s="97" t="n">
        <v>530201</v>
      </c>
      <c r="D2097" s="96" t="inlineStr">
        <is>
          <t>Not Listed</t>
        </is>
      </c>
      <c r="E2097" s="96" t="inlineStr">
        <is>
          <t>Textiles</t>
        </is>
      </c>
    </row>
    <row r="2098" ht="15" customHeight="1" s="109" thickBot="1">
      <c r="B2098" s="96" t="inlineStr">
        <is>
          <t>KALPA COMMERCIAL LTD</t>
        </is>
      </c>
      <c r="C2098" s="97" t="n">
        <v>539014</v>
      </c>
      <c r="D2098" s="96" t="inlineStr">
        <is>
          <t>Not Listed</t>
        </is>
      </c>
      <c r="E2098" s="96" t="inlineStr">
        <is>
          <t>Comm.Trading &amp; Distribution</t>
        </is>
      </c>
    </row>
    <row r="2099" ht="15" customHeight="1" s="109" thickBot="1">
      <c r="B2099" s="96" t="inlineStr">
        <is>
          <t>KALPATARU POWER TRANSMISSION LTD</t>
        </is>
      </c>
      <c r="C2099" s="97" t="n">
        <v>522287</v>
      </c>
      <c r="D2099" s="96" t="inlineStr">
        <is>
          <t>KALPATPOWR</t>
        </is>
      </c>
      <c r="E2099" s="96" t="inlineStr">
        <is>
          <t>Heavy Electrical Equipment</t>
        </is>
      </c>
    </row>
    <row r="2100" ht="15" customHeight="1" s="109" thickBot="1">
      <c r="B2100" s="96" t="inlineStr">
        <is>
          <t>KALYANI COMMERCIALS LTD</t>
        </is>
      </c>
      <c r="C2100" s="96" t="inlineStr">
        <is>
          <t>Not Listed</t>
        </is>
      </c>
      <c r="D2100" s="96" t="inlineStr">
        <is>
          <t>KALYANI</t>
        </is>
      </c>
      <c r="E2100" s="96" t="inlineStr">
        <is>
          <t>Others</t>
        </is>
      </c>
    </row>
    <row r="2101" ht="15" customHeight="1" s="109" thickBot="1">
      <c r="B2101" s="96" t="inlineStr">
        <is>
          <t>KALYANI FORGE LTD</t>
        </is>
      </c>
      <c r="C2101" s="97" t="n">
        <v>513509</v>
      </c>
      <c r="D2101" s="96" t="inlineStr">
        <is>
          <t>KALYANIFRG</t>
        </is>
      </c>
      <c r="E2101" s="96" t="inlineStr">
        <is>
          <t>Auto Parts &amp; Equipment</t>
        </is>
      </c>
    </row>
    <row r="2102" ht="15" customHeight="1" s="109" thickBot="1">
      <c r="B2102" s="96" t="inlineStr">
        <is>
          <t>KALYANI INVESTMENT COMPANY LTD</t>
        </is>
      </c>
      <c r="C2102" s="97" t="n">
        <v>533302</v>
      </c>
      <c r="D2102" s="96" t="inlineStr">
        <is>
          <t>KICL</t>
        </is>
      </c>
      <c r="E2102" s="96" t="inlineStr">
        <is>
          <t>Investment Companies</t>
        </is>
      </c>
    </row>
    <row r="2103" ht="15" customHeight="1" s="109" thickBot="1">
      <c r="B2103" s="96" t="inlineStr">
        <is>
          <t>KALYANI STEELS LTD</t>
        </is>
      </c>
      <c r="C2103" s="97" t="n">
        <v>500235</v>
      </c>
      <c r="D2103" s="96" t="inlineStr">
        <is>
          <t>KSL</t>
        </is>
      </c>
      <c r="E2103" s="96" t="inlineStr">
        <is>
          <t>Iron &amp; Steel/Interm.Products</t>
        </is>
      </c>
    </row>
    <row r="2104" ht="15" customHeight="1" s="109" thickBot="1">
      <c r="B2104" s="96" t="inlineStr">
        <is>
          <t>KAMA HOLDINGS LTD</t>
        </is>
      </c>
      <c r="C2104" s="97" t="n">
        <v>532468</v>
      </c>
      <c r="D2104" s="96" t="inlineStr">
        <is>
          <t>Not Listed</t>
        </is>
      </c>
      <c r="E2104" s="96" t="inlineStr">
        <is>
          <t>Holding Companies</t>
        </is>
      </c>
    </row>
    <row r="2105" ht="15" customHeight="1" s="109" thickBot="1">
      <c r="B2105" s="96" t="inlineStr">
        <is>
          <t>KAMADGIRI FASHION LTD</t>
        </is>
      </c>
      <c r="C2105" s="97" t="n">
        <v>514322</v>
      </c>
      <c r="D2105" s="96" t="inlineStr">
        <is>
          <t>Not Listed</t>
        </is>
      </c>
      <c r="E2105" s="96" t="inlineStr">
        <is>
          <t>Textiles</t>
        </is>
      </c>
    </row>
    <row r="2106" ht="15" customHeight="1" s="109" thickBot="1">
      <c r="B2106" s="96" t="inlineStr">
        <is>
          <t>KAMANWALA HOUSING CONSTRUCTION LTD</t>
        </is>
      </c>
      <c r="C2106" s="97" t="n">
        <v>511131</v>
      </c>
      <c r="D2106" s="96" t="inlineStr">
        <is>
          <t>Not Listed</t>
        </is>
      </c>
      <c r="E2106" s="96" t="inlineStr">
        <is>
          <t>Realty</t>
        </is>
      </c>
    </row>
    <row r="2107" ht="15" customHeight="1" s="109" thickBot="1">
      <c r="B2107" s="96" t="inlineStr">
        <is>
          <t>KAMAT HOTELS I LTD</t>
        </is>
      </c>
      <c r="C2107" s="97" t="n">
        <v>526668</v>
      </c>
      <c r="D2107" s="96" t="inlineStr">
        <is>
          <t>KAMATHOTEL</t>
        </is>
      </c>
      <c r="E2107" s="96" t="inlineStr">
        <is>
          <t>Hotels</t>
        </is>
      </c>
    </row>
    <row r="2108" ht="15" customHeight="1" s="109" thickBot="1">
      <c r="B2108" s="96" t="inlineStr">
        <is>
          <t>KAMDHENU LTD</t>
        </is>
      </c>
      <c r="C2108" s="97" t="n">
        <v>532741</v>
      </c>
      <c r="D2108" s="96" t="inlineStr">
        <is>
          <t>KAMDHENU</t>
        </is>
      </c>
      <c r="E2108" s="96" t="inlineStr">
        <is>
          <t>Iron &amp; Steel/Interm.Products</t>
        </is>
      </c>
    </row>
    <row r="2109" ht="15" customHeight="1" s="109" thickBot="1">
      <c r="B2109" s="96" t="inlineStr">
        <is>
          <t>KAMRON LABORATORIES LTD</t>
        </is>
      </c>
      <c r="C2109" s="97" t="n">
        <v>524604</v>
      </c>
      <c r="D2109" s="96" t="inlineStr">
        <is>
          <t>Not Listed</t>
        </is>
      </c>
      <c r="E2109" s="96" t="inlineStr">
        <is>
          <t>Pharmaceuticals</t>
        </is>
      </c>
    </row>
    <row r="2110" ht="15" customHeight="1" s="109" thickBot="1">
      <c r="B2110" s="96" t="inlineStr">
        <is>
          <t>KANAK KRISHI IMPLEMENTS LTD</t>
        </is>
      </c>
      <c r="C2110" s="97" t="n">
        <v>780003</v>
      </c>
      <c r="D2110" s="96" t="inlineStr">
        <is>
          <t>Not Listed</t>
        </is>
      </c>
      <c r="E2110" s="96" t="inlineStr">
        <is>
          <t>Others</t>
        </is>
      </c>
    </row>
    <row r="2111" ht="15" customHeight="1" s="109" thickBot="1">
      <c r="B2111" s="96" t="inlineStr">
        <is>
          <t>KANANI INDUSTRIES LTD</t>
        </is>
      </c>
      <c r="C2111" s="97" t="n">
        <v>506184</v>
      </c>
      <c r="D2111" s="96" t="inlineStr">
        <is>
          <t>KANANIIND</t>
        </is>
      </c>
      <c r="E2111" s="96" t="inlineStr">
        <is>
          <t>Other Apparels &amp; Accessories</t>
        </is>
      </c>
    </row>
    <row r="2112" ht="15" customHeight="1" s="109" thickBot="1">
      <c r="B2112" s="96" t="inlineStr">
        <is>
          <t>KANCHI KARPOORAM LTD</t>
        </is>
      </c>
      <c r="C2112" s="97" t="n">
        <v>538896</v>
      </c>
      <c r="D2112" s="96" t="inlineStr">
        <is>
          <t>Not Listed</t>
        </is>
      </c>
      <c r="E2112" s="96" t="inlineStr">
        <is>
          <t>Commodity Chemicals</t>
        </is>
      </c>
    </row>
    <row r="2113" ht="15" customHeight="1" s="109" thickBot="1">
      <c r="B2113" s="96" t="inlineStr">
        <is>
          <t>KANCO TEA &amp; INDUSTRIES LTD</t>
        </is>
      </c>
      <c r="C2113" s="97" t="n">
        <v>541005</v>
      </c>
      <c r="D2113" s="96" t="inlineStr">
        <is>
          <t>Not Listed</t>
        </is>
      </c>
      <c r="E2113" s="96" t="inlineStr">
        <is>
          <t>Tea &amp; Coffee</t>
        </is>
      </c>
    </row>
    <row r="2114" ht="15" customHeight="1" s="109" thickBot="1">
      <c r="B2114" s="96" t="inlineStr">
        <is>
          <t>KANDAGIRI SPINNING MILLS LTD</t>
        </is>
      </c>
      <c r="C2114" s="97" t="n">
        <v>521242</v>
      </c>
      <c r="D2114" s="96" t="inlineStr">
        <is>
          <t>Not Listed</t>
        </is>
      </c>
      <c r="E2114" s="96" t="inlineStr">
        <is>
          <t>Textiles</t>
        </is>
      </c>
    </row>
    <row r="2115" ht="15" customHeight="1" s="109" thickBot="1">
      <c r="B2115" s="96" t="inlineStr">
        <is>
          <t>Kanel Industries LTD</t>
        </is>
      </c>
      <c r="C2115" s="97" t="n">
        <v>500236</v>
      </c>
      <c r="D2115" s="96" t="inlineStr">
        <is>
          <t>KANELIND</t>
        </is>
      </c>
      <c r="E2115" s="96" t="inlineStr">
        <is>
          <t>Comm.Trading &amp;amp; Distribution</t>
        </is>
      </c>
    </row>
    <row r="2116" ht="15" customHeight="1" s="109" thickBot="1">
      <c r="B2116" s="96" t="inlineStr">
        <is>
          <t>KANISHK STEEL INDUSTRIES LTD</t>
        </is>
      </c>
      <c r="C2116" s="97" t="n">
        <v>513456</v>
      </c>
      <c r="D2116" s="96" t="inlineStr">
        <is>
          <t>Not Listed</t>
        </is>
      </c>
      <c r="E2116" s="96" t="inlineStr">
        <is>
          <t>Iron &amp; Steel Products</t>
        </is>
      </c>
    </row>
    <row r="2117" ht="15" customHeight="1" s="109" thickBot="1">
      <c r="B2117" s="96" t="inlineStr">
        <is>
          <t>KANORIA CHEMICALS &amp; INDUSTRIES LTD</t>
        </is>
      </c>
      <c r="C2117" s="97" t="n">
        <v>506525</v>
      </c>
      <c r="D2117" s="96" t="inlineStr">
        <is>
          <t>KANORICHEM</t>
        </is>
      </c>
      <c r="E2117" s="96" t="inlineStr">
        <is>
          <t>Commodity Chemicals</t>
        </is>
      </c>
    </row>
    <row r="2118" ht="15" customHeight="1" s="109" thickBot="1">
      <c r="B2118" s="96" t="inlineStr">
        <is>
          <t>KANPUR PLASTIPACK LTD</t>
        </is>
      </c>
      <c r="C2118" s="97" t="n">
        <v>507779</v>
      </c>
      <c r="D2118" s="96" t="inlineStr">
        <is>
          <t>Not Listed</t>
        </is>
      </c>
      <c r="E2118" s="96" t="inlineStr">
        <is>
          <t>Containers &amp; Packaging</t>
        </is>
      </c>
    </row>
    <row r="2119" ht="15" customHeight="1" s="109" thickBot="1">
      <c r="B2119" s="96" t="inlineStr">
        <is>
          <t>KANSAI NEROLAC PAINTS LTD</t>
        </is>
      </c>
      <c r="C2119" s="97" t="n">
        <v>500165</v>
      </c>
      <c r="D2119" s="96" t="inlineStr">
        <is>
          <t>KANSAINER</t>
        </is>
      </c>
      <c r="E2119" s="96" t="inlineStr">
        <is>
          <t>Furniture-Furnishing-Paints</t>
        </is>
      </c>
    </row>
    <row r="2120" ht="15" customHeight="1" s="109" thickBot="1">
      <c r="B2120" s="96" t="inlineStr">
        <is>
          <t>KANUNGO FINANCIERS LTD</t>
        </is>
      </c>
      <c r="C2120" s="97" t="n">
        <v>540515</v>
      </c>
      <c r="D2120" s="96" t="inlineStr">
        <is>
          <t>Not Listed</t>
        </is>
      </c>
      <c r="E2120" s="96" t="inlineStr">
        <is>
          <t>Other Financial Services</t>
        </is>
      </c>
    </row>
    <row r="2121" ht="15" customHeight="1" s="109" thickBot="1">
      <c r="B2121" s="96" t="inlineStr">
        <is>
          <t>KAPASHI COMMERCIALS LTD</t>
        </is>
      </c>
      <c r="C2121" s="97" t="n">
        <v>512399</v>
      </c>
      <c r="D2121" s="96" t="inlineStr">
        <is>
          <t>Not Listed</t>
        </is>
      </c>
      <c r="E2121" s="96" t="inlineStr">
        <is>
          <t>Other Financial Services</t>
        </is>
      </c>
    </row>
    <row r="2122" ht="15" customHeight="1" s="109" thickBot="1">
      <c r="B2122" s="96" t="inlineStr">
        <is>
          <t>KAPIL COTEX LTD</t>
        </is>
      </c>
      <c r="C2122" s="97" t="n">
        <v>512036</v>
      </c>
      <c r="D2122" s="96" t="inlineStr">
        <is>
          <t>Not Listed</t>
        </is>
      </c>
      <c r="E2122" s="96" t="inlineStr">
        <is>
          <t>Textiles</t>
        </is>
      </c>
    </row>
    <row r="2123" ht="15" customHeight="1" s="109" thickBot="1">
      <c r="B2123" s="96" t="inlineStr">
        <is>
          <t>KAPIL RAJ FINANCE LTD</t>
        </is>
      </c>
      <c r="C2123" s="97" t="n">
        <v>539679</v>
      </c>
      <c r="D2123" s="96" t="inlineStr">
        <is>
          <t>Not Listed</t>
        </is>
      </c>
      <c r="E2123" s="96" t="inlineStr">
        <is>
          <t>Finance (including NBFCs)</t>
        </is>
      </c>
    </row>
    <row r="2124" ht="15" customHeight="1" s="109" thickBot="1">
      <c r="B2124" s="96" t="inlineStr">
        <is>
          <t>KAPSTON FACILITIES MANAGEMENT LTD</t>
        </is>
      </c>
      <c r="C2124" s="96" t="inlineStr">
        <is>
          <t>Not Listed</t>
        </is>
      </c>
      <c r="D2124" s="96" t="inlineStr">
        <is>
          <t>KAPSTON</t>
        </is>
      </c>
      <c r="E2124" s="96" t="inlineStr">
        <is>
          <t>SME</t>
        </is>
      </c>
    </row>
    <row r="2125" ht="15" customHeight="1" s="109" thickBot="1">
      <c r="B2125" s="96" t="inlineStr">
        <is>
          <t>KARAN WOO-SIN LTD</t>
        </is>
      </c>
      <c r="C2125" s="97" t="n">
        <v>526115</v>
      </c>
      <c r="D2125" s="96" t="inlineStr">
        <is>
          <t>Not Listed</t>
        </is>
      </c>
      <c r="E2125" s="96" t="inlineStr">
        <is>
          <t>Other Apparels &amp; Accessories</t>
        </is>
      </c>
    </row>
    <row r="2126" ht="15" customHeight="1" s="109" thickBot="1">
      <c r="B2126" s="96" t="inlineStr">
        <is>
          <t>KARDA CONSTRUCTIONS LTD</t>
        </is>
      </c>
      <c r="C2126" s="97" t="n">
        <v>541161</v>
      </c>
      <c r="D2126" s="96" t="inlineStr">
        <is>
          <t>KARDA</t>
        </is>
      </c>
      <c r="E2126" s="96" t="inlineStr">
        <is>
          <t>Realty</t>
        </is>
      </c>
    </row>
    <row r="2127" ht="15" customHeight="1" s="109" thickBot="1">
      <c r="B2127" s="96" t="inlineStr">
        <is>
          <t>KARMA ENERGY LTD</t>
        </is>
      </c>
      <c r="C2127" s="97" t="n">
        <v>533451</v>
      </c>
      <c r="D2127" s="96" t="inlineStr">
        <is>
          <t>KARMAENG</t>
        </is>
      </c>
      <c r="E2127" s="96" t="inlineStr">
        <is>
          <t>Electric Utilities</t>
        </is>
      </c>
    </row>
    <row r="2128" ht="15" customHeight="1" s="109" thickBot="1">
      <c r="B2128" s="96" t="inlineStr">
        <is>
          <t>KARNAVATI FINANCE LTD</t>
        </is>
      </c>
      <c r="C2128" s="97" t="n">
        <v>538928</v>
      </c>
      <c r="D2128" s="96" t="inlineStr">
        <is>
          <t>Not Listed</t>
        </is>
      </c>
      <c r="E2128" s="96" t="inlineStr">
        <is>
          <t>Finance (including NBFCs)</t>
        </is>
      </c>
    </row>
    <row r="2129" ht="15" customHeight="1" s="109" thickBot="1">
      <c r="B2129" s="96" t="inlineStr">
        <is>
          <t>KARNIMATA COLD STORAGE LTD</t>
        </is>
      </c>
      <c r="C2129" s="97" t="n">
        <v>537784</v>
      </c>
      <c r="D2129" s="96" t="inlineStr">
        <is>
          <t>Not Listed</t>
        </is>
      </c>
      <c r="E2129" s="96" t="inlineStr">
        <is>
          <t>Misc.Commercial Services</t>
        </is>
      </c>
    </row>
    <row r="2130" ht="15" customHeight="1" s="109" thickBot="1">
      <c r="B2130" s="96" t="inlineStr">
        <is>
          <t>KARUR VYSYA BANK LTD</t>
        </is>
      </c>
      <c r="C2130" s="97" t="n">
        <v>590003</v>
      </c>
      <c r="D2130" s="96" t="inlineStr">
        <is>
          <t>KARURVYSYA</t>
        </is>
      </c>
      <c r="E2130" s="96" t="inlineStr">
        <is>
          <t>Banks</t>
        </is>
      </c>
    </row>
    <row r="2131" ht="15" customHeight="1" s="109" thickBot="1">
      <c r="B2131" s="96" t="inlineStr">
        <is>
          <t>KARUTURI GLOBAL LTD</t>
        </is>
      </c>
      <c r="C2131" s="97" t="n">
        <v>531687</v>
      </c>
      <c r="D2131" s="96" t="inlineStr">
        <is>
          <t>KGL</t>
        </is>
      </c>
      <c r="E2131" s="96" t="inlineStr">
        <is>
          <t>Other Agricultural Products</t>
        </is>
      </c>
    </row>
    <row r="2132" ht="15" customHeight="1" s="109" thickBot="1">
      <c r="B2132" s="96" t="inlineStr">
        <is>
          <t>KASHIRAM JAIN AND COMPANY LTD</t>
        </is>
      </c>
      <c r="C2132" s="97" t="n">
        <v>539533</v>
      </c>
      <c r="D2132" s="96" t="inlineStr">
        <is>
          <t>Not Listed</t>
        </is>
      </c>
      <c r="E2132" s="96" t="inlineStr">
        <is>
          <t>Other Financial Services</t>
        </is>
      </c>
    </row>
    <row r="2133" ht="15" customHeight="1" s="109" thickBot="1">
      <c r="B2133" s="96" t="inlineStr">
        <is>
          <t>KATARE SPINNING MILLS LTD</t>
        </is>
      </c>
      <c r="C2133" s="97" t="n">
        <v>502933</v>
      </c>
      <c r="D2133" s="96" t="inlineStr">
        <is>
          <t>Not Listed</t>
        </is>
      </c>
      <c r="E2133" s="96" t="inlineStr">
        <is>
          <t>Textiles</t>
        </is>
      </c>
    </row>
    <row r="2134" ht="15" customHeight="1" s="109" thickBot="1">
      <c r="B2134" s="96" t="inlineStr">
        <is>
          <t>KAUSHALYA INFRASTRUCTURE DEVELOPMENT CORPORATION LTD</t>
        </is>
      </c>
      <c r="C2134" s="97" t="n">
        <v>532925</v>
      </c>
      <c r="D2134" s="96" t="inlineStr">
        <is>
          <t>KAUSHALYA</t>
        </is>
      </c>
      <c r="E2134" s="96" t="inlineStr">
        <is>
          <t>Construction &amp; Engineering</t>
        </is>
      </c>
    </row>
    <row r="2135" ht="15" customHeight="1" s="109" thickBot="1">
      <c r="B2135" s="96" t="inlineStr">
        <is>
          <t>KAVERI SEED COMPANY LTD</t>
        </is>
      </c>
      <c r="C2135" s="97" t="n">
        <v>532899</v>
      </c>
      <c r="D2135" s="96" t="inlineStr">
        <is>
          <t>KSCL</t>
        </is>
      </c>
      <c r="E2135" s="96" t="inlineStr">
        <is>
          <t>Other Agricultural Products</t>
        </is>
      </c>
    </row>
    <row r="2136" ht="15" customHeight="1" s="109" thickBot="1">
      <c r="B2136" s="96" t="inlineStr">
        <is>
          <t>KAVIT INDUSTRIES LTD</t>
        </is>
      </c>
      <c r="C2136" s="97" t="n">
        <v>524444</v>
      </c>
      <c r="D2136" s="96" t="inlineStr">
        <is>
          <t>Not Listed</t>
        </is>
      </c>
      <c r="E2136" s="96" t="inlineStr">
        <is>
          <t>Edible Oils</t>
        </is>
      </c>
    </row>
    <row r="2137" ht="15" customHeight="1" s="109" thickBot="1">
      <c r="B2137" s="96" t="inlineStr">
        <is>
          <t>KAVITA FABRICS LTD</t>
        </is>
      </c>
      <c r="C2137" s="97" t="n">
        <v>535136</v>
      </c>
      <c r="D2137" s="96" t="inlineStr">
        <is>
          <t>Not Listed</t>
        </is>
      </c>
      <c r="E2137" s="96" t="inlineStr">
        <is>
          <t>Textiles</t>
        </is>
      </c>
    </row>
    <row r="2138" ht="15" customHeight="1" s="109" thickBot="1">
      <c r="B2138" s="96" t="inlineStr">
        <is>
          <t>KAVVERI TELECOM PRODUCTS LTD</t>
        </is>
      </c>
      <c r="C2138" s="97" t="n">
        <v>590041</v>
      </c>
      <c r="D2138" s="96" t="inlineStr">
        <is>
          <t>KAVVERITEL</t>
        </is>
      </c>
      <c r="E2138" s="96" t="inlineStr">
        <is>
          <t>Telecom Equipment</t>
        </is>
      </c>
    </row>
    <row r="2139" ht="15" customHeight="1" s="109" thickBot="1">
      <c r="B2139" s="96" t="inlineStr">
        <is>
          <t>KAY POWER AND PAPER LTD</t>
        </is>
      </c>
      <c r="C2139" s="97" t="n">
        <v>530255</v>
      </c>
      <c r="D2139" s="96" t="inlineStr">
        <is>
          <t>Not Listed</t>
        </is>
      </c>
      <c r="E2139" s="96" t="inlineStr">
        <is>
          <t>Paper &amp; Paper Products</t>
        </is>
      </c>
    </row>
    <row r="2140" ht="15" customHeight="1" s="109" thickBot="1">
      <c r="B2140" s="96" t="inlineStr">
        <is>
          <t>KAYA LTD</t>
        </is>
      </c>
      <c r="C2140" s="97" t="n">
        <v>539276</v>
      </c>
      <c r="D2140" s="96" t="inlineStr">
        <is>
          <t>KAYA</t>
        </is>
      </c>
      <c r="E2140" s="96" t="inlineStr">
        <is>
          <t>Sp.Consumer Services</t>
        </is>
      </c>
    </row>
    <row r="2141" ht="15" customHeight="1" s="109" thickBot="1">
      <c r="B2141" s="96" t="inlineStr">
        <is>
          <t>KAYCEE INDUSTRIES LTD</t>
        </is>
      </c>
      <c r="C2141" s="97" t="n">
        <v>504084</v>
      </c>
      <c r="D2141" s="96" t="inlineStr">
        <is>
          <t>Not Listed</t>
        </is>
      </c>
      <c r="E2141" s="96" t="inlineStr">
        <is>
          <t>Other Elect.Equip./ Prod.</t>
        </is>
      </c>
    </row>
    <row r="2142" ht="15" customHeight="1" s="109" thickBot="1">
      <c r="B2142" s="96" t="inlineStr">
        <is>
          <t>KAYEL SECURITIES LTD</t>
        </is>
      </c>
      <c r="C2142" s="97" t="n">
        <v>539562</v>
      </c>
      <c r="D2142" s="96" t="inlineStr">
        <is>
          <t>Not Listed</t>
        </is>
      </c>
      <c r="E2142" s="96" t="inlineStr">
        <is>
          <t>Other Financial Services</t>
        </is>
      </c>
    </row>
    <row r="2143" ht="15" customHeight="1" s="109" thickBot="1">
      <c r="B2143" s="96" t="inlineStr">
        <is>
          <t>KBS (INDIA) LTD</t>
        </is>
      </c>
      <c r="C2143" s="97" t="n">
        <v>530357</v>
      </c>
      <c r="D2143" s="96" t="inlineStr">
        <is>
          <t>Not Listed</t>
        </is>
      </c>
      <c r="E2143" s="96" t="inlineStr">
        <is>
          <t>Other Financial Services</t>
        </is>
      </c>
    </row>
    <row r="2144" ht="15" customHeight="1" s="109" thickBot="1">
      <c r="B2144" s="96" t="inlineStr">
        <is>
          <t>KBS INDIA LTD</t>
        </is>
      </c>
      <c r="C2144" s="97" t="n">
        <v>530357</v>
      </c>
      <c r="D2144" s="96" t="inlineStr">
        <is>
          <t>Not Listed</t>
        </is>
      </c>
      <c r="E2144" s="96" t="inlineStr">
        <is>
          <t>Other Financial Services</t>
        </is>
      </c>
    </row>
    <row r="2145" ht="15" customHeight="1" s="109" thickBot="1">
      <c r="B2145" s="96" t="inlineStr">
        <is>
          <t>KCCL PLASTIC LTD</t>
        </is>
      </c>
      <c r="C2145" s="97" t="n">
        <v>526067</v>
      </c>
      <c r="D2145" s="96" t="inlineStr">
        <is>
          <t>Not Listed</t>
        </is>
      </c>
      <c r="E2145" s="96" t="inlineStr">
        <is>
          <t>Containers &amp; Packaging</t>
        </is>
      </c>
    </row>
    <row r="2146" ht="15" customHeight="1" s="109" thickBot="1">
      <c r="B2146" s="96" t="inlineStr">
        <is>
          <t>KCL INFRA PROJECTS LTD</t>
        </is>
      </c>
      <c r="C2146" s="97" t="n">
        <v>531784</v>
      </c>
      <c r="D2146" s="96" t="inlineStr">
        <is>
          <t>Not Listed</t>
        </is>
      </c>
      <c r="E2146" s="96" t="inlineStr">
        <is>
          <t>Construction &amp; Engineering</t>
        </is>
      </c>
    </row>
    <row r="2147" ht="15" customHeight="1" s="109" thickBot="1">
      <c r="B2147" s="96" t="inlineStr">
        <is>
          <t>KCP LTD</t>
        </is>
      </c>
      <c r="C2147" s="97" t="n">
        <v>590066</v>
      </c>
      <c r="D2147" s="96" t="inlineStr">
        <is>
          <t>KCP</t>
        </is>
      </c>
      <c r="E2147" s="96" t="inlineStr">
        <is>
          <t>Cement &amp; Cement Products</t>
        </is>
      </c>
    </row>
    <row r="2148" ht="15" customHeight="1" s="109" thickBot="1">
      <c r="B2148" s="96" t="inlineStr">
        <is>
          <t>KCP SUGAR AND INDUSTRIES CORPORATION LTD</t>
        </is>
      </c>
      <c r="C2148" s="97" t="n">
        <v>533192</v>
      </c>
      <c r="D2148" s="96" t="inlineStr">
        <is>
          <t>KCPSUGIND</t>
        </is>
      </c>
      <c r="E2148" s="96" t="inlineStr">
        <is>
          <t>Sugar</t>
        </is>
      </c>
    </row>
    <row r="2149" ht="15" customHeight="1" s="109" thickBot="1">
      <c r="B2149" s="96" t="inlineStr">
        <is>
          <t>KD LEISURES LTD</t>
        </is>
      </c>
      <c r="C2149" s="97" t="n">
        <v>540385</v>
      </c>
      <c r="D2149" s="96" t="inlineStr">
        <is>
          <t>Not Listed</t>
        </is>
      </c>
      <c r="E2149" s="96" t="inlineStr">
        <is>
          <t>Other Financial Services</t>
        </is>
      </c>
    </row>
    <row r="2150" ht="15" customHeight="1" s="109" thickBot="1">
      <c r="B2150" s="96" t="inlineStr">
        <is>
          <t>KDDL LTD</t>
        </is>
      </c>
      <c r="C2150" s="97" t="n">
        <v>532054</v>
      </c>
      <c r="D2150" s="96" t="inlineStr">
        <is>
          <t>KDDL</t>
        </is>
      </c>
      <c r="E2150" s="96" t="inlineStr">
        <is>
          <t>Other Apparels &amp; Accessories</t>
        </is>
      </c>
    </row>
    <row r="2151" ht="15" customHeight="1" s="109" thickBot="1">
      <c r="B2151" s="96" t="inlineStr">
        <is>
          <t>KEC INTERNATIONAL LTD</t>
        </is>
      </c>
      <c r="C2151" s="97" t="n">
        <v>532714</v>
      </c>
      <c r="D2151" s="96" t="inlineStr">
        <is>
          <t>KEC</t>
        </is>
      </c>
      <c r="E2151" s="96" t="inlineStr">
        <is>
          <t>Heavy Electrical Equipment</t>
        </is>
      </c>
    </row>
    <row r="2152" ht="15" customHeight="1" s="109" thickBot="1">
      <c r="B2152" s="96" t="inlineStr">
        <is>
          <t>KEDIA CONSTRUCTION CO LTD</t>
        </is>
      </c>
      <c r="C2152" s="97" t="n">
        <v>508993</v>
      </c>
      <c r="D2152" s="96" t="inlineStr">
        <is>
          <t>Not Listed</t>
        </is>
      </c>
      <c r="E2152" s="96" t="inlineStr">
        <is>
          <t>Realty</t>
        </is>
      </c>
    </row>
    <row r="2153" ht="15" customHeight="1" s="109" thickBot="1">
      <c r="B2153" s="96" t="inlineStr">
        <is>
          <t>KEERTHI INDUSTRIES LTD</t>
        </is>
      </c>
      <c r="C2153" s="97" t="n">
        <v>518011</v>
      </c>
      <c r="D2153" s="96" t="inlineStr">
        <is>
          <t>Not Listed</t>
        </is>
      </c>
      <c r="E2153" s="96" t="inlineStr">
        <is>
          <t>Cement &amp; Cement Products</t>
        </is>
      </c>
    </row>
    <row r="2154" ht="15" customHeight="1" s="109" thickBot="1">
      <c r="B2154" s="96" t="inlineStr">
        <is>
          <t>KEERTI KNOWLEDGE AND SKILLS LTD</t>
        </is>
      </c>
      <c r="C2154" s="96" t="inlineStr">
        <is>
          <t>Not Listed</t>
        </is>
      </c>
      <c r="D2154" s="96" t="inlineStr">
        <is>
          <t>KEERTI</t>
        </is>
      </c>
      <c r="E2154" s="96" t="inlineStr">
        <is>
          <t>SME</t>
        </is>
      </c>
    </row>
    <row r="2155" ht="15" customHeight="1" s="109" thickBot="1">
      <c r="B2155" s="96" t="inlineStr">
        <is>
          <t>KEI INDUSTRIES LTD</t>
        </is>
      </c>
      <c r="C2155" s="97" t="n">
        <v>517569</v>
      </c>
      <c r="D2155" s="96" t="inlineStr">
        <is>
          <t>KEI</t>
        </is>
      </c>
      <c r="E2155" s="96" t="inlineStr">
        <is>
          <t>Other Elect.Equip./ Prod.</t>
        </is>
      </c>
    </row>
    <row r="2156" ht="15" customHeight="1" s="109" thickBot="1">
      <c r="B2156" s="96" t="inlineStr">
        <is>
          <t>KELLTON TECH SOLUTIONS LTD</t>
        </is>
      </c>
      <c r="C2156" s="97" t="n">
        <v>519602</v>
      </c>
      <c r="D2156" s="96" t="inlineStr">
        <is>
          <t>KELLTONTEC</t>
        </is>
      </c>
      <c r="E2156" s="96" t="inlineStr">
        <is>
          <t>IT Software Products</t>
        </is>
      </c>
    </row>
    <row r="2157" ht="15" customHeight="1" s="109" thickBot="1">
      <c r="B2157" s="96" t="inlineStr">
        <is>
          <t>KELTECH ENERGIES LTD</t>
        </is>
      </c>
      <c r="C2157" s="97" t="n">
        <v>506528</v>
      </c>
      <c r="D2157" s="96" t="inlineStr">
        <is>
          <t>Not Listed</t>
        </is>
      </c>
      <c r="E2157" s="96" t="inlineStr">
        <is>
          <t>Specialty Chemicals</t>
        </is>
      </c>
    </row>
    <row r="2158" ht="15" customHeight="1" s="109" thickBot="1">
      <c r="B2158" s="96" t="inlineStr">
        <is>
          <t>Kemistar Corporation LTD</t>
        </is>
      </c>
      <c r="C2158" s="97" t="n">
        <v>531163</v>
      </c>
      <c r="D2158" s="96" t="inlineStr">
        <is>
          <t>KEMISTAR</t>
        </is>
      </c>
      <c r="E2158" s="96" t="inlineStr">
        <is>
          <t>Specialty Chemicals</t>
        </is>
      </c>
    </row>
    <row r="2159" ht="15" customHeight="1" s="109" thickBot="1">
      <c r="B2159" s="96" t="inlineStr">
        <is>
          <t>KEMP &amp; COMPANY LTD</t>
        </is>
      </c>
      <c r="C2159" s="97" t="n">
        <v>506530</v>
      </c>
      <c r="D2159" s="96" t="inlineStr">
        <is>
          <t>Not Listed</t>
        </is>
      </c>
      <c r="E2159" s="96" t="inlineStr">
        <is>
          <t>Containers &amp; Packaging</t>
        </is>
      </c>
    </row>
    <row r="2160" ht="15" customHeight="1" s="109" thickBot="1">
      <c r="B2160" s="96" t="inlineStr">
        <is>
          <t>KENNAMETAL (INDIA) LTD</t>
        </is>
      </c>
      <c r="C2160" s="97" t="n">
        <v>505890</v>
      </c>
      <c r="D2160" s="96" t="inlineStr">
        <is>
          <t>Not Listed</t>
        </is>
      </c>
      <c r="E2160" s="96" t="inlineStr">
        <is>
          <t>Industrial Machinery</t>
        </is>
      </c>
    </row>
    <row r="2161" ht="15" customHeight="1" s="109" thickBot="1">
      <c r="B2161" s="96" t="inlineStr">
        <is>
          <t>KENNAMETAL INDIA LTD</t>
        </is>
      </c>
      <c r="C2161" s="97" t="n">
        <v>505890</v>
      </c>
      <c r="D2161" s="96" t="inlineStr">
        <is>
          <t>Not Listed</t>
        </is>
      </c>
      <c r="E2161" s="96" t="inlineStr">
        <is>
          <t>Industrial Machinery</t>
        </is>
      </c>
    </row>
    <row r="2162" ht="15" customHeight="1" s="109" thickBot="1">
      <c r="B2162" s="96" t="inlineStr">
        <is>
          <t>KENVI JEWELS LTD</t>
        </is>
      </c>
      <c r="C2162" s="97" t="n">
        <v>540953</v>
      </c>
      <c r="D2162" s="96" t="inlineStr">
        <is>
          <t>Not Listed</t>
        </is>
      </c>
      <c r="E2162" s="96" t="inlineStr">
        <is>
          <t>Other Apparels &amp; Accessories</t>
        </is>
      </c>
    </row>
    <row r="2163" ht="15" customHeight="1" s="109" thickBot="1">
      <c r="B2163" s="96" t="inlineStr">
        <is>
          <t>KERALA AYURVEDA LTD</t>
        </is>
      </c>
      <c r="C2163" s="97" t="n">
        <v>530163</v>
      </c>
      <c r="D2163" s="96" t="inlineStr">
        <is>
          <t>Not Listed</t>
        </is>
      </c>
      <c r="E2163" s="96" t="inlineStr">
        <is>
          <t>Pharmaceuticals</t>
        </is>
      </c>
    </row>
    <row r="2164" ht="15" customHeight="1" s="109" thickBot="1">
      <c r="B2164" s="96" t="inlineStr">
        <is>
          <t>KERNEX MICROSYSTEMS (INDIA) LTD</t>
        </is>
      </c>
      <c r="C2164" s="97" t="n">
        <v>532686</v>
      </c>
      <c r="D2164" s="96" t="inlineStr">
        <is>
          <t>KERNEX</t>
        </is>
      </c>
      <c r="E2164" s="96" t="inlineStr">
        <is>
          <t>Transport Related Services</t>
        </is>
      </c>
    </row>
    <row r="2165" ht="15" customHeight="1" s="109" thickBot="1">
      <c r="B2165" s="96" t="inlineStr">
        <is>
          <t>KERNEX MICROSYSTEMS INDIA LTD</t>
        </is>
      </c>
      <c r="C2165" s="97" t="n">
        <v>532686</v>
      </c>
      <c r="D2165" s="96" t="inlineStr">
        <is>
          <t>KERNEX</t>
        </is>
      </c>
      <c r="E2165" s="96" t="inlineStr">
        <is>
          <t>Transport Related Services</t>
        </is>
      </c>
    </row>
    <row r="2166" ht="15" customHeight="1" s="109" thickBot="1">
      <c r="B2166" s="96" t="inlineStr">
        <is>
          <t>KESAR ENTERPRISES LTD</t>
        </is>
      </c>
      <c r="C2166" s="97" t="n">
        <v>507180</v>
      </c>
      <c r="D2166" s="96" t="inlineStr">
        <is>
          <t>KESARENT</t>
        </is>
      </c>
      <c r="E2166" s="96" t="inlineStr">
        <is>
          <t>Sugar</t>
        </is>
      </c>
    </row>
    <row r="2167" ht="15" customHeight="1" s="109" thickBot="1">
      <c r="B2167" s="96" t="inlineStr">
        <is>
          <t>KESAR PETROPRODUCTS LTD</t>
        </is>
      </c>
      <c r="C2167" s="97" t="n">
        <v>524174</v>
      </c>
      <c r="D2167" s="96" t="inlineStr">
        <is>
          <t>Not Listed</t>
        </is>
      </c>
      <c r="E2167" s="96" t="inlineStr">
        <is>
          <t>Commodity Chemicals</t>
        </is>
      </c>
    </row>
    <row r="2168" ht="15" customHeight="1" s="109" thickBot="1">
      <c r="B2168" s="96" t="inlineStr">
        <is>
          <t>KESAR TERMINALS &amp; INFRASTRUCTURE LTD</t>
        </is>
      </c>
      <c r="C2168" s="97" t="n">
        <v>533289</v>
      </c>
      <c r="D2168" s="96" t="inlineStr">
        <is>
          <t>KTIL</t>
        </is>
      </c>
      <c r="E2168" s="96" t="inlineStr">
        <is>
          <t>Transportation - Logistics</t>
        </is>
      </c>
    </row>
    <row r="2169" ht="15" customHeight="1" s="109" thickBot="1">
      <c r="B2169" s="96" t="inlineStr">
        <is>
          <t>KESORAM INDUSTRIES LTD</t>
        </is>
      </c>
      <c r="C2169" s="97" t="n">
        <v>502937</v>
      </c>
      <c r="D2169" s="96" t="inlineStr">
        <is>
          <t>KESORAMIND</t>
        </is>
      </c>
      <c r="E2169" s="96" t="inlineStr">
        <is>
          <t>Diversified</t>
        </is>
      </c>
    </row>
    <row r="2170" ht="15" customHeight="1" s="109" thickBot="1">
      <c r="B2170" s="96" t="inlineStr">
        <is>
          <t>KEWAL KIRAN CLOTHING LTD</t>
        </is>
      </c>
      <c r="C2170" s="97" t="n">
        <v>532732</v>
      </c>
      <c r="D2170" s="96" t="inlineStr">
        <is>
          <t>KKCL</t>
        </is>
      </c>
      <c r="E2170" s="96" t="inlineStr">
        <is>
          <t>Other Apparels &amp; Accessories</t>
        </is>
      </c>
    </row>
    <row r="2171" ht="15" customHeight="1" s="109" thickBot="1">
      <c r="B2171" s="96" t="inlineStr">
        <is>
          <t>KEY CORP LTD</t>
        </is>
      </c>
      <c r="C2171" s="97" t="n">
        <v>507948</v>
      </c>
      <c r="D2171" s="96" t="inlineStr">
        <is>
          <t>Not Listed</t>
        </is>
      </c>
      <c r="E2171" s="96" t="inlineStr">
        <is>
          <t>Finance (including NBFCs)</t>
        </is>
      </c>
    </row>
    <row r="2172" ht="15" customHeight="1" s="109" thickBot="1">
      <c r="B2172" s="96" t="inlineStr">
        <is>
          <t>KEYNOTE CORPORATE SERVICES LTD</t>
        </is>
      </c>
      <c r="C2172" s="97" t="n">
        <v>512597</v>
      </c>
      <c r="D2172" s="96" t="inlineStr">
        <is>
          <t>KEYCORPSER</t>
        </is>
      </c>
      <c r="E2172" s="96" t="inlineStr">
        <is>
          <t>Finance (including NBFCs)</t>
        </is>
      </c>
    </row>
    <row r="2173" ht="15" customHeight="1" s="109" thickBot="1">
      <c r="B2173" s="96" t="inlineStr">
        <is>
          <t>Keynote Financial Services LTD</t>
        </is>
      </c>
      <c r="C2173" s="96" t="inlineStr">
        <is>
          <t>Not Listed</t>
        </is>
      </c>
      <c r="D2173" s="96" t="inlineStr">
        <is>
          <t>KEYFINSERV</t>
        </is>
      </c>
      <c r="E2173" s="96" t="inlineStr">
        <is>
          <t>Finance (including NBFCs)</t>
        </is>
      </c>
    </row>
    <row r="2174" ht="15" customHeight="1" s="109" thickBot="1">
      <c r="B2174" s="96" t="inlineStr">
        <is>
          <t>KG DENIM LTD</t>
        </is>
      </c>
      <c r="C2174" s="97" t="n">
        <v>500239</v>
      </c>
      <c r="D2174" s="96" t="inlineStr">
        <is>
          <t>Not Listed</t>
        </is>
      </c>
      <c r="E2174" s="96" t="inlineStr">
        <is>
          <t>Textiles</t>
        </is>
      </c>
    </row>
    <row r="2175" ht="15" customHeight="1" s="109" thickBot="1">
      <c r="B2175" s="96" t="inlineStr">
        <is>
          <t>KG PETROCHEM LTD</t>
        </is>
      </c>
      <c r="C2175" s="97" t="n">
        <v>531609</v>
      </c>
      <c r="D2175" s="96" t="inlineStr">
        <is>
          <t>Not Listed</t>
        </is>
      </c>
      <c r="E2175" s="96" t="inlineStr">
        <is>
          <t>Containers &amp; Packaging</t>
        </is>
      </c>
    </row>
    <row r="2176" ht="15" customHeight="1" s="109" thickBot="1">
      <c r="B2176" s="96" t="inlineStr">
        <is>
          <t>KHADIM (INDIA) LTD</t>
        </is>
      </c>
      <c r="C2176" s="97" t="n">
        <v>540775</v>
      </c>
      <c r="D2176" s="96" t="inlineStr">
        <is>
          <t>KHADIM</t>
        </is>
      </c>
      <c r="E2176" s="96" t="inlineStr">
        <is>
          <t>Footwear</t>
        </is>
      </c>
    </row>
    <row r="2177" ht="15" customHeight="1" s="109" thickBot="1">
      <c r="B2177" s="96" t="inlineStr">
        <is>
          <t>KHADIM INDIA LTD</t>
        </is>
      </c>
      <c r="C2177" s="97" t="n">
        <v>540775</v>
      </c>
      <c r="D2177" s="96" t="inlineStr">
        <is>
          <t>KHADIM</t>
        </is>
      </c>
      <c r="E2177" s="96" t="inlineStr">
        <is>
          <t>Footwear</t>
        </is>
      </c>
    </row>
    <row r="2178" ht="15" customHeight="1" s="109" thickBot="1">
      <c r="B2178" s="96" t="inlineStr">
        <is>
          <t>KHAITAN (INDIA) LTD</t>
        </is>
      </c>
      <c r="C2178" s="97" t="n">
        <v>590068</v>
      </c>
      <c r="D2178" s="96" t="inlineStr">
        <is>
          <t>KHAITANLTD</t>
        </is>
      </c>
      <c r="E2178" s="96" t="inlineStr">
        <is>
          <t>Comm.Trading &amp; Distribution</t>
        </is>
      </c>
    </row>
    <row r="2179" ht="15" customHeight="1" s="109" thickBot="1">
      <c r="B2179" s="96" t="inlineStr">
        <is>
          <t>KHAITAN CHEMICALS &amp; FERTILIZERS LTD</t>
        </is>
      </c>
      <c r="C2179" s="97" t="n">
        <v>507794</v>
      </c>
      <c r="D2179" s="96" t="inlineStr">
        <is>
          <t>Not Listed</t>
        </is>
      </c>
      <c r="E2179" s="96" t="inlineStr">
        <is>
          <t>Fertilizers</t>
        </is>
      </c>
    </row>
    <row r="2180" ht="15" customHeight="1" s="109" thickBot="1">
      <c r="B2180" s="96" t="inlineStr">
        <is>
          <t>KHAITAN ELECTRICALS LTD.</t>
        </is>
      </c>
      <c r="C2180" s="97" t="n">
        <v>504269</v>
      </c>
      <c r="D2180" s="96" t="inlineStr">
        <is>
          <t>KHAITANELE</t>
        </is>
      </c>
      <c r="E2180" s="96" t="inlineStr">
        <is>
          <t>Household Appliances</t>
        </is>
      </c>
    </row>
    <row r="2181" ht="15" customHeight="1" s="109" thickBot="1">
      <c r="B2181" s="96" t="inlineStr">
        <is>
          <t>KHAITAN INDIA LTD</t>
        </is>
      </c>
      <c r="C2181" s="97" t="n">
        <v>590068</v>
      </c>
      <c r="D2181" s="96" t="inlineStr">
        <is>
          <t>KHAITANLTD</t>
        </is>
      </c>
      <c r="E2181" s="96" t="inlineStr">
        <is>
          <t>Comm.Trading &amp; Distribution</t>
        </is>
      </c>
    </row>
    <row r="2182" ht="15" customHeight="1" s="109" thickBot="1">
      <c r="B2182" s="96" t="inlineStr">
        <is>
          <t>KHANDELWAL EXTRACTION LTD</t>
        </is>
      </c>
      <c r="C2182" s="97" t="n">
        <v>519064</v>
      </c>
      <c r="D2182" s="96" t="inlineStr">
        <is>
          <t>Not Listed</t>
        </is>
      </c>
      <c r="E2182" s="96" t="inlineStr">
        <is>
          <t>Other Agricultural Products</t>
        </is>
      </c>
    </row>
    <row r="2183" ht="15" customHeight="1" s="109" thickBot="1">
      <c r="B2183" s="96" t="inlineStr">
        <is>
          <t>KHANDWALA SECURITIES LTD</t>
        </is>
      </c>
      <c r="C2183" s="97" t="n">
        <v>531892</v>
      </c>
      <c r="D2183" s="96" t="inlineStr">
        <is>
          <t>KHANDSE</t>
        </is>
      </c>
      <c r="E2183" s="96" t="inlineStr">
        <is>
          <t>Other Financial Services</t>
        </is>
      </c>
    </row>
    <row r="2184" ht="15" customHeight="1" s="109" thickBot="1">
      <c r="B2184" s="96" t="inlineStr">
        <is>
          <t>KHATAU EXIM LTD</t>
        </is>
      </c>
      <c r="C2184" s="97" t="n">
        <v>506178</v>
      </c>
      <c r="D2184" s="96" t="inlineStr">
        <is>
          <t>Not Listed</t>
        </is>
      </c>
      <c r="E2184" s="96" t="inlineStr">
        <is>
          <t>Comm.Trading &amp; Distribution</t>
        </is>
      </c>
    </row>
    <row r="2185" ht="15" customHeight="1" s="109" thickBot="1">
      <c r="B2185" s="96" t="inlineStr">
        <is>
          <t>KHATOR FIBRE &amp; FABRICS LTD</t>
        </is>
      </c>
      <c r="C2185" s="97" t="n">
        <v>521127</v>
      </c>
      <c r="D2185" s="96" t="inlineStr">
        <is>
          <t>Not Listed</t>
        </is>
      </c>
      <c r="E2185" s="96" t="inlineStr">
        <is>
          <t>Textiles</t>
        </is>
      </c>
    </row>
    <row r="2186" ht="15" customHeight="1" s="109" thickBot="1">
      <c r="B2186" s="96" t="inlineStr">
        <is>
          <t>KHEMANI DISTRIBUTORS &amp; MARKETING LTD</t>
        </is>
      </c>
      <c r="C2186" s="97" t="n">
        <v>539788</v>
      </c>
      <c r="D2186" s="96" t="inlineStr">
        <is>
          <t>Not Listed</t>
        </is>
      </c>
      <c r="E2186" s="96" t="inlineStr">
        <is>
          <t>Distributors</t>
        </is>
      </c>
    </row>
    <row r="2187" ht="15" customHeight="1" s="109" thickBot="1">
      <c r="B2187" s="96" t="inlineStr">
        <is>
          <t>KHODAY (INDIA) LTD</t>
        </is>
      </c>
      <c r="C2187" s="97" t="n">
        <v>507435</v>
      </c>
      <c r="D2187" s="96" t="inlineStr">
        <is>
          <t>Not Listed</t>
        </is>
      </c>
      <c r="E2187" s="96" t="inlineStr">
        <is>
          <t>Breweries &amp; Distilleries</t>
        </is>
      </c>
    </row>
    <row r="2188" ht="15" customHeight="1" s="109" thickBot="1">
      <c r="B2188" s="96" t="inlineStr">
        <is>
          <t>KHODAY INDIA LTD</t>
        </is>
      </c>
      <c r="C2188" s="97" t="n">
        <v>507435</v>
      </c>
      <c r="D2188" s="96" t="inlineStr">
        <is>
          <t>Not Listed</t>
        </is>
      </c>
      <c r="E2188" s="96" t="inlineStr">
        <is>
          <t>Breweries &amp; Distilleries</t>
        </is>
      </c>
    </row>
    <row r="2189" ht="15" customHeight="1" s="109" thickBot="1">
      <c r="B2189" s="96" t="inlineStr">
        <is>
          <t>KHOOBSURAT LTD</t>
        </is>
      </c>
      <c r="C2189" s="97" t="n">
        <v>535730</v>
      </c>
      <c r="D2189" s="96" t="inlineStr">
        <is>
          <t>Not Listed</t>
        </is>
      </c>
      <c r="E2189" s="96" t="inlineStr">
        <is>
          <t>Textiles</t>
        </is>
      </c>
    </row>
    <row r="2190" ht="15" customHeight="1" s="109" thickBot="1">
      <c r="B2190" s="96" t="inlineStr">
        <is>
          <t>KHYATI MULTIMEDIA-ENTERTAINMENT LTD</t>
        </is>
      </c>
      <c r="C2190" s="97" t="n">
        <v>531692</v>
      </c>
      <c r="D2190" s="96" t="inlineStr">
        <is>
          <t>Not Listed</t>
        </is>
      </c>
      <c r="E2190" s="96" t="inlineStr">
        <is>
          <t>Hotels</t>
        </is>
      </c>
    </row>
    <row r="2191" ht="15" customHeight="1" s="109" thickBot="1">
      <c r="B2191" s="96" t="inlineStr">
        <is>
          <t>KIC METALIKS LTD</t>
        </is>
      </c>
      <c r="C2191" s="97" t="n">
        <v>513693</v>
      </c>
      <c r="D2191" s="96" t="inlineStr">
        <is>
          <t>Not Listed</t>
        </is>
      </c>
      <c r="E2191" s="96" t="inlineStr">
        <is>
          <t>Iron &amp; Steel/Interm.Products</t>
        </is>
      </c>
    </row>
    <row r="2192" ht="15" customHeight="1" s="109" thickBot="1">
      <c r="B2192" s="96" t="inlineStr">
        <is>
          <t>KIDS MEDICAL SYSTEMS LTD</t>
        </is>
      </c>
      <c r="C2192" s="97" t="n">
        <v>540812</v>
      </c>
      <c r="D2192" s="96" t="inlineStr">
        <is>
          <t>Not Listed</t>
        </is>
      </c>
      <c r="E2192" s="96" t="inlineStr">
        <is>
          <t>Healthcare Facilities</t>
        </is>
      </c>
    </row>
    <row r="2193" ht="15" customHeight="1" s="109" thickBot="1">
      <c r="B2193" s="96" t="inlineStr">
        <is>
          <t>KIDUJA (INDIA) LTD</t>
        </is>
      </c>
      <c r="C2193" s="97" t="n">
        <v>507946</v>
      </c>
      <c r="D2193" s="96" t="inlineStr">
        <is>
          <t>Not Listed</t>
        </is>
      </c>
      <c r="E2193" s="96" t="inlineStr">
        <is>
          <t>Comm.Trading &amp; Distribution</t>
        </is>
      </c>
    </row>
    <row r="2194" ht="15" customHeight="1" s="109" thickBot="1">
      <c r="B2194" s="96" t="inlineStr">
        <is>
          <t>KIDUJA INDIA LTD</t>
        </is>
      </c>
      <c r="C2194" s="97" t="n">
        <v>507946</v>
      </c>
      <c r="D2194" s="96" t="inlineStr">
        <is>
          <t>Not Listed</t>
        </is>
      </c>
      <c r="E2194" s="96" t="inlineStr">
        <is>
          <t>Comm.Trading &amp; Distribution</t>
        </is>
      </c>
    </row>
    <row r="2195" ht="15" customHeight="1" s="109" thickBot="1">
      <c r="B2195" s="96" t="inlineStr">
        <is>
          <t>KIFS FINANCIAL SERVICES LTD</t>
        </is>
      </c>
      <c r="C2195" s="97" t="n">
        <v>535566</v>
      </c>
      <c r="D2195" s="96" t="inlineStr">
        <is>
          <t>Not Listed</t>
        </is>
      </c>
      <c r="E2195" s="96" t="inlineStr">
        <is>
          <t>Finance (including NBFCs)</t>
        </is>
      </c>
    </row>
    <row r="2196" ht="15" customHeight="1" s="109" thickBot="1">
      <c r="B2196" s="96" t="inlineStr">
        <is>
          <t>KILBURN CHEMICALS LTD</t>
        </is>
      </c>
      <c r="C2196" s="97" t="n">
        <v>524699</v>
      </c>
      <c r="D2196" s="96" t="inlineStr">
        <is>
          <t>Not Listed</t>
        </is>
      </c>
      <c r="E2196" s="96" t="inlineStr">
        <is>
          <t>Commodity Chemicals</t>
        </is>
      </c>
    </row>
    <row r="2197" ht="15" customHeight="1" s="109" thickBot="1">
      <c r="B2197" s="96" t="inlineStr">
        <is>
          <t>KILBURN ENGINEERING LTD</t>
        </is>
      </c>
      <c r="C2197" s="97" t="n">
        <v>522101</v>
      </c>
      <c r="D2197" s="96" t="inlineStr">
        <is>
          <t>Not Listed</t>
        </is>
      </c>
      <c r="E2197" s="96" t="inlineStr">
        <is>
          <t>Industrial Machinery</t>
        </is>
      </c>
    </row>
    <row r="2198" ht="15" customHeight="1" s="109" thickBot="1">
      <c r="B2198" s="96" t="inlineStr">
        <is>
          <t>KILBURN OFFICE AUTOMATION LTD.</t>
        </is>
      </c>
      <c r="C2198" s="97" t="n">
        <v>523218</v>
      </c>
      <c r="D2198" s="96" t="inlineStr">
        <is>
          <t>KILBURN</t>
        </is>
      </c>
      <c r="E2198" s="96" t="inlineStr">
        <is>
          <t>Electronic Components</t>
        </is>
      </c>
    </row>
    <row r="2199" ht="15" customHeight="1" s="109" thickBot="1">
      <c r="B2199" s="96" t="inlineStr">
        <is>
          <t>KILITCH DRUGS (INDIA) LTD</t>
        </is>
      </c>
      <c r="C2199" s="97" t="n">
        <v>524500</v>
      </c>
      <c r="D2199" s="96" t="inlineStr">
        <is>
          <t>KILITCH</t>
        </is>
      </c>
      <c r="E2199" s="96" t="inlineStr">
        <is>
          <t>Pharmaceuticals</t>
        </is>
      </c>
    </row>
    <row r="2200" ht="15" customHeight="1" s="109" thickBot="1">
      <c r="B2200" s="96" t="inlineStr">
        <is>
          <t>KILITCH DRUGS INDIA LTD</t>
        </is>
      </c>
      <c r="C2200" s="97" t="n">
        <v>524500</v>
      </c>
      <c r="D2200" s="96" t="inlineStr">
        <is>
          <t>KILITCH</t>
        </is>
      </c>
      <c r="E2200" s="96" t="inlineStr">
        <is>
          <t>Pharmaceuticals</t>
        </is>
      </c>
    </row>
    <row r="2201" ht="15" customHeight="1" s="109" thickBot="1">
      <c r="B2201" s="96" t="inlineStr">
        <is>
          <t>KILPEST (INDIA) LTD</t>
        </is>
      </c>
      <c r="C2201" s="97" t="n">
        <v>532067</v>
      </c>
      <c r="D2201" s="96" t="inlineStr">
        <is>
          <t>Not Listed</t>
        </is>
      </c>
      <c r="E2201" s="96" t="inlineStr">
        <is>
          <t>Agrochemicals</t>
        </is>
      </c>
    </row>
    <row r="2202" ht="15" customHeight="1" s="109" thickBot="1">
      <c r="B2202" s="96" t="inlineStr">
        <is>
          <t>KILPEST INDIA LTD</t>
        </is>
      </c>
      <c r="C2202" s="97" t="n">
        <v>532067</v>
      </c>
      <c r="D2202" s="96" t="inlineStr">
        <is>
          <t>Not Listed</t>
        </is>
      </c>
      <c r="E2202" s="96" t="inlineStr">
        <is>
          <t>Agrochemicals</t>
        </is>
      </c>
    </row>
    <row r="2203" ht="15" customHeight="1" s="109" thickBot="1">
      <c r="B2203" s="96" t="inlineStr">
        <is>
          <t>Kimia Biosciences Ltd</t>
        </is>
      </c>
      <c r="C2203" s="97" t="n">
        <v>530313</v>
      </c>
      <c r="D2203" s="96" t="inlineStr">
        <is>
          <t>KIMIABL</t>
        </is>
      </c>
      <c r="E2203" s="96" t="inlineStr">
        <is>
          <t>Pharmaceuticals</t>
        </is>
      </c>
    </row>
    <row r="2204" ht="15" customHeight="1" s="109" thickBot="1">
      <c r="B2204" s="96" t="inlineStr">
        <is>
          <t>KINETIC ENGINEERING LTD</t>
        </is>
      </c>
      <c r="C2204" s="97" t="n">
        <v>500240</v>
      </c>
      <c r="D2204" s="96" t="inlineStr">
        <is>
          <t>Not Listed</t>
        </is>
      </c>
      <c r="E2204" s="96" t="inlineStr">
        <is>
          <t>2/3 Wheelers</t>
        </is>
      </c>
    </row>
    <row r="2205" ht="15" customHeight="1" s="109" thickBot="1">
      <c r="B2205" s="96" t="inlineStr">
        <is>
          <t>KINETIC TRUST LTD</t>
        </is>
      </c>
      <c r="C2205" s="97" t="n">
        <v>531274</v>
      </c>
      <c r="D2205" s="96" t="inlineStr">
        <is>
          <t>Not Listed</t>
        </is>
      </c>
      <c r="E2205" s="96" t="inlineStr">
        <is>
          <t>Finance (including NBFCs)</t>
        </is>
      </c>
    </row>
    <row r="2206" ht="15" customHeight="1" s="109" thickBot="1">
      <c r="B2206" s="96" t="inlineStr">
        <is>
          <t>KINGFA SCIENCE &amp; TECHNOLOGY (INDIA) LTD</t>
        </is>
      </c>
      <c r="C2206" s="97" t="n">
        <v>524019</v>
      </c>
      <c r="D2206" s="96" t="inlineStr">
        <is>
          <t>KINGFA</t>
        </is>
      </c>
      <c r="E2206" s="96" t="inlineStr">
        <is>
          <t>Plastic Products</t>
        </is>
      </c>
    </row>
    <row r="2207" ht="15" customHeight="1" s="109" thickBot="1">
      <c r="B2207" s="96" t="inlineStr">
        <is>
          <t>KINGFA SCIENCE &amp; TECHNOLOGY INDIA LTD</t>
        </is>
      </c>
      <c r="C2207" s="97" t="n">
        <v>524019</v>
      </c>
      <c r="D2207" s="96" t="inlineStr">
        <is>
          <t>KINGFA</t>
        </is>
      </c>
      <c r="E2207" s="96" t="inlineStr">
        <is>
          <t>Plastic Products</t>
        </is>
      </c>
    </row>
    <row r="2208" ht="15" customHeight="1" s="109" thickBot="1">
      <c r="B2208" s="96" t="inlineStr">
        <is>
          <t>KINGS INFRA VENTURES LTD</t>
        </is>
      </c>
      <c r="C2208" s="97" t="n">
        <v>530215</v>
      </c>
      <c r="D2208" s="96" t="inlineStr">
        <is>
          <t>Not Listed</t>
        </is>
      </c>
      <c r="E2208" s="96" t="inlineStr">
        <is>
          <t>Realty</t>
        </is>
      </c>
    </row>
    <row r="2209" ht="15" customHeight="1" s="109" thickBot="1">
      <c r="B2209" s="96" t="inlineStr">
        <is>
          <t>KINTECH RENEWABLES LTD</t>
        </is>
      </c>
      <c r="C2209" s="97" t="n">
        <v>512329</v>
      </c>
      <c r="D2209" s="96" t="inlineStr">
        <is>
          <t>Not Listed</t>
        </is>
      </c>
      <c r="E2209" s="96" t="inlineStr">
        <is>
          <t>Misc.Commercial Services</t>
        </is>
      </c>
    </row>
    <row r="2210" ht="15" customHeight="1" s="109" thickBot="1">
      <c r="B2210" s="96" t="inlineStr">
        <is>
          <t>KIOCL LTD</t>
        </is>
      </c>
      <c r="C2210" s="97" t="n">
        <v>540680</v>
      </c>
      <c r="D2210" s="96" t="inlineStr">
        <is>
          <t>KIOCL</t>
        </is>
      </c>
      <c r="E2210" s="96" t="inlineStr">
        <is>
          <t>Iron &amp; Steel/Interm.Products</t>
        </is>
      </c>
    </row>
    <row r="2211" ht="15" customHeight="1" s="109" thickBot="1">
      <c r="B2211" s="96" t="inlineStr">
        <is>
          <t>KIRAN PRINT-PACK LTD</t>
        </is>
      </c>
      <c r="C2211" s="97" t="n">
        <v>531413</v>
      </c>
      <c r="D2211" s="96" t="inlineStr">
        <is>
          <t>Not Listed</t>
        </is>
      </c>
      <c r="E2211" s="96" t="inlineStr">
        <is>
          <t>Comm.Printing/Stationery</t>
        </is>
      </c>
    </row>
    <row r="2212" ht="15" customHeight="1" s="109" thickBot="1">
      <c r="B2212" s="96" t="inlineStr">
        <is>
          <t>KIRAN VYAPAR LTD</t>
        </is>
      </c>
      <c r="C2212" s="97" t="n">
        <v>537750</v>
      </c>
      <c r="D2212" s="96" t="inlineStr">
        <is>
          <t>Not Listed</t>
        </is>
      </c>
      <c r="E2212" s="96" t="inlineStr">
        <is>
          <t>Investment Companies</t>
        </is>
      </c>
    </row>
    <row r="2213" ht="15" customHeight="1" s="109" thickBot="1">
      <c r="B2213" s="96" t="inlineStr">
        <is>
          <t>KIRI INDUSTRIES LTD</t>
        </is>
      </c>
      <c r="C2213" s="97" t="n">
        <v>532967</v>
      </c>
      <c r="D2213" s="96" t="inlineStr">
        <is>
          <t>KIRIINDUS</t>
        </is>
      </c>
      <c r="E2213" s="96" t="inlineStr">
        <is>
          <t>Specialty Chemicals</t>
        </is>
      </c>
    </row>
    <row r="2214" ht="15" customHeight="1" s="109" thickBot="1">
      <c r="B2214" s="96" t="inlineStr">
        <is>
          <t>KIRLOSKAR BROTHERS LTD</t>
        </is>
      </c>
      <c r="C2214" s="97" t="n">
        <v>500241</v>
      </c>
      <c r="D2214" s="96" t="inlineStr">
        <is>
          <t>KIRLOSBROS</t>
        </is>
      </c>
      <c r="E2214" s="96" t="inlineStr">
        <is>
          <t>Industrial Machinery</t>
        </is>
      </c>
    </row>
    <row r="2215" ht="15" customHeight="1" s="109" thickBot="1">
      <c r="B2215" s="96" t="inlineStr">
        <is>
          <t>KIRLOSKAR ELECTRIC COMPANY LTD</t>
        </is>
      </c>
      <c r="C2215" s="97" t="n">
        <v>533193</v>
      </c>
      <c r="D2215" s="96" t="inlineStr">
        <is>
          <t>KECL</t>
        </is>
      </c>
      <c r="E2215" s="96" t="inlineStr">
        <is>
          <t>Other Elect.Equip./ Prod.</t>
        </is>
      </c>
    </row>
    <row r="2216" ht="15" customHeight="1" s="109" thickBot="1">
      <c r="B2216" s="96" t="inlineStr">
        <is>
          <t>KIRLOSKAR FERROUS INDUSTRIES LTD</t>
        </is>
      </c>
      <c r="C2216" s="97" t="n">
        <v>500245</v>
      </c>
      <c r="D2216" s="96" t="inlineStr">
        <is>
          <t>Not Listed</t>
        </is>
      </c>
      <c r="E2216" s="96" t="inlineStr">
        <is>
          <t>Iron &amp; Steel/Interm.Products</t>
        </is>
      </c>
    </row>
    <row r="2217" ht="15" customHeight="1" s="109" thickBot="1">
      <c r="B2217" s="96" t="inlineStr">
        <is>
          <t>KIRLOSKAR INDUSTRIES LTD</t>
        </is>
      </c>
      <c r="C2217" s="97" t="n">
        <v>500243</v>
      </c>
      <c r="D2217" s="96" t="inlineStr">
        <is>
          <t>KIRLOSIND</t>
        </is>
      </c>
      <c r="E2217" s="96" t="inlineStr">
        <is>
          <t>Industrial Machinery</t>
        </is>
      </c>
    </row>
    <row r="2218" ht="15" customHeight="1" s="109" thickBot="1">
      <c r="B2218" s="96" t="inlineStr">
        <is>
          <t>KIRLOSKAR OIL ENGINES LTD</t>
        </is>
      </c>
      <c r="C2218" s="97" t="n">
        <v>533293</v>
      </c>
      <c r="D2218" s="96" t="inlineStr">
        <is>
          <t>KIRLOSENG</t>
        </is>
      </c>
      <c r="E2218" s="96" t="inlineStr">
        <is>
          <t>Auto Parts &amp; Equipment</t>
        </is>
      </c>
    </row>
    <row r="2219" ht="15" customHeight="1" s="109" thickBot="1">
      <c r="B2219" s="96" t="inlineStr">
        <is>
          <t>KIRLOSKAR PNEUMATIC CO LTD</t>
        </is>
      </c>
      <c r="C2219" s="97" t="n">
        <v>505283</v>
      </c>
      <c r="D2219" s="96" t="inlineStr">
        <is>
          <t>Not Listed</t>
        </is>
      </c>
      <c r="E2219" s="96" t="inlineStr">
        <is>
          <t>Industrial Machinery</t>
        </is>
      </c>
    </row>
    <row r="2220" ht="15" customHeight="1" s="109" thickBot="1">
      <c r="B2220" s="96" t="inlineStr">
        <is>
          <t>KISAN MOULDINGS LTD</t>
        </is>
      </c>
      <c r="C2220" s="97" t="n">
        <v>530145</v>
      </c>
      <c r="D2220" s="96" t="inlineStr">
        <is>
          <t>Not Listed</t>
        </is>
      </c>
      <c r="E2220" s="96" t="inlineStr">
        <is>
          <t>Plastic Products</t>
        </is>
      </c>
    </row>
    <row r="2221" ht="15" customHeight="1" s="109" thickBot="1">
      <c r="B2221" s="96" t="inlineStr">
        <is>
          <t>KITEX GARMENTS LTD</t>
        </is>
      </c>
      <c r="C2221" s="97" t="n">
        <v>521248</v>
      </c>
      <c r="D2221" s="96" t="inlineStr">
        <is>
          <t>KITEX</t>
        </is>
      </c>
      <c r="E2221" s="96" t="inlineStr">
        <is>
          <t>Other Apparels &amp; Accessories</t>
        </is>
      </c>
    </row>
    <row r="2222" ht="15" customHeight="1" s="109" thickBot="1">
      <c r="B2222" s="96" t="inlineStr">
        <is>
          <t>KJMC CORPORATE ADVISORS (INDIA) LTD</t>
        </is>
      </c>
      <c r="C2222" s="97" t="n">
        <v>532304</v>
      </c>
      <c r="D2222" s="96" t="inlineStr">
        <is>
          <t>Not Listed</t>
        </is>
      </c>
      <c r="E2222" s="96" t="inlineStr">
        <is>
          <t>Other Financial Services</t>
        </is>
      </c>
    </row>
    <row r="2223" ht="15" customHeight="1" s="109" thickBot="1">
      <c r="B2223" s="96" t="inlineStr">
        <is>
          <t>KJMC CORPORATE ADVISORS INDIA LTD</t>
        </is>
      </c>
      <c r="C2223" s="97" t="n">
        <v>532304</v>
      </c>
      <c r="D2223" s="96" t="inlineStr">
        <is>
          <t>Not Listed</t>
        </is>
      </c>
      <c r="E2223" s="96" t="inlineStr">
        <is>
          <t>Other Financial Services</t>
        </is>
      </c>
    </row>
    <row r="2224" ht="15" customHeight="1" s="109" thickBot="1">
      <c r="B2224" s="96" t="inlineStr">
        <is>
          <t>KJMC FINANCIAL SERVICES LTD</t>
        </is>
      </c>
      <c r="C2224" s="97" t="n">
        <v>530235</v>
      </c>
      <c r="D2224" s="96" t="inlineStr">
        <is>
          <t>Not Listed</t>
        </is>
      </c>
      <c r="E2224" s="96" t="inlineStr">
        <is>
          <t>Finance (including NBFCs)</t>
        </is>
      </c>
    </row>
    <row r="2225" ht="15" customHeight="1" s="109" thickBot="1">
      <c r="B2225" s="96" t="inlineStr">
        <is>
          <t>KKALPANA INDUSTRIES (INDIA) LTD</t>
        </is>
      </c>
      <c r="C2225" s="97" t="n">
        <v>526409</v>
      </c>
      <c r="D2225" s="96" t="inlineStr">
        <is>
          <t>Not Listed</t>
        </is>
      </c>
      <c r="E2225" s="96" t="inlineStr">
        <is>
          <t>Plastic Products</t>
        </is>
      </c>
    </row>
    <row r="2226" ht="15" customHeight="1" s="109" thickBot="1">
      <c r="B2226" s="96" t="inlineStr">
        <is>
          <t>KKALPANA INDUSTRIES INDIA LTD</t>
        </is>
      </c>
      <c r="C2226" s="97" t="n">
        <v>526409</v>
      </c>
      <c r="D2226" s="96" t="inlineStr">
        <is>
          <t>Not Listed</t>
        </is>
      </c>
      <c r="E2226" s="96" t="inlineStr">
        <is>
          <t>Plastic Products</t>
        </is>
      </c>
    </row>
    <row r="2227" ht="15" customHeight="1" s="109" thickBot="1">
      <c r="B2227" s="96" t="inlineStr">
        <is>
          <t>KKALPANA PLASTICK LTD</t>
        </is>
      </c>
      <c r="C2227" s="97" t="n">
        <v>523652</v>
      </c>
      <c r="D2227" s="96" t="inlineStr">
        <is>
          <t>Not Listed</t>
        </is>
      </c>
      <c r="E2227" s="96" t="inlineStr">
        <is>
          <t>Plastic Products</t>
        </is>
      </c>
    </row>
    <row r="2228" ht="15" customHeight="1" s="109" thickBot="1">
      <c r="B2228" s="96" t="inlineStr">
        <is>
          <t>KKRRAFTON DEVELOPERS LTD</t>
        </is>
      </c>
      <c r="C2228" s="97" t="n">
        <v>521238</v>
      </c>
      <c r="D2228" s="96" t="inlineStr">
        <is>
          <t>Not Listed</t>
        </is>
      </c>
      <c r="E2228" s="96" t="inlineStr">
        <is>
          <t>Computer Hardware</t>
        </is>
      </c>
    </row>
    <row r="2229" ht="15" customHeight="1" s="109" thickBot="1">
      <c r="B2229" s="96" t="inlineStr">
        <is>
          <t>KKV AGRO POWERS LTD</t>
        </is>
      </c>
      <c r="C2229" s="96" t="inlineStr">
        <is>
          <t>Not Listed</t>
        </is>
      </c>
      <c r="D2229" s="96" t="inlineStr">
        <is>
          <t>KKVAPOW</t>
        </is>
      </c>
      <c r="E2229" s="96" t="inlineStr">
        <is>
          <t>SME</t>
        </is>
      </c>
    </row>
    <row r="2230" ht="15" customHeight="1" s="109" thickBot="1">
      <c r="B2230" s="96" t="inlineStr">
        <is>
          <t>KLG CAPITAL SERVICES LTD</t>
        </is>
      </c>
      <c r="C2230" s="97" t="n">
        <v>530771</v>
      </c>
      <c r="D2230" s="96" t="inlineStr">
        <is>
          <t>Not Listed</t>
        </is>
      </c>
      <c r="E2230" s="96" t="inlineStr">
        <is>
          <t>Finance (including NBFCs)</t>
        </is>
      </c>
    </row>
    <row r="2231" ht="15" customHeight="1" s="109" thickBot="1">
      <c r="B2231" s="96" t="inlineStr">
        <is>
          <t>K-LIFESTYLE &amp; INDUSTRIES LTD</t>
        </is>
      </c>
      <c r="C2231" s="97" t="n">
        <v>514221</v>
      </c>
      <c r="D2231" s="96" t="inlineStr">
        <is>
          <t>Not Listed</t>
        </is>
      </c>
      <c r="E2231" s="96" t="inlineStr">
        <is>
          <t>Textiles</t>
        </is>
      </c>
    </row>
    <row r="2232" ht="15" customHeight="1" s="109" thickBot="1">
      <c r="B2232" s="96" t="inlineStr">
        <is>
          <t>KLK Electrical Ltd</t>
        </is>
      </c>
      <c r="C2232" s="97" t="n">
        <v>517170</v>
      </c>
      <c r="D2232" s="96" t="inlineStr">
        <is>
          <t>KLKELEC</t>
        </is>
      </c>
      <c r="E2232" s="96" t="inlineStr">
        <is>
          <t>Other Elect.Equip./ Prod.</t>
        </is>
      </c>
    </row>
    <row r="2233" ht="15" customHeight="1" s="109" thickBot="1">
      <c r="B2233" s="96" t="inlineStr">
        <is>
          <t>KMC SPECIALITY HOSPITALS (INDIA) LTD</t>
        </is>
      </c>
      <c r="C2233" s="97" t="n">
        <v>524520</v>
      </c>
      <c r="D2233" s="96" t="inlineStr">
        <is>
          <t>Not Listed</t>
        </is>
      </c>
      <c r="E2233" s="96" t="inlineStr">
        <is>
          <t>Healthcare Services</t>
        </is>
      </c>
    </row>
    <row r="2234" ht="15" customHeight="1" s="109" thickBot="1">
      <c r="B2234" s="96" t="inlineStr">
        <is>
          <t>KMC SPECIALITY HOSPITALS INDIA LTD</t>
        </is>
      </c>
      <c r="C2234" s="97" t="n">
        <v>524520</v>
      </c>
      <c r="D2234" s="96" t="inlineStr">
        <is>
          <t>Not Listed</t>
        </is>
      </c>
      <c r="E2234" s="96" t="inlineStr">
        <is>
          <t>Healthcare Services</t>
        </is>
      </c>
    </row>
    <row r="2235" ht="15" customHeight="1" s="109" thickBot="1">
      <c r="B2235" s="96" t="inlineStr">
        <is>
          <t>KMF BUILDERS &amp; DEVELOPERS LTD</t>
        </is>
      </c>
      <c r="C2235" s="97" t="n">
        <v>531578</v>
      </c>
      <c r="D2235" s="96" t="inlineStr">
        <is>
          <t>Not Listed</t>
        </is>
      </c>
      <c r="E2235" s="96" t="inlineStr">
        <is>
          <t>Realty</t>
        </is>
      </c>
    </row>
    <row r="2236" ht="15" customHeight="1" s="109" thickBot="1">
      <c r="B2236" s="96" t="inlineStr">
        <is>
          <t>KMG MILK FOOD LTD</t>
        </is>
      </c>
      <c r="C2236" s="97" t="n">
        <v>519415</v>
      </c>
      <c r="D2236" s="96" t="inlineStr">
        <is>
          <t>Not Listed</t>
        </is>
      </c>
      <c r="E2236" s="96" t="inlineStr">
        <is>
          <t>Packaged Foods</t>
        </is>
      </c>
    </row>
    <row r="2237" ht="15" customHeight="1" s="109" thickBot="1">
      <c r="B2237" s="96" t="inlineStr">
        <is>
          <t>KMS MEDISURGI LTD</t>
        </is>
      </c>
      <c r="C2237" s="97" t="n">
        <v>540468</v>
      </c>
      <c r="D2237" s="96" t="inlineStr">
        <is>
          <t>Not Listed</t>
        </is>
      </c>
      <c r="E2237" s="96" t="inlineStr">
        <is>
          <t>Healthcare Supplies</t>
        </is>
      </c>
    </row>
    <row r="2238" ht="15" customHeight="1" s="109" thickBot="1">
      <c r="B2238" s="96" t="inlineStr">
        <is>
          <t>KNR CONSTRUCTIONS LTD</t>
        </is>
      </c>
      <c r="C2238" s="97" t="n">
        <v>532942</v>
      </c>
      <c r="D2238" s="96" t="inlineStr">
        <is>
          <t>KNRCON</t>
        </is>
      </c>
      <c r="E2238" s="96" t="inlineStr">
        <is>
          <t>Construction &amp; Engineering</t>
        </is>
      </c>
    </row>
    <row r="2239" ht="15" customHeight="1" s="109" thickBot="1">
      <c r="B2239" s="96" t="inlineStr">
        <is>
          <t>KOHINOOR FOODS LTD</t>
        </is>
      </c>
      <c r="C2239" s="97" t="n">
        <v>512559</v>
      </c>
      <c r="D2239" s="96" t="inlineStr">
        <is>
          <t>KOHINOOR</t>
        </is>
      </c>
      <c r="E2239" s="96" t="inlineStr">
        <is>
          <t>Other Agricultural Products</t>
        </is>
      </c>
    </row>
    <row r="2240" ht="15" customHeight="1" s="109" thickBot="1">
      <c r="B2240" s="96" t="inlineStr">
        <is>
          <t>KOKUYO CAMLIN LTD</t>
        </is>
      </c>
      <c r="C2240" s="97" t="n">
        <v>523207</v>
      </c>
      <c r="D2240" s="96" t="inlineStr">
        <is>
          <t>KOKUYOCMLN</t>
        </is>
      </c>
      <c r="E2240" s="96" t="inlineStr">
        <is>
          <t>Non-Durable Household Prod.</t>
        </is>
      </c>
    </row>
    <row r="2241" ht="15" customHeight="1" s="109" thickBot="1">
      <c r="B2241" s="96" t="inlineStr">
        <is>
          <t>KOLTE - PATIL DEVELOPERS LTD</t>
        </is>
      </c>
      <c r="C2241" s="97" t="n">
        <v>532924</v>
      </c>
      <c r="D2241" s="96" t="inlineStr">
        <is>
          <t>KOLTEPATIL</t>
        </is>
      </c>
      <c r="E2241" s="96" t="inlineStr">
        <is>
          <t>Realty</t>
        </is>
      </c>
    </row>
    <row r="2242" ht="15" customHeight="1" s="109" thickBot="1">
      <c r="B2242" s="96" t="inlineStr">
        <is>
          <t>KOME-ON COMMUNICATION LTD</t>
        </is>
      </c>
      <c r="C2242" s="97" t="n">
        <v>539910</v>
      </c>
      <c r="D2242" s="96" t="inlineStr">
        <is>
          <t>Not Listed</t>
        </is>
      </c>
      <c r="E2242" s="96" t="inlineStr">
        <is>
          <t>Movies &amp; Entertainment</t>
        </is>
      </c>
    </row>
    <row r="2243" ht="15" customHeight="1" s="109" thickBot="1">
      <c r="B2243" s="96" t="inlineStr">
        <is>
          <t>KONARK SYNTHETIC LTD</t>
        </is>
      </c>
      <c r="C2243" s="97" t="n">
        <v>514128</v>
      </c>
      <c r="D2243" s="96" t="inlineStr">
        <is>
          <t>Not Listed</t>
        </is>
      </c>
      <c r="E2243" s="96" t="inlineStr">
        <is>
          <t>Textiles</t>
        </is>
      </c>
    </row>
    <row r="2244" ht="15" customHeight="1" s="109" thickBot="1">
      <c r="B2244" s="96" t="inlineStr">
        <is>
          <t>KOPRAN LTD</t>
        </is>
      </c>
      <c r="C2244" s="97" t="n">
        <v>524280</v>
      </c>
      <c r="D2244" s="96" t="inlineStr">
        <is>
          <t>KOPRAN</t>
        </is>
      </c>
      <c r="E2244" s="96" t="inlineStr">
        <is>
          <t>Pharmaceuticals</t>
        </is>
      </c>
    </row>
    <row r="2245" ht="15" customHeight="1" s="109" thickBot="1">
      <c r="B2245" s="96" t="inlineStr">
        <is>
          <t>KOTAK MAHINDRA BANK LTD</t>
        </is>
      </c>
      <c r="C2245" s="97" t="n">
        <v>500247</v>
      </c>
      <c r="D2245" s="96" t="inlineStr">
        <is>
          <t>KOTAKBANK</t>
        </is>
      </c>
      <c r="E2245" s="96" t="inlineStr">
        <is>
          <t>Banks</t>
        </is>
      </c>
    </row>
    <row r="2246" ht="15" customHeight="1" s="109" thickBot="1">
      <c r="B2246" s="96" t="inlineStr">
        <is>
          <t>KOTAK MAHINDRA MUTUAL FUND - KOTAK GOLD EXCHANGE TRADED FUND</t>
        </is>
      </c>
      <c r="C2246" s="97" t="n">
        <v>590097</v>
      </c>
      <c r="D2246" s="96" t="inlineStr">
        <is>
          <t>KOTAKGOLD</t>
        </is>
      </c>
      <c r="E2246" s="96" t="inlineStr">
        <is>
          <t>Other Financial Services</t>
        </is>
      </c>
    </row>
    <row r="2247" ht="15" customHeight="1" s="109" thickBot="1">
      <c r="B2247" s="96" t="inlineStr">
        <is>
          <t>KOTAK MAHINDRA MUTUAL FUND - KOTAK PSU BANK ETF</t>
        </is>
      </c>
      <c r="C2247" s="97" t="n">
        <v>590107</v>
      </c>
      <c r="D2247" s="96" t="inlineStr">
        <is>
          <t>KOTAKPSUBK</t>
        </is>
      </c>
      <c r="E2247" s="96" t="inlineStr">
        <is>
          <t>Other Financial Services</t>
        </is>
      </c>
    </row>
    <row r="2248" ht="15" customHeight="1" s="109" thickBot="1">
      <c r="B2248" s="96" t="inlineStr">
        <is>
          <t>KOTAK SENSEX ETF</t>
        </is>
      </c>
      <c r="C2248" s="97" t="n">
        <v>532985</v>
      </c>
      <c r="D2248" s="96" t="inlineStr">
        <is>
          <t>KTKSENSEX</t>
        </is>
      </c>
      <c r="E2248" s="96" t="inlineStr">
        <is>
          <t>Other Financial Services</t>
        </is>
      </c>
    </row>
    <row r="2249" ht="15" customHeight="1" s="109" thickBot="1">
      <c r="B2249" s="96" t="inlineStr">
        <is>
          <t>KOTHARI FERMENTATION &amp; BIOCHEM LTD</t>
        </is>
      </c>
      <c r="C2249" s="97" t="n">
        <v>507474</v>
      </c>
      <c r="D2249" s="96" t="inlineStr">
        <is>
          <t>Not Listed</t>
        </is>
      </c>
      <c r="E2249" s="96" t="inlineStr">
        <is>
          <t>Other Food Products</t>
        </is>
      </c>
    </row>
    <row r="2250" ht="15" customHeight="1" s="109" thickBot="1">
      <c r="B2250" s="96" t="inlineStr">
        <is>
          <t>KOTHARI PETROCHEMICALS LTD</t>
        </is>
      </c>
      <c r="C2250" s="96" t="inlineStr">
        <is>
          <t>Not Listed</t>
        </is>
      </c>
      <c r="D2250" s="96" t="inlineStr">
        <is>
          <t>KOTHARIPET</t>
        </is>
      </c>
      <c r="E2250" s="96" t="inlineStr">
        <is>
          <t>Others</t>
        </is>
      </c>
    </row>
    <row r="2251" ht="15" customHeight="1" s="109" thickBot="1">
      <c r="B2251" s="96" t="inlineStr">
        <is>
          <t>KOTHARI PRODUCTS LTD</t>
        </is>
      </c>
      <c r="C2251" s="97" t="n">
        <v>530299</v>
      </c>
      <c r="D2251" s="96" t="inlineStr">
        <is>
          <t>KOTHARIPRO</t>
        </is>
      </c>
      <c r="E2251" s="96" t="inlineStr">
        <is>
          <t>Comm.Trading &amp; Distribution</t>
        </is>
      </c>
    </row>
    <row r="2252" ht="15" customHeight="1" s="109" thickBot="1">
      <c r="B2252" s="96" t="inlineStr">
        <is>
          <t>KOTHARI SUGARS AND CHEMICALS LTD</t>
        </is>
      </c>
      <c r="C2252" s="96" t="inlineStr">
        <is>
          <t>Not Listed</t>
        </is>
      </c>
      <c r="D2252" s="96" t="inlineStr">
        <is>
          <t>KOTARISUG</t>
        </is>
      </c>
      <c r="E2252" s="96" t="inlineStr">
        <is>
          <t>Others</t>
        </is>
      </c>
    </row>
    <row r="2253" ht="15" customHeight="1" s="109" thickBot="1">
      <c r="B2253" s="96" t="inlineStr">
        <is>
          <t>KOTHARI WORLD FINANCE LTD</t>
        </is>
      </c>
      <c r="C2253" s="97" t="n">
        <v>511138</v>
      </c>
      <c r="D2253" s="96" t="inlineStr">
        <is>
          <t>Not Listed</t>
        </is>
      </c>
      <c r="E2253" s="96" t="inlineStr">
        <is>
          <t>Finance (including NBFCs)</t>
        </is>
      </c>
    </row>
    <row r="2254" ht="15" customHeight="1" s="109" thickBot="1">
      <c r="B2254" s="96" t="inlineStr">
        <is>
          <t>KOTIA ENTERPRISES LTD</t>
        </is>
      </c>
      <c r="C2254" s="97" t="n">
        <v>539599</v>
      </c>
      <c r="D2254" s="96" t="inlineStr">
        <is>
          <t>Not Listed</t>
        </is>
      </c>
      <c r="E2254" s="96" t="inlineStr">
        <is>
          <t>Distributors</t>
        </is>
      </c>
    </row>
    <row r="2255" ht="15" customHeight="1" s="109" thickBot="1">
      <c r="B2255" s="96" t="inlineStr">
        <is>
          <t>KOVAI MEDICAL CENTER &amp; HOSPITAL LTD</t>
        </is>
      </c>
      <c r="C2255" s="97" t="n">
        <v>523323</v>
      </c>
      <c r="D2255" s="96" t="inlineStr">
        <is>
          <t>Not Listed</t>
        </is>
      </c>
      <c r="E2255" s="96" t="inlineStr">
        <is>
          <t>Healthcare Services</t>
        </is>
      </c>
    </row>
    <row r="2256" ht="15" customHeight="1" s="109" thickBot="1">
      <c r="B2256" s="96" t="inlineStr">
        <is>
          <t>KOVALAM INVESTMENT &amp; TRADING CO LTD</t>
        </is>
      </c>
      <c r="C2256" s="97" t="n">
        <v>505585</v>
      </c>
      <c r="D2256" s="96" t="inlineStr">
        <is>
          <t>Not Listed</t>
        </is>
      </c>
      <c r="E2256" s="96" t="inlineStr">
        <is>
          <t>Misc.Commercial Services</t>
        </is>
      </c>
    </row>
    <row r="2257" ht="15" customHeight="1" s="109" thickBot="1">
      <c r="B2257" s="96" t="inlineStr">
        <is>
          <t>KOVILPATTI LAKSHMI ROLLER FLOUR MILLS LTD</t>
        </is>
      </c>
      <c r="C2257" s="97" t="n">
        <v>507598</v>
      </c>
      <c r="D2257" s="96" t="inlineStr">
        <is>
          <t>Not Listed</t>
        </is>
      </c>
      <c r="E2257" s="96" t="inlineStr">
        <is>
          <t>Other Food Products</t>
        </is>
      </c>
    </row>
    <row r="2258" ht="15" customHeight="1" s="109" thickBot="1">
      <c r="B2258" s="96" t="inlineStr">
        <is>
          <t>KPIT TECHNOLOGIES LTD</t>
        </is>
      </c>
      <c r="C2258" s="97" t="n">
        <v>532400</v>
      </c>
      <c r="D2258" s="96" t="inlineStr">
        <is>
          <t>KPIT</t>
        </is>
      </c>
      <c r="E2258" s="96" t="inlineStr">
        <is>
          <t>IT Consulting &amp; Software</t>
        </is>
      </c>
    </row>
    <row r="2259" ht="15" customHeight="1" s="109" thickBot="1">
      <c r="B2259" s="96" t="inlineStr">
        <is>
          <t>KPIT Technologies Ltd</t>
        </is>
      </c>
      <c r="C2259" s="97" t="n">
        <v>542651</v>
      </c>
      <c r="D2259" s="96" t="inlineStr">
        <is>
          <t>KPITTECH</t>
        </is>
      </c>
      <c r="E2259" s="96" t="inlineStr">
        <is>
          <t>Auto Parts &amp;amp; Equipment</t>
        </is>
      </c>
    </row>
    <row r="2260" ht="15" customHeight="1" s="109" thickBot="1">
      <c r="B2260" s="96" t="inlineStr">
        <is>
          <t>Kranti Industries Ltd</t>
        </is>
      </c>
      <c r="C2260" s="97" t="n">
        <v>542459</v>
      </c>
      <c r="D2260" s="96" t="inlineStr">
        <is>
          <t>KRANTI</t>
        </is>
      </c>
      <c r="E2260" s="96" t="inlineStr">
        <is>
          <t>Auto Parts &amp;amp; Equipment</t>
        </is>
      </c>
    </row>
    <row r="2261" ht="15" customHeight="1" s="109" thickBot="1">
      <c r="B2261" s="96" t="inlineStr">
        <is>
          <t>KRATOS ENERGY &amp; INFRASTRUCTURE LTD</t>
        </is>
      </c>
      <c r="C2261" s="97" t="n">
        <v>501261</v>
      </c>
      <c r="D2261" s="96" t="inlineStr">
        <is>
          <t>Not Listed</t>
        </is>
      </c>
      <c r="E2261" s="96" t="inlineStr">
        <is>
          <t>Other Financial Services</t>
        </is>
      </c>
    </row>
    <row r="2262" ht="15" customHeight="1" s="109" thickBot="1">
      <c r="B2262" s="96" t="inlineStr">
        <is>
          <t>KRBL LTD</t>
        </is>
      </c>
      <c r="C2262" s="97" t="n">
        <v>530813</v>
      </c>
      <c r="D2262" s="96" t="inlineStr">
        <is>
          <t>KRBL</t>
        </is>
      </c>
      <c r="E2262" s="96" t="inlineStr">
        <is>
          <t>Packaged Foods</t>
        </is>
      </c>
    </row>
    <row r="2263" ht="15" customHeight="1" s="109" thickBot="1">
      <c r="B2263" s="96" t="inlineStr">
        <is>
          <t>KREBS BIOCHEMICALS AND INDUSTRIES LTD</t>
        </is>
      </c>
      <c r="C2263" s="97" t="n">
        <v>524518</v>
      </c>
      <c r="D2263" s="96" t="inlineStr">
        <is>
          <t>KREBSBIO</t>
        </is>
      </c>
      <c r="E2263" s="96" t="inlineStr">
        <is>
          <t>Pharmaceuticals</t>
        </is>
      </c>
    </row>
    <row r="2264" ht="15" customHeight="1" s="109" thickBot="1">
      <c r="B2264" s="96" t="inlineStr">
        <is>
          <t>KREON FINNANCIAL SERVICES LTD</t>
        </is>
      </c>
      <c r="C2264" s="97" t="n">
        <v>530139</v>
      </c>
      <c r="D2264" s="96" t="inlineStr">
        <is>
          <t>Not Listed</t>
        </is>
      </c>
      <c r="E2264" s="96" t="inlineStr">
        <is>
          <t>Finance (including NBFCs)</t>
        </is>
      </c>
    </row>
    <row r="2265" ht="15" customHeight="1" s="109" thickBot="1">
      <c r="B2265" s="96" t="inlineStr">
        <is>
          <t>KRETTO SYSCON LTD</t>
        </is>
      </c>
      <c r="C2265" s="97" t="n">
        <v>531328</v>
      </c>
      <c r="D2265" s="96" t="inlineStr">
        <is>
          <t>Not Listed</t>
        </is>
      </c>
      <c r="E2265" s="96" t="inlineStr">
        <is>
          <t>Healthcare Supplies</t>
        </is>
      </c>
    </row>
    <row r="2266" ht="15" customHeight="1" s="109" thickBot="1">
      <c r="B2266" s="96" t="inlineStr">
        <is>
          <t>KRIDHAN INFRA LTD</t>
        </is>
      </c>
      <c r="C2266" s="97" t="n">
        <v>533482</v>
      </c>
      <c r="D2266" s="96" t="inlineStr">
        <is>
          <t>KRIDHANINF</t>
        </is>
      </c>
      <c r="E2266" s="96" t="inlineStr">
        <is>
          <t>Construction &amp; Engineering</t>
        </is>
      </c>
    </row>
    <row r="2267" ht="15" customHeight="1" s="109" thickBot="1">
      <c r="B2267" s="96" t="inlineStr">
        <is>
          <t>KRISHANA PHOSCHEM LTD</t>
        </is>
      </c>
      <c r="C2267" s="96" t="inlineStr">
        <is>
          <t>Not Listed</t>
        </is>
      </c>
      <c r="D2267" s="96" t="inlineStr">
        <is>
          <t>KRISHANA</t>
        </is>
      </c>
      <c r="E2267" s="96" t="inlineStr">
        <is>
          <t>SME</t>
        </is>
      </c>
    </row>
    <row r="2268" ht="15" customHeight="1" s="109" thickBot="1">
      <c r="B2268" s="96" t="inlineStr">
        <is>
          <t>KRISHNA CAPITAL AND SECURITIES LTD</t>
        </is>
      </c>
      <c r="C2268" s="97" t="n">
        <v>539384</v>
      </c>
      <c r="D2268" s="96" t="inlineStr">
        <is>
          <t>Not Listed</t>
        </is>
      </c>
      <c r="E2268" s="96" t="inlineStr">
        <is>
          <t>Finance (including NBFCs)</t>
        </is>
      </c>
    </row>
    <row r="2269" ht="15" customHeight="1" s="109" thickBot="1">
      <c r="B2269" s="96" t="inlineStr">
        <is>
          <t>KRISHNA VENTURES LTD</t>
        </is>
      </c>
      <c r="C2269" s="97" t="n">
        <v>504392</v>
      </c>
      <c r="D2269" s="96" t="inlineStr">
        <is>
          <t>Not Listed</t>
        </is>
      </c>
      <c r="E2269" s="96" t="inlineStr">
        <is>
          <t>Other Financial Services</t>
        </is>
      </c>
    </row>
    <row r="2270" ht="15" customHeight="1" s="109" thickBot="1">
      <c r="B2270" s="96" t="inlineStr">
        <is>
          <t>KRITI INDUSTRIES (INDIA) LTD</t>
        </is>
      </c>
      <c r="C2270" s="97" t="n">
        <v>526423</v>
      </c>
      <c r="D2270" s="96" t="inlineStr">
        <is>
          <t>Not Listed</t>
        </is>
      </c>
      <c r="E2270" s="96" t="inlineStr">
        <is>
          <t>Plastic Products</t>
        </is>
      </c>
    </row>
    <row r="2271" ht="15" customHeight="1" s="109" thickBot="1">
      <c r="B2271" s="96" t="inlineStr">
        <is>
          <t>KRITI INDUSTRIES INDIA LTD</t>
        </is>
      </c>
      <c r="C2271" s="97" t="n">
        <v>526423</v>
      </c>
      <c r="D2271" s="96" t="inlineStr">
        <is>
          <t>Not Listed</t>
        </is>
      </c>
      <c r="E2271" s="96" t="inlineStr">
        <is>
          <t>Plastic Products</t>
        </is>
      </c>
    </row>
    <row r="2272" ht="15" customHeight="1" s="109" thickBot="1">
      <c r="B2272" s="96" t="inlineStr">
        <is>
          <t>KRITI NUTRIENTS LTD</t>
        </is>
      </c>
      <c r="C2272" s="97" t="n">
        <v>533210</v>
      </c>
      <c r="D2272" s="96" t="inlineStr">
        <is>
          <t>Not Listed</t>
        </is>
      </c>
      <c r="E2272" s="96" t="inlineStr">
        <is>
          <t>Edible Oils</t>
        </is>
      </c>
    </row>
    <row r="2273" ht="15" customHeight="1" s="109" thickBot="1">
      <c r="B2273" s="96" t="inlineStr">
        <is>
          <t>KRITIKA WIRES LTD</t>
        </is>
      </c>
      <c r="C2273" s="96" t="inlineStr">
        <is>
          <t>Not Listed</t>
        </is>
      </c>
      <c r="D2273" s="96" t="inlineStr">
        <is>
          <t>KRITIKA</t>
        </is>
      </c>
      <c r="E2273" s="96" t="inlineStr">
        <is>
          <t>SME</t>
        </is>
      </c>
    </row>
    <row r="2274" ht="15" customHeight="1" s="109" thickBot="1">
      <c r="B2274" s="96" t="inlineStr">
        <is>
          <t>KRYPTON INDUSTRIES LTD</t>
        </is>
      </c>
      <c r="C2274" s="97" t="n">
        <v>523550</v>
      </c>
      <c r="D2274" s="96" t="inlineStr">
        <is>
          <t>Not Listed</t>
        </is>
      </c>
      <c r="E2274" s="96" t="inlineStr">
        <is>
          <t>Diversified</t>
        </is>
      </c>
    </row>
    <row r="2275" ht="15" customHeight="1" s="109" thickBot="1">
      <c r="B2275" s="96" t="inlineStr">
        <is>
          <t>KSB LTD</t>
        </is>
      </c>
      <c r="C2275" s="97" t="n">
        <v>500249</v>
      </c>
      <c r="D2275" s="96" t="inlineStr">
        <is>
          <t>KSB</t>
        </is>
      </c>
      <c r="E2275" s="96" t="inlineStr">
        <is>
          <t>Industrial Machinery</t>
        </is>
      </c>
    </row>
    <row r="2276" ht="15" customHeight="1" s="109" thickBot="1">
      <c r="B2276" s="96" t="inlineStr">
        <is>
          <t>KSE LTD</t>
        </is>
      </c>
      <c r="C2276" s="97" t="n">
        <v>519421</v>
      </c>
      <c r="D2276" s="96" t="inlineStr">
        <is>
          <t>Not Listed</t>
        </is>
      </c>
      <c r="E2276" s="96" t="inlineStr">
        <is>
          <t>Packaged Foods</t>
        </is>
      </c>
    </row>
    <row r="2277" ht="15" customHeight="1" s="109" thickBot="1">
      <c r="B2277" s="96" t="inlineStr">
        <is>
          <t>KSHITIJ POLYLINE LTD</t>
        </is>
      </c>
      <c r="C2277" s="96" t="inlineStr">
        <is>
          <t>Not Listed</t>
        </is>
      </c>
      <c r="D2277" s="96" t="inlineStr">
        <is>
          <t>KSHITIJPOL</t>
        </is>
      </c>
      <c r="E2277" s="96" t="inlineStr">
        <is>
          <t>SME</t>
        </is>
      </c>
    </row>
    <row r="2278" ht="15" customHeight="1" s="109" thickBot="1">
      <c r="B2278" s="96" t="inlineStr">
        <is>
          <t>KSHITIZ INVESTMENT LTD</t>
        </is>
      </c>
      <c r="C2278" s="97" t="n">
        <v>503626</v>
      </c>
      <c r="D2278" s="96" t="inlineStr">
        <is>
          <t>Not Listed</t>
        </is>
      </c>
      <c r="E2278" s="96" t="inlineStr">
        <is>
          <t>Other Financial Services</t>
        </is>
      </c>
    </row>
    <row r="2279" ht="15" customHeight="1" s="109" thickBot="1">
      <c r="B2279" s="96" t="inlineStr">
        <is>
          <t>KSK ENERGY VENTURES LTD</t>
        </is>
      </c>
      <c r="C2279" s="97" t="n">
        <v>532997</v>
      </c>
      <c r="D2279" s="96" t="inlineStr">
        <is>
          <t>KSK</t>
        </is>
      </c>
      <c r="E2279" s="96" t="inlineStr">
        <is>
          <t>Electric Utilities</t>
        </is>
      </c>
    </row>
    <row r="2280" ht="15" customHeight="1" s="109" thickBot="1">
      <c r="B2280" s="96" t="inlineStr">
        <is>
          <t>KSL AND INDUSTRIES LTD</t>
        </is>
      </c>
      <c r="C2280" s="97" t="n">
        <v>530149</v>
      </c>
      <c r="D2280" s="96" t="inlineStr">
        <is>
          <t>Not Listed</t>
        </is>
      </c>
      <c r="E2280" s="96" t="inlineStr">
        <is>
          <t>Textiles</t>
        </is>
      </c>
    </row>
    <row r="2281" ht="15" customHeight="1" s="109" thickBot="1">
      <c r="B2281" s="96" t="inlineStr">
        <is>
          <t>KSS LTD</t>
        </is>
      </c>
      <c r="C2281" s="97" t="n">
        <v>532081</v>
      </c>
      <c r="D2281" s="96" t="inlineStr">
        <is>
          <t>KSERASERA</t>
        </is>
      </c>
      <c r="E2281" s="96" t="inlineStr">
        <is>
          <t>Movies &amp; Entertainment</t>
        </is>
      </c>
    </row>
    <row r="2282" ht="15" customHeight="1" s="109" thickBot="1">
      <c r="B2282" s="96" t="inlineStr">
        <is>
          <t>KUANTUM PAPERS LTD</t>
        </is>
      </c>
      <c r="C2282" s="97" t="n">
        <v>532937</v>
      </c>
      <c r="D2282" s="96" t="inlineStr">
        <is>
          <t>Not Listed</t>
        </is>
      </c>
      <c r="E2282" s="96" t="inlineStr">
        <is>
          <t>Paper &amp; Paper Products</t>
        </is>
      </c>
    </row>
    <row r="2283" ht="15" customHeight="1" s="109" thickBot="1">
      <c r="B2283" s="96" t="inlineStr">
        <is>
          <t>KUBER UDYOG LTD</t>
        </is>
      </c>
      <c r="C2283" s="97" t="n">
        <v>539408</v>
      </c>
      <c r="D2283" s="96" t="inlineStr">
        <is>
          <t>Not Listed</t>
        </is>
      </c>
      <c r="E2283" s="96" t="inlineStr">
        <is>
          <t>Finance (including NBFCs)</t>
        </is>
      </c>
    </row>
    <row r="2284" ht="15" customHeight="1" s="109" thickBot="1">
      <c r="B2284" s="96" t="inlineStr">
        <is>
          <t>KULKARNI POWER &amp; TOOLS LTD</t>
        </is>
      </c>
      <c r="C2284" s="97" t="n">
        <v>505299</v>
      </c>
      <c r="D2284" s="96" t="inlineStr">
        <is>
          <t>Not Listed</t>
        </is>
      </c>
      <c r="E2284" s="96" t="inlineStr">
        <is>
          <t>Industrial Machinery</t>
        </is>
      </c>
    </row>
    <row r="2285" ht="15" customHeight="1" s="109" thickBot="1">
      <c r="B2285" s="96" t="inlineStr">
        <is>
          <t>KUMAR WIRE CLOTH MANUFACTURING COMPANY LTD</t>
        </is>
      </c>
      <c r="C2285" s="97" t="n">
        <v>513703</v>
      </c>
      <c r="D2285" s="96" t="inlineStr">
        <is>
          <t>Not Listed</t>
        </is>
      </c>
      <c r="E2285" s="96" t="inlineStr">
        <is>
          <t>Textiles</t>
        </is>
      </c>
    </row>
    <row r="2286" ht="15" customHeight="1" s="109" thickBot="1">
      <c r="B2286" s="96" t="inlineStr">
        <is>
          <t>KUNSTSTOFFE INDUSTRIES LTD</t>
        </is>
      </c>
      <c r="C2286" s="97" t="n">
        <v>523594</v>
      </c>
      <c r="D2286" s="96" t="inlineStr">
        <is>
          <t>Not Listed</t>
        </is>
      </c>
      <c r="E2286" s="96" t="inlineStr">
        <is>
          <t>Plastic Products</t>
        </is>
      </c>
    </row>
    <row r="2287" ht="15" customHeight="1" s="109" thickBot="1">
      <c r="B2287" s="96" t="inlineStr">
        <is>
          <t>KUSAM ELECTRICAL INDUSTRIES LTD</t>
        </is>
      </c>
      <c r="C2287" s="97" t="n">
        <v>511048</v>
      </c>
      <c r="D2287" s="96" t="inlineStr">
        <is>
          <t>Not Listed</t>
        </is>
      </c>
      <c r="E2287" s="96" t="inlineStr">
        <is>
          <t>Comm.Trading &amp; Distribution</t>
        </is>
      </c>
    </row>
    <row r="2288" ht="15" customHeight="1" s="109" thickBot="1">
      <c r="B2288" s="96" t="inlineStr">
        <is>
          <t>KUSH INDUSTRIES LTD</t>
        </is>
      </c>
      <c r="C2288" s="97" t="n">
        <v>514240</v>
      </c>
      <c r="D2288" s="96" t="inlineStr">
        <is>
          <t>Not Listed</t>
        </is>
      </c>
      <c r="E2288" s="96" t="inlineStr">
        <is>
          <t>Textiles</t>
        </is>
      </c>
    </row>
    <row r="2289" ht="15" customHeight="1" s="109" thickBot="1">
      <c r="B2289" s="96" t="inlineStr">
        <is>
          <t>KUSHAL LTD</t>
        </is>
      </c>
      <c r="C2289" s="97" t="n">
        <v>536170</v>
      </c>
      <c r="D2289" s="96" t="inlineStr">
        <is>
          <t>Not Listed</t>
        </is>
      </c>
      <c r="E2289" s="96" t="inlineStr">
        <is>
          <t>Comm.Trading &amp; Distribution</t>
        </is>
      </c>
    </row>
    <row r="2290" ht="15" customHeight="1" s="109" thickBot="1">
      <c r="B2290" s="96" t="inlineStr">
        <is>
          <t>KUWER INDUSTRIES LTD</t>
        </is>
      </c>
      <c r="C2290" s="97" t="n">
        <v>530421</v>
      </c>
      <c r="D2290" s="96" t="inlineStr">
        <is>
          <t>Not Listed</t>
        </is>
      </c>
      <c r="E2290" s="96" t="inlineStr">
        <is>
          <t>Commodity Chemicals</t>
        </is>
      </c>
    </row>
    <row r="2291" ht="15" customHeight="1" s="109" thickBot="1">
      <c r="B2291" s="96" t="inlineStr">
        <is>
          <t>KWALITY CREDIT &amp; LEASING LTD</t>
        </is>
      </c>
      <c r="C2291" s="97" t="n">
        <v>531206</v>
      </c>
      <c r="D2291" s="96" t="inlineStr">
        <is>
          <t>Not Listed</t>
        </is>
      </c>
      <c r="E2291" s="96" t="inlineStr">
        <is>
          <t>Finance (including NBFCs)</t>
        </is>
      </c>
    </row>
    <row r="2292" ht="15" customHeight="1" s="109" thickBot="1">
      <c r="B2292" s="96" t="inlineStr">
        <is>
          <t>KWALITY LTD</t>
        </is>
      </c>
      <c r="C2292" s="97" t="n">
        <v>531882</v>
      </c>
      <c r="D2292" s="96" t="inlineStr">
        <is>
          <t>KWALITY</t>
        </is>
      </c>
      <c r="E2292" s="96" t="inlineStr">
        <is>
          <t>Packaged Foods</t>
        </is>
      </c>
    </row>
    <row r="2293" ht="15" customHeight="1" s="109" thickBot="1">
      <c r="B2293" s="96" t="inlineStr">
        <is>
          <t>KWALITY PHARMACEUTICALS LTD</t>
        </is>
      </c>
      <c r="C2293" s="97" t="n">
        <v>539997</v>
      </c>
      <c r="D2293" s="96" t="inlineStr">
        <is>
          <t>Not Listed</t>
        </is>
      </c>
      <c r="E2293" s="96" t="inlineStr">
        <is>
          <t>Pharmaceuticals</t>
        </is>
      </c>
    </row>
    <row r="2294" ht="15" customHeight="1" s="109" thickBot="1">
      <c r="B2294" s="96" t="inlineStr">
        <is>
          <t>L P NAVAL AND ENGINEERING LTD</t>
        </is>
      </c>
      <c r="C2294" s="97" t="n">
        <v>537669</v>
      </c>
      <c r="D2294" s="96" t="inlineStr">
        <is>
          <t>Not Listed</t>
        </is>
      </c>
      <c r="E2294" s="96" t="inlineStr">
        <is>
          <t>Commercial Vehicles</t>
        </is>
      </c>
    </row>
    <row r="2295" ht="15" customHeight="1" s="109" thickBot="1">
      <c r="B2295" s="96" t="inlineStr">
        <is>
          <t>L&amp;T FINANCE HOLDINGS LTD</t>
        </is>
      </c>
      <c r="C2295" s="97" t="n">
        <v>533519</v>
      </c>
      <c r="D2295" s="96" t="inlineStr">
        <is>
          <t>L&amp;TFH</t>
        </is>
      </c>
      <c r="E2295" s="96" t="inlineStr">
        <is>
          <t>Holding Companies</t>
        </is>
      </c>
    </row>
    <row r="2296" ht="15" customHeight="1" s="109" thickBot="1">
      <c r="B2296" s="96" t="inlineStr">
        <is>
          <t>L&amp;T TECHNOLOGY SERVICES LTD</t>
        </is>
      </c>
      <c r="C2296" s="97" t="n">
        <v>540115</v>
      </c>
      <c r="D2296" s="96" t="inlineStr">
        <is>
          <t>LTTS</t>
        </is>
      </c>
      <c r="E2296" s="96" t="inlineStr">
        <is>
          <t>Internet Software &amp; Services</t>
        </is>
      </c>
    </row>
    <row r="2297" ht="15" customHeight="1" s="109" thickBot="1">
      <c r="B2297" s="96" t="inlineStr">
        <is>
          <t>LA OPALA RG LTD</t>
        </is>
      </c>
      <c r="C2297" s="97" t="n">
        <v>526947</v>
      </c>
      <c r="D2297" s="96" t="inlineStr">
        <is>
          <t>LAOPALA</t>
        </is>
      </c>
      <c r="E2297" s="96" t="inlineStr">
        <is>
          <t>Houseware</t>
        </is>
      </c>
    </row>
    <row r="2298" ht="15" customHeight="1" s="109" thickBot="1">
      <c r="B2298" s="96" t="inlineStr">
        <is>
          <t>La Tim Metal &amp;amp; Industries Ltd</t>
        </is>
      </c>
      <c r="C2298" s="97" t="n">
        <v>505693</v>
      </c>
      <c r="D2298" s="96" t="inlineStr">
        <is>
          <t>LATIMMETAL</t>
        </is>
      </c>
      <c r="E2298" s="96" t="inlineStr">
        <is>
          <t>Other Industrial Goods</t>
        </is>
      </c>
    </row>
    <row r="2299" ht="15" customHeight="1" s="109" thickBot="1">
      <c r="B2299" s="96" t="inlineStr">
        <is>
          <t>LACTOSE (INDIA) LTD</t>
        </is>
      </c>
      <c r="C2299" s="97" t="n">
        <v>524202</v>
      </c>
      <c r="D2299" s="96" t="inlineStr">
        <is>
          <t>Not Listed</t>
        </is>
      </c>
      <c r="E2299" s="96" t="inlineStr">
        <is>
          <t>Other Food Products</t>
        </is>
      </c>
    </row>
    <row r="2300" ht="15" customHeight="1" s="109" thickBot="1">
      <c r="B2300" s="96" t="inlineStr">
        <is>
          <t>LACTOSE INDIA LTD</t>
        </is>
      </c>
      <c r="C2300" s="97" t="n">
        <v>524202</v>
      </c>
      <c r="D2300" s="96" t="inlineStr">
        <is>
          <t>Not Listed</t>
        </is>
      </c>
      <c r="E2300" s="96" t="inlineStr">
        <is>
          <t>Other Food Products</t>
        </is>
      </c>
    </row>
    <row r="2301" ht="15" customHeight="1" s="109" thickBot="1">
      <c r="B2301" s="96" t="inlineStr">
        <is>
          <t>LADAM AFFORDABLE HOUSING LTD</t>
        </is>
      </c>
      <c r="C2301" s="97" t="n">
        <v>540026</v>
      </c>
      <c r="D2301" s="96" t="inlineStr">
        <is>
          <t>Not Listed</t>
        </is>
      </c>
      <c r="E2301" s="96" t="inlineStr">
        <is>
          <t>Realty</t>
        </is>
      </c>
    </row>
    <row r="2302" ht="15" customHeight="1" s="109" thickBot="1">
      <c r="B2302" s="96" t="inlineStr">
        <is>
          <t>LADDERUP FINANCE LTD</t>
        </is>
      </c>
      <c r="C2302" s="97" t="n">
        <v>530577</v>
      </c>
      <c r="D2302" s="96" t="inlineStr">
        <is>
          <t>Not Listed</t>
        </is>
      </c>
      <c r="E2302" s="96" t="inlineStr">
        <is>
          <t>Finance (including NBFCs)</t>
        </is>
      </c>
    </row>
    <row r="2303" ht="15" customHeight="1" s="109" thickBot="1">
      <c r="B2303" s="96" t="inlineStr">
        <is>
          <t>LAFFANS PETROCHEMICALS LTD</t>
        </is>
      </c>
      <c r="C2303" s="97" t="n">
        <v>524522</v>
      </c>
      <c r="D2303" s="96" t="inlineStr">
        <is>
          <t>Not Listed</t>
        </is>
      </c>
      <c r="E2303" s="96" t="inlineStr">
        <is>
          <t>Commodity Chemicals</t>
        </is>
      </c>
    </row>
    <row r="2304" ht="15" customHeight="1" s="109" thickBot="1">
      <c r="B2304" s="96" t="inlineStr">
        <is>
          <t>LAGNAM SPINTEX LTD</t>
        </is>
      </c>
      <c r="C2304" s="96" t="inlineStr">
        <is>
          <t>Not Listed</t>
        </is>
      </c>
      <c r="D2304" s="96" t="inlineStr">
        <is>
          <t>LAGNAM</t>
        </is>
      </c>
      <c r="E2304" s="96" t="inlineStr">
        <is>
          <t>SME</t>
        </is>
      </c>
    </row>
    <row r="2305" ht="15" customHeight="1" s="109" thickBot="1">
      <c r="B2305" s="96" t="inlineStr">
        <is>
          <t>LAHOTI OVERSEAS LTD</t>
        </is>
      </c>
      <c r="C2305" s="97" t="n">
        <v>531842</v>
      </c>
      <c r="D2305" s="96" t="inlineStr">
        <is>
          <t>Not Listed</t>
        </is>
      </c>
      <c r="E2305" s="96" t="inlineStr">
        <is>
          <t>Comm.Trading &amp; Distribution</t>
        </is>
      </c>
    </row>
    <row r="2306" ht="15" customHeight="1" s="109" thickBot="1">
      <c r="B2306" s="96" t="inlineStr">
        <is>
          <t>LAKHOTIA POLYESTERS (INDIA) LTD</t>
        </is>
      </c>
      <c r="C2306" s="97" t="n">
        <v>535387</v>
      </c>
      <c r="D2306" s="96" t="inlineStr">
        <is>
          <t>Not Listed</t>
        </is>
      </c>
      <c r="E2306" s="96" t="inlineStr">
        <is>
          <t>Textiles</t>
        </is>
      </c>
    </row>
    <row r="2307" ht="15" customHeight="1" s="109" thickBot="1">
      <c r="B2307" s="96" t="inlineStr">
        <is>
          <t>LAKHOTIA POLYESTERS INDIA LTD</t>
        </is>
      </c>
      <c r="C2307" s="97" t="n">
        <v>535387</v>
      </c>
      <c r="D2307" s="96" t="inlineStr">
        <is>
          <t>Not Listed</t>
        </is>
      </c>
      <c r="E2307" s="96" t="inlineStr">
        <is>
          <t>Textiles</t>
        </is>
      </c>
    </row>
    <row r="2308" ht="15" customHeight="1" s="109" thickBot="1">
      <c r="B2308" s="96" t="inlineStr">
        <is>
          <t>LAKSHMI AUTOMATIC LOOM WORKS LTD</t>
        </is>
      </c>
      <c r="C2308" s="97" t="n">
        <v>505302</v>
      </c>
      <c r="D2308" s="96" t="inlineStr">
        <is>
          <t>Not Listed</t>
        </is>
      </c>
      <c r="E2308" s="96" t="inlineStr">
        <is>
          <t>Industrial Machinery</t>
        </is>
      </c>
    </row>
    <row r="2309" ht="15" customHeight="1" s="109" thickBot="1">
      <c r="B2309" s="96" t="inlineStr">
        <is>
          <t>LAKSHMI ELECTRICAL CONTROL SYSTEMS LTD</t>
        </is>
      </c>
      <c r="C2309" s="97" t="n">
        <v>504258</v>
      </c>
      <c r="D2309" s="96" t="inlineStr">
        <is>
          <t>Not Listed</t>
        </is>
      </c>
      <c r="E2309" s="96" t="inlineStr">
        <is>
          <t>Other Elect.Equip./ Prod.</t>
        </is>
      </c>
    </row>
    <row r="2310" ht="15" customHeight="1" s="109" thickBot="1">
      <c r="B2310" s="96" t="inlineStr">
        <is>
          <t>LAKSHMI FINANCE &amp; INDUSTRIAL CORPORATION LTD</t>
        </is>
      </c>
      <c r="C2310" s="96" t="inlineStr">
        <is>
          <t>Not Listed</t>
        </is>
      </c>
      <c r="D2310" s="96" t="inlineStr">
        <is>
          <t>LFIC</t>
        </is>
      </c>
      <c r="E2310" s="96" t="inlineStr">
        <is>
          <t>Others</t>
        </is>
      </c>
    </row>
    <row r="2311" ht="15" customHeight="1" s="109" thickBot="1">
      <c r="B2311" s="96" t="inlineStr">
        <is>
          <t>LAKSHMI MACHINE WORKS LTD</t>
        </is>
      </c>
      <c r="C2311" s="97" t="n">
        <v>500252</v>
      </c>
      <c r="D2311" s="96" t="inlineStr">
        <is>
          <t>LAXMIMACH</t>
        </is>
      </c>
      <c r="E2311" s="96" t="inlineStr">
        <is>
          <t>Industrial Machinery</t>
        </is>
      </c>
    </row>
    <row r="2312" ht="15" customHeight="1" s="109" thickBot="1">
      <c r="B2312" s="96" t="inlineStr">
        <is>
          <t>LAKSHMI MILLS COMPANY LTD</t>
        </is>
      </c>
      <c r="C2312" s="97" t="n">
        <v>502958</v>
      </c>
      <c r="D2312" s="96" t="inlineStr">
        <is>
          <t>Not Listed</t>
        </is>
      </c>
      <c r="E2312" s="96" t="inlineStr">
        <is>
          <t>Textiles</t>
        </is>
      </c>
    </row>
    <row r="2313" ht="15" customHeight="1" s="109" thickBot="1">
      <c r="B2313" s="96" t="inlineStr">
        <is>
          <t>LAKSHMI PRECISION SCREWS LTD</t>
        </is>
      </c>
      <c r="C2313" s="97" t="n">
        <v>506079</v>
      </c>
      <c r="D2313" s="96" t="inlineStr">
        <is>
          <t>LAKPRE</t>
        </is>
      </c>
      <c r="E2313" s="96" t="inlineStr">
        <is>
          <t>Iron &amp; Steel Products</t>
        </is>
      </c>
    </row>
    <row r="2314" ht="15" customHeight="1" s="109" thickBot="1">
      <c r="B2314" s="96" t="inlineStr">
        <is>
          <t>LAKSHMI VILAS BANK LTD</t>
        </is>
      </c>
      <c r="C2314" s="97" t="n">
        <v>534690</v>
      </c>
      <c r="D2314" s="96" t="inlineStr">
        <is>
          <t>LAKSHVILAS</t>
        </is>
      </c>
      <c r="E2314" s="96" t="inlineStr">
        <is>
          <t>Banks</t>
        </is>
      </c>
    </row>
    <row r="2315" ht="15" customHeight="1" s="109" thickBot="1">
      <c r="B2315" s="96" t="inlineStr">
        <is>
          <t>LAMBODHARA TEXTILES LTD</t>
        </is>
      </c>
      <c r="C2315" s="97" t="n">
        <v>590075</v>
      </c>
      <c r="D2315" s="96" t="inlineStr">
        <is>
          <t>LAMBODHARA</t>
        </is>
      </c>
      <c r="E2315" s="96" t="inlineStr">
        <is>
          <t>Textiles</t>
        </is>
      </c>
    </row>
    <row r="2316" ht="15" customHeight="1" s="109" thickBot="1">
      <c r="B2316" s="96" t="inlineStr">
        <is>
          <t>LANCER CONTAINER LINES LTD</t>
        </is>
      </c>
      <c r="C2316" s="97" t="n">
        <v>539841</v>
      </c>
      <c r="D2316" s="96" t="inlineStr">
        <is>
          <t>Not Listed</t>
        </is>
      </c>
      <c r="E2316" s="96" t="inlineStr">
        <is>
          <t>Transportation - Logistics</t>
        </is>
      </c>
    </row>
    <row r="2317" ht="15" customHeight="1" s="109" thickBot="1">
      <c r="B2317" s="96" t="inlineStr">
        <is>
          <t>LANCOR HOLDINGS LTD</t>
        </is>
      </c>
      <c r="C2317" s="97" t="n">
        <v>509048</v>
      </c>
      <c r="D2317" s="96" t="inlineStr">
        <is>
          <t>Not Listed</t>
        </is>
      </c>
      <c r="E2317" s="96" t="inlineStr">
        <is>
          <t>Realty</t>
        </is>
      </c>
    </row>
    <row r="2318" ht="15" customHeight="1" s="109" thickBot="1">
      <c r="B2318" s="96" t="inlineStr">
        <is>
          <t>LANDMARC LEISURE CORPORATION LTD</t>
        </is>
      </c>
      <c r="C2318" s="97" t="n">
        <v>532275</v>
      </c>
      <c r="D2318" s="96" t="inlineStr">
        <is>
          <t>Not Listed</t>
        </is>
      </c>
      <c r="E2318" s="96" t="inlineStr">
        <is>
          <t>Finance (including NBFCs)</t>
        </is>
      </c>
    </row>
    <row r="2319" ht="15" customHeight="1" s="109" thickBot="1">
      <c r="B2319" s="96" t="inlineStr">
        <is>
          <t>LANDMARK PROPERTY DEVELOPMENT COMPANY LTD</t>
        </is>
      </c>
      <c r="C2319" s="97" t="n">
        <v>533012</v>
      </c>
      <c r="D2319" s="96" t="inlineStr">
        <is>
          <t>LPDC</t>
        </is>
      </c>
      <c r="E2319" s="96" t="inlineStr">
        <is>
          <t>Realty</t>
        </is>
      </c>
    </row>
    <row r="2320" ht="15" customHeight="1" s="109" thickBot="1">
      <c r="B2320" s="96" t="inlineStr">
        <is>
          <t>LARSEN &amp; TOUBRO INFOTECH LTD</t>
        </is>
      </c>
      <c r="C2320" s="97" t="n">
        <v>540005</v>
      </c>
      <c r="D2320" s="96" t="inlineStr">
        <is>
          <t>LTI</t>
        </is>
      </c>
      <c r="E2320" s="96" t="inlineStr">
        <is>
          <t>IT Consulting &amp; Software</t>
        </is>
      </c>
    </row>
    <row r="2321" ht="15" customHeight="1" s="109" thickBot="1">
      <c r="B2321" s="96" t="inlineStr">
        <is>
          <t>LARSEN &amp; TOUBRO LTD</t>
        </is>
      </c>
      <c r="C2321" s="97" t="n">
        <v>500510</v>
      </c>
      <c r="D2321" s="96" t="inlineStr">
        <is>
          <t>LT</t>
        </is>
      </c>
      <c r="E2321" s="96" t="inlineStr">
        <is>
          <t>Construction &amp; Engineering</t>
        </is>
      </c>
    </row>
    <row r="2322" ht="15" customHeight="1" s="109" thickBot="1">
      <c r="B2322" s="96" t="inlineStr">
        <is>
          <t>LASA SUPERGENERICS LTD</t>
        </is>
      </c>
      <c r="C2322" s="97" t="n">
        <v>540702</v>
      </c>
      <c r="D2322" s="96" t="inlineStr">
        <is>
          <t>LASA</t>
        </is>
      </c>
      <c r="E2322" s="96" t="inlineStr">
        <is>
          <t>Healthcare Services</t>
        </is>
      </c>
    </row>
    <row r="2323" ht="15" customHeight="1" s="109" thickBot="1">
      <c r="B2323" s="96" t="inlineStr">
        <is>
          <t>LASER DIAMONDS LTD</t>
        </is>
      </c>
      <c r="C2323" s="97" t="n">
        <v>531164</v>
      </c>
      <c r="D2323" s="96" t="inlineStr">
        <is>
          <t>Not Listed</t>
        </is>
      </c>
      <c r="E2323" s="96" t="inlineStr">
        <is>
          <t>Other Apparels &amp; Accessories</t>
        </is>
      </c>
    </row>
    <row r="2324" ht="15" customHeight="1" s="109" thickBot="1">
      <c r="B2324" s="96" t="inlineStr">
        <is>
          <t>LATENT LIGHT FINANCE LTD</t>
        </is>
      </c>
      <c r="C2324" s="97" t="n">
        <v>539909</v>
      </c>
      <c r="D2324" s="96" t="inlineStr">
        <is>
          <t>Not Listed</t>
        </is>
      </c>
      <c r="E2324" s="96" t="inlineStr">
        <is>
          <t>Finance (including NBFCs)</t>
        </is>
      </c>
    </row>
    <row r="2325" ht="15" customHeight="1" s="109" thickBot="1">
      <c r="B2325" s="96" t="inlineStr">
        <is>
          <t>LATTEYS INDUSTRIES LTD</t>
        </is>
      </c>
      <c r="C2325" s="96" t="inlineStr">
        <is>
          <t>Not Listed</t>
        </is>
      </c>
      <c r="D2325" s="96" t="inlineStr">
        <is>
          <t>LATTEYS</t>
        </is>
      </c>
      <c r="E2325" s="96" t="inlineStr">
        <is>
          <t>SME</t>
        </is>
      </c>
    </row>
    <row r="2326" ht="15" customHeight="1" s="109" thickBot="1">
      <c r="B2326" s="96" t="inlineStr">
        <is>
          <t>LAURUS LABS LTD</t>
        </is>
      </c>
      <c r="C2326" s="97" t="n">
        <v>540222</v>
      </c>
      <c r="D2326" s="96" t="inlineStr">
        <is>
          <t>LAURUSLABS</t>
        </is>
      </c>
      <c r="E2326" s="96" t="inlineStr">
        <is>
          <t>Pharmaceuticals</t>
        </is>
      </c>
    </row>
    <row r="2327" ht="15" customHeight="1" s="109" thickBot="1">
      <c r="B2327" s="96" t="inlineStr">
        <is>
          <t>LAWRESHWAR POLYMERS LTD</t>
        </is>
      </c>
      <c r="C2327" s="97" t="n">
        <v>532829</v>
      </c>
      <c r="D2327" s="96" t="inlineStr">
        <is>
          <t>Not Listed</t>
        </is>
      </c>
      <c r="E2327" s="96" t="inlineStr">
        <is>
          <t>Footwear</t>
        </is>
      </c>
    </row>
    <row r="2328" ht="15" customHeight="1" s="109" thickBot="1">
      <c r="B2328" s="96" t="inlineStr">
        <is>
          <t>LAXMI COTSPIN LTD</t>
        </is>
      </c>
      <c r="C2328" s="96" t="inlineStr">
        <is>
          <t>Not Listed</t>
        </is>
      </c>
      <c r="D2328" s="96" t="inlineStr">
        <is>
          <t>LAXMICOT</t>
        </is>
      </c>
      <c r="E2328" s="96" t="inlineStr">
        <is>
          <t>SME</t>
        </is>
      </c>
    </row>
    <row r="2329" ht="15" customHeight="1" s="109" thickBot="1">
      <c r="B2329" s="96" t="inlineStr">
        <is>
          <t>LEAD FINANCIAL SERVICES LTD</t>
        </is>
      </c>
      <c r="C2329" s="97" t="n">
        <v>531288</v>
      </c>
      <c r="D2329" s="96" t="inlineStr">
        <is>
          <t>Not Listed</t>
        </is>
      </c>
      <c r="E2329" s="96" t="inlineStr">
        <is>
          <t>Finance (including NBFCs)</t>
        </is>
      </c>
    </row>
    <row r="2330" ht="15" customHeight="1" s="109" thickBot="1">
      <c r="B2330" s="96" t="inlineStr">
        <is>
          <t>LEADING LEASING FINANCE AND INVESTMENT COMPANY LTD</t>
        </is>
      </c>
      <c r="C2330" s="97" t="n">
        <v>540360</v>
      </c>
      <c r="D2330" s="96" t="inlineStr">
        <is>
          <t>Not Listed</t>
        </is>
      </c>
      <c r="E2330" s="96" t="inlineStr">
        <is>
          <t>Other Financial Services</t>
        </is>
      </c>
    </row>
    <row r="2331" ht="15" customHeight="1" s="109" thickBot="1">
      <c r="B2331" s="96" t="inlineStr">
        <is>
          <t>LEDO TEA CO LTD</t>
        </is>
      </c>
      <c r="C2331" s="97" t="n">
        <v>508306</v>
      </c>
      <c r="D2331" s="96" t="inlineStr">
        <is>
          <t>Not Listed</t>
        </is>
      </c>
      <c r="E2331" s="96" t="inlineStr">
        <is>
          <t>Tea &amp; Coffee</t>
        </is>
      </c>
    </row>
    <row r="2332" ht="15" customHeight="1" s="109" thickBot="1">
      <c r="B2332" s="96" t="inlineStr">
        <is>
          <t>LEE &amp; NEE SOFTWARES EXPORTS LTD</t>
        </is>
      </c>
      <c r="C2332" s="97" t="n">
        <v>517415</v>
      </c>
      <c r="D2332" s="96" t="inlineStr">
        <is>
          <t>Not Listed</t>
        </is>
      </c>
      <c r="E2332" s="96" t="inlineStr">
        <is>
          <t>BPO/KPO</t>
        </is>
      </c>
    </row>
    <row r="2333" ht="15" customHeight="1" s="109" thickBot="1">
      <c r="B2333" s="96" t="inlineStr">
        <is>
          <t>LEEL ELECTRICALS LTD</t>
        </is>
      </c>
      <c r="C2333" s="97" t="n">
        <v>517518</v>
      </c>
      <c r="D2333" s="96" t="inlineStr">
        <is>
          <t>LEEL</t>
        </is>
      </c>
      <c r="E2333" s="96" t="inlineStr">
        <is>
          <t>Industrial Machinery</t>
        </is>
      </c>
    </row>
    <row r="2334" ht="15" customHeight="1" s="109" thickBot="1">
      <c r="B2334" s="96" t="inlineStr">
        <is>
          <t>LEENA CONSULTANCY LTD</t>
        </is>
      </c>
      <c r="C2334" s="97" t="n">
        <v>509046</v>
      </c>
      <c r="D2334" s="96" t="inlineStr">
        <is>
          <t>Not Listed</t>
        </is>
      </c>
      <c r="E2334" s="96" t="inlineStr">
        <is>
          <t>Misc.Commercial Services</t>
        </is>
      </c>
    </row>
    <row r="2335" ht="15" customHeight="1" s="109" thickBot="1">
      <c r="B2335" s="96" t="inlineStr">
        <is>
          <t>LEGACY MERCANTILE LTD</t>
        </is>
      </c>
      <c r="C2335" s="97" t="n">
        <v>780021</v>
      </c>
      <c r="D2335" s="96" t="inlineStr">
        <is>
          <t>Not Listed</t>
        </is>
      </c>
      <c r="E2335" s="96" t="inlineStr">
        <is>
          <t>Others</t>
        </is>
      </c>
    </row>
    <row r="2336" ht="15" customHeight="1" s="109" thickBot="1">
      <c r="B2336" s="96" t="inlineStr">
        <is>
          <t>LEMON TREE HOTELS LTD</t>
        </is>
      </c>
      <c r="C2336" s="97" t="n">
        <v>541233</v>
      </c>
      <c r="D2336" s="96" t="inlineStr">
        <is>
          <t>LEMONTREE</t>
        </is>
      </c>
      <c r="E2336" s="96" t="inlineStr">
        <is>
          <t>Hotels</t>
        </is>
      </c>
    </row>
    <row r="2337" ht="15" customHeight="1" s="109" thickBot="1">
      <c r="B2337" s="96" t="inlineStr">
        <is>
          <t>LESHA INDUSTRIES LTD</t>
        </is>
      </c>
      <c r="C2337" s="97" t="n">
        <v>533602</v>
      </c>
      <c r="D2337" s="96" t="inlineStr">
        <is>
          <t>Not Listed</t>
        </is>
      </c>
      <c r="E2337" s="96" t="inlineStr">
        <is>
          <t>Investment Companies</t>
        </is>
      </c>
    </row>
    <row r="2338" ht="15" customHeight="1" s="109" thickBot="1">
      <c r="B2338" s="96" t="inlineStr">
        <is>
          <t>LEX NIMBLE SOLUTIONS LTD</t>
        </is>
      </c>
      <c r="C2338" s="97" t="n">
        <v>541196</v>
      </c>
      <c r="D2338" s="96" t="inlineStr">
        <is>
          <t>Not Listed</t>
        </is>
      </c>
      <c r="E2338" s="96" t="inlineStr">
        <is>
          <t>Consulting Services</t>
        </is>
      </c>
    </row>
    <row r="2339" ht="15" customHeight="1" s="109" thickBot="1">
      <c r="B2339" s="96" t="inlineStr">
        <is>
          <t>LEXUS GRANITO (INDIA) LTD</t>
        </is>
      </c>
      <c r="C2339" s="96" t="inlineStr">
        <is>
          <t>Not Listed</t>
        </is>
      </c>
      <c r="D2339" s="96" t="inlineStr">
        <is>
          <t>LEXUS</t>
        </is>
      </c>
      <c r="E2339" s="96" t="inlineStr">
        <is>
          <t>SME</t>
        </is>
      </c>
    </row>
    <row r="2340" ht="15" customHeight="1" s="109" thickBot="1">
      <c r="B2340" s="96" t="inlineStr">
        <is>
          <t>LEXUS GRANITO INDIA LTD</t>
        </is>
      </c>
      <c r="C2340" s="96" t="inlineStr">
        <is>
          <t>Not Listed</t>
        </is>
      </c>
      <c r="D2340" s="96" t="inlineStr">
        <is>
          <t>LEXUS</t>
        </is>
      </c>
      <c r="E2340" s="96" t="inlineStr">
        <is>
          <t>SME</t>
        </is>
      </c>
    </row>
    <row r="2341" ht="15" customHeight="1" s="109" thickBot="1">
      <c r="B2341" s="96" t="inlineStr">
        <is>
          <t>LG BALAKRISHNAN &amp; BROS LTD</t>
        </is>
      </c>
      <c r="C2341" s="97" t="n">
        <v>500250</v>
      </c>
      <c r="D2341" s="96" t="inlineStr">
        <is>
          <t>LGBBROSLTD</t>
        </is>
      </c>
      <c r="E2341" s="96" t="inlineStr">
        <is>
          <t>Auto Parts &amp; Equipment</t>
        </is>
      </c>
    </row>
    <row r="2342" ht="15" customHeight="1" s="109" thickBot="1">
      <c r="B2342" s="96" t="inlineStr">
        <is>
          <t>LGB FORGE LTD.</t>
        </is>
      </c>
      <c r="C2342" s="97" t="n">
        <v>533007</v>
      </c>
      <c r="D2342" s="96" t="inlineStr">
        <is>
          <t>LGBFORGE</t>
        </is>
      </c>
      <c r="E2342" s="96" t="inlineStr">
        <is>
          <t>Other Industrial Products</t>
        </is>
      </c>
    </row>
    <row r="2343" ht="15" customHeight="1" s="109" thickBot="1">
      <c r="B2343" s="96" t="inlineStr">
        <is>
          <t>LIBAS DESIGNS LTD</t>
        </is>
      </c>
      <c r="C2343" s="96" t="inlineStr">
        <is>
          <t>Not Listed</t>
        </is>
      </c>
      <c r="D2343" s="96" t="inlineStr">
        <is>
          <t>LIBAS</t>
        </is>
      </c>
      <c r="E2343" s="96" t="inlineStr">
        <is>
          <t>SME</t>
        </is>
      </c>
    </row>
    <row r="2344" ht="15" customHeight="1" s="109" thickBot="1">
      <c r="B2344" s="96" t="inlineStr">
        <is>
          <t>LIBERTY SHOES LTD</t>
        </is>
      </c>
      <c r="C2344" s="97" t="n">
        <v>526596</v>
      </c>
      <c r="D2344" s="96" t="inlineStr">
        <is>
          <t>LIBERTSHOE</t>
        </is>
      </c>
      <c r="E2344" s="96" t="inlineStr">
        <is>
          <t>Footwear</t>
        </is>
      </c>
    </row>
    <row r="2345" ht="15" customHeight="1" s="109" thickBot="1">
      <c r="B2345" s="96" t="inlineStr">
        <is>
          <t>LIBORD FINANCE LTD</t>
        </is>
      </c>
      <c r="C2345" s="97" t="n">
        <v>511593</v>
      </c>
      <c r="D2345" s="96" t="inlineStr">
        <is>
          <t>Not Listed</t>
        </is>
      </c>
      <c r="E2345" s="96" t="inlineStr">
        <is>
          <t>Finance (including NBFCs)</t>
        </is>
      </c>
    </row>
    <row r="2346" ht="15" customHeight="1" s="109" thickBot="1">
      <c r="B2346" s="96" t="inlineStr">
        <is>
          <t>LIBORD SECURITIES LTD</t>
        </is>
      </c>
      <c r="C2346" s="97" t="n">
        <v>531027</v>
      </c>
      <c r="D2346" s="96" t="inlineStr">
        <is>
          <t>Not Listed</t>
        </is>
      </c>
      <c r="E2346" s="96" t="inlineStr">
        <is>
          <t>Other Financial Services</t>
        </is>
      </c>
    </row>
    <row r="2347" ht="15" customHeight="1" s="109" thickBot="1">
      <c r="B2347" s="96" t="inlineStr">
        <is>
          <t>LIC HOUSING FINANCE LTD</t>
        </is>
      </c>
      <c r="C2347" s="97" t="n">
        <v>500253</v>
      </c>
      <c r="D2347" s="96" t="inlineStr">
        <is>
          <t>LICHSGFIN</t>
        </is>
      </c>
      <c r="E2347" s="96" t="inlineStr">
        <is>
          <t>Housing Finance</t>
        </is>
      </c>
    </row>
    <row r="2348" ht="15" customHeight="1" s="109" thickBot="1">
      <c r="B2348" s="96" t="inlineStr">
        <is>
          <t>LIKHAMI CONSULTING LTD</t>
        </is>
      </c>
      <c r="C2348" s="97" t="n">
        <v>539927</v>
      </c>
      <c r="D2348" s="96" t="inlineStr">
        <is>
          <t>Not Listed</t>
        </is>
      </c>
      <c r="E2348" s="96" t="inlineStr">
        <is>
          <t>Consulting Services</t>
        </is>
      </c>
    </row>
    <row r="2349" ht="15" customHeight="1" s="109" thickBot="1">
      <c r="B2349" s="96" t="inlineStr">
        <is>
          <t>LIME CHEMICALS LTD</t>
        </is>
      </c>
      <c r="C2349" s="97" t="n">
        <v>507759</v>
      </c>
      <c r="D2349" s="96" t="inlineStr">
        <is>
          <t>Not Listed</t>
        </is>
      </c>
      <c r="E2349" s="96" t="inlineStr">
        <is>
          <t>Commodity Chemicals</t>
        </is>
      </c>
    </row>
    <row r="2350" ht="15" customHeight="1" s="109" thickBot="1">
      <c r="B2350" s="96" t="inlineStr">
        <is>
          <t>LINAKS MICROELECTRONICS LTD.</t>
        </is>
      </c>
      <c r="C2350" s="97" t="n">
        <v>517463</v>
      </c>
      <c r="D2350" s="96" t="inlineStr">
        <is>
          <t>LINAKS</t>
        </is>
      </c>
      <c r="E2350" s="96" t="inlineStr">
        <is>
          <t>Electronic Components</t>
        </is>
      </c>
    </row>
    <row r="2351" ht="15" customHeight="1" s="109" thickBot="1">
      <c r="B2351" s="96" t="inlineStr">
        <is>
          <t>LINC PEN &amp; PLASTICS LTD</t>
        </is>
      </c>
      <c r="C2351" s="97" t="n">
        <v>531241</v>
      </c>
      <c r="D2351" s="96" t="inlineStr">
        <is>
          <t>LINCPEN</t>
        </is>
      </c>
      <c r="E2351" s="96" t="inlineStr">
        <is>
          <t>Non-Durable Household Prod.</t>
        </is>
      </c>
    </row>
    <row r="2352" ht="15" customHeight="1" s="109" thickBot="1">
      <c r="B2352" s="96" t="inlineStr">
        <is>
          <t>LINCOLN PHARMACEUTICALS LTD</t>
        </is>
      </c>
      <c r="C2352" s="97" t="n">
        <v>531633</v>
      </c>
      <c r="D2352" s="96" t="inlineStr">
        <is>
          <t>LINCOLN</t>
        </is>
      </c>
      <c r="E2352" s="96" t="inlineStr">
        <is>
          <t>Pharmaceuticals</t>
        </is>
      </c>
    </row>
    <row r="2353" ht="15" customHeight="1" s="109" thickBot="1">
      <c r="B2353" s="96" t="inlineStr">
        <is>
          <t>LINDE (INDIA) LTD</t>
        </is>
      </c>
      <c r="C2353" s="97" t="n">
        <v>523457</v>
      </c>
      <c r="D2353" s="96" t="inlineStr">
        <is>
          <t>LINDE(INDIA)</t>
        </is>
      </c>
      <c r="E2353" s="96" t="inlineStr">
        <is>
          <t>Industrial Gases</t>
        </is>
      </c>
    </row>
    <row r="2354" ht="15" customHeight="1" s="109" thickBot="1">
      <c r="B2354" s="96" t="inlineStr">
        <is>
          <t>LINDE INDIA LTD</t>
        </is>
      </c>
      <c r="C2354" s="97" t="n">
        <v>523457</v>
      </c>
      <c r="D2354" s="96" t="inlineStr">
        <is>
          <t>LINDEINDIA</t>
        </is>
      </c>
      <c r="E2354" s="96" t="inlineStr">
        <is>
          <t>Industrial Gases</t>
        </is>
      </c>
    </row>
    <row r="2355" ht="15" customHeight="1" s="109" thickBot="1">
      <c r="B2355" s="96" t="inlineStr">
        <is>
          <t>LINK PHARMA CHEM LTD</t>
        </is>
      </c>
      <c r="C2355" s="97" t="n">
        <v>524748</v>
      </c>
      <c r="D2355" s="96" t="inlineStr">
        <is>
          <t>Not Listed</t>
        </is>
      </c>
      <c r="E2355" s="96" t="inlineStr">
        <is>
          <t>Commodity Chemicals</t>
        </is>
      </c>
    </row>
    <row r="2356" ht="15" customHeight="1" s="109" thickBot="1">
      <c r="B2356" s="96" t="inlineStr">
        <is>
          <t>LIPPI SYSTEMS LTD</t>
        </is>
      </c>
      <c r="C2356" s="97" t="n">
        <v>526604</v>
      </c>
      <c r="D2356" s="96" t="inlineStr">
        <is>
          <t>Not Listed</t>
        </is>
      </c>
      <c r="E2356" s="96" t="inlineStr">
        <is>
          <t>Industrial Machinery</t>
        </is>
      </c>
    </row>
    <row r="2357" ht="15" customHeight="1" s="109" thickBot="1">
      <c r="B2357" s="96" t="inlineStr">
        <is>
          <t>LKP FINANCE LTD</t>
        </is>
      </c>
      <c r="C2357" s="97" t="n">
        <v>507912</v>
      </c>
      <c r="D2357" s="96" t="inlineStr">
        <is>
          <t>Not Listed</t>
        </is>
      </c>
      <c r="E2357" s="96" t="inlineStr">
        <is>
          <t>Other Financial Services</t>
        </is>
      </c>
    </row>
    <row r="2358" ht="15" customHeight="1" s="109" thickBot="1">
      <c r="B2358" s="96" t="inlineStr">
        <is>
          <t>LKP SECURITIES LTD</t>
        </is>
      </c>
      <c r="C2358" s="97" t="n">
        <v>540192</v>
      </c>
      <c r="D2358" s="96" t="inlineStr">
        <is>
          <t>Not Listed</t>
        </is>
      </c>
      <c r="E2358" s="96" t="inlineStr">
        <is>
          <t>Other Financial Services</t>
        </is>
      </c>
    </row>
    <row r="2359" ht="15" customHeight="1" s="109" thickBot="1">
      <c r="B2359" s="96" t="inlineStr">
        <is>
          <t>LLOYDS METALS AND ENERGY LTD</t>
        </is>
      </c>
      <c r="C2359" s="97" t="n">
        <v>512455</v>
      </c>
      <c r="D2359" s="96" t="inlineStr">
        <is>
          <t>Not Listed</t>
        </is>
      </c>
      <c r="E2359" s="96" t="inlineStr">
        <is>
          <t>Iron &amp; Steel/Interm.Products</t>
        </is>
      </c>
    </row>
    <row r="2360" ht="15" customHeight="1" s="109" thickBot="1">
      <c r="B2360" s="96" t="inlineStr">
        <is>
          <t>LLOYDS STEELS INDUSTRIES LTD</t>
        </is>
      </c>
      <c r="C2360" s="97" t="n">
        <v>539992</v>
      </c>
      <c r="D2360" s="96" t="inlineStr">
        <is>
          <t>LSIL</t>
        </is>
      </c>
      <c r="E2360" s="96" t="inlineStr">
        <is>
          <t>Industrial Machinery</t>
        </is>
      </c>
    </row>
    <row r="2361" ht="15" customHeight="1" s="109" thickBot="1">
      <c r="B2361" s="96" t="inlineStr">
        <is>
          <t>LOHIA SECURITIES LTD</t>
        </is>
      </c>
      <c r="C2361" s="97" t="n">
        <v>590082</v>
      </c>
      <c r="D2361" s="96" t="inlineStr">
        <is>
          <t>Not Listed</t>
        </is>
      </c>
      <c r="E2361" s="96" t="inlineStr">
        <is>
          <t>Other Financial Services</t>
        </is>
      </c>
    </row>
    <row r="2362" ht="15" customHeight="1" s="109" thickBot="1">
      <c r="B2362" s="96" t="inlineStr">
        <is>
          <t>LOKESH MACHINES LTD</t>
        </is>
      </c>
      <c r="C2362" s="97" t="n">
        <v>532740</v>
      </c>
      <c r="D2362" s="96" t="inlineStr">
        <is>
          <t>LOKESHMACH</t>
        </is>
      </c>
      <c r="E2362" s="96" t="inlineStr">
        <is>
          <t>Industrial Machinery</t>
        </is>
      </c>
    </row>
    <row r="2363" ht="15" customHeight="1" s="109" thickBot="1">
      <c r="B2363" s="96" t="inlineStr">
        <is>
          <t>LONGVIEW TEA COMPANY LTD</t>
        </is>
      </c>
      <c r="C2363" s="97" t="n">
        <v>526568</v>
      </c>
      <c r="D2363" s="96" t="inlineStr">
        <is>
          <t>Not Listed</t>
        </is>
      </c>
      <c r="E2363" s="96" t="inlineStr">
        <is>
          <t>Tea &amp; Coffee</t>
        </is>
      </c>
    </row>
    <row r="2364" ht="15" customHeight="1" s="109" thickBot="1">
      <c r="B2364" s="96" t="inlineStr">
        <is>
          <t>LOOKS HEALTH SERVICES LTD</t>
        </is>
      </c>
      <c r="C2364" s="97" t="n">
        <v>534422</v>
      </c>
      <c r="D2364" s="96" t="inlineStr">
        <is>
          <t>Not Listed</t>
        </is>
      </c>
      <c r="E2364" s="96" t="inlineStr">
        <is>
          <t>Healthcare Facilities</t>
        </is>
      </c>
    </row>
    <row r="2365" ht="15" customHeight="1" s="109" thickBot="1">
      <c r="B2365" s="96" t="inlineStr">
        <is>
          <t>LORDS CHLORO ALKALI LTD</t>
        </is>
      </c>
      <c r="C2365" s="97" t="n">
        <v>500284</v>
      </c>
      <c r="D2365" s="96" t="inlineStr">
        <is>
          <t>Not Listed</t>
        </is>
      </c>
      <c r="E2365" s="96" t="inlineStr">
        <is>
          <t>Commodity Chemicals</t>
        </is>
      </c>
    </row>
    <row r="2366" ht="15" customHeight="1" s="109" thickBot="1">
      <c r="B2366" s="96" t="inlineStr">
        <is>
          <t>LORDS ISHWAR HOTELS LTD</t>
        </is>
      </c>
      <c r="C2366" s="97" t="n">
        <v>530065</v>
      </c>
      <c r="D2366" s="96" t="inlineStr">
        <is>
          <t>Not Listed</t>
        </is>
      </c>
      <c r="E2366" s="96" t="inlineStr">
        <is>
          <t>Hotels</t>
        </is>
      </c>
    </row>
    <row r="2367" ht="15" customHeight="1" s="109" thickBot="1">
      <c r="B2367" s="96" t="inlineStr">
        <is>
          <t>LORENZINI APPARELS LTD</t>
        </is>
      </c>
      <c r="C2367" s="97" t="n">
        <v>540952</v>
      </c>
      <c r="D2367" s="96" t="inlineStr">
        <is>
          <t>Not Listed</t>
        </is>
      </c>
      <c r="E2367" s="96" t="inlineStr">
        <is>
          <t>Other Apparels &amp; Accessories</t>
        </is>
      </c>
    </row>
    <row r="2368" ht="15" customHeight="1" s="109" thickBot="1">
      <c r="B2368" s="96" t="inlineStr">
        <is>
          <t>LOTUS CHOCOLATE CO LTD</t>
        </is>
      </c>
      <c r="C2368" s="97" t="n">
        <v>523475</v>
      </c>
      <c r="D2368" s="96" t="inlineStr">
        <is>
          <t>Not Listed</t>
        </is>
      </c>
      <c r="E2368" s="96" t="inlineStr">
        <is>
          <t>Packaged Foods</t>
        </is>
      </c>
    </row>
    <row r="2369" ht="15" customHeight="1" s="109" thickBot="1">
      <c r="B2369" s="96" t="inlineStr">
        <is>
          <t>LOTUS EYE HOSPITAL AND INSTITUTE LTD</t>
        </is>
      </c>
      <c r="C2369" s="97" t="n">
        <v>532998</v>
      </c>
      <c r="D2369" s="96" t="inlineStr">
        <is>
          <t>LOTUSEYE</t>
        </is>
      </c>
      <c r="E2369" s="96" t="inlineStr">
        <is>
          <t>Healthcare Facilities</t>
        </is>
      </c>
    </row>
    <row r="2370" ht="15" customHeight="1" s="109" thickBot="1">
      <c r="B2370" s="96" t="inlineStr">
        <is>
          <t>LOVABLE LINGERIE LTD</t>
        </is>
      </c>
      <c r="C2370" s="97" t="n">
        <v>533343</v>
      </c>
      <c r="D2370" s="96" t="inlineStr">
        <is>
          <t>LOVABLE</t>
        </is>
      </c>
      <c r="E2370" s="96" t="inlineStr">
        <is>
          <t>Other Apparels &amp; Accessories</t>
        </is>
      </c>
    </row>
    <row r="2371" ht="15" customHeight="1" s="109" thickBot="1">
      <c r="B2371" s="96" t="inlineStr">
        <is>
          <t>LOYAL EQUIPMENTS LTD</t>
        </is>
      </c>
      <c r="C2371" s="97" t="n">
        <v>539227</v>
      </c>
      <c r="D2371" s="96" t="inlineStr">
        <is>
          <t>Not Listed</t>
        </is>
      </c>
      <c r="E2371" s="96" t="inlineStr">
        <is>
          <t>Industrial Machinery</t>
        </is>
      </c>
    </row>
    <row r="2372" ht="15" customHeight="1" s="109" thickBot="1">
      <c r="B2372" s="96" t="inlineStr">
        <is>
          <t>LOYAL TEXTILE MILLS LTD</t>
        </is>
      </c>
      <c r="C2372" s="97" t="n">
        <v>514036</v>
      </c>
      <c r="D2372" s="96" t="inlineStr">
        <is>
          <t>Not Listed</t>
        </is>
      </c>
      <c r="E2372" s="96" t="inlineStr">
        <is>
          <t>Textiles</t>
        </is>
      </c>
    </row>
    <row r="2373" ht="15" customHeight="1" s="109" thickBot="1">
      <c r="B2373" s="96" t="inlineStr">
        <is>
          <t>LT FOODS LTD</t>
        </is>
      </c>
      <c r="C2373" s="97" t="n">
        <v>532783</v>
      </c>
      <c r="D2373" s="96" t="inlineStr">
        <is>
          <t>DAAWAT</t>
        </is>
      </c>
      <c r="E2373" s="96" t="inlineStr">
        <is>
          <t>Packaged Foods</t>
        </is>
      </c>
    </row>
    <row r="2374" ht="15" customHeight="1" s="109" thickBot="1">
      <c r="B2374" s="96" t="inlineStr">
        <is>
          <t>LUDLOW JUTE &amp; SPECIALITIES LTD</t>
        </is>
      </c>
      <c r="C2374" s="97" t="n">
        <v>526179</v>
      </c>
      <c r="D2374" s="96" t="inlineStr">
        <is>
          <t>Not Listed</t>
        </is>
      </c>
      <c r="E2374" s="96" t="inlineStr">
        <is>
          <t>Jute &amp; Jute Products</t>
        </is>
      </c>
    </row>
    <row r="2375" ht="15" customHeight="1" s="109" thickBot="1">
      <c r="B2375" s="96" t="inlineStr">
        <is>
          <t>LUHARUKA MEDIA &amp; INFRA LTD</t>
        </is>
      </c>
      <c r="C2375" s="97" t="n">
        <v>512048</v>
      </c>
      <c r="D2375" s="96" t="inlineStr">
        <is>
          <t>Not Listed</t>
        </is>
      </c>
      <c r="E2375" s="96" t="inlineStr">
        <is>
          <t>Realty</t>
        </is>
      </c>
    </row>
    <row r="2376" ht="15" customHeight="1" s="109" thickBot="1">
      <c r="B2376" s="96" t="inlineStr">
        <is>
          <t>LUMAX AUTO TECHNOLOGIES LTD</t>
        </is>
      </c>
      <c r="C2376" s="97" t="n">
        <v>532796</v>
      </c>
      <c r="D2376" s="96" t="inlineStr">
        <is>
          <t>LUMAXTECH</t>
        </is>
      </c>
      <c r="E2376" s="96" t="inlineStr">
        <is>
          <t>Auto Parts &amp; Equipment</t>
        </is>
      </c>
    </row>
    <row r="2377" ht="15" customHeight="1" s="109" thickBot="1">
      <c r="B2377" s="96" t="inlineStr">
        <is>
          <t>LUMAX INDUSTRIES LTD</t>
        </is>
      </c>
      <c r="C2377" s="97" t="n">
        <v>517206</v>
      </c>
      <c r="D2377" s="96" t="inlineStr">
        <is>
          <t>LUMAXIND</t>
        </is>
      </c>
      <c r="E2377" s="96" t="inlineStr">
        <is>
          <t>Auto Parts &amp; Equipment</t>
        </is>
      </c>
    </row>
    <row r="2378" ht="15" customHeight="1" s="109" thickBot="1">
      <c r="B2378" s="96" t="inlineStr">
        <is>
          <t>LUPIN LTD</t>
        </is>
      </c>
      <c r="C2378" s="97" t="n">
        <v>500257</v>
      </c>
      <c r="D2378" s="96" t="inlineStr">
        <is>
          <t>LUPIN</t>
        </is>
      </c>
      <c r="E2378" s="96" t="inlineStr">
        <is>
          <t>Pharmaceuticals</t>
        </is>
      </c>
    </row>
    <row r="2379" ht="15" customHeight="1" s="109" thickBot="1">
      <c r="B2379" s="96" t="inlineStr">
        <is>
          <t>LUX INDUSTRIES LTD</t>
        </is>
      </c>
      <c r="C2379" s="97" t="n">
        <v>539542</v>
      </c>
      <c r="D2379" s="96" t="inlineStr">
        <is>
          <t>LUXIND</t>
        </is>
      </c>
      <c r="E2379" s="96" t="inlineStr">
        <is>
          <t>Other Apparels &amp; Accessories</t>
        </is>
      </c>
    </row>
    <row r="2380" ht="15" customHeight="1" s="109" thickBot="1">
      <c r="B2380" s="96" t="inlineStr">
        <is>
          <t>LWS KNITWEAR LTD</t>
        </is>
      </c>
      <c r="C2380" s="97" t="n">
        <v>531402</v>
      </c>
      <c r="D2380" s="96" t="inlineStr">
        <is>
          <t>Not Listed</t>
        </is>
      </c>
      <c r="E2380" s="96" t="inlineStr">
        <is>
          <t>Comm.Trading &amp; Distribution</t>
        </is>
      </c>
    </row>
    <row r="2381" ht="15" customHeight="1" s="109" thickBot="1">
      <c r="B2381" s="96" t="inlineStr">
        <is>
          <t>LYKA LABS LTD</t>
        </is>
      </c>
      <c r="C2381" s="97" t="n">
        <v>500259</v>
      </c>
      <c r="D2381" s="96" t="inlineStr">
        <is>
          <t>LYKALABS</t>
        </is>
      </c>
      <c r="E2381" s="96" t="inlineStr">
        <is>
          <t>Pharmaceuticals</t>
        </is>
      </c>
    </row>
    <row r="2382" ht="15" customHeight="1" s="109" thickBot="1">
      <c r="B2382" s="96" t="inlineStr">
        <is>
          <t>LYKIS LTD</t>
        </is>
      </c>
      <c r="C2382" s="97" t="n">
        <v>530689</v>
      </c>
      <c r="D2382" s="96" t="inlineStr">
        <is>
          <t>Not Listed</t>
        </is>
      </c>
      <c r="E2382" s="96" t="inlineStr">
        <is>
          <t>Personal Products</t>
        </is>
      </c>
    </row>
    <row r="2383" ht="15" customHeight="1" s="109" thickBot="1">
      <c r="B2383" s="96" t="inlineStr">
        <is>
          <t>LYNX MACHINERY &amp; COMMERCIALS LTD</t>
        </is>
      </c>
      <c r="C2383" s="97" t="n">
        <v>505320</v>
      </c>
      <c r="D2383" s="96" t="inlineStr">
        <is>
          <t>Not Listed</t>
        </is>
      </c>
      <c r="E2383" s="96" t="inlineStr">
        <is>
          <t>Industrial Machinery</t>
        </is>
      </c>
    </row>
    <row r="2384" ht="15" customHeight="1" s="109" thickBot="1">
      <c r="B2384" s="96" t="inlineStr">
        <is>
          <t>LYPSA GEMS &amp; JEWELLERY LTD</t>
        </is>
      </c>
      <c r="C2384" s="97" t="n">
        <v>534532</v>
      </c>
      <c r="D2384" s="96" t="inlineStr">
        <is>
          <t>LYPSAGEMS</t>
        </is>
      </c>
      <c r="E2384" s="96" t="inlineStr">
        <is>
          <t>Other Apparels &amp; Accessories</t>
        </is>
      </c>
    </row>
    <row r="2385" ht="15" customHeight="1" s="109" thickBot="1">
      <c r="B2385" s="96" t="inlineStr">
        <is>
          <t>M B PARIKH FINSTOCKS LTD</t>
        </is>
      </c>
      <c r="C2385" s="97" t="n">
        <v>526935</v>
      </c>
      <c r="D2385" s="96" t="inlineStr">
        <is>
          <t>Not Listed</t>
        </is>
      </c>
      <c r="E2385" s="96" t="inlineStr">
        <is>
          <t>Other Financial Services</t>
        </is>
      </c>
    </row>
    <row r="2386" ht="15" customHeight="1" s="109" thickBot="1">
      <c r="B2386" s="96" t="inlineStr">
        <is>
          <t>M K EXIM (INDIA) LTD</t>
        </is>
      </c>
      <c r="C2386" s="97" t="n">
        <v>538890</v>
      </c>
      <c r="D2386" s="96" t="inlineStr">
        <is>
          <t>Not Listed</t>
        </is>
      </c>
      <c r="E2386" s="96" t="inlineStr">
        <is>
          <t>Textiles</t>
        </is>
      </c>
    </row>
    <row r="2387" ht="15" customHeight="1" s="109" thickBot="1">
      <c r="B2387" s="96" t="inlineStr">
        <is>
          <t>M K EXIM INDIA LTD</t>
        </is>
      </c>
      <c r="C2387" s="97" t="n">
        <v>538890</v>
      </c>
      <c r="D2387" s="96" t="inlineStr">
        <is>
          <t>Not Listed</t>
        </is>
      </c>
      <c r="E2387" s="96" t="inlineStr">
        <is>
          <t>Textiles</t>
        </is>
      </c>
    </row>
    <row r="2388" ht="15" customHeight="1" s="109" thickBot="1">
      <c r="B2388" s="96" t="inlineStr">
        <is>
          <t>M K PROTEINS LTD</t>
        </is>
      </c>
      <c r="C2388" s="96" t="inlineStr">
        <is>
          <t>Not Listed</t>
        </is>
      </c>
      <c r="D2388" s="96" t="inlineStr">
        <is>
          <t>MKPL</t>
        </is>
      </c>
      <c r="E2388" s="96" t="inlineStr">
        <is>
          <t>SME</t>
        </is>
      </c>
    </row>
    <row r="2389" ht="15" customHeight="1" s="109" thickBot="1">
      <c r="B2389" s="96" t="inlineStr">
        <is>
          <t>M P AGRO INDUSTRIES LTD</t>
        </is>
      </c>
      <c r="C2389" s="97" t="n">
        <v>506543</v>
      </c>
      <c r="D2389" s="96" t="inlineStr">
        <is>
          <t>Not Listed</t>
        </is>
      </c>
      <c r="E2389" s="96" t="inlineStr">
        <is>
          <t>Fertilizers</t>
        </is>
      </c>
    </row>
    <row r="2390" ht="15" customHeight="1" s="109" thickBot="1">
      <c r="B2390" s="96" t="inlineStr">
        <is>
          <t>MAAN ALUMINIUM LTD</t>
        </is>
      </c>
      <c r="C2390" s="97" t="n">
        <v>532906</v>
      </c>
      <c r="D2390" s="96" t="inlineStr">
        <is>
          <t>MAANALU</t>
        </is>
      </c>
      <c r="E2390" s="96" t="inlineStr">
        <is>
          <t>Construction &amp; Engineering</t>
        </is>
      </c>
    </row>
    <row r="2391" ht="15" customHeight="1" s="109" thickBot="1">
      <c r="B2391" s="96" t="inlineStr">
        <is>
          <t>MAC CHARLES (INDIA) LTD</t>
        </is>
      </c>
      <c r="C2391" s="97" t="n">
        <v>507836</v>
      </c>
      <c r="D2391" s="96" t="inlineStr">
        <is>
          <t>Not Listed</t>
        </is>
      </c>
      <c r="E2391" s="96" t="inlineStr">
        <is>
          <t>Hotels</t>
        </is>
      </c>
    </row>
    <row r="2392" ht="15" customHeight="1" s="109" thickBot="1">
      <c r="B2392" s="96" t="inlineStr">
        <is>
          <t>MAC CHARLES INDIA LTD</t>
        </is>
      </c>
      <c r="C2392" s="97" t="n">
        <v>507836</v>
      </c>
      <c r="D2392" s="96" t="inlineStr">
        <is>
          <t>Not Listed</t>
        </is>
      </c>
      <c r="E2392" s="96" t="inlineStr">
        <is>
          <t>Hotels</t>
        </is>
      </c>
    </row>
    <row r="2393" ht="15" customHeight="1" s="109" thickBot="1">
      <c r="B2393" s="96" t="inlineStr">
        <is>
          <t>MAC HOTELS LTD</t>
        </is>
      </c>
      <c r="C2393" s="97" t="n">
        <v>541973</v>
      </c>
      <c r="D2393" s="96" t="inlineStr">
        <is>
          <t>Not Listed</t>
        </is>
      </c>
      <c r="E2393" s="96" t="inlineStr">
        <is>
          <t>Hotels</t>
        </is>
      </c>
    </row>
    <row r="2394" ht="15" customHeight="1" s="109" thickBot="1">
      <c r="B2394" s="96" t="inlineStr">
        <is>
          <t>MACHINO PLASTICS LTD</t>
        </is>
      </c>
      <c r="C2394" s="97" t="n">
        <v>523248</v>
      </c>
      <c r="D2394" s="96" t="inlineStr">
        <is>
          <t>Not Listed</t>
        </is>
      </c>
      <c r="E2394" s="96" t="inlineStr">
        <is>
          <t>Plastic Products</t>
        </is>
      </c>
    </row>
    <row r="2395" ht="15" customHeight="1" s="109" thickBot="1">
      <c r="B2395" s="96" t="inlineStr">
        <is>
          <t>MACK TRADING CO LTD</t>
        </is>
      </c>
      <c r="C2395" s="97" t="n">
        <v>501471</v>
      </c>
      <c r="D2395" s="96" t="inlineStr">
        <is>
          <t>Not Listed</t>
        </is>
      </c>
      <c r="E2395" s="96" t="inlineStr">
        <is>
          <t>Comm.Trading &amp; Distribution</t>
        </is>
      </c>
    </row>
    <row r="2396" ht="15" customHeight="1" s="109" thickBot="1">
      <c r="B2396" s="96" t="inlineStr">
        <is>
          <t>MACPOWER CNC MACHINES LTD</t>
        </is>
      </c>
      <c r="C2396" s="96" t="inlineStr">
        <is>
          <t>Not Listed</t>
        </is>
      </c>
      <c r="D2396" s="96" t="inlineStr">
        <is>
          <t>MACPOWER</t>
        </is>
      </c>
      <c r="E2396" s="96" t="inlineStr">
        <is>
          <t>SME</t>
        </is>
      </c>
    </row>
    <row r="2397" ht="15" customHeight="1" s="109" thickBot="1">
      <c r="B2397" s="96" t="inlineStr">
        <is>
          <t>MACRO INTERNATIONAL EXPORTS LTD</t>
        </is>
      </c>
      <c r="C2397" s="97" t="n">
        <v>512600</v>
      </c>
      <c r="D2397" s="96" t="inlineStr">
        <is>
          <t>Not Listed</t>
        </is>
      </c>
      <c r="E2397" s="96" t="inlineStr">
        <is>
          <t>Comm.Trading &amp; Distribution</t>
        </is>
      </c>
    </row>
    <row r="2398" ht="15" customHeight="1" s="109" thickBot="1">
      <c r="B2398" s="96" t="inlineStr">
        <is>
          <t>MADHAV COPPER LTD</t>
        </is>
      </c>
      <c r="C2398" s="96" t="inlineStr">
        <is>
          <t>Not Listed</t>
        </is>
      </c>
      <c r="D2398" s="96" t="inlineStr">
        <is>
          <t>MCL</t>
        </is>
      </c>
      <c r="E2398" s="96" t="inlineStr">
        <is>
          <t>SME</t>
        </is>
      </c>
    </row>
    <row r="2399" ht="15" customHeight="1" s="109" thickBot="1">
      <c r="B2399" s="96" t="inlineStr">
        <is>
          <t>MADHAV INFRA PROJECTS LTD</t>
        </is>
      </c>
      <c r="C2399" s="97" t="n">
        <v>539894</v>
      </c>
      <c r="D2399" s="96" t="inlineStr">
        <is>
          <t>Not Listed</t>
        </is>
      </c>
      <c r="E2399" s="96" t="inlineStr">
        <is>
          <t>Construction &amp; Engineering</t>
        </is>
      </c>
    </row>
    <row r="2400" ht="15" customHeight="1" s="109" thickBot="1">
      <c r="B2400" s="96" t="inlineStr">
        <is>
          <t>MADHAV MARBLES AND GRANITES LTD</t>
        </is>
      </c>
      <c r="C2400" s="97" t="n">
        <v>515093</v>
      </c>
      <c r="D2400" s="96" t="inlineStr">
        <is>
          <t>MADHAV</t>
        </is>
      </c>
      <c r="E2400" s="96" t="inlineStr">
        <is>
          <t>Construction Materials</t>
        </is>
      </c>
    </row>
    <row r="2401" ht="15" customHeight="1" s="109" thickBot="1">
      <c r="B2401" s="96" t="inlineStr">
        <is>
          <t>MADHUBAN CONSTRUCTIONS LTD</t>
        </is>
      </c>
      <c r="C2401" s="97" t="n">
        <v>780009</v>
      </c>
      <c r="D2401" s="96" t="inlineStr">
        <is>
          <t>Not Listed</t>
        </is>
      </c>
      <c r="E2401" s="96" t="inlineStr">
        <is>
          <t>Others</t>
        </is>
      </c>
    </row>
    <row r="2402" ht="15" customHeight="1" s="109" thickBot="1">
      <c r="B2402" s="96" t="inlineStr">
        <is>
          <t>MADHUCON PROJECTS LTD</t>
        </is>
      </c>
      <c r="C2402" s="97" t="n">
        <v>531497</v>
      </c>
      <c r="D2402" s="96" t="inlineStr">
        <is>
          <t>MADHUCON</t>
        </is>
      </c>
      <c r="E2402" s="96" t="inlineStr">
        <is>
          <t>Construction &amp; Engineering</t>
        </is>
      </c>
    </row>
    <row r="2403" ht="15" customHeight="1" s="109" thickBot="1">
      <c r="B2403" s="96" t="inlineStr">
        <is>
          <t>MADHUR INDUSTRIES LTD</t>
        </is>
      </c>
      <c r="C2403" s="97" t="n">
        <v>519279</v>
      </c>
      <c r="D2403" s="96" t="inlineStr">
        <is>
          <t>Not Listed</t>
        </is>
      </c>
      <c r="E2403" s="96" t="inlineStr">
        <is>
          <t>Other Agricultural Products</t>
        </is>
      </c>
    </row>
    <row r="2404" ht="15" customHeight="1" s="109" thickBot="1">
      <c r="B2404" s="96" t="inlineStr">
        <is>
          <t>MADHUSUDAN INDUSTRIES LTD</t>
        </is>
      </c>
      <c r="C2404" s="97" t="n">
        <v>515059</v>
      </c>
      <c r="D2404" s="96" t="inlineStr">
        <is>
          <t>Not Listed</t>
        </is>
      </c>
      <c r="E2404" s="96" t="inlineStr">
        <is>
          <t>Edible Oils</t>
        </is>
      </c>
    </row>
    <row r="2405" ht="15" customHeight="1" s="109" thickBot="1">
      <c r="B2405" s="96" t="inlineStr">
        <is>
          <t>MADHUSUDAN SECURITIES LTD</t>
        </is>
      </c>
      <c r="C2405" s="97" t="n">
        <v>511000</v>
      </c>
      <c r="D2405" s="96" t="inlineStr">
        <is>
          <t>Not Listed</t>
        </is>
      </c>
      <c r="E2405" s="96" t="inlineStr">
        <is>
          <t>Finance (including NBFCs)</t>
        </is>
      </c>
    </row>
    <row r="2406" ht="15" customHeight="1" s="109" thickBot="1">
      <c r="B2406" s="96" t="inlineStr">
        <is>
          <t>MADHUVEER COM 18 NETWORK LTD</t>
        </is>
      </c>
      <c r="C2406" s="97" t="n">
        <v>531910</v>
      </c>
      <c r="D2406" s="96" t="inlineStr">
        <is>
          <t>Not Listed</t>
        </is>
      </c>
      <c r="E2406" s="96" t="inlineStr">
        <is>
          <t>Pharmaceuticals</t>
        </is>
      </c>
    </row>
    <row r="2407" ht="15" customHeight="1" s="109" thickBot="1">
      <c r="B2407" s="96" t="inlineStr">
        <is>
          <t>MADHYA BHARAT AGRO PRODUCTS LTD</t>
        </is>
      </c>
      <c r="C2407" s="96" t="inlineStr">
        <is>
          <t>Not Listed</t>
        </is>
      </c>
      <c r="D2407" s="96" t="inlineStr">
        <is>
          <t>MBAPL</t>
        </is>
      </c>
      <c r="E2407" s="96" t="inlineStr">
        <is>
          <t>SME</t>
        </is>
      </c>
    </row>
    <row r="2408" ht="15" customHeight="1" s="109" thickBot="1">
      <c r="B2408" s="96" t="inlineStr">
        <is>
          <t>MADHYA PRADESH TODAY MEDIA LTD</t>
        </is>
      </c>
      <c r="C2408" s="96" t="inlineStr">
        <is>
          <t>Not Listed</t>
        </is>
      </c>
      <c r="D2408" s="96" t="inlineStr">
        <is>
          <t>MPTODAY</t>
        </is>
      </c>
      <c r="E2408" s="96" t="inlineStr">
        <is>
          <t>SME</t>
        </is>
      </c>
    </row>
    <row r="2409" ht="15" customHeight="1" s="109" thickBot="1">
      <c r="B2409" s="96" t="inlineStr">
        <is>
          <t>MADRAS FERTILIZERS LTD</t>
        </is>
      </c>
      <c r="C2409" s="97" t="n">
        <v>590134</v>
      </c>
      <c r="D2409" s="96" t="inlineStr">
        <is>
          <t>MADRASFERT</t>
        </is>
      </c>
      <c r="E2409" s="96" t="inlineStr">
        <is>
          <t>Fertilizers</t>
        </is>
      </c>
    </row>
    <row r="2410" ht="15" customHeight="1" s="109" thickBot="1">
      <c r="B2410" s="96" t="inlineStr">
        <is>
          <t>MAESTROS ELECTRONICS &amp; TELECOMMUNICATIONS SYSTEMS LTD</t>
        </is>
      </c>
      <c r="C2410" s="97" t="n">
        <v>538401</v>
      </c>
      <c r="D2410" s="96" t="inlineStr">
        <is>
          <t>Not Listed</t>
        </is>
      </c>
      <c r="E2410" s="96" t="inlineStr">
        <is>
          <t>Electronic Components</t>
        </is>
      </c>
    </row>
    <row r="2411" ht="15" customHeight="1" s="109" thickBot="1">
      <c r="B2411" s="96" t="inlineStr">
        <is>
          <t>MAFATLAL INDUSTRIES LTD</t>
        </is>
      </c>
      <c r="C2411" s="97" t="n">
        <v>500264</v>
      </c>
      <c r="D2411" s="96" t="inlineStr">
        <is>
          <t>Not Listed</t>
        </is>
      </c>
      <c r="E2411" s="96" t="inlineStr">
        <is>
          <t>Textiles</t>
        </is>
      </c>
    </row>
    <row r="2412" ht="15" customHeight="1" s="109" thickBot="1">
      <c r="B2412" s="96" t="inlineStr">
        <is>
          <t>MAGADH SUGAR &amp; ENERGY LTD</t>
        </is>
      </c>
      <c r="C2412" s="97" t="n">
        <v>540650</v>
      </c>
      <c r="D2412" s="96" t="inlineStr">
        <is>
          <t>MAGADSUGAR</t>
        </is>
      </c>
      <c r="E2412" s="96" t="inlineStr">
        <is>
          <t>Sugar</t>
        </is>
      </c>
    </row>
    <row r="2413" ht="15" customHeight="1" s="109" thickBot="1">
      <c r="B2413" s="96" t="inlineStr">
        <is>
          <t>MAGMA FINCORP LTD</t>
        </is>
      </c>
      <c r="C2413" s="97" t="n">
        <v>524000</v>
      </c>
      <c r="D2413" s="96" t="inlineStr">
        <is>
          <t>MAGMA</t>
        </is>
      </c>
      <c r="E2413" s="96" t="inlineStr">
        <is>
          <t>Finance (including NBFCs)</t>
        </is>
      </c>
    </row>
    <row r="2414" ht="15" customHeight="1" s="109" thickBot="1">
      <c r="B2414" s="96" t="inlineStr">
        <is>
          <t>MAGNA ELECTRO CASTINGS LTD</t>
        </is>
      </c>
      <c r="C2414" s="97" t="n">
        <v>517449</v>
      </c>
      <c r="D2414" s="96" t="inlineStr">
        <is>
          <t>Not Listed</t>
        </is>
      </c>
      <c r="E2414" s="96" t="inlineStr">
        <is>
          <t>Other Industrial Products</t>
        </is>
      </c>
    </row>
    <row r="2415" ht="15" customHeight="1" s="109" thickBot="1">
      <c r="B2415" s="96" t="inlineStr">
        <is>
          <t>MAGNANIMOUS TRADE &amp; FINANCE LTD</t>
        </is>
      </c>
      <c r="C2415" s="97" t="n">
        <v>512377</v>
      </c>
      <c r="D2415" s="96" t="inlineStr">
        <is>
          <t>Not Listed</t>
        </is>
      </c>
      <c r="E2415" s="96" t="inlineStr">
        <is>
          <t>Misc.Commercial Services</t>
        </is>
      </c>
    </row>
    <row r="2416" ht="15" customHeight="1" s="109" thickBot="1">
      <c r="B2416" s="96" t="inlineStr">
        <is>
          <t>MAGNUM VENTURES LTD</t>
        </is>
      </c>
      <c r="C2416" s="97" t="n">
        <v>532896</v>
      </c>
      <c r="D2416" s="96" t="inlineStr">
        <is>
          <t>MAGNUM</t>
        </is>
      </c>
      <c r="E2416" s="96" t="inlineStr">
        <is>
          <t>Paper &amp; Paper Products</t>
        </is>
      </c>
    </row>
    <row r="2417" ht="15" customHeight="1" s="109" thickBot="1">
      <c r="B2417" s="96" t="inlineStr">
        <is>
          <t>MAHA RASHTRA APEX CORPORATION LTD</t>
        </is>
      </c>
      <c r="C2417" s="97" t="n">
        <v>523384</v>
      </c>
      <c r="D2417" s="96" t="inlineStr">
        <is>
          <t>MAHAPEXLTD</t>
        </is>
      </c>
      <c r="E2417" s="96" t="inlineStr">
        <is>
          <t>Finance (including NBFCs)</t>
        </is>
      </c>
    </row>
    <row r="2418" ht="15" customHeight="1" s="109" thickBot="1">
      <c r="B2418" s="96" t="inlineStr">
        <is>
          <t>MAHAAN FOODS LTD</t>
        </is>
      </c>
      <c r="C2418" s="97" t="n">
        <v>519612</v>
      </c>
      <c r="D2418" s="96" t="inlineStr">
        <is>
          <t>Not Listed</t>
        </is>
      </c>
      <c r="E2418" s="96" t="inlineStr">
        <is>
          <t>Packaged Foods</t>
        </is>
      </c>
    </row>
    <row r="2419" ht="15" customHeight="1" s="109" thickBot="1">
      <c r="B2419" s="96" t="inlineStr">
        <is>
          <t>MAHALAXMI RUBTECH LTD</t>
        </is>
      </c>
      <c r="C2419" s="97" t="n">
        <v>514450</v>
      </c>
      <c r="D2419" s="96" t="inlineStr">
        <is>
          <t>Not Listed</t>
        </is>
      </c>
      <c r="E2419" s="96" t="inlineStr">
        <is>
          <t>Other Industrial Products</t>
        </is>
      </c>
    </row>
    <row r="2420" ht="15" customHeight="1" s="109" thickBot="1">
      <c r="B2420" s="96" t="inlineStr">
        <is>
          <t>MAHALAXMI SEAMLESS LTD</t>
        </is>
      </c>
      <c r="C2420" s="97" t="n">
        <v>513460</v>
      </c>
      <c r="D2420" s="96" t="inlineStr">
        <is>
          <t>Not Listed</t>
        </is>
      </c>
      <c r="E2420" s="96" t="inlineStr">
        <is>
          <t>Iron &amp; Steel Products</t>
        </is>
      </c>
    </row>
    <row r="2421" ht="15" customHeight="1" s="109" thickBot="1">
      <c r="B2421" s="96" t="inlineStr">
        <is>
          <t>MAHAMAYA STEEL INDUSTRIES LTD</t>
        </is>
      </c>
      <c r="C2421" s="97" t="n">
        <v>513554</v>
      </c>
      <c r="D2421" s="96" t="inlineStr">
        <is>
          <t>MAHASTEEL</t>
        </is>
      </c>
      <c r="E2421" s="96" t="inlineStr">
        <is>
          <t>Iron &amp; Steel Products</t>
        </is>
      </c>
    </row>
    <row r="2422" ht="15" customHeight="1" s="109" thickBot="1">
      <c r="B2422" s="96" t="inlineStr">
        <is>
          <t>MAHAN INDUSTRIES LTD</t>
        </is>
      </c>
      <c r="C2422" s="97" t="n">
        <v>531515</v>
      </c>
      <c r="D2422" s="96" t="inlineStr">
        <is>
          <t>Not Listed</t>
        </is>
      </c>
      <c r="E2422" s="96" t="inlineStr">
        <is>
          <t>Comm.Trading &amp; Distribution</t>
        </is>
      </c>
    </row>
    <row r="2423" ht="15" customHeight="1" s="109" thickBot="1">
      <c r="B2423" s="96" t="inlineStr">
        <is>
          <t>MAHANAGAR GAS LTD</t>
        </is>
      </c>
      <c r="C2423" s="97" t="n">
        <v>539957</v>
      </c>
      <c r="D2423" s="96" t="inlineStr">
        <is>
          <t>MGL</t>
        </is>
      </c>
      <c r="E2423" s="96" t="inlineStr">
        <is>
          <t>Utilities:Non-Elec.</t>
        </is>
      </c>
    </row>
    <row r="2424" ht="15" customHeight="1" s="109" thickBot="1">
      <c r="B2424" s="96" t="inlineStr">
        <is>
          <t>MAHANAGAR TELEPHONE NIGAM LTD</t>
        </is>
      </c>
      <c r="C2424" s="97" t="n">
        <v>500108</v>
      </c>
      <c r="D2424" s="96" t="inlineStr">
        <is>
          <t>MTNL</t>
        </is>
      </c>
      <c r="E2424" s="96" t="inlineStr">
        <is>
          <t>Telecom Services</t>
        </is>
      </c>
    </row>
    <row r="2425" ht="15" customHeight="1" s="109" thickBot="1">
      <c r="B2425" s="96" t="inlineStr">
        <is>
          <t>MAHANIVESH (INDIA) LTD</t>
        </is>
      </c>
      <c r="C2425" s="97" t="n">
        <v>530441</v>
      </c>
      <c r="D2425" s="96" t="inlineStr">
        <is>
          <t>Not Listed</t>
        </is>
      </c>
      <c r="E2425" s="96" t="inlineStr">
        <is>
          <t>Misc.Commercial Services</t>
        </is>
      </c>
    </row>
    <row r="2426" ht="15" customHeight="1" s="109" thickBot="1">
      <c r="B2426" s="96" t="inlineStr">
        <is>
          <t>MAHANIVESH INDIA LTD</t>
        </is>
      </c>
      <c r="C2426" s="97" t="n">
        <v>530441</v>
      </c>
      <c r="D2426" s="96" t="inlineStr">
        <is>
          <t>Not Listed</t>
        </is>
      </c>
      <c r="E2426" s="96" t="inlineStr">
        <is>
          <t>Misc.Commercial Services</t>
        </is>
      </c>
    </row>
    <row r="2427" ht="15" customHeight="1" s="109" thickBot="1">
      <c r="B2427" s="96" t="inlineStr">
        <is>
          <t>MAHARASHTRA CORPORATION LTD</t>
        </is>
      </c>
      <c r="C2427" s="97" t="n">
        <v>505523</v>
      </c>
      <c r="D2427" s="96" t="inlineStr">
        <is>
          <t>Not Listed</t>
        </is>
      </c>
      <c r="E2427" s="96" t="inlineStr">
        <is>
          <t>Comm.Trading &amp; Distribution</t>
        </is>
      </c>
    </row>
    <row r="2428" ht="15" customHeight="1" s="109" thickBot="1">
      <c r="B2428" s="96" t="inlineStr">
        <is>
          <t>MAHARASHTRA SCOOTERS LTD</t>
        </is>
      </c>
      <c r="C2428" s="97" t="n">
        <v>500266</v>
      </c>
      <c r="D2428" s="96" t="inlineStr">
        <is>
          <t>MAHSCOOTER</t>
        </is>
      </c>
      <c r="E2428" s="96" t="inlineStr">
        <is>
          <t>Investment Companies</t>
        </is>
      </c>
    </row>
    <row r="2429" ht="15" customHeight="1" s="109" thickBot="1">
      <c r="B2429" s="96" t="inlineStr">
        <is>
          <t>MAHARASHTRA SEAMLESS LTD</t>
        </is>
      </c>
      <c r="C2429" s="97" t="n">
        <v>500265</v>
      </c>
      <c r="D2429" s="96" t="inlineStr">
        <is>
          <t>MAHSEAMLES</t>
        </is>
      </c>
      <c r="E2429" s="96" t="inlineStr">
        <is>
          <t>Construction &amp; Engineering</t>
        </is>
      </c>
    </row>
    <row r="2430" ht="15" customHeight="1" s="109" thickBot="1">
      <c r="B2430" s="96" t="inlineStr">
        <is>
          <t>MAHASAGAR TRAVELS LTD</t>
        </is>
      </c>
      <c r="C2430" s="97" t="n">
        <v>526795</v>
      </c>
      <c r="D2430" s="96" t="inlineStr">
        <is>
          <t>Not Listed</t>
        </is>
      </c>
      <c r="E2430" s="96" t="inlineStr">
        <is>
          <t>Surface Transportation</t>
        </is>
      </c>
    </row>
    <row r="2431" ht="15" customHeight="1" s="109" thickBot="1">
      <c r="B2431" s="96" t="inlineStr">
        <is>
          <t>MAHASHREE TRADING LTD</t>
        </is>
      </c>
      <c r="C2431" s="97" t="n">
        <v>512337</v>
      </c>
      <c r="D2431" s="96" t="inlineStr">
        <is>
          <t>Not Listed</t>
        </is>
      </c>
      <c r="E2431" s="96" t="inlineStr">
        <is>
          <t>Comm.Trading &amp; Distribution</t>
        </is>
      </c>
    </row>
    <row r="2432" ht="15" customHeight="1" s="109" thickBot="1">
      <c r="B2432" s="96" t="inlineStr">
        <is>
          <t>MAHAVEER INFOWAY LTD</t>
        </is>
      </c>
      <c r="C2432" s="97" t="n">
        <v>539383</v>
      </c>
      <c r="D2432" s="96" t="inlineStr">
        <is>
          <t>Not Listed</t>
        </is>
      </c>
      <c r="E2432" s="96" t="inlineStr">
        <is>
          <t>IT Consulting &amp; Software</t>
        </is>
      </c>
    </row>
    <row r="2433" ht="15" customHeight="1" s="109" thickBot="1">
      <c r="B2433" s="96" t="inlineStr">
        <is>
          <t>MAHAVIR INDUSTRIES LTD</t>
        </is>
      </c>
      <c r="C2433" s="97" t="n">
        <v>531648</v>
      </c>
      <c r="D2433" s="96" t="inlineStr">
        <is>
          <t>Not Listed</t>
        </is>
      </c>
      <c r="E2433" s="96" t="inlineStr">
        <is>
          <t>Copper</t>
        </is>
      </c>
    </row>
    <row r="2434" ht="15" customHeight="1" s="109" thickBot="1">
      <c r="B2434" s="96" t="inlineStr">
        <is>
          <t>Mahesh Developers Ltd</t>
        </is>
      </c>
      <c r="C2434" s="97" t="n">
        <v>542677</v>
      </c>
      <c r="D2434" s="96" t="inlineStr">
        <is>
          <t>MAHESH</t>
        </is>
      </c>
      <c r="E2434" s="96" t="inlineStr">
        <is>
          <t>Realty</t>
        </is>
      </c>
    </row>
    <row r="2435" ht="15" customHeight="1" s="109" thickBot="1">
      <c r="B2435" s="96" t="inlineStr">
        <is>
          <t>MAHESHWARI LOGISTICS LTD</t>
        </is>
      </c>
      <c r="C2435" s="96" t="inlineStr">
        <is>
          <t>Not Listed</t>
        </is>
      </c>
      <c r="D2435" s="96" t="inlineStr">
        <is>
          <t>MAHESHWARI</t>
        </is>
      </c>
      <c r="E2435" s="96" t="inlineStr">
        <is>
          <t>SME</t>
        </is>
      </c>
    </row>
    <row r="2436" ht="15" customHeight="1" s="109" thickBot="1">
      <c r="B2436" s="96" t="inlineStr">
        <is>
          <t>MAHICKRA CHEMICALS LTD</t>
        </is>
      </c>
      <c r="C2436" s="96" t="inlineStr">
        <is>
          <t>Not Listed</t>
        </is>
      </c>
      <c r="D2436" s="96" t="inlineStr">
        <is>
          <t>MAHICKRA</t>
        </is>
      </c>
      <c r="E2436" s="96" t="inlineStr">
        <is>
          <t>SME</t>
        </is>
      </c>
    </row>
    <row r="2437" ht="15" customHeight="1" s="109" thickBot="1">
      <c r="B2437" s="96" t="inlineStr">
        <is>
          <t>MAHINDRA &amp; MAHINDRA FINANCIAL SERVICES LTD</t>
        </is>
      </c>
      <c r="C2437" s="97" t="n">
        <v>532720</v>
      </c>
      <c r="D2437" s="96" t="inlineStr">
        <is>
          <t>M&amp;MFIN</t>
        </is>
      </c>
      <c r="E2437" s="96" t="inlineStr">
        <is>
          <t>Finance (including NBFCs)</t>
        </is>
      </c>
    </row>
    <row r="2438" ht="15" customHeight="1" s="109" thickBot="1">
      <c r="B2438" s="96" t="inlineStr">
        <is>
          <t>MAHINDRA &amp; MAHINDRA LTD</t>
        </is>
      </c>
      <c r="C2438" s="97" t="n">
        <v>500520</v>
      </c>
      <c r="D2438" s="96" t="inlineStr">
        <is>
          <t>M&amp;M</t>
        </is>
      </c>
      <c r="E2438" s="96" t="inlineStr">
        <is>
          <t>Cars &amp; Utility Vehicles</t>
        </is>
      </c>
    </row>
    <row r="2439" ht="15" customHeight="1" s="109" thickBot="1">
      <c r="B2439" s="96" t="inlineStr">
        <is>
          <t>MAHINDRA CIE AUTOMOTIVE LTD</t>
        </is>
      </c>
      <c r="C2439" s="97" t="n">
        <v>532756</v>
      </c>
      <c r="D2439" s="96" t="inlineStr">
        <is>
          <t>MAHINDCIE</t>
        </is>
      </c>
      <c r="E2439" s="96" t="inlineStr">
        <is>
          <t>Other Industrial Products</t>
        </is>
      </c>
    </row>
    <row r="2440" ht="15" customHeight="1" s="109" thickBot="1">
      <c r="B2440" s="96" t="inlineStr">
        <is>
          <t>MAHINDRA HOLIDAYS &amp; RESORTS (INDIA) LTD</t>
        </is>
      </c>
      <c r="C2440" s="97" t="n">
        <v>533088</v>
      </c>
      <c r="D2440" s="96" t="inlineStr">
        <is>
          <t>MHRIL</t>
        </is>
      </c>
      <c r="E2440" s="96" t="inlineStr">
        <is>
          <t>Hotels</t>
        </is>
      </c>
    </row>
    <row r="2441" ht="15" customHeight="1" s="109" thickBot="1">
      <c r="B2441" s="96" t="inlineStr">
        <is>
          <t>MAHINDRA HOLIDAYS &amp; RESORTS INDIA LTD</t>
        </is>
      </c>
      <c r="C2441" s="97" t="n">
        <v>533088</v>
      </c>
      <c r="D2441" s="96" t="inlineStr">
        <is>
          <t>MHRIL</t>
        </is>
      </c>
      <c r="E2441" s="96" t="inlineStr">
        <is>
          <t>Hotels</t>
        </is>
      </c>
    </row>
    <row r="2442" ht="15" customHeight="1" s="109" thickBot="1">
      <c r="B2442" s="96" t="inlineStr">
        <is>
          <t>MAHINDRA LIFESPACE DEVELOPERS LTD</t>
        </is>
      </c>
      <c r="C2442" s="97" t="n">
        <v>532313</v>
      </c>
      <c r="D2442" s="96" t="inlineStr">
        <is>
          <t>MAHLIFE</t>
        </is>
      </c>
      <c r="E2442" s="96" t="inlineStr">
        <is>
          <t>Realty</t>
        </is>
      </c>
    </row>
    <row r="2443" ht="15" customHeight="1" s="109" thickBot="1">
      <c r="B2443" s="96" t="inlineStr">
        <is>
          <t>MAHINDRA LOGISTICS LTD</t>
        </is>
      </c>
      <c r="C2443" s="97" t="n">
        <v>540768</v>
      </c>
      <c r="D2443" s="96" t="inlineStr">
        <is>
          <t>MAHLOG</t>
        </is>
      </c>
      <c r="E2443" s="96" t="inlineStr">
        <is>
          <t>Transportation - Logistics</t>
        </is>
      </c>
    </row>
    <row r="2444" ht="15" customHeight="1" s="109" thickBot="1">
      <c r="B2444" s="96" t="inlineStr">
        <is>
          <t>Mahip Industries Ltd</t>
        </is>
      </c>
      <c r="C2444" s="97" t="n">
        <v>542503</v>
      </c>
      <c r="D2444" s="96" t="inlineStr">
        <is>
          <t>MAHIP</t>
        </is>
      </c>
      <c r="E2444" s="96" t="inlineStr">
        <is>
          <t>Containers &amp;amp; Packaging</t>
        </is>
      </c>
    </row>
    <row r="2445" ht="15" customHeight="1" s="109" thickBot="1">
      <c r="B2445" s="96" t="inlineStr">
        <is>
          <t>MAITHAN ALLOYS LTD</t>
        </is>
      </c>
      <c r="C2445" s="97" t="n">
        <v>590078</v>
      </c>
      <c r="D2445" s="96" t="inlineStr">
        <is>
          <t>MAITHANALL</t>
        </is>
      </c>
      <c r="E2445" s="96" t="inlineStr">
        <is>
          <t>Iron &amp; Steel/Interm.Products</t>
        </is>
      </c>
    </row>
    <row r="2446" ht="15" customHeight="1" s="109" thickBot="1">
      <c r="B2446" s="96" t="inlineStr">
        <is>
          <t>MAITRI ENTERPRISES LTD</t>
        </is>
      </c>
      <c r="C2446" s="97" t="n">
        <v>513430</v>
      </c>
      <c r="D2446" s="96" t="inlineStr">
        <is>
          <t>Not Listed</t>
        </is>
      </c>
      <c r="E2446" s="96" t="inlineStr">
        <is>
          <t>Aluminium</t>
        </is>
      </c>
    </row>
    <row r="2447" ht="15" customHeight="1" s="109" thickBot="1">
      <c r="B2447" s="96" t="inlineStr">
        <is>
          <t>MAJESCO LTD</t>
        </is>
      </c>
      <c r="C2447" s="97" t="n">
        <v>539289</v>
      </c>
      <c r="D2447" s="96" t="inlineStr">
        <is>
          <t>MAJESCO</t>
        </is>
      </c>
      <c r="E2447" s="96" t="inlineStr">
        <is>
          <t>IT Consulting &amp; Software</t>
        </is>
      </c>
    </row>
    <row r="2448" ht="15" customHeight="1" s="109" thickBot="1">
      <c r="B2448" s="96" t="inlineStr">
        <is>
          <t>MAJESTIC AUTO LTD</t>
        </is>
      </c>
      <c r="C2448" s="97" t="n">
        <v>500267</v>
      </c>
      <c r="D2448" s="96" t="inlineStr">
        <is>
          <t>Not Listed</t>
        </is>
      </c>
      <c r="E2448" s="96" t="inlineStr">
        <is>
          <t>2/3 Wheelers</t>
        </is>
      </c>
    </row>
    <row r="2449" ht="15" customHeight="1" s="109" thickBot="1">
      <c r="B2449" s="96" t="inlineStr">
        <is>
          <t>MAJESTIC RESEARCH SERVICES AND SOLUTIONS LTD</t>
        </is>
      </c>
      <c r="C2449" s="97" t="n">
        <v>539229</v>
      </c>
      <c r="D2449" s="96" t="inlineStr">
        <is>
          <t>Not Listed</t>
        </is>
      </c>
      <c r="E2449" s="96" t="inlineStr">
        <is>
          <t>Diversified</t>
        </is>
      </c>
    </row>
    <row r="2450" ht="15" customHeight="1" s="109" thickBot="1">
      <c r="B2450" s="96" t="inlineStr">
        <is>
          <t>MAKERS LABORATORIES LTD</t>
        </is>
      </c>
      <c r="C2450" s="97" t="n">
        <v>506919</v>
      </c>
      <c r="D2450" s="96" t="inlineStr">
        <is>
          <t>Not Listed</t>
        </is>
      </c>
      <c r="E2450" s="96" t="inlineStr">
        <is>
          <t>Pharmaceuticals</t>
        </is>
      </c>
    </row>
    <row r="2451" ht="15" customHeight="1" s="109" thickBot="1">
      <c r="B2451" s="96" t="inlineStr">
        <is>
          <t>MALLCOM (INDIA) LTD</t>
        </is>
      </c>
      <c r="C2451" s="97" t="n">
        <v>539400</v>
      </c>
      <c r="D2451" s="96" t="inlineStr">
        <is>
          <t>Not Listed</t>
        </is>
      </c>
      <c r="E2451" s="96" t="inlineStr">
        <is>
          <t>Other Apparels &amp; Accessories</t>
        </is>
      </c>
    </row>
    <row r="2452" ht="15" customHeight="1" s="109" thickBot="1">
      <c r="B2452" s="96" t="inlineStr">
        <is>
          <t>MALLCOM INDIA LTD</t>
        </is>
      </c>
      <c r="C2452" s="97" t="n">
        <v>539400</v>
      </c>
      <c r="D2452" s="96" t="inlineStr">
        <is>
          <t>Not Listed</t>
        </is>
      </c>
      <c r="E2452" s="96" t="inlineStr">
        <is>
          <t>Other Apparels &amp; Accessories</t>
        </is>
      </c>
    </row>
    <row r="2453" ht="15" customHeight="1" s="109" thickBot="1">
      <c r="B2453" s="96" t="inlineStr">
        <is>
          <t>MALU PAPER MILLS LTD</t>
        </is>
      </c>
      <c r="C2453" s="97" t="n">
        <v>532728</v>
      </c>
      <c r="D2453" s="96" t="inlineStr">
        <is>
          <t>MALUPAPER</t>
        </is>
      </c>
      <c r="E2453" s="96" t="inlineStr">
        <is>
          <t>Paper &amp; Paper Products</t>
        </is>
      </c>
    </row>
    <row r="2454" ht="15" customHeight="1" s="109" thickBot="1">
      <c r="B2454" s="96" t="inlineStr">
        <is>
          <t>MAN INDUSTRIES (INDIA) LTD</t>
        </is>
      </c>
      <c r="C2454" s="97" t="n">
        <v>513269</v>
      </c>
      <c r="D2454" s="96" t="inlineStr">
        <is>
          <t>MANINDS</t>
        </is>
      </c>
      <c r="E2454" s="96" t="inlineStr">
        <is>
          <t>Construction &amp; Engineering</t>
        </is>
      </c>
    </row>
    <row r="2455" ht="15" customHeight="1" s="109" thickBot="1">
      <c r="B2455" s="96" t="inlineStr">
        <is>
          <t>MAN INDUSTRIES INDIA LTD</t>
        </is>
      </c>
      <c r="C2455" s="97" t="n">
        <v>513269</v>
      </c>
      <c r="D2455" s="96" t="inlineStr">
        <is>
          <t>MANINDS</t>
        </is>
      </c>
      <c r="E2455" s="96" t="inlineStr">
        <is>
          <t>Construction &amp; Engineering</t>
        </is>
      </c>
    </row>
    <row r="2456" ht="15" customHeight="1" s="109" thickBot="1">
      <c r="B2456" s="96" t="inlineStr">
        <is>
          <t>MAN INFRACONSTRUCTION LTD</t>
        </is>
      </c>
      <c r="C2456" s="97" t="n">
        <v>533169</v>
      </c>
      <c r="D2456" s="96" t="inlineStr">
        <is>
          <t>MANINFRA</t>
        </is>
      </c>
      <c r="E2456" s="96" t="inlineStr">
        <is>
          <t>Construction &amp; Engineering</t>
        </is>
      </c>
    </row>
    <row r="2457" ht="15" customHeight="1" s="109" thickBot="1">
      <c r="B2457" s="96" t="inlineStr">
        <is>
          <t>MANAKSIA ALUMINIUM COMPANY LTD</t>
        </is>
      </c>
      <c r="C2457" s="97" t="n">
        <v>539045</v>
      </c>
      <c r="D2457" s="96" t="inlineStr">
        <is>
          <t>MANAKALUCO</t>
        </is>
      </c>
      <c r="E2457" s="96" t="inlineStr">
        <is>
          <t>Aluminium</t>
        </is>
      </c>
    </row>
    <row r="2458" ht="15" customHeight="1" s="109" thickBot="1">
      <c r="B2458" s="96" t="inlineStr">
        <is>
          <t>MANAKSIA COATED METALS &amp; INDUSTRIES LTD</t>
        </is>
      </c>
      <c r="C2458" s="97" t="n">
        <v>539046</v>
      </c>
      <c r="D2458" s="96" t="inlineStr">
        <is>
          <t>MANAKCOAT</t>
        </is>
      </c>
      <c r="E2458" s="96" t="inlineStr">
        <is>
          <t>Iron &amp; Steel/Interm.Products</t>
        </is>
      </c>
    </row>
    <row r="2459" ht="15" customHeight="1" s="109" thickBot="1">
      <c r="B2459" s="96" t="inlineStr">
        <is>
          <t>MANAKSIA LTD</t>
        </is>
      </c>
      <c r="C2459" s="97" t="n">
        <v>532932</v>
      </c>
      <c r="D2459" s="96" t="inlineStr">
        <is>
          <t>MANAKSIA</t>
        </is>
      </c>
      <c r="E2459" s="96" t="inlineStr">
        <is>
          <t>Containers &amp; Packaging</t>
        </is>
      </c>
    </row>
    <row r="2460" ht="15" customHeight="1" s="109" thickBot="1">
      <c r="B2460" s="96" t="inlineStr">
        <is>
          <t>MANAKSIA STEELS LTD</t>
        </is>
      </c>
      <c r="C2460" s="97" t="n">
        <v>539044</v>
      </c>
      <c r="D2460" s="96" t="inlineStr">
        <is>
          <t>MANAKSTEEL</t>
        </is>
      </c>
      <c r="E2460" s="96" t="inlineStr">
        <is>
          <t>Iron &amp; Steel/Interm.Products</t>
        </is>
      </c>
    </row>
    <row r="2461" ht="15" customHeight="1" s="109" thickBot="1">
      <c r="B2461" s="96" t="inlineStr">
        <is>
          <t>MANALI PETROCHEMICALS LTD</t>
        </is>
      </c>
      <c r="C2461" s="97" t="n">
        <v>500268</v>
      </c>
      <c r="D2461" s="96" t="inlineStr">
        <is>
          <t>MANALIPETC</t>
        </is>
      </c>
      <c r="E2461" s="96" t="inlineStr">
        <is>
          <t>Petrochemicals</t>
        </is>
      </c>
    </row>
    <row r="2462" ht="15" customHeight="1" s="109" thickBot="1">
      <c r="B2462" s="96" t="inlineStr">
        <is>
          <t>MANAPPURAM FINANCE LTD</t>
        </is>
      </c>
      <c r="C2462" s="97" t="n">
        <v>531213</v>
      </c>
      <c r="D2462" s="96" t="inlineStr">
        <is>
          <t>MANAPPURAM</t>
        </is>
      </c>
      <c r="E2462" s="96" t="inlineStr">
        <is>
          <t>Finance (including NBFCs)</t>
        </is>
      </c>
    </row>
    <row r="2463" ht="15" customHeight="1" s="109" thickBot="1">
      <c r="B2463" s="96" t="inlineStr">
        <is>
          <t>MANAS PROPERTIES LTD</t>
        </is>
      </c>
      <c r="C2463" s="97" t="n">
        <v>540402</v>
      </c>
      <c r="D2463" s="96" t="inlineStr">
        <is>
          <t>Not Listed</t>
        </is>
      </c>
      <c r="E2463" s="96" t="inlineStr">
        <is>
          <t>Realty</t>
        </is>
      </c>
    </row>
    <row r="2464" ht="15" customHeight="1" s="109" thickBot="1">
      <c r="B2464" s="96" t="inlineStr">
        <is>
          <t>MANAV INFRA PROJECTS LTD</t>
        </is>
      </c>
      <c r="C2464" s="96" t="inlineStr">
        <is>
          <t>Not Listed</t>
        </is>
      </c>
      <c r="D2464" s="96" t="inlineStr">
        <is>
          <t>MANAV</t>
        </is>
      </c>
      <c r="E2464" s="96" t="inlineStr">
        <is>
          <t>SME</t>
        </is>
      </c>
    </row>
    <row r="2465" ht="15" customHeight="1" s="109" thickBot="1">
      <c r="B2465" s="96" t="inlineStr">
        <is>
          <t>MANDHANA INDUSTRIES LTD</t>
        </is>
      </c>
      <c r="C2465" s="97" t="n">
        <v>533204</v>
      </c>
      <c r="D2465" s="96" t="inlineStr">
        <is>
          <t>MANDHANA</t>
        </is>
      </c>
      <c r="E2465" s="96" t="inlineStr">
        <is>
          <t>Textiles</t>
        </is>
      </c>
    </row>
    <row r="2466" ht="15" customHeight="1" s="109" thickBot="1">
      <c r="B2466" s="96" t="inlineStr">
        <is>
          <t>MANGAL CREDIT AND FINCORP LTD.</t>
        </is>
      </c>
      <c r="C2466" s="97" t="n">
        <v>505850</v>
      </c>
      <c r="D2466" s="96" t="inlineStr">
        <is>
          <t>MANCREDIT</t>
        </is>
      </c>
      <c r="E2466" s="96" t="inlineStr">
        <is>
          <t>Finance (including NBFCs)</t>
        </is>
      </c>
    </row>
    <row r="2467" ht="15" customHeight="1" s="109" thickBot="1">
      <c r="B2467" s="96" t="inlineStr">
        <is>
          <t>MANGALAM CEMENT LTD</t>
        </is>
      </c>
      <c r="C2467" s="97" t="n">
        <v>502157</v>
      </c>
      <c r="D2467" s="96" t="inlineStr">
        <is>
          <t>MANGLMCEM</t>
        </is>
      </c>
      <c r="E2467" s="96" t="inlineStr">
        <is>
          <t>Cement &amp; Cement Products</t>
        </is>
      </c>
    </row>
    <row r="2468" ht="15" customHeight="1" s="109" thickBot="1">
      <c r="B2468" s="96" t="inlineStr">
        <is>
          <t>MANGALAM DRUGS AND ORGANICS LTD</t>
        </is>
      </c>
      <c r="C2468" s="97" t="n">
        <v>532637</v>
      </c>
      <c r="D2468" s="96" t="inlineStr">
        <is>
          <t>MANGALAM</t>
        </is>
      </c>
      <c r="E2468" s="96" t="inlineStr">
        <is>
          <t>Pharmaceuticals</t>
        </is>
      </c>
    </row>
    <row r="2469" ht="15" customHeight="1" s="109" thickBot="1">
      <c r="B2469" s="96" t="inlineStr">
        <is>
          <t>MANGALAM INDUSTRIAL FINANCE LTD</t>
        </is>
      </c>
      <c r="C2469" s="97" t="n">
        <v>537800</v>
      </c>
      <c r="D2469" s="96" t="inlineStr">
        <is>
          <t>Not Listed</t>
        </is>
      </c>
      <c r="E2469" s="96" t="inlineStr">
        <is>
          <t>Finance (including NBFCs)</t>
        </is>
      </c>
    </row>
    <row r="2470" ht="15" customHeight="1" s="109" thickBot="1">
      <c r="B2470" s="96" t="inlineStr">
        <is>
          <t>MANGALAM ORGANICS LTD</t>
        </is>
      </c>
      <c r="C2470" s="97" t="n">
        <v>514418</v>
      </c>
      <c r="D2470" s="96" t="inlineStr">
        <is>
          <t>Not Listed</t>
        </is>
      </c>
      <c r="E2470" s="96" t="inlineStr">
        <is>
          <t>Commodity Chemicals</t>
        </is>
      </c>
    </row>
    <row r="2471" ht="15" customHeight="1" s="109" thickBot="1">
      <c r="B2471" s="96" t="inlineStr">
        <is>
          <t>MANGALAM SEEDS LTD</t>
        </is>
      </c>
      <c r="C2471" s="97" t="n">
        <v>539275</v>
      </c>
      <c r="D2471" s="96" t="inlineStr">
        <is>
          <t>Not Listed</t>
        </is>
      </c>
      <c r="E2471" s="96" t="inlineStr">
        <is>
          <t>Other Agricultural Products</t>
        </is>
      </c>
    </row>
    <row r="2472" ht="15" customHeight="1" s="109" thickBot="1">
      <c r="B2472" s="96" t="inlineStr">
        <is>
          <t>MANGALAM TIMBER PRODUCTS LTD</t>
        </is>
      </c>
      <c r="C2472" s="97" t="n">
        <v>516007</v>
      </c>
      <c r="D2472" s="96" t="inlineStr">
        <is>
          <t>MANGTIMBER</t>
        </is>
      </c>
      <c r="E2472" s="96" t="inlineStr">
        <is>
          <t>Forest Products</t>
        </is>
      </c>
    </row>
    <row r="2473" ht="15" customHeight="1" s="109" thickBot="1">
      <c r="B2473" s="96" t="inlineStr">
        <is>
          <t>MANGALORE CHEMICALS &amp; FERTILIZERS LTD</t>
        </is>
      </c>
      <c r="C2473" s="97" t="n">
        <v>530011</v>
      </c>
      <c r="D2473" s="96" t="inlineStr">
        <is>
          <t>MANGCHEFER</t>
        </is>
      </c>
      <c r="E2473" s="96" t="inlineStr">
        <is>
          <t>Fertilizers</t>
        </is>
      </c>
    </row>
    <row r="2474" ht="15" customHeight="1" s="109" thickBot="1">
      <c r="B2474" s="96" t="inlineStr">
        <is>
          <t>MANGALORE REFINERY AND PETROCHEMICALS LTD</t>
        </is>
      </c>
      <c r="C2474" s="97" t="n">
        <v>500109</v>
      </c>
      <c r="D2474" s="96" t="inlineStr">
        <is>
          <t>MRPL</t>
        </is>
      </c>
      <c r="E2474" s="96" t="inlineStr">
        <is>
          <t>Refineries/ Petro-Products</t>
        </is>
      </c>
    </row>
    <row r="2475" ht="15" customHeight="1" s="109" thickBot="1">
      <c r="B2475" s="96" t="inlineStr">
        <is>
          <t>MANGALYA SOFT-TECH LTD</t>
        </is>
      </c>
      <c r="C2475" s="97" t="n">
        <v>530243</v>
      </c>
      <c r="D2475" s="96" t="inlineStr">
        <is>
          <t>Not Listed</t>
        </is>
      </c>
      <c r="E2475" s="96" t="inlineStr">
        <is>
          <t>IT Software Products</t>
        </is>
      </c>
    </row>
    <row r="2476" ht="15" customHeight="1" s="109" thickBot="1">
      <c r="B2476" s="96" t="inlineStr">
        <is>
          <t>MANIPAL FINANCE CORPORATION LTD</t>
        </is>
      </c>
      <c r="C2476" s="97" t="n">
        <v>507938</v>
      </c>
      <c r="D2476" s="96" t="inlineStr">
        <is>
          <t>Not Listed</t>
        </is>
      </c>
      <c r="E2476" s="96" t="inlineStr">
        <is>
          <t>Finance (including NBFCs)</t>
        </is>
      </c>
    </row>
    <row r="2477" ht="15" customHeight="1" s="109" thickBot="1">
      <c r="B2477" s="96" t="inlineStr">
        <is>
          <t>MANJEERA CONSTRUCTIONS LTD</t>
        </is>
      </c>
      <c r="C2477" s="97" t="n">
        <v>533078</v>
      </c>
      <c r="D2477" s="96" t="inlineStr">
        <is>
          <t>Not Listed</t>
        </is>
      </c>
      <c r="E2477" s="96" t="inlineStr">
        <is>
          <t>Realty</t>
        </is>
      </c>
    </row>
    <row r="2478" ht="15" customHeight="1" s="109" thickBot="1">
      <c r="B2478" s="96" t="inlineStr">
        <is>
          <t>MANOMAY TEX (INDIA) LTD</t>
        </is>
      </c>
      <c r="C2478" s="97" t="n">
        <v>540396</v>
      </c>
      <c r="D2478" s="96" t="inlineStr">
        <is>
          <t>Not Listed</t>
        </is>
      </c>
      <c r="E2478" s="96" t="inlineStr">
        <is>
          <t>Textiles</t>
        </is>
      </c>
    </row>
    <row r="2479" ht="15" customHeight="1" s="109" thickBot="1">
      <c r="B2479" s="96" t="inlineStr">
        <is>
          <t>MANOMAY TEX INDIA LTD</t>
        </is>
      </c>
      <c r="C2479" s="97" t="n">
        <v>540396</v>
      </c>
      <c r="D2479" s="96" t="inlineStr">
        <is>
          <t>Not Listed</t>
        </is>
      </c>
      <c r="E2479" s="96" t="inlineStr">
        <is>
          <t>Textiles</t>
        </is>
      </c>
    </row>
    <row r="2480" ht="15" customHeight="1" s="109" thickBot="1">
      <c r="B2480" s="96" t="inlineStr">
        <is>
          <t>MANORAMA INDUSTRIES LTD</t>
        </is>
      </c>
      <c r="C2480" s="97" t="n">
        <v>541974</v>
      </c>
      <c r="D2480" s="96" t="inlineStr">
        <is>
          <t>Not Listed</t>
        </is>
      </c>
      <c r="E2480" s="96" t="inlineStr">
        <is>
          <t>Edible Oils</t>
        </is>
      </c>
    </row>
    <row r="2481" ht="15" customHeight="1" s="109" thickBot="1">
      <c r="B2481" s="96" t="inlineStr">
        <is>
          <t>MANPASAND BEVERAGES LTD</t>
        </is>
      </c>
      <c r="C2481" s="97" t="n">
        <v>539207</v>
      </c>
      <c r="D2481" s="96" t="inlineStr">
        <is>
          <t>MANPASAND</t>
        </is>
      </c>
      <c r="E2481" s="96" t="inlineStr">
        <is>
          <t>Non-alcoholic Beverages</t>
        </is>
      </c>
    </row>
    <row r="2482" ht="15" customHeight="1" s="109" thickBot="1">
      <c r="B2482" s="96" t="inlineStr">
        <is>
          <t>MANRAJ HOUSING FINANCE LTD</t>
        </is>
      </c>
      <c r="C2482" s="97" t="n">
        <v>530537</v>
      </c>
      <c r="D2482" s="96" t="inlineStr">
        <is>
          <t>Not Listed</t>
        </is>
      </c>
      <c r="E2482" s="96" t="inlineStr">
        <is>
          <t>Housing Finance</t>
        </is>
      </c>
    </row>
    <row r="2483" ht="15" customHeight="1" s="109" thickBot="1">
      <c r="B2483" s="96" t="inlineStr">
        <is>
          <t>MANSI FINANCE CHENNAI LTD</t>
        </is>
      </c>
      <c r="C2483" s="97" t="n">
        <v>511758</v>
      </c>
      <c r="D2483" s="96" t="inlineStr">
        <is>
          <t>Not Listed</t>
        </is>
      </c>
      <c r="E2483" s="96" t="inlineStr">
        <is>
          <t>Finance (including NBFCs)</t>
        </is>
      </c>
    </row>
    <row r="2484" ht="15" customHeight="1" s="109" thickBot="1">
      <c r="B2484" s="96" t="inlineStr">
        <is>
          <t>MANSOON TRADING CO LTD</t>
        </is>
      </c>
      <c r="C2484" s="97" t="n">
        <v>512303</v>
      </c>
      <c r="D2484" s="96" t="inlineStr">
        <is>
          <t>Not Listed</t>
        </is>
      </c>
      <c r="E2484" s="96" t="inlineStr">
        <is>
          <t>Misc.Commercial Services</t>
        </is>
      </c>
    </row>
    <row r="2485" ht="15" customHeight="1" s="109" thickBot="1">
      <c r="B2485" s="96" t="inlineStr">
        <is>
          <t>MANUGRAPH (INDIA) LTD</t>
        </is>
      </c>
      <c r="C2485" s="97" t="n">
        <v>505324</v>
      </c>
      <c r="D2485" s="96" t="inlineStr">
        <is>
          <t>MANUGRAPH</t>
        </is>
      </c>
      <c r="E2485" s="96" t="inlineStr">
        <is>
          <t>Industrial Machinery</t>
        </is>
      </c>
    </row>
    <row r="2486" ht="15" customHeight="1" s="109" thickBot="1">
      <c r="B2486" s="96" t="inlineStr">
        <is>
          <t>MANUGRAPH INDIA LTD</t>
        </is>
      </c>
      <c r="C2486" s="97" t="n">
        <v>505324</v>
      </c>
      <c r="D2486" s="96" t="inlineStr">
        <is>
          <t>MANUGRAPH</t>
        </is>
      </c>
      <c r="E2486" s="96" t="inlineStr">
        <is>
          <t>Industrial Machinery</t>
        </is>
      </c>
    </row>
    <row r="2487" ht="15" customHeight="1" s="109" thickBot="1">
      <c r="B2487" s="96" t="inlineStr">
        <is>
          <t>MANVIJAY DEVELOPMENT COMPANY LTD</t>
        </is>
      </c>
      <c r="C2487" s="97" t="n">
        <v>538970</v>
      </c>
      <c r="D2487" s="96" t="inlineStr">
        <is>
          <t>Not Listed</t>
        </is>
      </c>
      <c r="E2487" s="96" t="inlineStr">
        <is>
          <t>Realty</t>
        </is>
      </c>
    </row>
    <row r="2488" ht="15" customHeight="1" s="109" thickBot="1">
      <c r="B2488" s="96" t="inlineStr">
        <is>
          <t>MARAL OVERSEAS LTD</t>
        </is>
      </c>
      <c r="C2488" s="97" t="n">
        <v>521018</v>
      </c>
      <c r="D2488" s="96" t="inlineStr">
        <is>
          <t>MARALOVER</t>
        </is>
      </c>
      <c r="E2488" s="96" t="inlineStr">
        <is>
          <t>Textiles</t>
        </is>
      </c>
    </row>
    <row r="2489" ht="15" customHeight="1" s="109" thickBot="1">
      <c r="B2489" s="96" t="inlineStr">
        <is>
          <t>MARATHON NEXTGEN REALTY LTD</t>
        </is>
      </c>
      <c r="C2489" s="97" t="n">
        <v>503101</v>
      </c>
      <c r="D2489" s="96" t="inlineStr">
        <is>
          <t>MARATHON</t>
        </is>
      </c>
      <c r="E2489" s="96" t="inlineStr">
        <is>
          <t>Realty</t>
        </is>
      </c>
    </row>
    <row r="2490" ht="15" customHeight="1" s="109" thickBot="1">
      <c r="B2490" s="96" t="inlineStr">
        <is>
          <t>MARATHWADA REFRACTORIES LTD</t>
        </is>
      </c>
      <c r="C2490" s="97" t="n">
        <v>502250</v>
      </c>
      <c r="D2490" s="96" t="inlineStr">
        <is>
          <t>Not Listed</t>
        </is>
      </c>
      <c r="E2490" s="96" t="inlineStr">
        <is>
          <t>Construction Materials</t>
        </is>
      </c>
    </row>
    <row r="2491" ht="15" customHeight="1" s="109" thickBot="1">
      <c r="B2491" s="96" t="inlineStr">
        <is>
          <t>MARDIA SAMYOUNG CAPILLARY TUBES COMPANY LTD</t>
        </is>
      </c>
      <c r="C2491" s="97" t="n">
        <v>513544</v>
      </c>
      <c r="D2491" s="96" t="inlineStr">
        <is>
          <t>Not Listed</t>
        </is>
      </c>
      <c r="E2491" s="96" t="inlineStr">
        <is>
          <t>Copper</t>
        </is>
      </c>
    </row>
    <row r="2492" ht="15" customHeight="1" s="109" thickBot="1">
      <c r="B2492" s="96" t="inlineStr">
        <is>
          <t>MARG LTD</t>
        </is>
      </c>
      <c r="C2492" s="97" t="n">
        <v>530543</v>
      </c>
      <c r="D2492" s="96" t="inlineStr">
        <is>
          <t>Not Listed</t>
        </is>
      </c>
      <c r="E2492" s="96" t="inlineStr">
        <is>
          <t>Realty</t>
        </is>
      </c>
    </row>
    <row r="2493" ht="15" customHeight="1" s="109" thickBot="1">
      <c r="B2493" s="96" t="inlineStr">
        <is>
          <t>MARG TECHNO PROJECTS LTD</t>
        </is>
      </c>
      <c r="C2493" s="97" t="n">
        <v>540254</v>
      </c>
      <c r="D2493" s="96" t="inlineStr">
        <is>
          <t>Not Listed</t>
        </is>
      </c>
      <c r="E2493" s="96" t="inlineStr">
        <is>
          <t>Finance (including NBFCs)</t>
        </is>
      </c>
    </row>
    <row r="2494" ht="15" customHeight="1" s="109" thickBot="1">
      <c r="B2494" s="96" t="inlineStr">
        <is>
          <t>MARGO FINANCE LTD</t>
        </is>
      </c>
      <c r="C2494" s="97" t="n">
        <v>500206</v>
      </c>
      <c r="D2494" s="96" t="inlineStr">
        <is>
          <t>Not Listed</t>
        </is>
      </c>
      <c r="E2494" s="96" t="inlineStr">
        <is>
          <t>Finance (including NBFCs)</t>
        </is>
      </c>
    </row>
    <row r="2495" ht="15" customHeight="1" s="109" thickBot="1">
      <c r="B2495" s="96" t="inlineStr">
        <is>
          <t>MARICO LTD</t>
        </is>
      </c>
      <c r="C2495" s="97" t="n">
        <v>531642</v>
      </c>
      <c r="D2495" s="96" t="inlineStr">
        <is>
          <t>MARICO</t>
        </is>
      </c>
      <c r="E2495" s="96" t="inlineStr">
        <is>
          <t>Personal Products</t>
        </is>
      </c>
    </row>
    <row r="2496" ht="15" customHeight="1" s="109" thickBot="1">
      <c r="B2496" s="96" t="inlineStr">
        <is>
          <t>MARINE ELECTRICALS (INDIA) LTD</t>
        </is>
      </c>
      <c r="C2496" s="96" t="inlineStr">
        <is>
          <t>Not Listed</t>
        </is>
      </c>
      <c r="D2496" s="96" t="inlineStr">
        <is>
          <t>MARINE</t>
        </is>
      </c>
      <c r="E2496" s="96" t="inlineStr">
        <is>
          <t>SME</t>
        </is>
      </c>
    </row>
    <row r="2497" ht="15" customHeight="1" s="109" thickBot="1">
      <c r="B2497" s="96" t="inlineStr">
        <is>
          <t>MARINE ELECTRICALS INDIA LTD</t>
        </is>
      </c>
      <c r="C2497" s="96" t="inlineStr">
        <is>
          <t>Not Listed</t>
        </is>
      </c>
      <c r="D2497" s="96" t="inlineStr">
        <is>
          <t>MARINE</t>
        </is>
      </c>
      <c r="E2497" s="96" t="inlineStr">
        <is>
          <t>SME</t>
        </is>
      </c>
    </row>
    <row r="2498" ht="15" customHeight="1" s="109" thickBot="1">
      <c r="B2498" s="96" t="inlineStr">
        <is>
          <t>MARIS SPINNERS LTD</t>
        </is>
      </c>
      <c r="C2498" s="97" t="n">
        <v>531503</v>
      </c>
      <c r="D2498" s="96" t="inlineStr">
        <is>
          <t>Not Listed</t>
        </is>
      </c>
      <c r="E2498" s="96" t="inlineStr">
        <is>
          <t>Textiles</t>
        </is>
      </c>
    </row>
    <row r="2499" ht="15" customHeight="1" s="109" thickBot="1">
      <c r="B2499" s="96" t="inlineStr">
        <is>
          <t>MARKET CREATORS LTD</t>
        </is>
      </c>
      <c r="C2499" s="97" t="n">
        <v>526891</v>
      </c>
      <c r="D2499" s="96" t="inlineStr">
        <is>
          <t>Not Listed</t>
        </is>
      </c>
      <c r="E2499" s="96" t="inlineStr">
        <is>
          <t>Other Financial Services</t>
        </is>
      </c>
    </row>
    <row r="2500" ht="15" customHeight="1" s="109" thickBot="1">
      <c r="B2500" s="96" t="inlineStr">
        <is>
          <t>MARKSANS PHARMA LTD</t>
        </is>
      </c>
      <c r="C2500" s="97" t="n">
        <v>524404</v>
      </c>
      <c r="D2500" s="96" t="inlineStr">
        <is>
          <t>MARKSANS</t>
        </is>
      </c>
      <c r="E2500" s="96" t="inlineStr">
        <is>
          <t>Pharmaceuticals</t>
        </is>
      </c>
    </row>
    <row r="2501" ht="15" customHeight="1" s="109" thickBot="1">
      <c r="B2501" s="96" t="inlineStr">
        <is>
          <t>MARSHALL MACHINES LTD</t>
        </is>
      </c>
      <c r="C2501" s="96" t="inlineStr">
        <is>
          <t>Not Listed</t>
        </is>
      </c>
      <c r="D2501" s="96" t="inlineStr">
        <is>
          <t>MARSHALL</t>
        </is>
      </c>
      <c r="E2501" s="96" t="inlineStr">
        <is>
          <t>SME</t>
        </is>
      </c>
    </row>
    <row r="2502" ht="15" customHeight="1" s="109" thickBot="1">
      <c r="B2502" s="96" t="inlineStr">
        <is>
          <t>MARSONS LTD</t>
        </is>
      </c>
      <c r="C2502" s="97" t="n">
        <v>517467</v>
      </c>
      <c r="D2502" s="96" t="inlineStr">
        <is>
          <t>Not Listed</t>
        </is>
      </c>
      <c r="E2502" s="96" t="inlineStr">
        <is>
          <t>Other Elect.Equip./ Prod.</t>
        </is>
      </c>
    </row>
    <row r="2503" ht="15" customHeight="1" s="109" thickBot="1">
      <c r="B2503" s="96" t="inlineStr">
        <is>
          <t>MARTIN BURN LTD</t>
        </is>
      </c>
      <c r="C2503" s="97" t="n">
        <v>523566</v>
      </c>
      <c r="D2503" s="96" t="inlineStr">
        <is>
          <t>Not Listed</t>
        </is>
      </c>
      <c r="E2503" s="96" t="inlineStr">
        <is>
          <t>Realty</t>
        </is>
      </c>
    </row>
    <row r="2504" ht="15" customHeight="1" s="109" thickBot="1">
      <c r="B2504" s="96" t="inlineStr">
        <is>
          <t>MARUTI INFRASTRUCTURE LTD</t>
        </is>
      </c>
      <c r="C2504" s="97" t="n">
        <v>531540</v>
      </c>
      <c r="D2504" s="96" t="inlineStr">
        <is>
          <t>Not Listed</t>
        </is>
      </c>
      <c r="E2504" s="96" t="inlineStr">
        <is>
          <t>Construction &amp; Engineering</t>
        </is>
      </c>
    </row>
    <row r="2505" ht="15" customHeight="1" s="109" thickBot="1">
      <c r="B2505" s="96" t="inlineStr">
        <is>
          <t>MARUTI SECURITIES LTD</t>
        </is>
      </c>
      <c r="C2505" s="97" t="n">
        <v>531319</v>
      </c>
      <c r="D2505" s="96" t="inlineStr">
        <is>
          <t>Not Listed</t>
        </is>
      </c>
      <c r="E2505" s="96" t="inlineStr">
        <is>
          <t>Finance (including NBFCs)</t>
        </is>
      </c>
    </row>
    <row r="2506" ht="15" customHeight="1" s="109" thickBot="1">
      <c r="B2506" s="96" t="inlineStr">
        <is>
          <t>MARUTI SUZUKI (INDIA) LTD</t>
        </is>
      </c>
      <c r="C2506" s="97" t="n">
        <v>532500</v>
      </c>
      <c r="D2506" s="96" t="inlineStr">
        <is>
          <t>MARUTI</t>
        </is>
      </c>
      <c r="E2506" s="96" t="inlineStr">
        <is>
          <t>Cars &amp; Utility Vehicles</t>
        </is>
      </c>
    </row>
    <row r="2507" ht="15" customHeight="1" s="109" thickBot="1">
      <c r="B2507" s="96" t="inlineStr">
        <is>
          <t>MARUTI SUZUKI INDIA LTD</t>
        </is>
      </c>
      <c r="C2507" s="97" t="n">
        <v>532500</v>
      </c>
      <c r="D2507" s="96" t="inlineStr">
        <is>
          <t>MARUTI</t>
        </is>
      </c>
      <c r="E2507" s="96" t="inlineStr">
        <is>
          <t>Cars &amp; Utility Vehicles</t>
        </is>
      </c>
    </row>
    <row r="2508" ht="15" customHeight="1" s="109" thickBot="1">
      <c r="B2508" s="96" t="inlineStr">
        <is>
          <t>MARVEL DECOR LTD</t>
        </is>
      </c>
      <c r="C2508" s="96" t="inlineStr">
        <is>
          <t>Not Listed</t>
        </is>
      </c>
      <c r="D2508" s="96" t="inlineStr">
        <is>
          <t>MDL</t>
        </is>
      </c>
      <c r="E2508" s="96" t="inlineStr">
        <is>
          <t>SME</t>
        </is>
      </c>
    </row>
    <row r="2509" ht="15" customHeight="1" s="109" thickBot="1">
      <c r="B2509" s="96" t="inlineStr">
        <is>
          <t>MAS FINANCIAL SERVICES LTD</t>
        </is>
      </c>
      <c r="C2509" s="97" t="n">
        <v>540749</v>
      </c>
      <c r="D2509" s="96" t="inlineStr">
        <is>
          <t>MASFIN</t>
        </is>
      </c>
      <c r="E2509" s="96" t="inlineStr">
        <is>
          <t>Finance (including NBFCs)</t>
        </is>
      </c>
    </row>
    <row r="2510" ht="15" customHeight="1" s="109" thickBot="1">
      <c r="B2510" s="96" t="inlineStr">
        <is>
          <t>MASK INVESTMENTS LTD</t>
        </is>
      </c>
      <c r="C2510" s="96" t="inlineStr">
        <is>
          <t>Not Listed</t>
        </is>
      </c>
      <c r="D2510" s="96" t="inlineStr">
        <is>
          <t>MASKINVEST</t>
        </is>
      </c>
      <c r="E2510" s="96" t="inlineStr">
        <is>
          <t>Others</t>
        </is>
      </c>
    </row>
    <row r="2511" ht="15" customHeight="1" s="109" thickBot="1">
      <c r="B2511" s="96" t="inlineStr">
        <is>
          <t>MASTEK LTD</t>
        </is>
      </c>
      <c r="C2511" s="97" t="n">
        <v>523704</v>
      </c>
      <c r="D2511" s="96" t="inlineStr">
        <is>
          <t>MASTEK</t>
        </is>
      </c>
      <c r="E2511" s="96" t="inlineStr">
        <is>
          <t>IT Software Products</t>
        </is>
      </c>
    </row>
    <row r="2512" ht="15" customHeight="1" s="109" thickBot="1">
      <c r="B2512" s="96" t="inlineStr">
        <is>
          <t>MASTER CHEMICALS LTD</t>
        </is>
      </c>
      <c r="C2512" s="97" t="n">
        <v>506867</v>
      </c>
      <c r="D2512" s="96" t="inlineStr">
        <is>
          <t>Not Listed</t>
        </is>
      </c>
      <c r="E2512" s="96" t="inlineStr">
        <is>
          <t>Textiles</t>
        </is>
      </c>
    </row>
    <row r="2513" ht="15" customHeight="1" s="109" thickBot="1">
      <c r="B2513" s="96" t="inlineStr">
        <is>
          <t>MASTER TRUST LTD</t>
        </is>
      </c>
      <c r="C2513" s="97" t="n">
        <v>511768</v>
      </c>
      <c r="D2513" s="96" t="inlineStr">
        <is>
          <t>Not Listed</t>
        </is>
      </c>
      <c r="E2513" s="96" t="inlineStr">
        <is>
          <t>Finance (including NBFCs)</t>
        </is>
      </c>
    </row>
    <row r="2514" ht="15" customHeight="1" s="109" thickBot="1">
      <c r="B2514" s="96" t="inlineStr">
        <is>
          <t>MATHEW EASOW RESEARCH SECURITIES LTD</t>
        </is>
      </c>
      <c r="C2514" s="97" t="n">
        <v>511688</v>
      </c>
      <c r="D2514" s="96" t="inlineStr">
        <is>
          <t>Not Listed</t>
        </is>
      </c>
      <c r="E2514" s="96" t="inlineStr">
        <is>
          <t>Finance (including NBFCs)</t>
        </is>
      </c>
    </row>
    <row r="2515" ht="15" customHeight="1" s="109" thickBot="1">
      <c r="B2515" s="96" t="inlineStr">
        <is>
          <t>MATRIMONY COM LTD</t>
        </is>
      </c>
      <c r="C2515" s="97" t="n">
        <v>540704</v>
      </c>
      <c r="D2515" s="96" t="inlineStr">
        <is>
          <t>MATRIMONY</t>
        </is>
      </c>
      <c r="E2515" s="96" t="inlineStr">
        <is>
          <t>Internet Software &amp; Services</t>
        </is>
      </c>
    </row>
    <row r="2516" ht="15" customHeight="1" s="109" thickBot="1">
      <c r="B2516" s="96" t="inlineStr">
        <is>
          <t>MAURIA UDYOG LTD</t>
        </is>
      </c>
      <c r="C2516" s="97" t="n">
        <v>539219</v>
      </c>
      <c r="D2516" s="96" t="inlineStr">
        <is>
          <t>Not Listed</t>
        </is>
      </c>
      <c r="E2516" s="96" t="inlineStr">
        <is>
          <t>Other Industrial Products</t>
        </is>
      </c>
    </row>
    <row r="2517" ht="15" customHeight="1" s="109" thickBot="1">
      <c r="B2517" s="96" t="inlineStr">
        <is>
          <t>MAVI INDUSTRIES LTD</t>
        </is>
      </c>
      <c r="C2517" s="97" t="n">
        <v>500248</v>
      </c>
      <c r="D2517" s="96" t="inlineStr">
        <is>
          <t>Not Listed</t>
        </is>
      </c>
      <c r="E2517" s="96" t="inlineStr">
        <is>
          <t>Plastic Products</t>
        </is>
      </c>
    </row>
    <row r="2518" ht="15" customHeight="1" s="109" thickBot="1">
      <c r="B2518" s="96" t="inlineStr">
        <is>
          <t>MAWANA SUGARS LTD</t>
        </is>
      </c>
      <c r="C2518" s="97" t="n">
        <v>523371</v>
      </c>
      <c r="D2518" s="96" t="inlineStr">
        <is>
          <t>MAWANASUG</t>
        </is>
      </c>
      <c r="E2518" s="96" t="inlineStr">
        <is>
          <t>Sugar</t>
        </is>
      </c>
    </row>
    <row r="2519" ht="15" customHeight="1" s="109" thickBot="1">
      <c r="B2519" s="96" t="inlineStr">
        <is>
          <t>MAX (INDIA) LTD</t>
        </is>
      </c>
      <c r="C2519" s="97" t="n">
        <v>539981</v>
      </c>
      <c r="D2519" s="96" t="inlineStr">
        <is>
          <t>MAX(INDIA)</t>
        </is>
      </c>
      <c r="E2519" s="96" t="inlineStr">
        <is>
          <t>Holding Companies</t>
        </is>
      </c>
    </row>
    <row r="2520" ht="15" customHeight="1" s="109" thickBot="1">
      <c r="B2520" s="96" t="inlineStr">
        <is>
          <t>MAX ALERT SYSTEMS LTD.</t>
        </is>
      </c>
      <c r="C2520" s="97" t="n">
        <v>534563</v>
      </c>
      <c r="D2520" s="96" t="inlineStr">
        <is>
          <t>MASL</t>
        </is>
      </c>
      <c r="E2520" s="96" t="inlineStr">
        <is>
          <t>Industrial Machinery</t>
        </is>
      </c>
    </row>
    <row r="2521" ht="15" customHeight="1" s="109" thickBot="1">
      <c r="B2521" s="96" t="inlineStr">
        <is>
          <t>MAX FINANCIAL SERVICES LTD</t>
        </is>
      </c>
      <c r="C2521" s="97" t="n">
        <v>500271</v>
      </c>
      <c r="D2521" s="96" t="inlineStr">
        <is>
          <t>MFSL</t>
        </is>
      </c>
      <c r="E2521" s="96" t="inlineStr">
        <is>
          <t>Life Insurance</t>
        </is>
      </c>
    </row>
    <row r="2522" ht="15" customHeight="1" s="109" thickBot="1">
      <c r="B2522" s="96" t="inlineStr">
        <is>
          <t>MAX INDIA LTD</t>
        </is>
      </c>
      <c r="C2522" s="97" t="n">
        <v>539981</v>
      </c>
      <c r="D2522" s="96" t="inlineStr">
        <is>
          <t>MAXINDIA</t>
        </is>
      </c>
      <c r="E2522" s="96" t="inlineStr">
        <is>
          <t>Holding Companies</t>
        </is>
      </c>
    </row>
    <row r="2523" ht="15" customHeight="1" s="109" thickBot="1">
      <c r="B2523" s="96" t="inlineStr">
        <is>
          <t>MAX VENTURES AND INDUSTRIES LTD</t>
        </is>
      </c>
      <c r="C2523" s="97" t="n">
        <v>539940</v>
      </c>
      <c r="D2523" s="96" t="inlineStr">
        <is>
          <t>MAXVIL</t>
        </is>
      </c>
      <c r="E2523" s="96" t="inlineStr">
        <is>
          <t>Holding Companies</t>
        </is>
      </c>
    </row>
    <row r="2524" ht="15" customHeight="1" s="109" thickBot="1">
      <c r="B2524" s="96" t="inlineStr">
        <is>
          <t>MAXHEIGHTS INFRASTRUCTURE LTD</t>
        </is>
      </c>
      <c r="C2524" s="97" t="n">
        <v>534338</v>
      </c>
      <c r="D2524" s="96" t="inlineStr">
        <is>
          <t>Not Listed</t>
        </is>
      </c>
      <c r="E2524" s="96" t="inlineStr">
        <is>
          <t>Realty</t>
        </is>
      </c>
    </row>
    <row r="2525" ht="15" customHeight="1" s="109" thickBot="1">
      <c r="B2525" s="96" t="inlineStr">
        <is>
          <t>MAXIMAA SYSTEMS LTD</t>
        </is>
      </c>
      <c r="C2525" s="97" t="n">
        <v>526538</v>
      </c>
      <c r="D2525" s="96" t="inlineStr">
        <is>
          <t>Not Listed</t>
        </is>
      </c>
      <c r="E2525" s="96" t="inlineStr">
        <is>
          <t>Pharmaceuticals</t>
        </is>
      </c>
    </row>
    <row r="2526" ht="15" customHeight="1" s="109" thickBot="1">
      <c r="B2526" s="96" t="inlineStr">
        <is>
          <t>MAXIMUS INTERNATIONAL LTD</t>
        </is>
      </c>
      <c r="C2526" s="97" t="n">
        <v>540401</v>
      </c>
      <c r="D2526" s="96" t="inlineStr">
        <is>
          <t>Not Listed</t>
        </is>
      </c>
      <c r="E2526" s="96" t="inlineStr">
        <is>
          <t>Comm.Trading &amp; Distribution</t>
        </is>
      </c>
    </row>
    <row r="2527" ht="15" customHeight="1" s="109" thickBot="1">
      <c r="B2527" s="96" t="inlineStr">
        <is>
          <t>MAYUKH DEALTRADE LTD</t>
        </is>
      </c>
      <c r="C2527" s="97" t="n">
        <v>539519</v>
      </c>
      <c r="D2527" s="96" t="inlineStr">
        <is>
          <t>Not Listed</t>
        </is>
      </c>
      <c r="E2527" s="96" t="inlineStr">
        <is>
          <t>Distributors</t>
        </is>
      </c>
    </row>
    <row r="2528" ht="15" customHeight="1" s="109" thickBot="1">
      <c r="B2528" s="96" t="inlineStr">
        <is>
          <t>MAYUR FLOORINGS LTD</t>
        </is>
      </c>
      <c r="C2528" s="97" t="n">
        <v>531221</v>
      </c>
      <c r="D2528" s="96" t="inlineStr">
        <is>
          <t>Not Listed</t>
        </is>
      </c>
      <c r="E2528" s="96" t="inlineStr">
        <is>
          <t>Construction Materials</t>
        </is>
      </c>
    </row>
    <row r="2529" ht="15" customHeight="1" s="109" thickBot="1">
      <c r="B2529" s="96" t="inlineStr">
        <is>
          <t>MAYUR LEATHER PRODUCTS LTD</t>
        </is>
      </c>
      <c r="C2529" s="97" t="n">
        <v>531680</v>
      </c>
      <c r="D2529" s="96" t="inlineStr">
        <is>
          <t>Not Listed</t>
        </is>
      </c>
      <c r="E2529" s="96" t="inlineStr">
        <is>
          <t>Other Apparels &amp; Accessories</t>
        </is>
      </c>
    </row>
    <row r="2530" ht="15" customHeight="1" s="109" thickBot="1">
      <c r="B2530" s="96" t="inlineStr">
        <is>
          <t>MAYUR UNIQUOTERS LTD</t>
        </is>
      </c>
      <c r="C2530" s="97" t="n">
        <v>522249</v>
      </c>
      <c r="D2530" s="96" t="inlineStr">
        <is>
          <t>MAYURUNIQ</t>
        </is>
      </c>
      <c r="E2530" s="96" t="inlineStr">
        <is>
          <t>Textiles</t>
        </is>
      </c>
    </row>
    <row r="2531" ht="15" customHeight="1" s="109" thickBot="1">
      <c r="B2531" s="96" t="inlineStr">
        <is>
          <t>MAZDA LTD</t>
        </is>
      </c>
      <c r="C2531" s="97" t="n">
        <v>523792</v>
      </c>
      <c r="D2531" s="96" t="inlineStr">
        <is>
          <t>MAZDA</t>
        </is>
      </c>
      <c r="E2531" s="96" t="inlineStr">
        <is>
          <t>Industrial Machinery</t>
        </is>
      </c>
    </row>
    <row r="2532" ht="15" customHeight="1" s="109" thickBot="1">
      <c r="B2532" s="96" t="inlineStr">
        <is>
          <t>MBL INFRASTRUCTURES LTD</t>
        </is>
      </c>
      <c r="C2532" s="97" t="n">
        <v>533152</v>
      </c>
      <c r="D2532" s="96" t="inlineStr">
        <is>
          <t>MBLINFRA</t>
        </is>
      </c>
      <c r="E2532" s="96" t="inlineStr">
        <is>
          <t>Construction &amp; Engineering</t>
        </is>
      </c>
    </row>
    <row r="2533" ht="15" customHeight="1" s="109" thickBot="1">
      <c r="B2533" s="96" t="inlineStr">
        <is>
          <t>MCDOWELL HOLDINGS LTD</t>
        </is>
      </c>
      <c r="C2533" s="97" t="n">
        <v>532852</v>
      </c>
      <c r="D2533" s="96" t="inlineStr">
        <is>
          <t>MCDHOLDING</t>
        </is>
      </c>
      <c r="E2533" s="96" t="inlineStr">
        <is>
          <t>Investment Companies</t>
        </is>
      </c>
    </row>
    <row r="2534" ht="15" customHeight="1" s="109" thickBot="1">
      <c r="B2534" s="96" t="inlineStr">
        <is>
          <t>MCLEOD RUSSEL (INDIA) LTD</t>
        </is>
      </c>
      <c r="C2534" s="97" t="n">
        <v>532654</v>
      </c>
      <c r="D2534" s="96" t="inlineStr">
        <is>
          <t>MCLEODRUSS</t>
        </is>
      </c>
      <c r="E2534" s="96" t="inlineStr">
        <is>
          <t>Tea &amp; Coffee</t>
        </is>
      </c>
    </row>
    <row r="2535" ht="15" customHeight="1" s="109" thickBot="1">
      <c r="B2535" s="96" t="inlineStr">
        <is>
          <t>MCLEOD RUSSEL INDIA LTD</t>
        </is>
      </c>
      <c r="C2535" s="97" t="n">
        <v>532654</v>
      </c>
      <c r="D2535" s="96" t="inlineStr">
        <is>
          <t>MCLEODRUSS</t>
        </is>
      </c>
      <c r="E2535" s="96" t="inlineStr">
        <is>
          <t>Tea &amp; Coffee</t>
        </is>
      </c>
    </row>
    <row r="2536" ht="15" customHeight="1" s="109" thickBot="1">
      <c r="B2536" s="96" t="inlineStr">
        <is>
          <t>MCNALLY BHARAT ENGINEERING COMPANY LTD</t>
        </is>
      </c>
      <c r="C2536" s="97" t="n">
        <v>532629</v>
      </c>
      <c r="D2536" s="96" t="inlineStr">
        <is>
          <t>MBECL</t>
        </is>
      </c>
      <c r="E2536" s="96" t="inlineStr">
        <is>
          <t>Construction &amp; Engineering</t>
        </is>
      </c>
    </row>
    <row r="2537" ht="15" customHeight="1" s="109" thickBot="1">
      <c r="B2537" s="96" t="inlineStr">
        <is>
          <t>MEDIA MATRIX WORLDWIDE LTD</t>
        </is>
      </c>
      <c r="C2537" s="97" t="n">
        <v>512267</v>
      </c>
      <c r="D2537" s="96" t="inlineStr">
        <is>
          <t>Not Listed</t>
        </is>
      </c>
      <c r="E2537" s="96" t="inlineStr">
        <is>
          <t>Movies &amp; Entertainment</t>
        </is>
      </c>
    </row>
    <row r="2538" ht="15" customHeight="1" s="109" thickBot="1">
      <c r="B2538" s="96" t="inlineStr">
        <is>
          <t>MEDICAMEN BIOTECH LTD</t>
        </is>
      </c>
      <c r="C2538" s="97" t="n">
        <v>531146</v>
      </c>
      <c r="D2538" s="96" t="inlineStr">
        <is>
          <t>Not Listed</t>
        </is>
      </c>
      <c r="E2538" s="96" t="inlineStr">
        <is>
          <t>Pharmaceuticals</t>
        </is>
      </c>
    </row>
    <row r="2539" ht="15" customHeight="1" s="109" thickBot="1">
      <c r="B2539" s="96" t="inlineStr">
        <is>
          <t>MEDI-CAPS LTD</t>
        </is>
      </c>
      <c r="C2539" s="97" t="n">
        <v>523144</v>
      </c>
      <c r="D2539" s="96" t="inlineStr">
        <is>
          <t>Not Listed</t>
        </is>
      </c>
      <c r="E2539" s="96" t="inlineStr">
        <is>
          <t>Pharmaceuticals</t>
        </is>
      </c>
    </row>
    <row r="2540" ht="15" customHeight="1" s="109" thickBot="1">
      <c r="B2540" s="96" t="inlineStr">
        <is>
          <t>Medico Intercontinental Ltd</t>
        </is>
      </c>
      <c r="C2540" s="97" t="n">
        <v>539938</v>
      </c>
      <c r="D2540" s="96" t="inlineStr">
        <is>
          <t>MIL</t>
        </is>
      </c>
      <c r="E2540" s="96" t="inlineStr">
        <is>
          <t>Other Financial Services</t>
        </is>
      </c>
    </row>
    <row r="2541" ht="15" customHeight="1" s="109" thickBot="1">
      <c r="B2541" s="96" t="inlineStr">
        <is>
          <t>MEDICO REMEDIES LTD</t>
        </is>
      </c>
      <c r="C2541" s="97" t="n">
        <v>540937</v>
      </c>
      <c r="D2541" s="96" t="inlineStr">
        <is>
          <t>Not Listed</t>
        </is>
      </c>
      <c r="E2541" s="96" t="inlineStr">
        <is>
          <t>Pharmaceuticals</t>
        </is>
      </c>
    </row>
    <row r="2542" ht="15" customHeight="1" s="109" thickBot="1">
      <c r="B2542" s="96" t="inlineStr">
        <is>
          <t>MEDINOVA DIAGNOSTIC SERVICES LTD</t>
        </is>
      </c>
      <c r="C2542" s="97" t="n">
        <v>526301</v>
      </c>
      <c r="D2542" s="96" t="inlineStr">
        <is>
          <t>Not Listed</t>
        </is>
      </c>
      <c r="E2542" s="96" t="inlineStr">
        <is>
          <t>Healthcare Services</t>
        </is>
      </c>
    </row>
    <row r="2543" ht="15" customHeight="1" s="109" thickBot="1">
      <c r="B2543" s="96" t="inlineStr">
        <is>
          <t>MEENAKSHI ENTERPRISES LTD</t>
        </is>
      </c>
      <c r="C2543" s="97" t="n">
        <v>538834</v>
      </c>
      <c r="D2543" s="96" t="inlineStr">
        <is>
          <t>Not Listed</t>
        </is>
      </c>
      <c r="E2543" s="96" t="inlineStr">
        <is>
          <t>Finance (including NBFCs)</t>
        </is>
      </c>
    </row>
    <row r="2544" ht="15" customHeight="1" s="109" thickBot="1">
      <c r="B2544" s="96" t="inlineStr">
        <is>
          <t>MEENAKSHI STEEL INDUSTRIES LTD</t>
        </is>
      </c>
      <c r="C2544" s="97" t="n">
        <v>512505</v>
      </c>
      <c r="D2544" s="96" t="inlineStr">
        <is>
          <t>Not Listed</t>
        </is>
      </c>
      <c r="E2544" s="96" t="inlineStr">
        <is>
          <t>Iron &amp; Steel Products</t>
        </is>
      </c>
    </row>
    <row r="2545" ht="15" customHeight="1" s="109" thickBot="1">
      <c r="B2545" s="96" t="inlineStr">
        <is>
          <t>MEERA INDUSTRIES LTD</t>
        </is>
      </c>
      <c r="C2545" s="97" t="n">
        <v>540519</v>
      </c>
      <c r="D2545" s="96" t="inlineStr">
        <is>
          <t>Not Listed</t>
        </is>
      </c>
      <c r="E2545" s="96" t="inlineStr">
        <is>
          <t>Industrial Machinery</t>
        </is>
      </c>
    </row>
    <row r="2546" ht="15" customHeight="1" s="109" thickBot="1">
      <c r="B2546" s="96" t="inlineStr">
        <is>
          <t>MEFCOM AGRO INDUSTRIES LTD</t>
        </is>
      </c>
      <c r="C2546" s="97" t="n">
        <v>511276</v>
      </c>
      <c r="D2546" s="96" t="inlineStr">
        <is>
          <t>Not Listed</t>
        </is>
      </c>
      <c r="E2546" s="96" t="inlineStr">
        <is>
          <t>Other Agricultural Products</t>
        </is>
      </c>
    </row>
    <row r="2547" ht="15" customHeight="1" s="109" thickBot="1">
      <c r="B2547" s="96" t="inlineStr">
        <is>
          <t>MEFCOM CAPITAL MARKETS LTD</t>
        </is>
      </c>
      <c r="C2547" s="97" t="n">
        <v>531176</v>
      </c>
      <c r="D2547" s="96" t="inlineStr">
        <is>
          <t>Not Listed</t>
        </is>
      </c>
      <c r="E2547" s="96" t="inlineStr">
        <is>
          <t>Finance (including NBFCs)</t>
        </is>
      </c>
    </row>
    <row r="2548" ht="15" customHeight="1" s="109" thickBot="1">
      <c r="B2548" s="96" t="inlineStr">
        <is>
          <t>MEGA CORPORATION LTD</t>
        </is>
      </c>
      <c r="C2548" s="97" t="n">
        <v>531417</v>
      </c>
      <c r="D2548" s="96" t="inlineStr">
        <is>
          <t>Not Listed</t>
        </is>
      </c>
      <c r="E2548" s="96" t="inlineStr">
        <is>
          <t>Finance (including NBFCs)</t>
        </is>
      </c>
    </row>
    <row r="2549" ht="15" customHeight="1" s="109" thickBot="1">
      <c r="B2549" s="96" t="inlineStr">
        <is>
          <t>MEGA FIN (INDIA) LTD</t>
        </is>
      </c>
      <c r="C2549" s="97" t="n">
        <v>532105</v>
      </c>
      <c r="D2549" s="96" t="inlineStr">
        <is>
          <t>Not Listed</t>
        </is>
      </c>
      <c r="E2549" s="96" t="inlineStr">
        <is>
          <t>Misc.Commercial Services</t>
        </is>
      </c>
    </row>
    <row r="2550" ht="15" customHeight="1" s="109" thickBot="1">
      <c r="B2550" s="96" t="inlineStr">
        <is>
          <t>MEGA FIN INDIA LTD</t>
        </is>
      </c>
      <c r="C2550" s="97" t="n">
        <v>532105</v>
      </c>
      <c r="D2550" s="96" t="inlineStr">
        <is>
          <t>Not Listed</t>
        </is>
      </c>
      <c r="E2550" s="96" t="inlineStr">
        <is>
          <t>Misc.Commercial Services</t>
        </is>
      </c>
    </row>
    <row r="2551" ht="15" customHeight="1" s="109" thickBot="1">
      <c r="B2551" s="96" t="inlineStr">
        <is>
          <t>MEGA NIRMAN AND INDUSTRIES LTD</t>
        </is>
      </c>
      <c r="C2551" s="97" t="n">
        <v>539767</v>
      </c>
      <c r="D2551" s="96" t="inlineStr">
        <is>
          <t>Not Listed</t>
        </is>
      </c>
      <c r="E2551" s="96" t="inlineStr">
        <is>
          <t>Realty</t>
        </is>
      </c>
    </row>
    <row r="2552" ht="15" customHeight="1" s="109" thickBot="1">
      <c r="B2552" s="96" t="inlineStr">
        <is>
          <t>MEGASOFT LTD</t>
        </is>
      </c>
      <c r="C2552" s="97" t="n">
        <v>532408</v>
      </c>
      <c r="D2552" s="96" t="inlineStr">
        <is>
          <t>MEGASOFT</t>
        </is>
      </c>
      <c r="E2552" s="96" t="inlineStr">
        <is>
          <t>IT Software Products</t>
        </is>
      </c>
    </row>
    <row r="2553" ht="15" customHeight="1" s="109" thickBot="1">
      <c r="B2553" s="96" t="inlineStr">
        <is>
          <t>MEGASTAR FOODS LTD</t>
        </is>
      </c>
      <c r="C2553" s="97" t="n">
        <v>541352</v>
      </c>
      <c r="D2553" s="96" t="inlineStr">
        <is>
          <t>Not Listed</t>
        </is>
      </c>
      <c r="E2553" s="96" t="inlineStr">
        <is>
          <t>Other Food Products</t>
        </is>
      </c>
    </row>
    <row r="2554" ht="15" customHeight="1" s="109" thickBot="1">
      <c r="B2554" s="96" t="inlineStr">
        <is>
          <t>MEGHMANI ORGANICS LTD</t>
        </is>
      </c>
      <c r="C2554" s="97" t="n">
        <v>532865</v>
      </c>
      <c r="D2554" s="96" t="inlineStr">
        <is>
          <t>MEGH</t>
        </is>
      </c>
      <c r="E2554" s="96" t="inlineStr">
        <is>
          <t>Specialty Chemicals</t>
        </is>
      </c>
    </row>
    <row r="2555" ht="15" customHeight="1" s="109" thickBot="1">
      <c r="B2555" s="96" t="inlineStr">
        <is>
          <t>MEGLON INFRA-REAL (INDIA) LTD</t>
        </is>
      </c>
      <c r="C2555" s="97" t="n">
        <v>511367</v>
      </c>
      <c r="D2555" s="96" t="inlineStr">
        <is>
          <t>Not Listed</t>
        </is>
      </c>
      <c r="E2555" s="96" t="inlineStr">
        <is>
          <t>Finance (including NBFCs)</t>
        </is>
      </c>
    </row>
    <row r="2556" ht="15" customHeight="1" s="109" thickBot="1">
      <c r="B2556" s="96" t="inlineStr">
        <is>
          <t>MEGLON INFRA-REAL INDIA LTD</t>
        </is>
      </c>
      <c r="C2556" s="97" t="n">
        <v>511367</v>
      </c>
      <c r="D2556" s="96" t="inlineStr">
        <is>
          <t>Not Listed</t>
        </is>
      </c>
      <c r="E2556" s="96" t="inlineStr">
        <is>
          <t>Finance (including NBFCs)</t>
        </is>
      </c>
    </row>
    <row r="2557" ht="15" customHeight="1" s="109" thickBot="1">
      <c r="B2557" s="96" t="inlineStr">
        <is>
          <t>MEGRI SOFT LTD</t>
        </is>
      </c>
      <c r="C2557" s="97" t="n">
        <v>539012</v>
      </c>
      <c r="D2557" s="96" t="inlineStr">
        <is>
          <t>Not Listed</t>
        </is>
      </c>
      <c r="E2557" s="96" t="inlineStr">
        <is>
          <t>Internet Software &amp; Services</t>
        </is>
      </c>
    </row>
    <row r="2558" ht="15" customHeight="1" s="109" thickBot="1">
      <c r="B2558" s="96" t="inlineStr">
        <is>
          <t>MEHAI TECHNOLOGY LTD</t>
        </is>
      </c>
      <c r="C2558" s="97" t="n">
        <v>540730</v>
      </c>
      <c r="D2558" s="96" t="inlineStr">
        <is>
          <t>Not Listed</t>
        </is>
      </c>
      <c r="E2558" s="96" t="inlineStr">
        <is>
          <t>Comm.Trading &amp; Distribution</t>
        </is>
      </c>
    </row>
    <row r="2559" ht="15" customHeight="1" s="109" thickBot="1">
      <c r="B2559" s="96" t="inlineStr">
        <is>
          <t>MEHTA HOUSING FINANCE LTD</t>
        </is>
      </c>
      <c r="C2559" s="97" t="n">
        <v>511740</v>
      </c>
      <c r="D2559" s="96" t="inlineStr">
        <is>
          <t>Not Listed</t>
        </is>
      </c>
      <c r="E2559" s="96" t="inlineStr">
        <is>
          <t>Housing Finance</t>
        </is>
      </c>
    </row>
    <row r="2560" ht="15" customHeight="1" s="109" thickBot="1">
      <c r="B2560" s="96" t="inlineStr">
        <is>
          <t>MEHTA INTEGRATED FINANCE LTD</t>
        </is>
      </c>
      <c r="C2560" s="97" t="n">
        <v>511377</v>
      </c>
      <c r="D2560" s="96" t="inlineStr">
        <is>
          <t>Not Listed</t>
        </is>
      </c>
      <c r="E2560" s="96" t="inlineStr">
        <is>
          <t>Finance (including NBFCs)</t>
        </is>
      </c>
    </row>
    <row r="2561" ht="15" customHeight="1" s="109" thickBot="1">
      <c r="B2561" s="96" t="inlineStr">
        <is>
          <t>MEHTA SECURITIES LTD</t>
        </is>
      </c>
      <c r="C2561" s="97" t="n">
        <v>511738</v>
      </c>
      <c r="D2561" s="96" t="inlineStr">
        <is>
          <t>Not Listed</t>
        </is>
      </c>
      <c r="E2561" s="96" t="inlineStr">
        <is>
          <t>Other Financial Services</t>
        </is>
      </c>
    </row>
    <row r="2562" ht="15" customHeight="1" s="109" thickBot="1">
      <c r="B2562" s="96" t="inlineStr">
        <is>
          <t>MELSTAR INFORMATION TECHNOLOGIES LTD</t>
        </is>
      </c>
      <c r="C2562" s="97" t="n">
        <v>532307</v>
      </c>
      <c r="D2562" s="96" t="inlineStr">
        <is>
          <t>MELSTAR</t>
        </is>
      </c>
      <c r="E2562" s="96" t="inlineStr">
        <is>
          <t>IT Software Products</t>
        </is>
      </c>
    </row>
    <row r="2563" ht="15" customHeight="1" s="109" thickBot="1">
      <c r="B2563" s="96" t="inlineStr">
        <is>
          <t>MENA MANI INDUSTRIES LTD</t>
        </is>
      </c>
      <c r="C2563" s="97" t="n">
        <v>531127</v>
      </c>
      <c r="D2563" s="96" t="inlineStr">
        <is>
          <t>Not Listed</t>
        </is>
      </c>
      <c r="E2563" s="96" t="inlineStr">
        <is>
          <t>Finance (including NBFCs)</t>
        </is>
      </c>
    </row>
    <row r="2564" ht="15" customHeight="1" s="109" thickBot="1">
      <c r="B2564" s="96" t="inlineStr">
        <is>
          <t>MENON BEARINGS LTD</t>
        </is>
      </c>
      <c r="C2564" s="97" t="n">
        <v>523828</v>
      </c>
      <c r="D2564" s="96" t="inlineStr">
        <is>
          <t>MENONBE</t>
        </is>
      </c>
      <c r="E2564" s="96" t="inlineStr">
        <is>
          <t>Auto Parts &amp; Equipment</t>
        </is>
      </c>
    </row>
    <row r="2565" ht="15" customHeight="1" s="109" thickBot="1">
      <c r="B2565" s="96" t="inlineStr">
        <is>
          <t>MENON PISTONS LTD</t>
        </is>
      </c>
      <c r="C2565" s="97" t="n">
        <v>531727</v>
      </c>
      <c r="D2565" s="96" t="inlineStr">
        <is>
          <t>Not Listed</t>
        </is>
      </c>
      <c r="E2565" s="96" t="inlineStr">
        <is>
          <t>Auto Parts &amp; Equipment</t>
        </is>
      </c>
    </row>
    <row r="2566" ht="15" customHeight="1" s="109" thickBot="1">
      <c r="B2566" s="96" t="inlineStr">
        <is>
          <t>MEP INFRASTRUCTURE DEVELOPERS LTD</t>
        </is>
      </c>
      <c r="C2566" s="97" t="n">
        <v>539126</v>
      </c>
      <c r="D2566" s="96" t="inlineStr">
        <is>
          <t>MEP</t>
        </is>
      </c>
      <c r="E2566" s="96" t="inlineStr">
        <is>
          <t>Roads &amp; Highways</t>
        </is>
      </c>
    </row>
    <row r="2567" ht="15" customHeight="1" s="109" thickBot="1">
      <c r="B2567" s="96" t="inlineStr">
        <is>
          <t>MERCANTILE VENTURES LTD</t>
        </is>
      </c>
      <c r="C2567" s="97" t="n">
        <v>538942</v>
      </c>
      <c r="D2567" s="96" t="inlineStr">
        <is>
          <t>Not Listed</t>
        </is>
      </c>
      <c r="E2567" s="96" t="inlineStr">
        <is>
          <t>Misc.Commercial Services</t>
        </is>
      </c>
    </row>
    <row r="2568" ht="15" customHeight="1" s="109" thickBot="1">
      <c r="B2568" s="96" t="inlineStr">
        <is>
          <t>MERCATOR LTD</t>
        </is>
      </c>
      <c r="C2568" s="97" t="n">
        <v>526235</v>
      </c>
      <c r="D2568" s="96" t="inlineStr">
        <is>
          <t>MERCATOR</t>
        </is>
      </c>
      <c r="E2568" s="96" t="inlineStr">
        <is>
          <t>Diversified</t>
        </is>
      </c>
    </row>
    <row r="2569" ht="15" customHeight="1" s="109" thickBot="1">
      <c r="B2569" s="96" t="inlineStr">
        <is>
          <t>MERCK LTD</t>
        </is>
      </c>
      <c r="C2569" s="97" t="n">
        <v>500126</v>
      </c>
      <c r="D2569" s="96" t="inlineStr">
        <is>
          <t>MERCK</t>
        </is>
      </c>
      <c r="E2569" s="96" t="inlineStr">
        <is>
          <t>Pharmaceuticals</t>
        </is>
      </c>
    </row>
    <row r="2570" ht="15" customHeight="1" s="109" thickBot="1">
      <c r="B2570" s="96" t="inlineStr">
        <is>
          <t>MERCURY LABORATORIES LTD</t>
        </is>
      </c>
      <c r="C2570" s="97" t="n">
        <v>538964</v>
      </c>
      <c r="D2570" s="96" t="inlineStr">
        <is>
          <t>Not Listed</t>
        </is>
      </c>
      <c r="E2570" s="96" t="inlineStr">
        <is>
          <t>Pharmaceuticals</t>
        </is>
      </c>
    </row>
    <row r="2571" ht="15" customHeight="1" s="109" thickBot="1">
      <c r="B2571" s="96" t="inlineStr">
        <is>
          <t>MERCURY METALS LTD</t>
        </is>
      </c>
      <c r="C2571" s="97" t="n">
        <v>531357</v>
      </c>
      <c r="D2571" s="96" t="inlineStr">
        <is>
          <t>Not Listed</t>
        </is>
      </c>
      <c r="E2571" s="96" t="inlineStr">
        <is>
          <t>Comm.Trading &amp; Distribution</t>
        </is>
      </c>
    </row>
    <row r="2572" ht="15" customHeight="1" s="109" thickBot="1">
      <c r="B2572" s="96" t="inlineStr">
        <is>
          <t>MERCURY TRADE LINKS LTD</t>
        </is>
      </c>
      <c r="C2572" s="97" t="n">
        <v>512415</v>
      </c>
      <c r="D2572" s="96" t="inlineStr">
        <is>
          <t>Not Listed</t>
        </is>
      </c>
      <c r="E2572" s="96" t="inlineStr">
        <is>
          <t>Misc.Commercial Services</t>
        </is>
      </c>
    </row>
    <row r="2573" ht="15" customHeight="1" s="109" thickBot="1">
      <c r="B2573" s="96" t="inlineStr">
        <is>
          <t>MESCO PHARMACEUTICALS LTD</t>
        </is>
      </c>
      <c r="C2573" s="97" t="n">
        <v>500274</v>
      </c>
      <c r="D2573" s="96" t="inlineStr">
        <is>
          <t>Not Listed</t>
        </is>
      </c>
      <c r="E2573" s="96" t="inlineStr">
        <is>
          <t>Pharmaceuticals</t>
        </is>
      </c>
    </row>
    <row r="2574" ht="15" customHeight="1" s="109" thickBot="1">
      <c r="B2574" s="96" t="inlineStr">
        <is>
          <t>METAL COATINGS (INDIA) LTD</t>
        </is>
      </c>
      <c r="C2574" s="97" t="n">
        <v>531810</v>
      </c>
      <c r="D2574" s="96" t="inlineStr">
        <is>
          <t>Not Listed</t>
        </is>
      </c>
      <c r="E2574" s="96" t="inlineStr">
        <is>
          <t>Iron &amp; Steel Products</t>
        </is>
      </c>
    </row>
    <row r="2575" ht="15" customHeight="1" s="109" thickBot="1">
      <c r="B2575" s="96" t="inlineStr">
        <is>
          <t>METAL COATINGS INDIA LTD</t>
        </is>
      </c>
      <c r="C2575" s="97" t="n">
        <v>531810</v>
      </c>
      <c r="D2575" s="96" t="inlineStr">
        <is>
          <t>Not Listed</t>
        </is>
      </c>
      <c r="E2575" s="96" t="inlineStr">
        <is>
          <t>Iron &amp; Steel Products</t>
        </is>
      </c>
    </row>
    <row r="2576" ht="15" customHeight="1" s="109" thickBot="1">
      <c r="B2576" s="96" t="inlineStr">
        <is>
          <t>METALYST FORGINGS LTD</t>
        </is>
      </c>
      <c r="C2576" s="97" t="n">
        <v>513335</v>
      </c>
      <c r="D2576" s="96" t="inlineStr">
        <is>
          <t>METALFORGE</t>
        </is>
      </c>
      <c r="E2576" s="96" t="inlineStr">
        <is>
          <t>Other Industrial Products</t>
        </is>
      </c>
    </row>
    <row r="2577" ht="15" customHeight="1" s="109" thickBot="1">
      <c r="B2577" s="96" t="inlineStr">
        <is>
          <t>METKORE ALLOYS &amp; INDUSTRIES LTD</t>
        </is>
      </c>
      <c r="C2577" s="97" t="n">
        <v>532990</v>
      </c>
      <c r="D2577" s="96" t="inlineStr">
        <is>
          <t>METKORE</t>
        </is>
      </c>
      <c r="E2577" s="96" t="inlineStr">
        <is>
          <t>Iron &amp; Steel/Interm.Products</t>
        </is>
      </c>
    </row>
    <row r="2578" ht="15" customHeight="1" s="109" thickBot="1">
      <c r="B2578" s="96" t="inlineStr">
        <is>
          <t>METROGLOBAL LTD</t>
        </is>
      </c>
      <c r="C2578" s="97" t="n">
        <v>500159</v>
      </c>
      <c r="D2578" s="96" t="inlineStr">
        <is>
          <t>Not Listed</t>
        </is>
      </c>
      <c r="E2578" s="96" t="inlineStr">
        <is>
          <t>Paper &amp; Paper Products</t>
        </is>
      </c>
    </row>
    <row r="2579" ht="15" customHeight="1" s="109" thickBot="1">
      <c r="B2579" s="96" t="inlineStr">
        <is>
          <t>Metropolis Healthcare Ltd</t>
        </is>
      </c>
      <c r="C2579" s="97" t="n">
        <v>542650</v>
      </c>
      <c r="D2579" s="96" t="inlineStr">
        <is>
          <t>METROPOLIS</t>
        </is>
      </c>
      <c r="E2579" s="96" t="inlineStr">
        <is>
          <t>Healthcare Services</t>
        </is>
      </c>
    </row>
    <row r="2580" ht="15" customHeight="1" s="109" thickBot="1">
      <c r="B2580" s="96" t="inlineStr">
        <is>
          <t>MEWAR HI-TECH ENGINEERING LTD</t>
        </is>
      </c>
      <c r="C2580" s="97" t="n">
        <v>540150</v>
      </c>
      <c r="D2580" s="96" t="inlineStr">
        <is>
          <t>Not Listed</t>
        </is>
      </c>
      <c r="E2580" s="96" t="inlineStr">
        <is>
          <t>Construction &amp; Engineering</t>
        </is>
      </c>
    </row>
    <row r="2581" ht="15" customHeight="1" s="109" thickBot="1">
      <c r="B2581" s="96" t="inlineStr">
        <is>
          <t>MEWAT ZINC LTD</t>
        </is>
      </c>
      <c r="C2581" s="97" t="n">
        <v>513496</v>
      </c>
      <c r="D2581" s="96" t="inlineStr">
        <is>
          <t>Not Listed</t>
        </is>
      </c>
      <c r="E2581" s="96" t="inlineStr">
        <is>
          <t>Zinc</t>
        </is>
      </c>
    </row>
    <row r="2582" ht="15" customHeight="1" s="109" thickBot="1">
      <c r="B2582" s="96" t="inlineStr">
        <is>
          <t>Meyer Apparel Ltd</t>
        </is>
      </c>
      <c r="C2582" s="97" t="n">
        <v>531613</v>
      </c>
      <c r="D2582" s="96" t="inlineStr">
        <is>
          <t>MAL</t>
        </is>
      </c>
      <c r="E2582" s="96" t="inlineStr">
        <is>
          <t>Other Apparels &amp;amp; Accessories</t>
        </is>
      </c>
    </row>
    <row r="2583" ht="15" customHeight="1" s="109" thickBot="1">
      <c r="B2583" s="96" t="inlineStr">
        <is>
          <t>MFL (INDIA) LTD</t>
        </is>
      </c>
      <c r="C2583" s="97" t="n">
        <v>526622</v>
      </c>
      <c r="D2583" s="96" t="inlineStr">
        <is>
          <t>Not Listed</t>
        </is>
      </c>
      <c r="E2583" s="96" t="inlineStr">
        <is>
          <t>Transportation - Logistics</t>
        </is>
      </c>
    </row>
    <row r="2584" ht="15" customHeight="1" s="109" thickBot="1">
      <c r="B2584" s="96" t="inlineStr">
        <is>
          <t>MFL INDIA LTD</t>
        </is>
      </c>
      <c r="C2584" s="97" t="n">
        <v>526622</v>
      </c>
      <c r="D2584" s="96" t="inlineStr">
        <is>
          <t>Not Listed</t>
        </is>
      </c>
      <c r="E2584" s="96" t="inlineStr">
        <is>
          <t>Transportation - Logistics</t>
        </is>
      </c>
    </row>
    <row r="2585" ht="15" customHeight="1" s="109" thickBot="1">
      <c r="B2585" s="96" t="inlineStr">
        <is>
          <t>MFS INTERCORP LTD</t>
        </is>
      </c>
      <c r="C2585" s="97" t="n">
        <v>513721</v>
      </c>
      <c r="D2585" s="96" t="inlineStr">
        <is>
          <t>Not Listed</t>
        </is>
      </c>
      <c r="E2585" s="96" t="inlineStr">
        <is>
          <t>Iron &amp; Steel/Interm.Products</t>
        </is>
      </c>
    </row>
    <row r="2586" ht="15" customHeight="1" s="109" thickBot="1">
      <c r="B2586" s="96" t="inlineStr">
        <is>
          <t>MIC ELECTRONICS LTD</t>
        </is>
      </c>
      <c r="C2586" s="97" t="n">
        <v>532850</v>
      </c>
      <c r="D2586" s="96" t="inlineStr">
        <is>
          <t>MIC</t>
        </is>
      </c>
      <c r="E2586" s="96" t="inlineStr">
        <is>
          <t>Electronic Components</t>
        </is>
      </c>
    </row>
    <row r="2587" ht="15" customHeight="1" s="109" thickBot="1">
      <c r="B2587" s="96" t="inlineStr">
        <is>
          <t>MICROSE (INDIA) LTD</t>
        </is>
      </c>
      <c r="C2587" s="97" t="n">
        <v>523343</v>
      </c>
      <c r="D2587" s="96" t="inlineStr">
        <is>
          <t>Not Listed</t>
        </is>
      </c>
      <c r="E2587" s="96" t="inlineStr">
        <is>
          <t>Finance (including NBFCs)</t>
        </is>
      </c>
    </row>
    <row r="2588" ht="15" customHeight="1" s="109" thickBot="1">
      <c r="B2588" s="96" t="inlineStr">
        <is>
          <t>MICROSE INDIA LTD</t>
        </is>
      </c>
      <c r="C2588" s="97" t="n">
        <v>523343</v>
      </c>
      <c r="D2588" s="96" t="inlineStr">
        <is>
          <t>Not Listed</t>
        </is>
      </c>
      <c r="E2588" s="96" t="inlineStr">
        <is>
          <t>Finance (including NBFCs)</t>
        </is>
      </c>
    </row>
    <row r="2589" ht="15" customHeight="1" s="109" thickBot="1">
      <c r="B2589" s="96" t="inlineStr">
        <is>
          <t>MID EAST PORTFOLIO MANAGEMENT LTD</t>
        </is>
      </c>
      <c r="C2589" s="97" t="n">
        <v>526251</v>
      </c>
      <c r="D2589" s="96" t="inlineStr">
        <is>
          <t>Not Listed</t>
        </is>
      </c>
      <c r="E2589" s="96" t="inlineStr">
        <is>
          <t>Other Financial Services</t>
        </is>
      </c>
    </row>
    <row r="2590" ht="15" customHeight="1" s="109" thickBot="1">
      <c r="B2590" s="96" t="inlineStr">
        <is>
          <t>MID INDIA INDUSTRIES LTD</t>
        </is>
      </c>
      <c r="C2590" s="97" t="n">
        <v>500277</v>
      </c>
      <c r="D2590" s="96" t="inlineStr">
        <is>
          <t>Not Listed</t>
        </is>
      </c>
      <c r="E2590" s="96" t="inlineStr">
        <is>
          <t>Textiles</t>
        </is>
      </c>
    </row>
    <row r="2591" ht="15" customHeight="1" s="109" thickBot="1">
      <c r="B2591" s="96" t="inlineStr">
        <is>
          <t>MIDAS INFRA TRADE LTD</t>
        </is>
      </c>
      <c r="C2591" s="97" t="n">
        <v>531192</v>
      </c>
      <c r="D2591" s="96" t="inlineStr">
        <is>
          <t>Not Listed</t>
        </is>
      </c>
      <c r="E2591" s="96" t="inlineStr">
        <is>
          <t>Finance (including NBFCs)</t>
        </is>
      </c>
    </row>
    <row r="2592" ht="15" customHeight="1" s="109" thickBot="1">
      <c r="B2592" s="96" t="inlineStr">
        <is>
          <t>MIDEAST INTEGRATED STEELS LTD</t>
        </is>
      </c>
      <c r="C2592" s="97" t="n">
        <v>540744</v>
      </c>
      <c r="D2592" s="96" t="inlineStr">
        <is>
          <t>Not Listed</t>
        </is>
      </c>
      <c r="E2592" s="96" t="inlineStr">
        <is>
          <t>Iron &amp; Steel/Interm.Products</t>
        </is>
      </c>
    </row>
    <row r="2593" ht="15" customHeight="1" s="109" thickBot="1">
      <c r="B2593" s="96" t="inlineStr">
        <is>
          <t>MIDVALLEY ENTERTAINMENT LTD.</t>
        </is>
      </c>
      <c r="C2593" s="97" t="n">
        <v>533310</v>
      </c>
      <c r="D2593" s="96" t="inlineStr">
        <is>
          <t>MIDVAL</t>
        </is>
      </c>
      <c r="E2593" s="96" t="inlineStr">
        <is>
          <t>Movies &amp;amp; Entertainment</t>
        </is>
      </c>
    </row>
    <row r="2594" ht="15" customHeight="1" s="109" thickBot="1">
      <c r="B2594" s="96" t="inlineStr">
        <is>
          <t>MIDWEST GOLD LTD</t>
        </is>
      </c>
      <c r="C2594" s="97" t="n">
        <v>526570</v>
      </c>
      <c r="D2594" s="96" t="inlineStr">
        <is>
          <t>Not Listed</t>
        </is>
      </c>
      <c r="E2594" s="96" t="inlineStr">
        <is>
          <t>Construction Materials</t>
        </is>
      </c>
    </row>
    <row r="2595" ht="15" customHeight="1" s="109" thickBot="1">
      <c r="B2595" s="96" t="inlineStr">
        <is>
          <t>MIHIKA INDUSTRIES LTD</t>
        </is>
      </c>
      <c r="C2595" s="97" t="n">
        <v>538895</v>
      </c>
      <c r="D2595" s="96" t="inlineStr">
        <is>
          <t>Not Listed</t>
        </is>
      </c>
      <c r="E2595" s="96" t="inlineStr">
        <is>
          <t>Comm.Trading &amp; Distribution</t>
        </is>
      </c>
    </row>
    <row r="2596" ht="15" customHeight="1" s="109" thickBot="1">
      <c r="B2596" s="96" t="inlineStr">
        <is>
          <t>MILESTONE FURNITURE LTD</t>
        </is>
      </c>
      <c r="C2596" s="97" t="n">
        <v>541337</v>
      </c>
      <c r="D2596" s="96" t="inlineStr">
        <is>
          <t>Not Listed</t>
        </is>
      </c>
      <c r="E2596" s="96" t="inlineStr">
        <is>
          <t>Furniture-Furnishing-Paints</t>
        </is>
      </c>
    </row>
    <row r="2597" ht="15" customHeight="1" s="109" thickBot="1">
      <c r="B2597" s="96" t="inlineStr">
        <is>
          <t>MILESTONE GLOBAL LTD</t>
        </is>
      </c>
      <c r="C2597" s="97" t="n">
        <v>531338</v>
      </c>
      <c r="D2597" s="96" t="inlineStr">
        <is>
          <t>Not Listed</t>
        </is>
      </c>
      <c r="E2597" s="96" t="inlineStr">
        <is>
          <t>Construction Materials</t>
        </is>
      </c>
    </row>
    <row r="2598" ht="15" customHeight="1" s="109" thickBot="1">
      <c r="B2598" s="96" t="inlineStr">
        <is>
          <t>MILGREY FINANCE &amp; INVESTMENTS LTD</t>
        </is>
      </c>
      <c r="C2598" s="97" t="n">
        <v>511018</v>
      </c>
      <c r="D2598" s="96" t="inlineStr">
        <is>
          <t>Not Listed</t>
        </is>
      </c>
      <c r="E2598" s="96" t="inlineStr">
        <is>
          <t>Misc.Commercial Services</t>
        </is>
      </c>
    </row>
    <row r="2599" ht="15" customHeight="1" s="109" thickBot="1">
      <c r="B2599" s="96" t="inlineStr">
        <is>
          <t>MILKFOOD LTD</t>
        </is>
      </c>
      <c r="C2599" s="97" t="n">
        <v>507621</v>
      </c>
      <c r="D2599" s="96" t="inlineStr">
        <is>
          <t>Not Listed</t>
        </is>
      </c>
      <c r="E2599" s="96" t="inlineStr">
        <is>
          <t>Packaged Foods</t>
        </is>
      </c>
    </row>
    <row r="2600" ht="15" customHeight="1" s="109" thickBot="1">
      <c r="B2600" s="96" t="inlineStr">
        <is>
          <t>MILLENNIUM ONLINE SOLUTIONS INDIA LTD</t>
        </is>
      </c>
      <c r="C2600" s="97" t="n">
        <v>511187</v>
      </c>
      <c r="D2600" s="96" t="inlineStr">
        <is>
          <t>Not Listed</t>
        </is>
      </c>
      <c r="E2600" s="96" t="inlineStr">
        <is>
          <t>Misc.Commercial Services</t>
        </is>
      </c>
    </row>
    <row r="2601" ht="15" customHeight="1" s="109" thickBot="1">
      <c r="B2601" s="96" t="inlineStr">
        <is>
          <t>MILTON INDUSTRIES LTD</t>
        </is>
      </c>
      <c r="C2601" s="96" t="inlineStr">
        <is>
          <t>Not Listed</t>
        </is>
      </c>
      <c r="D2601" s="96" t="inlineStr">
        <is>
          <t>MILTON</t>
        </is>
      </c>
      <c r="E2601" s="96" t="inlineStr">
        <is>
          <t>SME</t>
        </is>
      </c>
    </row>
    <row r="2602" ht="15" customHeight="1" s="109" thickBot="1">
      <c r="B2602" s="96" t="inlineStr">
        <is>
          <t>MINAXI TEXTILES LTD</t>
        </is>
      </c>
      <c r="C2602" s="97" t="n">
        <v>531456</v>
      </c>
      <c r="D2602" s="96" t="inlineStr">
        <is>
          <t>Not Listed</t>
        </is>
      </c>
      <c r="E2602" s="96" t="inlineStr">
        <is>
          <t>Textiles</t>
        </is>
      </c>
    </row>
    <row r="2603" ht="15" customHeight="1" s="109" thickBot="1">
      <c r="B2603" s="96" t="inlineStr">
        <is>
          <t>MINDA CORPORATION LTD</t>
        </is>
      </c>
      <c r="C2603" s="97" t="n">
        <v>538962</v>
      </c>
      <c r="D2603" s="96" t="inlineStr">
        <is>
          <t>MINDACORP</t>
        </is>
      </c>
      <c r="E2603" s="96" t="inlineStr">
        <is>
          <t>Auto Parts &amp; Equipment</t>
        </is>
      </c>
    </row>
    <row r="2604" ht="15" customHeight="1" s="109" thickBot="1">
      <c r="B2604" s="96" t="inlineStr">
        <is>
          <t>MINDA FINANCE LTD</t>
        </is>
      </c>
      <c r="C2604" s="97" t="n">
        <v>539303</v>
      </c>
      <c r="D2604" s="96" t="inlineStr">
        <is>
          <t>Not Listed</t>
        </is>
      </c>
      <c r="E2604" s="96" t="inlineStr">
        <is>
          <t>Finance (including NBFCs)</t>
        </is>
      </c>
    </row>
    <row r="2605" ht="15" customHeight="1" s="109" thickBot="1">
      <c r="B2605" s="96" t="inlineStr">
        <is>
          <t>MINDA INDUSTRIES LTD</t>
        </is>
      </c>
      <c r="C2605" s="97" t="n">
        <v>532539</v>
      </c>
      <c r="D2605" s="96" t="inlineStr">
        <is>
          <t>MINDAIND</t>
        </is>
      </c>
      <c r="E2605" s="96" t="inlineStr">
        <is>
          <t>Auto Parts &amp; Equipment</t>
        </is>
      </c>
    </row>
    <row r="2606" ht="15" customHeight="1" s="109" thickBot="1">
      <c r="B2606" s="96" t="inlineStr">
        <is>
          <t>MINDTECK (INDIA) LTD</t>
        </is>
      </c>
      <c r="C2606" s="97" t="n">
        <v>517344</v>
      </c>
      <c r="D2606" s="96" t="inlineStr">
        <is>
          <t>MINDTECK</t>
        </is>
      </c>
      <c r="E2606" s="96" t="inlineStr">
        <is>
          <t>IT Software Products</t>
        </is>
      </c>
    </row>
    <row r="2607" ht="15" customHeight="1" s="109" thickBot="1">
      <c r="B2607" s="96" t="inlineStr">
        <is>
          <t>MINDTECK INDIA LTD</t>
        </is>
      </c>
      <c r="C2607" s="97" t="n">
        <v>517344</v>
      </c>
      <c r="D2607" s="96" t="inlineStr">
        <is>
          <t>MINDTECK</t>
        </is>
      </c>
      <c r="E2607" s="96" t="inlineStr">
        <is>
          <t>IT Software Products</t>
        </is>
      </c>
    </row>
    <row r="2608" ht="15" customHeight="1" s="109" thickBot="1">
      <c r="B2608" s="96" t="inlineStr">
        <is>
          <t>MINDTREE LTD</t>
        </is>
      </c>
      <c r="C2608" s="97" t="n">
        <v>532819</v>
      </c>
      <c r="D2608" s="96" t="inlineStr">
        <is>
          <t>MINDTREE</t>
        </is>
      </c>
      <c r="E2608" s="96" t="inlineStr">
        <is>
          <t>IT Consulting &amp; Software</t>
        </is>
      </c>
    </row>
    <row r="2609" ht="15" customHeight="1" s="109" thickBot="1">
      <c r="B2609" s="96" t="inlineStr">
        <is>
          <t>MINI DIAMONDS (INDIA) LTD</t>
        </is>
      </c>
      <c r="C2609" s="97" t="n">
        <v>523373</v>
      </c>
      <c r="D2609" s="96" t="inlineStr">
        <is>
          <t>Not Listed</t>
        </is>
      </c>
      <c r="E2609" s="96" t="inlineStr">
        <is>
          <t>Other Apparels &amp; Accessories</t>
        </is>
      </c>
    </row>
    <row r="2610" ht="15" customHeight="1" s="109" thickBot="1">
      <c r="B2610" s="96" t="inlineStr">
        <is>
          <t>MINI DIAMONDS INDIA LTD</t>
        </is>
      </c>
      <c r="C2610" s="97" t="n">
        <v>523373</v>
      </c>
      <c r="D2610" s="96" t="inlineStr">
        <is>
          <t>Not Listed</t>
        </is>
      </c>
      <c r="E2610" s="96" t="inlineStr">
        <is>
          <t>Other Apparels &amp; Accessories</t>
        </is>
      </c>
    </row>
    <row r="2611" ht="15" customHeight="1" s="109" thickBot="1">
      <c r="B2611" s="96" t="inlineStr">
        <is>
          <t>MINOLTA FINANCE LTD</t>
        </is>
      </c>
      <c r="C2611" s="97" t="n">
        <v>532164</v>
      </c>
      <c r="D2611" s="96" t="inlineStr">
        <is>
          <t>Not Listed</t>
        </is>
      </c>
      <c r="E2611" s="96" t="inlineStr">
        <is>
          <t>Finance (including NBFCs)</t>
        </is>
      </c>
    </row>
    <row r="2612" ht="15" customHeight="1" s="109" thickBot="1">
      <c r="B2612" s="96" t="inlineStr">
        <is>
          <t>MIPCO SEAMLESS RINGS GUJARAT LTD</t>
        </is>
      </c>
      <c r="C2612" s="97" t="n">
        <v>505797</v>
      </c>
      <c r="D2612" s="96" t="inlineStr">
        <is>
          <t>Not Listed</t>
        </is>
      </c>
      <c r="E2612" s="96" t="inlineStr">
        <is>
          <t>Other Industrial Goods</t>
        </is>
      </c>
    </row>
    <row r="2613" ht="15" customHeight="1" s="109" thickBot="1">
      <c r="B2613" s="96" t="inlineStr">
        <is>
          <t>MIRC ELECTRONICS LTD</t>
        </is>
      </c>
      <c r="C2613" s="97" t="n">
        <v>500279</v>
      </c>
      <c r="D2613" s="96" t="inlineStr">
        <is>
          <t>MIRCELECTR</t>
        </is>
      </c>
      <c r="E2613" s="96" t="inlineStr">
        <is>
          <t>Consumer Electronics</t>
        </is>
      </c>
    </row>
    <row r="2614" ht="15" customHeight="1" s="109" thickBot="1">
      <c r="B2614" s="96" t="inlineStr">
        <is>
          <t>MIRCH TECHNOLOGIES (INDIA) LTD</t>
        </is>
      </c>
      <c r="C2614" s="97" t="n">
        <v>505336</v>
      </c>
      <c r="D2614" s="96" t="inlineStr">
        <is>
          <t>Not Listed</t>
        </is>
      </c>
      <c r="E2614" s="96" t="inlineStr">
        <is>
          <t>Industrial Machinery</t>
        </is>
      </c>
    </row>
    <row r="2615" ht="15" customHeight="1" s="109" thickBot="1">
      <c r="B2615" s="96" t="inlineStr">
        <is>
          <t>MIRCH TECHNOLOGIES INDIA LTD</t>
        </is>
      </c>
      <c r="C2615" s="97" t="n">
        <v>505336</v>
      </c>
      <c r="D2615" s="96" t="inlineStr">
        <is>
          <t>Not Listed</t>
        </is>
      </c>
      <c r="E2615" s="96" t="inlineStr">
        <is>
          <t>Industrial Machinery</t>
        </is>
      </c>
    </row>
    <row r="2616" ht="15" customHeight="1" s="109" thickBot="1">
      <c r="B2616" s="96" t="inlineStr">
        <is>
          <t>MIRZA INTERNATIONAL LTD</t>
        </is>
      </c>
      <c r="C2616" s="97" t="n">
        <v>526642</v>
      </c>
      <c r="D2616" s="96" t="inlineStr">
        <is>
          <t>MIRZAINT</t>
        </is>
      </c>
      <c r="E2616" s="96" t="inlineStr">
        <is>
          <t>Footwear</t>
        </is>
      </c>
    </row>
    <row r="2617" ht="15" customHeight="1" s="109" thickBot="1">
      <c r="B2617" s="96" t="inlineStr">
        <is>
          <t>MISHKA EXIM LTD</t>
        </is>
      </c>
      <c r="C2617" s="97" t="n">
        <v>539220</v>
      </c>
      <c r="D2617" s="96" t="inlineStr">
        <is>
          <t>Not Listed</t>
        </is>
      </c>
      <c r="E2617" s="96" t="inlineStr">
        <is>
          <t>Other Apparels &amp; Accessories</t>
        </is>
      </c>
    </row>
    <row r="2618" ht="15" customHeight="1" s="109" thickBot="1">
      <c r="B2618" s="96" t="inlineStr">
        <is>
          <t>MISHRA DHATU NIGAM LTD</t>
        </is>
      </c>
      <c r="C2618" s="97" t="n">
        <v>541195</v>
      </c>
      <c r="D2618" s="96" t="inlineStr">
        <is>
          <t>MIDHANI</t>
        </is>
      </c>
      <c r="E2618" s="96" t="inlineStr">
        <is>
          <t>Iron &amp; Steel Products</t>
        </is>
      </c>
    </row>
    <row r="2619" ht="15" customHeight="1" s="109" thickBot="1">
      <c r="B2619" s="96" t="inlineStr">
        <is>
          <t>MISHTANN FOODS LTD</t>
        </is>
      </c>
      <c r="C2619" s="97" t="n">
        <v>539594</v>
      </c>
      <c r="D2619" s="96" t="inlineStr">
        <is>
          <t>Not Listed</t>
        </is>
      </c>
      <c r="E2619" s="96" t="inlineStr">
        <is>
          <t>Other Agricultural Products</t>
        </is>
      </c>
    </row>
    <row r="2620" ht="15" customHeight="1" s="109" thickBot="1">
      <c r="B2620" s="96" t="inlineStr">
        <is>
          <t>MITCON CONSULTANCY &amp; ENGINEERING SERVICES LTD</t>
        </is>
      </c>
      <c r="C2620" s="96" t="inlineStr">
        <is>
          <t>Not Listed</t>
        </is>
      </c>
      <c r="D2620" s="96" t="inlineStr">
        <is>
          <t>MITCON</t>
        </is>
      </c>
      <c r="E2620" s="96" t="inlineStr">
        <is>
          <t>SME</t>
        </is>
      </c>
    </row>
    <row r="2621" ht="15" customHeight="1" s="109" thickBot="1">
      <c r="B2621" s="96" t="inlineStr">
        <is>
          <t>MITSHI (INDIA) LTD</t>
        </is>
      </c>
      <c r="C2621" s="97" t="n">
        <v>523782</v>
      </c>
      <c r="D2621" s="96" t="inlineStr">
        <is>
          <t>Not Listed</t>
        </is>
      </c>
      <c r="E2621" s="96" t="inlineStr">
        <is>
          <t>Comm.Trading &amp; Distribution</t>
        </is>
      </c>
    </row>
    <row r="2622" ht="15" customHeight="1" s="109" thickBot="1">
      <c r="B2622" s="96" t="inlineStr">
        <is>
          <t>MITSHI INDIA LTD</t>
        </is>
      </c>
      <c r="C2622" s="97" t="n">
        <v>523782</v>
      </c>
      <c r="D2622" s="96" t="inlineStr">
        <is>
          <t>Not Listed</t>
        </is>
      </c>
      <c r="E2622" s="96" t="inlineStr">
        <is>
          <t>Comm.Trading &amp; Distribution</t>
        </is>
      </c>
    </row>
    <row r="2623" ht="15" customHeight="1" s="109" thickBot="1">
      <c r="B2623" s="96" t="inlineStr">
        <is>
          <t>MITSU CHEM PLAST LTD</t>
        </is>
      </c>
      <c r="C2623" s="97" t="n">
        <v>540078</v>
      </c>
      <c r="D2623" s="96" t="inlineStr">
        <is>
          <t>Not Listed</t>
        </is>
      </c>
      <c r="E2623" s="96" t="inlineStr">
        <is>
          <t>Containers &amp; Packaging</t>
        </is>
      </c>
    </row>
    <row r="2624" ht="15" customHeight="1" s="109" thickBot="1">
      <c r="B2624" s="96" t="inlineStr">
        <is>
          <t>MITTAL LIFE STYLE LTD</t>
        </is>
      </c>
      <c r="C2624" s="96" t="inlineStr">
        <is>
          <t>Not Listed</t>
        </is>
      </c>
      <c r="D2624" s="96" t="inlineStr">
        <is>
          <t>MITTAL</t>
        </is>
      </c>
      <c r="E2624" s="96" t="inlineStr">
        <is>
          <t>SME</t>
        </is>
      </c>
    </row>
    <row r="2625" ht="15" customHeight="1" s="109" thickBot="1">
      <c r="B2625" s="96" t="inlineStr">
        <is>
          <t>MIVEN MACHINE TOOLS LTD.</t>
        </is>
      </c>
      <c r="C2625" s="97" t="n">
        <v>522036</v>
      </c>
      <c r="D2625" s="96" t="inlineStr">
        <is>
          <t>MIVENMACH</t>
        </is>
      </c>
      <c r="E2625" s="96" t="inlineStr">
        <is>
          <t>Other Industrial Goods</t>
        </is>
      </c>
    </row>
    <row r="2626" ht="15" customHeight="1" s="109" thickBot="1">
      <c r="B2626" s="96" t="inlineStr">
        <is>
          <t>MM FORGINGS LTD</t>
        </is>
      </c>
      <c r="C2626" s="97" t="n">
        <v>522241</v>
      </c>
      <c r="D2626" s="96" t="inlineStr">
        <is>
          <t>MMFL</t>
        </is>
      </c>
      <c r="E2626" s="96" t="inlineStr">
        <is>
          <t>Other Industrial Products</t>
        </is>
      </c>
    </row>
    <row r="2627" ht="15" customHeight="1" s="109" thickBot="1">
      <c r="B2627" s="96" t="inlineStr">
        <is>
          <t>MM RUBBER COMPANY LTD.</t>
        </is>
      </c>
      <c r="C2627" s="97" t="n">
        <v>509196</v>
      </c>
      <c r="D2627" s="96" t="inlineStr">
        <is>
          <t>MMRUBBR-B</t>
        </is>
      </c>
      <c r="E2627" s="96" t="inlineStr">
        <is>
          <t>Auto Tyres &amp;amp; Rubber Products</t>
        </is>
      </c>
    </row>
    <row r="2628" ht="15" customHeight="1" s="109" thickBot="1">
      <c r="B2628" s="96" t="inlineStr">
        <is>
          <t>MMP INDUSTRIES LTD</t>
        </is>
      </c>
      <c r="C2628" s="96" t="inlineStr">
        <is>
          <t>Not Listed</t>
        </is>
      </c>
      <c r="D2628" s="96" t="inlineStr">
        <is>
          <t>MMP</t>
        </is>
      </c>
      <c r="E2628" s="96" t="inlineStr">
        <is>
          <t>SME</t>
        </is>
      </c>
    </row>
    <row r="2629" ht="15" customHeight="1" s="109" thickBot="1">
      <c r="B2629" s="96" t="inlineStr">
        <is>
          <t>MMTC LTD</t>
        </is>
      </c>
      <c r="C2629" s="97" t="n">
        <v>513377</v>
      </c>
      <c r="D2629" s="96" t="inlineStr">
        <is>
          <t>MMTC</t>
        </is>
      </c>
      <c r="E2629" s="96" t="inlineStr">
        <is>
          <t>Comm.Trading &amp; Distribution</t>
        </is>
      </c>
    </row>
    <row r="2630" ht="15" customHeight="1" s="109" thickBot="1">
      <c r="B2630" s="96" t="inlineStr">
        <is>
          <t>MODELLA WOOLLENS LTD</t>
        </is>
      </c>
      <c r="C2630" s="97" t="n">
        <v>503772</v>
      </c>
      <c r="D2630" s="96" t="inlineStr">
        <is>
          <t>Not Listed</t>
        </is>
      </c>
      <c r="E2630" s="96" t="inlineStr">
        <is>
          <t>Comm.Trading &amp; Distribution</t>
        </is>
      </c>
    </row>
    <row r="2631" ht="15" customHeight="1" s="109" thickBot="1">
      <c r="B2631" s="96" t="inlineStr">
        <is>
          <t>MODERN (INDIA) LTD</t>
        </is>
      </c>
      <c r="C2631" s="97" t="n">
        <v>503015</v>
      </c>
      <c r="D2631" s="96" t="inlineStr">
        <is>
          <t>Not Listed</t>
        </is>
      </c>
      <c r="E2631" s="96" t="inlineStr">
        <is>
          <t>Comm.Trading &amp; Distribution</t>
        </is>
      </c>
    </row>
    <row r="2632" ht="15" customHeight="1" s="109" thickBot="1">
      <c r="B2632" s="96" t="inlineStr">
        <is>
          <t>MODERN CONVERTERS LTD</t>
        </is>
      </c>
      <c r="C2632" s="97" t="n">
        <v>539762</v>
      </c>
      <c r="D2632" s="96" t="inlineStr">
        <is>
          <t>Not Listed</t>
        </is>
      </c>
      <c r="E2632" s="96" t="inlineStr">
        <is>
          <t>Other Agricultural Products</t>
        </is>
      </c>
    </row>
    <row r="2633" ht="15" customHeight="1" s="109" thickBot="1">
      <c r="B2633" s="96" t="inlineStr">
        <is>
          <t>MODERN DAIRIES LTD</t>
        </is>
      </c>
      <c r="C2633" s="97" t="n">
        <v>519287</v>
      </c>
      <c r="D2633" s="96" t="inlineStr">
        <is>
          <t>Not Listed</t>
        </is>
      </c>
      <c r="E2633" s="96" t="inlineStr">
        <is>
          <t>Packaged Foods</t>
        </is>
      </c>
    </row>
    <row r="2634" ht="15" customHeight="1" s="109" thickBot="1">
      <c r="B2634" s="96" t="inlineStr">
        <is>
          <t>MODERN INDIA LTD</t>
        </is>
      </c>
      <c r="C2634" s="97" t="n">
        <v>503015</v>
      </c>
      <c r="D2634" s="96" t="inlineStr">
        <is>
          <t>Not Listed</t>
        </is>
      </c>
      <c r="E2634" s="96" t="inlineStr">
        <is>
          <t>Comm.Trading &amp; Distribution</t>
        </is>
      </c>
    </row>
    <row r="2635" ht="15" customHeight="1" s="109" thickBot="1">
      <c r="B2635" s="96" t="inlineStr">
        <is>
          <t>MODERN SHARES &amp; STOCKBROKERS LTD</t>
        </is>
      </c>
      <c r="C2635" s="97" t="n">
        <v>509760</v>
      </c>
      <c r="D2635" s="96" t="inlineStr">
        <is>
          <t>Not Listed</t>
        </is>
      </c>
      <c r="E2635" s="96" t="inlineStr">
        <is>
          <t>Other Financial Services</t>
        </is>
      </c>
    </row>
    <row r="2636" ht="15" customHeight="1" s="109" thickBot="1">
      <c r="B2636" s="96" t="inlineStr">
        <is>
          <t>MODERN STEELS LTD.-$</t>
        </is>
      </c>
      <c r="C2636" s="97" t="n">
        <v>513303</v>
      </c>
      <c r="D2636" s="96" t="inlineStr">
        <is>
          <t>MDRNSTL</t>
        </is>
      </c>
      <c r="E2636" s="96" t="inlineStr">
        <is>
          <t>Iron &amp;amp; Steel/Interm.Products</t>
        </is>
      </c>
    </row>
    <row r="2637" ht="15" customHeight="1" s="109" thickBot="1">
      <c r="B2637" s="96" t="inlineStr">
        <is>
          <t>MODEX INTERNATIONAL SECURITIES LTD</t>
        </is>
      </c>
      <c r="C2637" s="97" t="n">
        <v>537092</v>
      </c>
      <c r="D2637" s="96" t="inlineStr">
        <is>
          <t>Not Listed</t>
        </is>
      </c>
      <c r="E2637" s="96" t="inlineStr">
        <is>
          <t>Other Financial Services</t>
        </is>
      </c>
    </row>
    <row r="2638" ht="15" customHeight="1" s="109" thickBot="1">
      <c r="B2638" s="96" t="inlineStr">
        <is>
          <t>MODI NATURALS LTD</t>
        </is>
      </c>
      <c r="C2638" s="97" t="n">
        <v>519003</v>
      </c>
      <c r="D2638" s="96" t="inlineStr">
        <is>
          <t>Not Listed</t>
        </is>
      </c>
      <c r="E2638" s="96" t="inlineStr">
        <is>
          <t>Other Agricultural Products</t>
        </is>
      </c>
    </row>
    <row r="2639" ht="15" customHeight="1" s="109" thickBot="1">
      <c r="B2639" s="96" t="inlineStr">
        <is>
          <t>MODI RUBBER LTD</t>
        </is>
      </c>
      <c r="C2639" s="97" t="n">
        <v>500890</v>
      </c>
      <c r="D2639" s="96" t="inlineStr">
        <is>
          <t>MODIRUBBER</t>
        </is>
      </c>
      <c r="E2639" s="96" t="inlineStr">
        <is>
          <t>Auto Tyres &amp; Rubber Products</t>
        </is>
      </c>
    </row>
    <row r="2640" ht="15" customHeight="1" s="109" thickBot="1">
      <c r="B2640" s="96" t="inlineStr">
        <is>
          <t>MODIPON LTD</t>
        </is>
      </c>
      <c r="C2640" s="97" t="n">
        <v>503776</v>
      </c>
      <c r="D2640" s="96" t="inlineStr">
        <is>
          <t>Not Listed</t>
        </is>
      </c>
      <c r="E2640" s="96" t="inlineStr">
        <is>
          <t>Agrochemicals</t>
        </is>
      </c>
    </row>
    <row r="2641" ht="15" customHeight="1" s="109" thickBot="1">
      <c r="B2641" s="96" t="inlineStr">
        <is>
          <t>MODISON METALS LTD</t>
        </is>
      </c>
      <c r="C2641" s="97" t="n">
        <v>506261</v>
      </c>
      <c r="D2641" s="96" t="inlineStr">
        <is>
          <t>Not Listed</t>
        </is>
      </c>
      <c r="E2641" s="96" t="inlineStr">
        <is>
          <t>Other Elect.Equip./ Prod.</t>
        </is>
      </c>
    </row>
    <row r="2642" ht="15" customHeight="1" s="109" thickBot="1">
      <c r="B2642" s="96" t="inlineStr">
        <is>
          <t>MOHINI HEALTH &amp; HYGIENE LTD</t>
        </is>
      </c>
      <c r="C2642" s="96" t="inlineStr">
        <is>
          <t>Not Listed</t>
        </is>
      </c>
      <c r="D2642" s="96" t="inlineStr">
        <is>
          <t>MHHL</t>
        </is>
      </c>
      <c r="E2642" s="96" t="inlineStr">
        <is>
          <t>SME</t>
        </is>
      </c>
    </row>
    <row r="2643" ht="15" customHeight="1" s="109" thickBot="1">
      <c r="B2643" s="96" t="inlineStr">
        <is>
          <t>MOHIT INDUSTRIES LTD</t>
        </is>
      </c>
      <c r="C2643" s="97" t="n">
        <v>531453</v>
      </c>
      <c r="D2643" s="96" t="inlineStr">
        <is>
          <t>MOHITIND</t>
        </is>
      </c>
      <c r="E2643" s="96" t="inlineStr">
        <is>
          <t>Textiles</t>
        </is>
      </c>
    </row>
    <row r="2644" ht="15" customHeight="1" s="109" thickBot="1">
      <c r="B2644" s="96" t="inlineStr">
        <is>
          <t>MOHIT PAPER MILLS LTD</t>
        </is>
      </c>
      <c r="C2644" s="97" t="n">
        <v>530169</v>
      </c>
      <c r="D2644" s="96" t="inlineStr">
        <is>
          <t>Not Listed</t>
        </is>
      </c>
      <c r="E2644" s="96" t="inlineStr">
        <is>
          <t>Paper &amp; Paper Products</t>
        </is>
      </c>
    </row>
    <row r="2645" ht="15" customHeight="1" s="109" thickBot="1">
      <c r="B2645" s="96" t="inlineStr">
        <is>
          <t>MOHITE INDUSTRIES LTD</t>
        </is>
      </c>
      <c r="C2645" s="97" t="n">
        <v>532140</v>
      </c>
      <c r="D2645" s="96" t="inlineStr">
        <is>
          <t>Not Listed</t>
        </is>
      </c>
      <c r="E2645" s="96" t="inlineStr">
        <is>
          <t>Textiles</t>
        </is>
      </c>
    </row>
    <row r="2646" ht="15" customHeight="1" s="109" thickBot="1">
      <c r="B2646" s="96" t="inlineStr">
        <is>
          <t>MOHOTA INDUSTRIES LTD</t>
        </is>
      </c>
      <c r="C2646" s="97" t="n">
        <v>530047</v>
      </c>
      <c r="D2646" s="96" t="inlineStr">
        <is>
          <t>MOHOTAIND</t>
        </is>
      </c>
      <c r="E2646" s="96" t="inlineStr">
        <is>
          <t>Textiles</t>
        </is>
      </c>
    </row>
    <row r="2647" ht="15" customHeight="1" s="109" thickBot="1">
      <c r="B2647" s="96" t="inlineStr">
        <is>
          <t>MOIL LTD</t>
        </is>
      </c>
      <c r="C2647" s="97" t="n">
        <v>533286</v>
      </c>
      <c r="D2647" s="96" t="inlineStr">
        <is>
          <t>MOIL</t>
        </is>
      </c>
      <c r="E2647" s="96" t="inlineStr">
        <is>
          <t>Mining</t>
        </is>
      </c>
    </row>
    <row r="2648" ht="15" customHeight="1" s="109" thickBot="1">
      <c r="B2648" s="96" t="inlineStr">
        <is>
          <t>MOKSH ORNAMENTS LTD</t>
        </is>
      </c>
      <c r="C2648" s="96" t="inlineStr">
        <is>
          <t>Not Listed</t>
        </is>
      </c>
      <c r="D2648" s="96" t="inlineStr">
        <is>
          <t>MOKSH</t>
        </is>
      </c>
      <c r="E2648" s="96" t="inlineStr">
        <is>
          <t>SME</t>
        </is>
      </c>
    </row>
    <row r="2649" ht="15" customHeight="1" s="109" thickBot="1">
      <c r="B2649" s="96" t="inlineStr">
        <is>
          <t>MOLD-TEK PACKAGING LTD</t>
        </is>
      </c>
      <c r="C2649" s="97" t="n">
        <v>533080</v>
      </c>
      <c r="D2649" s="96" t="inlineStr">
        <is>
          <t>MOLDTKPAC</t>
        </is>
      </c>
      <c r="E2649" s="96" t="inlineStr">
        <is>
          <t>Containers &amp; Packaging</t>
        </is>
      </c>
    </row>
    <row r="2650" ht="15" customHeight="1" s="109" thickBot="1">
      <c r="B2650" s="96" t="inlineStr">
        <is>
          <t>MOLD-TEK TECHNOLOGIES LTD</t>
        </is>
      </c>
      <c r="C2650" s="97" t="n">
        <v>526263</v>
      </c>
      <c r="D2650" s="96" t="inlineStr">
        <is>
          <t>MOLDTECH</t>
        </is>
      </c>
      <c r="E2650" s="96" t="inlineStr">
        <is>
          <t>BPO/KPO</t>
        </is>
      </c>
    </row>
    <row r="2651" ht="15" customHeight="1" s="109" thickBot="1">
      <c r="B2651" s="96" t="inlineStr">
        <is>
          <t>MONARCH NETWORTH CAPITAL LTD</t>
        </is>
      </c>
      <c r="C2651" s="97" t="n">
        <v>511551</v>
      </c>
      <c r="D2651" s="96" t="inlineStr">
        <is>
          <t>Not Listed</t>
        </is>
      </c>
      <c r="E2651" s="96" t="inlineStr">
        <is>
          <t>Other Financial Services</t>
        </is>
      </c>
    </row>
    <row r="2652" ht="15" customHeight="1" s="109" thickBot="1">
      <c r="B2652" s="96" t="inlineStr">
        <is>
          <t>MONEY MASTERS LEASING &amp; FINANCE LTD</t>
        </is>
      </c>
      <c r="C2652" s="97" t="n">
        <v>535910</v>
      </c>
      <c r="D2652" s="96" t="inlineStr">
        <is>
          <t>Not Listed</t>
        </is>
      </c>
      <c r="E2652" s="96" t="inlineStr">
        <is>
          <t>Finance (including NBFCs)</t>
        </is>
      </c>
    </row>
    <row r="2653" ht="15" customHeight="1" s="109" thickBot="1">
      <c r="B2653" s="96" t="inlineStr">
        <is>
          <t>MONNET INDUSTRIES LTD</t>
        </is>
      </c>
      <c r="C2653" s="97" t="n">
        <v>532078</v>
      </c>
      <c r="D2653" s="96" t="inlineStr">
        <is>
          <t>Not Listed</t>
        </is>
      </c>
      <c r="E2653" s="96" t="inlineStr">
        <is>
          <t>Iron &amp; Steel/Interm.Products</t>
        </is>
      </c>
    </row>
    <row r="2654" ht="15" customHeight="1" s="109" thickBot="1">
      <c r="B2654" s="96" t="inlineStr">
        <is>
          <t>MONNET ISPAT &amp; ENERGY LTD</t>
        </is>
      </c>
      <c r="C2654" s="97" t="n">
        <v>513446</v>
      </c>
      <c r="D2654" s="96" t="inlineStr">
        <is>
          <t>AIONJSW</t>
        </is>
      </c>
      <c r="E2654" s="96" t="inlineStr">
        <is>
          <t>Iron &amp; Steel/Interm.Products</t>
        </is>
      </c>
    </row>
    <row r="2655" ht="15" customHeight="1" s="109" thickBot="1">
      <c r="B2655" s="96" t="inlineStr">
        <is>
          <t>MONNET PROJECT DEVELOPERS LTD</t>
        </is>
      </c>
      <c r="C2655" s="97" t="n">
        <v>532723</v>
      </c>
      <c r="D2655" s="96" t="inlineStr">
        <is>
          <t>Not Listed</t>
        </is>
      </c>
      <c r="E2655" s="96" t="inlineStr">
        <is>
          <t>Realty</t>
        </is>
      </c>
    </row>
    <row r="2656" ht="15" customHeight="1" s="109" thickBot="1">
      <c r="B2656" s="96" t="inlineStr">
        <is>
          <t>MONOTYPE (INDIA) LTD</t>
        </is>
      </c>
      <c r="C2656" s="97" t="n">
        <v>505343</v>
      </c>
      <c r="D2656" s="96" t="inlineStr">
        <is>
          <t>Not Listed</t>
        </is>
      </c>
      <c r="E2656" s="96" t="inlineStr">
        <is>
          <t>Misc.Commercial Services</t>
        </is>
      </c>
    </row>
    <row r="2657" ht="15" customHeight="1" s="109" thickBot="1">
      <c r="B2657" s="96" t="inlineStr">
        <is>
          <t>MONOTYPE INDIA LTD</t>
        </is>
      </c>
      <c r="C2657" s="97" t="n">
        <v>505343</v>
      </c>
      <c r="D2657" s="96" t="inlineStr">
        <is>
          <t>Not Listed</t>
        </is>
      </c>
      <c r="E2657" s="96" t="inlineStr">
        <is>
          <t>Misc.Commercial Services</t>
        </is>
      </c>
    </row>
    <row r="2658" ht="15" customHeight="1" s="109" thickBot="1">
      <c r="B2658" s="96" t="inlineStr">
        <is>
          <t>MONSANTO (INDIA) LTD</t>
        </is>
      </c>
      <c r="C2658" s="97" t="n">
        <v>524084</v>
      </c>
      <c r="D2658" s="96" t="inlineStr">
        <is>
          <t>MONSANTO</t>
        </is>
      </c>
      <c r="E2658" s="96" t="inlineStr">
        <is>
          <t>Agrochemicals</t>
        </is>
      </c>
    </row>
    <row r="2659" ht="15" customHeight="1" s="109" thickBot="1">
      <c r="B2659" s="96" t="inlineStr">
        <is>
          <t>MONSANTO INDIA LTD</t>
        </is>
      </c>
      <c r="C2659" s="97" t="n">
        <v>524084</v>
      </c>
      <c r="D2659" s="96" t="inlineStr">
        <is>
          <t>MONSANTO</t>
        </is>
      </c>
      <c r="E2659" s="96" t="inlineStr">
        <is>
          <t>Agrochemicals</t>
        </is>
      </c>
    </row>
    <row r="2660" ht="15" customHeight="1" s="109" thickBot="1">
      <c r="B2660" s="96" t="inlineStr">
        <is>
          <t>MONTE CARLO FASHIONS LTD</t>
        </is>
      </c>
      <c r="C2660" s="97" t="n">
        <v>538836</v>
      </c>
      <c r="D2660" s="96" t="inlineStr">
        <is>
          <t>MONTECARLO</t>
        </is>
      </c>
      <c r="E2660" s="96" t="inlineStr">
        <is>
          <t>Other Apparels &amp; Accessories</t>
        </is>
      </c>
    </row>
    <row r="2661" ht="15" customHeight="1" s="109" thickBot="1">
      <c r="B2661" s="96" t="inlineStr">
        <is>
          <t>MOONGIPA CAPITAL FINANCE LTD</t>
        </is>
      </c>
      <c r="C2661" s="97" t="n">
        <v>530167</v>
      </c>
      <c r="D2661" s="96" t="inlineStr">
        <is>
          <t>Not Listed</t>
        </is>
      </c>
      <c r="E2661" s="96" t="inlineStr">
        <is>
          <t>Finance (including NBFCs)</t>
        </is>
      </c>
    </row>
    <row r="2662" ht="15" customHeight="1" s="109" thickBot="1">
      <c r="B2662" s="96" t="inlineStr">
        <is>
          <t>MOONGIPA SECURITIES LTD</t>
        </is>
      </c>
      <c r="C2662" s="97" t="n">
        <v>539199</v>
      </c>
      <c r="D2662" s="96" t="inlineStr">
        <is>
          <t>Not Listed</t>
        </is>
      </c>
      <c r="E2662" s="96" t="inlineStr">
        <is>
          <t>Other Financial Services</t>
        </is>
      </c>
    </row>
    <row r="2663" ht="15" customHeight="1" s="109" thickBot="1">
      <c r="B2663" s="96" t="inlineStr">
        <is>
          <t>MORARJEE TEXTILES LTD</t>
        </is>
      </c>
      <c r="C2663" s="97" t="n">
        <v>532621</v>
      </c>
      <c r="D2663" s="96" t="inlineStr">
        <is>
          <t>MORARJEE</t>
        </is>
      </c>
      <c r="E2663" s="96" t="inlineStr">
        <is>
          <t>Textiles</t>
        </is>
      </c>
    </row>
    <row r="2664" ht="15" customHeight="1" s="109" thickBot="1">
      <c r="B2664" s="96" t="inlineStr">
        <is>
          <t>MORARKA FINANCE LTD</t>
        </is>
      </c>
      <c r="C2664" s="97" t="n">
        <v>511549</v>
      </c>
      <c r="D2664" s="96" t="inlineStr">
        <is>
          <t>Not Listed</t>
        </is>
      </c>
      <c r="E2664" s="96" t="inlineStr">
        <is>
          <t>Finance (including NBFCs)</t>
        </is>
      </c>
    </row>
    <row r="2665" ht="15" customHeight="1" s="109" thickBot="1">
      <c r="B2665" s="96" t="inlineStr">
        <is>
          <t>MOREPEN LABORATORIES LTD</t>
        </is>
      </c>
      <c r="C2665" s="97" t="n">
        <v>500288</v>
      </c>
      <c r="D2665" s="96" t="inlineStr">
        <is>
          <t>MOREPENLAB</t>
        </is>
      </c>
      <c r="E2665" s="96" t="inlineStr">
        <is>
          <t>Pharmaceuticals</t>
        </is>
      </c>
    </row>
    <row r="2666" ht="15" customHeight="1" s="109" thickBot="1">
      <c r="B2666" s="96" t="inlineStr">
        <is>
          <t>MORGAN VENTURES LTD</t>
        </is>
      </c>
      <c r="C2666" s="97" t="n">
        <v>526237</v>
      </c>
      <c r="D2666" s="96" t="inlineStr">
        <is>
          <t>Not Listed</t>
        </is>
      </c>
      <c r="E2666" s="96" t="inlineStr">
        <is>
          <t>Finance (including NBFCs)</t>
        </is>
      </c>
    </row>
    <row r="2667" ht="15" customHeight="1" s="109" thickBot="1">
      <c r="B2667" s="96" t="inlineStr">
        <is>
          <t>MORGANITE CRUCIBLE (INDIA) LTD</t>
        </is>
      </c>
      <c r="C2667" s="97" t="n">
        <v>523160</v>
      </c>
      <c r="D2667" s="96" t="inlineStr">
        <is>
          <t>Not Listed</t>
        </is>
      </c>
      <c r="E2667" s="96" t="inlineStr">
        <is>
          <t>Other Industrial Goods</t>
        </is>
      </c>
    </row>
    <row r="2668" ht="15" customHeight="1" s="109" thickBot="1">
      <c r="B2668" s="96" t="inlineStr">
        <is>
          <t>MORGANITE CRUCIBLE INDIA LTD</t>
        </is>
      </c>
      <c r="C2668" s="97" t="n">
        <v>523160</v>
      </c>
      <c r="D2668" s="96" t="inlineStr">
        <is>
          <t>Not Listed</t>
        </is>
      </c>
      <c r="E2668" s="96" t="inlineStr">
        <is>
          <t>Other Industrial Goods</t>
        </is>
      </c>
    </row>
    <row r="2669" ht="15" customHeight="1" s="109" thickBot="1">
      <c r="B2669" s="96" t="inlineStr">
        <is>
          <t>MORYO INDUSTRIES LTD.</t>
        </is>
      </c>
      <c r="C2669" s="97" t="n">
        <v>513305</v>
      </c>
      <c r="D2669" s="96" t="inlineStr">
        <is>
          <t>MORYOIND</t>
        </is>
      </c>
      <c r="E2669" s="96" t="inlineStr">
        <is>
          <t>Misc.Commercial Services</t>
        </is>
      </c>
    </row>
    <row r="2670" ht="15" customHeight="1" s="109" thickBot="1">
      <c r="B2670" s="96" t="inlineStr">
        <is>
          <t>MOSCHIP SEMICONDUCTOR TECHNOLOGY LTD</t>
        </is>
      </c>
      <c r="C2670" s="97" t="n">
        <v>532407</v>
      </c>
      <c r="D2670" s="96" t="inlineStr">
        <is>
          <t>Not Listed</t>
        </is>
      </c>
      <c r="E2670" s="96" t="inlineStr">
        <is>
          <t>IT Software Products</t>
        </is>
      </c>
    </row>
    <row r="2671" ht="15" customHeight="1" s="109" thickBot="1">
      <c r="B2671" s="96" t="inlineStr">
        <is>
          <t>MOSER-BAER I LTD</t>
        </is>
      </c>
      <c r="C2671" s="96" t="inlineStr">
        <is>
          <t>Not Listed</t>
        </is>
      </c>
      <c r="D2671" s="96" t="inlineStr">
        <is>
          <t>MOSERBAER</t>
        </is>
      </c>
      <c r="E2671" s="96" t="inlineStr">
        <is>
          <t>Others</t>
        </is>
      </c>
    </row>
    <row r="2672" ht="15" customHeight="1" s="109" thickBot="1">
      <c r="B2672" s="96" t="inlineStr">
        <is>
          <t>MOTHERSON SUMI SYSTEMS LTD</t>
        </is>
      </c>
      <c r="C2672" s="97" t="n">
        <v>517334</v>
      </c>
      <c r="D2672" s="96" t="inlineStr">
        <is>
          <t>MOTHERSUMI</t>
        </is>
      </c>
      <c r="E2672" s="96" t="inlineStr">
        <is>
          <t>Auto Parts &amp; Equipment</t>
        </is>
      </c>
    </row>
    <row r="2673" ht="15" customHeight="1" s="109" thickBot="1">
      <c r="B2673" s="96" t="inlineStr">
        <is>
          <t>MOTILAL OSWAL FINANCIAL SERVICES LTD</t>
        </is>
      </c>
      <c r="C2673" s="97" t="n">
        <v>532892</v>
      </c>
      <c r="D2673" s="96" t="inlineStr">
        <is>
          <t>MOTILALOFS</t>
        </is>
      </c>
      <c r="E2673" s="96" t="inlineStr">
        <is>
          <t>Finance (including NBFCs)</t>
        </is>
      </c>
    </row>
    <row r="2674" ht="15" customHeight="1" s="109" thickBot="1">
      <c r="B2674" s="96" t="inlineStr">
        <is>
          <t>Motilal Oswal MOSt Shares M50 ETF</t>
        </is>
      </c>
      <c r="C2674" s="97" t="n">
        <v>590115</v>
      </c>
      <c r="D2674" s="96" t="inlineStr">
        <is>
          <t>M50</t>
        </is>
      </c>
      <c r="E2674" s="96" t="inlineStr">
        <is>
          <t>Other Financial Services</t>
        </is>
      </c>
    </row>
    <row r="2675" ht="15" customHeight="1" s="109" thickBot="1">
      <c r="B2675" s="96" t="inlineStr">
        <is>
          <t>Motilal Oswal MOSt Shares NASDAQ-100 ETF</t>
        </is>
      </c>
      <c r="C2675" s="97" t="n">
        <v>533385</v>
      </c>
      <c r="D2675" s="96" t="inlineStr">
        <is>
          <t>N100</t>
        </is>
      </c>
      <c r="E2675" s="96" t="inlineStr">
        <is>
          <t>Other Financial Services</t>
        </is>
      </c>
    </row>
    <row r="2676" ht="15" customHeight="1" s="109" thickBot="1">
      <c r="B2676" s="96" t="inlineStr">
        <is>
          <t>MOUNT SHIVALIK INDUSTRIES LTD</t>
        </is>
      </c>
      <c r="C2676" s="97" t="n">
        <v>507522</v>
      </c>
      <c r="D2676" s="96" t="inlineStr">
        <is>
          <t>Not Listed</t>
        </is>
      </c>
      <c r="E2676" s="96" t="inlineStr">
        <is>
          <t>Breweries &amp; Distilleries</t>
        </is>
      </c>
    </row>
    <row r="2677" ht="15" customHeight="1" s="109" thickBot="1">
      <c r="B2677" s="96" t="inlineStr">
        <is>
          <t>MPHASIS LTD</t>
        </is>
      </c>
      <c r="C2677" s="97" t="n">
        <v>526299</v>
      </c>
      <c r="D2677" s="96" t="inlineStr">
        <is>
          <t>MPHASIS</t>
        </is>
      </c>
      <c r="E2677" s="96" t="inlineStr">
        <is>
          <t>IT Consulting &amp; Software</t>
        </is>
      </c>
    </row>
    <row r="2678" ht="15" customHeight="1" s="109" thickBot="1">
      <c r="B2678" s="96" t="inlineStr">
        <is>
          <t>MPIL CORPORATION LTD</t>
        </is>
      </c>
      <c r="C2678" s="97" t="n">
        <v>500450</v>
      </c>
      <c r="D2678" s="96" t="inlineStr">
        <is>
          <t>Not Listed</t>
        </is>
      </c>
      <c r="E2678" s="96" t="inlineStr">
        <is>
          <t>Other Financial Services</t>
        </is>
      </c>
    </row>
    <row r="2679" ht="15" customHeight="1" s="109" thickBot="1">
      <c r="B2679" s="96" t="inlineStr">
        <is>
          <t>MPL PLASTICS LTD</t>
        </is>
      </c>
      <c r="C2679" s="97" t="n">
        <v>526143</v>
      </c>
      <c r="D2679" s="96" t="inlineStr">
        <is>
          <t>Not Listed</t>
        </is>
      </c>
      <c r="E2679" s="96" t="inlineStr">
        <is>
          <t>Containers &amp; Packaging</t>
        </is>
      </c>
    </row>
    <row r="2680" ht="15" customHeight="1" s="109" thickBot="1">
      <c r="B2680" s="96" t="inlineStr">
        <is>
          <t>MPS LTD</t>
        </is>
      </c>
      <c r="C2680" s="97" t="n">
        <v>532440</v>
      </c>
      <c r="D2680" s="96" t="inlineStr">
        <is>
          <t>MPSLTD</t>
        </is>
      </c>
      <c r="E2680" s="96" t="inlineStr">
        <is>
          <t>Comm.Printing/Stationery</t>
        </is>
      </c>
    </row>
    <row r="2681" ht="15" customHeight="1" s="109" thickBot="1">
      <c r="B2681" s="96" t="inlineStr">
        <is>
          <t>MRC EXIM LTD</t>
        </is>
      </c>
      <c r="C2681" s="97" t="n">
        <v>540809</v>
      </c>
      <c r="D2681" s="96" t="inlineStr">
        <is>
          <t>Not Listed</t>
        </is>
      </c>
      <c r="E2681" s="96" t="inlineStr">
        <is>
          <t>Comm.Trading &amp; Distribution</t>
        </is>
      </c>
    </row>
    <row r="2682" ht="15" customHeight="1" s="109" thickBot="1">
      <c r="B2682" s="96" t="inlineStr">
        <is>
          <t>MRF LTD</t>
        </is>
      </c>
      <c r="C2682" s="97" t="n">
        <v>500290</v>
      </c>
      <c r="D2682" s="96" t="inlineStr">
        <is>
          <t>MRF</t>
        </is>
      </c>
      <c r="E2682" s="96" t="inlineStr">
        <is>
          <t>Auto Tyres &amp; Rubber Products</t>
        </is>
      </c>
    </row>
    <row r="2683" ht="15" customHeight="1" s="109" thickBot="1">
      <c r="B2683" s="96" t="inlineStr">
        <is>
          <t>MRO-TEK REALTY LTD</t>
        </is>
      </c>
      <c r="C2683" s="97" t="n">
        <v>532376</v>
      </c>
      <c r="D2683" s="96" t="inlineStr">
        <is>
          <t>MRO-TEK</t>
        </is>
      </c>
      <c r="E2683" s="96" t="inlineStr">
        <is>
          <t>Telecom Equipment</t>
        </is>
      </c>
    </row>
    <row r="2684" ht="15" customHeight="1" s="109" thickBot="1">
      <c r="B2684" s="96" t="inlineStr">
        <is>
          <t>MRUGESH TRADING LTD</t>
        </is>
      </c>
      <c r="C2684" s="97" t="n">
        <v>512065</v>
      </c>
      <c r="D2684" s="96" t="inlineStr">
        <is>
          <t>Not Listed</t>
        </is>
      </c>
      <c r="E2684" s="96" t="inlineStr">
        <is>
          <t>Finance (including NBFCs)</t>
        </is>
      </c>
    </row>
    <row r="2685" ht="15" customHeight="1" s="109" thickBot="1">
      <c r="B2685" s="96" t="inlineStr">
        <is>
          <t>MSP STEEL &amp; POWER LTD</t>
        </is>
      </c>
      <c r="C2685" s="97" t="n">
        <v>532650</v>
      </c>
      <c r="D2685" s="96" t="inlineStr">
        <is>
          <t>MSPL</t>
        </is>
      </c>
      <c r="E2685" s="96" t="inlineStr">
        <is>
          <t>Iron &amp; Steel Products</t>
        </is>
      </c>
    </row>
    <row r="2686" ht="15" customHeight="1" s="109" thickBot="1">
      <c r="B2686" s="96" t="inlineStr">
        <is>
          <t>MSR (INDIA) LTD</t>
        </is>
      </c>
      <c r="C2686" s="97" t="n">
        <v>508922</v>
      </c>
      <c r="D2686" s="96" t="inlineStr">
        <is>
          <t>Not Listed</t>
        </is>
      </c>
      <c r="E2686" s="96" t="inlineStr">
        <is>
          <t>Houseware</t>
        </is>
      </c>
    </row>
    <row r="2687" ht="15" customHeight="1" s="109" thickBot="1">
      <c r="B2687" s="96" t="inlineStr">
        <is>
          <t>MSR INDIA LTD</t>
        </is>
      </c>
      <c r="C2687" s="97" t="n">
        <v>508922</v>
      </c>
      <c r="D2687" s="96" t="inlineStr">
        <is>
          <t>Not Listed</t>
        </is>
      </c>
      <c r="E2687" s="96" t="inlineStr">
        <is>
          <t>Houseware</t>
        </is>
      </c>
    </row>
    <row r="2688" ht="15" customHeight="1" s="109" thickBot="1">
      <c r="B2688" s="96" t="inlineStr">
        <is>
          <t>Mstc LTD</t>
        </is>
      </c>
      <c r="C2688" s="96" t="inlineStr">
        <is>
          <t>Not Listed</t>
        </is>
      </c>
      <c r="D2688" s="96" t="inlineStr">
        <is>
          <t>MSTCLTD</t>
        </is>
      </c>
      <c r="E2688" s="96" t="inlineStr">
        <is>
          <t>Houseware</t>
        </is>
      </c>
    </row>
    <row r="2689" ht="15" customHeight="1" s="109" thickBot="1">
      <c r="B2689" s="96" t="inlineStr">
        <is>
          <t>MSTC Ltd</t>
        </is>
      </c>
      <c r="C2689" s="97" t="n">
        <v>542597</v>
      </c>
      <c r="D2689" s="96" t="inlineStr">
        <is>
          <t>MSTC</t>
        </is>
      </c>
      <c r="E2689" s="96" t="inlineStr">
        <is>
          <t>Comm.Trading &amp;amp; Distribution</t>
        </is>
      </c>
    </row>
    <row r="2690" ht="15" customHeight="1" s="109" thickBot="1">
      <c r="B2690" s="96" t="inlineStr">
        <is>
          <t>MT EDUCARE LTD</t>
        </is>
      </c>
      <c r="C2690" s="97" t="n">
        <v>534312</v>
      </c>
      <c r="D2690" s="96" t="inlineStr">
        <is>
          <t>MTEDUCARE</t>
        </is>
      </c>
      <c r="E2690" s="96" t="inlineStr">
        <is>
          <t>Education</t>
        </is>
      </c>
    </row>
    <row r="2691" ht="15" customHeight="1" s="109" thickBot="1">
      <c r="B2691" s="96" t="inlineStr">
        <is>
          <t>MUDIT FINLEASE LTD</t>
        </is>
      </c>
      <c r="C2691" s="97" t="n">
        <v>531919</v>
      </c>
      <c r="D2691" s="96" t="inlineStr">
        <is>
          <t>Not Listed</t>
        </is>
      </c>
      <c r="E2691" s="96" t="inlineStr">
        <is>
          <t>Investment Companies</t>
        </is>
      </c>
    </row>
    <row r="2692" ht="15" customHeight="1" s="109" thickBot="1">
      <c r="B2692" s="96" t="inlineStr">
        <is>
          <t>MUDRA FINANCIAL SERVICES LTD</t>
        </is>
      </c>
      <c r="C2692" s="97" t="n">
        <v>539819</v>
      </c>
      <c r="D2692" s="96" t="inlineStr">
        <is>
          <t>Not Listed</t>
        </is>
      </c>
      <c r="E2692" s="96" t="inlineStr">
        <is>
          <t>Other Financial Services</t>
        </is>
      </c>
    </row>
    <row r="2693" ht="15" customHeight="1" s="109" thickBot="1">
      <c r="B2693" s="96" t="inlineStr">
        <is>
          <t>MUDUNURU LTD</t>
        </is>
      </c>
      <c r="C2693" s="97" t="n">
        <v>538743</v>
      </c>
      <c r="D2693" s="96" t="inlineStr">
        <is>
          <t>Not Listed</t>
        </is>
      </c>
      <c r="E2693" s="96" t="inlineStr">
        <is>
          <t>IT Consulting &amp; Software</t>
        </is>
      </c>
    </row>
    <row r="2694" ht="15" customHeight="1" s="109" thickBot="1">
      <c r="B2694" s="96" t="inlineStr">
        <is>
          <t>MUKAND ENGINEERS LTD</t>
        </is>
      </c>
      <c r="C2694" s="97" t="n">
        <v>532097</v>
      </c>
      <c r="D2694" s="96" t="inlineStr">
        <is>
          <t>MUKANDENGG</t>
        </is>
      </c>
      <c r="E2694" s="96" t="inlineStr">
        <is>
          <t>Construction &amp; Engineering</t>
        </is>
      </c>
    </row>
    <row r="2695" ht="15" customHeight="1" s="109" thickBot="1">
      <c r="B2695" s="96" t="inlineStr">
        <is>
          <t>MUKAND LTD</t>
        </is>
      </c>
      <c r="C2695" s="97" t="n">
        <v>500460</v>
      </c>
      <c r="D2695" s="96" t="inlineStr">
        <is>
          <t>MUKANDLTD</t>
        </is>
      </c>
      <c r="E2695" s="96" t="inlineStr">
        <is>
          <t>Iron &amp; Steel/Interm.Products</t>
        </is>
      </c>
    </row>
    <row r="2696" ht="15" customHeight="1" s="109" thickBot="1">
      <c r="B2696" s="96" t="inlineStr">
        <is>
          <t>MUKAT PIPES LTD.-$</t>
        </is>
      </c>
      <c r="C2696" s="97" t="n">
        <v>523832</v>
      </c>
      <c r="D2696" s="96" t="inlineStr">
        <is>
          <t>MUKATPIP</t>
        </is>
      </c>
      <c r="E2696" s="96" t="inlineStr">
        <is>
          <t>Iron &amp;amp; Steel Products</t>
        </is>
      </c>
    </row>
    <row r="2697" ht="15" customHeight="1" s="109" thickBot="1">
      <c r="B2697" s="96" t="inlineStr">
        <is>
          <t>MUKESH BABU FINANCIAL SERVICES LTD</t>
        </is>
      </c>
      <c r="C2697" s="97" t="n">
        <v>530341</v>
      </c>
      <c r="D2697" s="96" t="inlineStr">
        <is>
          <t>Not Listed</t>
        </is>
      </c>
      <c r="E2697" s="96" t="inlineStr">
        <is>
          <t>Other Financial Services</t>
        </is>
      </c>
    </row>
    <row r="2698" ht="15" customHeight="1" s="109" thickBot="1">
      <c r="B2698" s="96" t="inlineStr">
        <is>
          <t>MUKTA AGRICULTURE LTD</t>
        </is>
      </c>
      <c r="C2698" s="97" t="n">
        <v>535204</v>
      </c>
      <c r="D2698" s="96" t="inlineStr">
        <is>
          <t>Not Listed</t>
        </is>
      </c>
      <c r="E2698" s="96" t="inlineStr">
        <is>
          <t>Comm.Trading &amp; Distribution</t>
        </is>
      </c>
    </row>
    <row r="2699" ht="15" customHeight="1" s="109" thickBot="1">
      <c r="B2699" s="96" t="inlineStr">
        <is>
          <t>MUKTA ARTS LTD</t>
        </is>
      </c>
      <c r="C2699" s="97" t="n">
        <v>532357</v>
      </c>
      <c r="D2699" s="96" t="inlineStr">
        <is>
          <t>MUKTAARTS</t>
        </is>
      </c>
      <c r="E2699" s="96" t="inlineStr">
        <is>
          <t>Movies &amp; Entertainment</t>
        </is>
      </c>
    </row>
    <row r="2700" ht="15" customHeight="1" s="109" thickBot="1">
      <c r="B2700" s="96" t="inlineStr">
        <is>
          <t>MULLER &amp; PHIPPS (INDIA) LTD</t>
        </is>
      </c>
      <c r="C2700" s="97" t="n">
        <v>501477</v>
      </c>
      <c r="D2700" s="96" t="inlineStr">
        <is>
          <t>Not Listed</t>
        </is>
      </c>
      <c r="E2700" s="96" t="inlineStr">
        <is>
          <t>Comm.Trading &amp; Distribution</t>
        </is>
      </c>
    </row>
    <row r="2701" ht="15" customHeight="1" s="109" thickBot="1">
      <c r="B2701" s="96" t="inlineStr">
        <is>
          <t>MULLER &amp; PHIPPS INDIA LTD</t>
        </is>
      </c>
      <c r="C2701" s="97" t="n">
        <v>501477</v>
      </c>
      <c r="D2701" s="96" t="inlineStr">
        <is>
          <t>Not Listed</t>
        </is>
      </c>
      <c r="E2701" s="96" t="inlineStr">
        <is>
          <t>Comm.Trading &amp; Distribution</t>
        </is>
      </c>
    </row>
    <row r="2702" ht="15" customHeight="1" s="109" thickBot="1">
      <c r="B2702" s="96" t="inlineStr">
        <is>
          <t>MULTI COMMODITY EXCHANGE OF (INDIA) LTD</t>
        </is>
      </c>
      <c r="C2702" s="97" t="n">
        <v>534091</v>
      </c>
      <c r="D2702" s="96" t="inlineStr">
        <is>
          <t>MCX</t>
        </is>
      </c>
      <c r="E2702" s="96" t="inlineStr">
        <is>
          <t>Investment Companies</t>
        </is>
      </c>
    </row>
    <row r="2703" ht="15" customHeight="1" s="109" thickBot="1">
      <c r="B2703" s="96" t="inlineStr">
        <is>
          <t>MULTI COMMODITY EXCHANGE OF INDIA LTD</t>
        </is>
      </c>
      <c r="C2703" s="97" t="n">
        <v>534091</v>
      </c>
      <c r="D2703" s="96" t="inlineStr">
        <is>
          <t>MCX</t>
        </is>
      </c>
      <c r="E2703" s="96" t="inlineStr">
        <is>
          <t>Investment Companies</t>
        </is>
      </c>
    </row>
    <row r="2704" ht="15" customHeight="1" s="109" thickBot="1">
      <c r="B2704" s="96" t="inlineStr">
        <is>
          <t>MULTIBASE (INDIA) LTD</t>
        </is>
      </c>
      <c r="C2704" s="97" t="n">
        <v>526169</v>
      </c>
      <c r="D2704" s="96" t="inlineStr">
        <is>
          <t>Not Listed</t>
        </is>
      </c>
      <c r="E2704" s="96" t="inlineStr">
        <is>
          <t>Auto Tyres &amp; Rubber Products</t>
        </is>
      </c>
    </row>
    <row r="2705" ht="15" customHeight="1" s="109" thickBot="1">
      <c r="B2705" s="96" t="inlineStr">
        <is>
          <t>MULTIBASE INDIA LTD</t>
        </is>
      </c>
      <c r="C2705" s="97" t="n">
        <v>526169</v>
      </c>
      <c r="D2705" s="96" t="inlineStr">
        <is>
          <t>Not Listed</t>
        </is>
      </c>
      <c r="E2705" s="96" t="inlineStr">
        <is>
          <t>Auto Tyres &amp; Rubber Products</t>
        </is>
      </c>
    </row>
    <row r="2706" ht="15" customHeight="1" s="109" thickBot="1">
      <c r="B2706" s="96" t="inlineStr">
        <is>
          <t>MULTIPLUS HOLDINGS LTD</t>
        </is>
      </c>
      <c r="C2706" s="97" t="n">
        <v>505594</v>
      </c>
      <c r="D2706" s="96" t="inlineStr">
        <is>
          <t>Not Listed</t>
        </is>
      </c>
      <c r="E2706" s="96" t="inlineStr">
        <is>
          <t>Misc.Commercial Services</t>
        </is>
      </c>
    </row>
    <row r="2707" ht="15" customHeight="1" s="109" thickBot="1">
      <c r="B2707" s="96" t="inlineStr">
        <is>
          <t>MULTIPURPOSE TRADING &amp; AGENCIES LTD</t>
        </is>
      </c>
      <c r="C2707" s="97" t="n">
        <v>504356</v>
      </c>
      <c r="D2707" s="96" t="inlineStr">
        <is>
          <t>Not Listed</t>
        </is>
      </c>
      <c r="E2707" s="96" t="inlineStr">
        <is>
          <t>Misc.Commercial Services</t>
        </is>
      </c>
    </row>
    <row r="2708" ht="15" customHeight="1" s="109" thickBot="1">
      <c r="B2708" s="96" t="inlineStr">
        <is>
          <t>MUNJAL AUTO INDUSTRIES LTD</t>
        </is>
      </c>
      <c r="C2708" s="97" t="n">
        <v>520059</v>
      </c>
      <c r="D2708" s="96" t="inlineStr">
        <is>
          <t>MUNJALAU</t>
        </is>
      </c>
      <c r="E2708" s="96" t="inlineStr">
        <is>
          <t>Auto Parts &amp; Equipment</t>
        </is>
      </c>
    </row>
    <row r="2709" ht="15" customHeight="1" s="109" thickBot="1">
      <c r="B2709" s="96" t="inlineStr">
        <is>
          <t>MUNJAL SHOWA LTD</t>
        </is>
      </c>
      <c r="C2709" s="97" t="n">
        <v>520043</v>
      </c>
      <c r="D2709" s="96" t="inlineStr">
        <is>
          <t>MUNJALSHOW</t>
        </is>
      </c>
      <c r="E2709" s="96" t="inlineStr">
        <is>
          <t>Auto Parts &amp; Equipment</t>
        </is>
      </c>
    </row>
    <row r="2710" ht="15" customHeight="1" s="109" thickBot="1">
      <c r="B2710" s="96" t="inlineStr">
        <is>
          <t>MUNOTH CAPITAL MARKET LTD</t>
        </is>
      </c>
      <c r="C2710" s="97" t="n">
        <v>511200</v>
      </c>
      <c r="D2710" s="96" t="inlineStr">
        <is>
          <t>Not Listed</t>
        </is>
      </c>
      <c r="E2710" s="96" t="inlineStr">
        <is>
          <t>Misc.Commercial Services</t>
        </is>
      </c>
    </row>
    <row r="2711" ht="15" customHeight="1" s="109" thickBot="1">
      <c r="B2711" s="96" t="inlineStr">
        <is>
          <t>Munoth Communication Ltd</t>
        </is>
      </c>
      <c r="C2711" s="97" t="n">
        <v>511401</v>
      </c>
      <c r="D2711" s="96" t="inlineStr">
        <is>
          <t>MCLTD</t>
        </is>
      </c>
      <c r="E2711" s="96" t="inlineStr">
        <is>
          <t>Other Financial Services</t>
        </is>
      </c>
    </row>
    <row r="2712" ht="15" customHeight="1" s="109" thickBot="1">
      <c r="B2712" s="96" t="inlineStr">
        <is>
          <t>MUNOTH FINANCIAL SERVICES LTD</t>
        </is>
      </c>
      <c r="C2712" s="97" t="n">
        <v>531821</v>
      </c>
      <c r="D2712" s="96" t="inlineStr">
        <is>
          <t>Not Listed</t>
        </is>
      </c>
      <c r="E2712" s="96" t="inlineStr">
        <is>
          <t>Other Financial Services</t>
        </is>
      </c>
    </row>
    <row r="2713" ht="15" customHeight="1" s="109" thickBot="1">
      <c r="B2713" s="96" t="inlineStr">
        <is>
          <t>MURUDESHWAR CERAMICS LTD</t>
        </is>
      </c>
      <c r="C2713" s="97" t="n">
        <v>515037</v>
      </c>
      <c r="D2713" s="96" t="inlineStr">
        <is>
          <t>MURUDCERA</t>
        </is>
      </c>
      <c r="E2713" s="96" t="inlineStr">
        <is>
          <t>Furniture-Furnishing-Paints</t>
        </is>
      </c>
    </row>
    <row r="2714" ht="15" customHeight="1" s="109" thickBot="1">
      <c r="B2714" s="96" t="inlineStr">
        <is>
          <t>MUSIC BROADCAST LTD</t>
        </is>
      </c>
      <c r="C2714" s="97" t="n">
        <v>540366</v>
      </c>
      <c r="D2714" s="96" t="inlineStr">
        <is>
          <t>RADIOCITY</t>
        </is>
      </c>
      <c r="E2714" s="96" t="inlineStr">
        <is>
          <t>Broadcasting &amp; Cable TV</t>
        </is>
      </c>
    </row>
    <row r="2715" ht="15" customHeight="1" s="109" thickBot="1">
      <c r="B2715" s="96" t="inlineStr">
        <is>
          <t>MUTHOOT CAPITAL SERVICES LTD</t>
        </is>
      </c>
      <c r="C2715" s="97" t="n">
        <v>511766</v>
      </c>
      <c r="D2715" s="96" t="inlineStr">
        <is>
          <t>MUTHOOTCAP</t>
        </is>
      </c>
      <c r="E2715" s="96" t="inlineStr">
        <is>
          <t>Finance (including NBFCs)</t>
        </is>
      </c>
    </row>
    <row r="2716" ht="15" customHeight="1" s="109" thickBot="1">
      <c r="B2716" s="96" t="inlineStr">
        <is>
          <t>MUTHOOT FINANCE LTD</t>
        </is>
      </c>
      <c r="C2716" s="97" t="n">
        <v>533398</v>
      </c>
      <c r="D2716" s="96" t="inlineStr">
        <is>
          <t>MUTHOOTFIN</t>
        </is>
      </c>
      <c r="E2716" s="96" t="inlineStr">
        <is>
          <t>Finance (including NBFCs)</t>
        </is>
      </c>
    </row>
    <row r="2717" ht="15" customHeight="1" s="109" thickBot="1">
      <c r="B2717" s="96" t="inlineStr">
        <is>
          <t>MVL LTD</t>
        </is>
      </c>
      <c r="C2717" s="97" t="n">
        <v>532991</v>
      </c>
      <c r="D2717" s="96" t="inlineStr">
        <is>
          <t>MVL</t>
        </is>
      </c>
      <c r="E2717" s="96" t="inlineStr">
        <is>
          <t>Realty</t>
        </is>
      </c>
    </row>
    <row r="2718" ht="15" customHeight="1" s="109" thickBot="1">
      <c r="B2718" s="96" t="inlineStr">
        <is>
          <t>MY MONEY SECURITIES LTD</t>
        </is>
      </c>
      <c r="C2718" s="97" t="n">
        <v>538862</v>
      </c>
      <c r="D2718" s="96" t="inlineStr">
        <is>
          <t>Not Listed</t>
        </is>
      </c>
      <c r="E2718" s="96" t="inlineStr">
        <is>
          <t>Other Financial Services</t>
        </is>
      </c>
    </row>
    <row r="2719" ht="15" customHeight="1" s="109" thickBot="1">
      <c r="B2719" s="96" t="inlineStr">
        <is>
          <t>MYSORE PETRO CHEMICALS LTD</t>
        </is>
      </c>
      <c r="C2719" s="97" t="n">
        <v>506734</v>
      </c>
      <c r="D2719" s="96" t="inlineStr">
        <is>
          <t>Not Listed</t>
        </is>
      </c>
      <c r="E2719" s="96" t="inlineStr">
        <is>
          <t>Commodity Chemicals</t>
        </is>
      </c>
    </row>
    <row r="2720" ht="15" customHeight="1" s="109" thickBot="1">
      <c r="B2720" s="96" t="inlineStr">
        <is>
          <t>MYSTIC ELECTRONICS LTD</t>
        </is>
      </c>
      <c r="C2720" s="97" t="n">
        <v>535205</v>
      </c>
      <c r="D2720" s="96" t="inlineStr">
        <is>
          <t>Not Listed</t>
        </is>
      </c>
      <c r="E2720" s="96" t="inlineStr">
        <is>
          <t>Comm.Trading &amp; Distribution</t>
        </is>
      </c>
    </row>
    <row r="2721" ht="15" customHeight="1" s="109" thickBot="1">
      <c r="B2721" s="96" t="inlineStr">
        <is>
          <t>N B I INDUSTRIAL FINANCE COMPANY LTD</t>
        </is>
      </c>
      <c r="C2721" s="96" t="inlineStr">
        <is>
          <t>Not Listed</t>
        </is>
      </c>
      <c r="D2721" s="96" t="inlineStr">
        <is>
          <t>NBIFIN</t>
        </is>
      </c>
      <c r="E2721" s="96" t="inlineStr">
        <is>
          <t>Others</t>
        </is>
      </c>
    </row>
    <row r="2722" ht="15" customHeight="1" s="109" thickBot="1">
      <c r="B2722" s="96" t="inlineStr">
        <is>
          <t>N D METAL INDUSTRIES LTD</t>
        </is>
      </c>
      <c r="C2722" s="97" t="n">
        <v>512024</v>
      </c>
      <c r="D2722" s="96" t="inlineStr">
        <is>
          <t>Not Listed</t>
        </is>
      </c>
      <c r="E2722" s="96" t="inlineStr">
        <is>
          <t>Copper</t>
        </is>
      </c>
    </row>
    <row r="2723" ht="15" customHeight="1" s="109" thickBot="1">
      <c r="B2723" s="96" t="inlineStr">
        <is>
          <t>N G INDUSTRIES LTD</t>
        </is>
      </c>
      <c r="C2723" s="97" t="n">
        <v>530897</v>
      </c>
      <c r="D2723" s="96" t="inlineStr">
        <is>
          <t>Not Listed</t>
        </is>
      </c>
      <c r="E2723" s="96" t="inlineStr">
        <is>
          <t>Healthcare Services</t>
        </is>
      </c>
    </row>
    <row r="2724" ht="15" customHeight="1" s="109" thickBot="1">
      <c r="B2724" s="96" t="inlineStr">
        <is>
          <t>N R AGARWAL INDUSTRIES LTD</t>
        </is>
      </c>
      <c r="C2724" s="97" t="n">
        <v>516082</v>
      </c>
      <c r="D2724" s="96" t="inlineStr">
        <is>
          <t>NRAIL</t>
        </is>
      </c>
      <c r="E2724" s="96" t="inlineStr">
        <is>
          <t>Paper &amp; Paper Products</t>
        </is>
      </c>
    </row>
    <row r="2725" ht="15" customHeight="1" s="109" thickBot="1">
      <c r="B2725" s="96" t="inlineStr">
        <is>
          <t>N R INTERNATIONAL LTD</t>
        </is>
      </c>
      <c r="C2725" s="97" t="n">
        <v>532623</v>
      </c>
      <c r="D2725" s="96" t="inlineStr">
        <is>
          <t>Not Listed</t>
        </is>
      </c>
      <c r="E2725" s="96" t="inlineStr">
        <is>
          <t>Comm.Trading &amp; Distribution</t>
        </is>
      </c>
    </row>
    <row r="2726" ht="15" customHeight="1" s="109" thickBot="1">
      <c r="B2726" s="96" t="inlineStr">
        <is>
          <t>N2N TECHNOLOGIES LTD</t>
        </is>
      </c>
      <c r="C2726" s="97" t="n">
        <v>512279</v>
      </c>
      <c r="D2726" s="96" t="inlineStr">
        <is>
          <t>Not Listed</t>
        </is>
      </c>
      <c r="E2726" s="96" t="inlineStr">
        <is>
          <t>Misc.Commercial Services</t>
        </is>
      </c>
    </row>
    <row r="2727" ht="15" customHeight="1" s="109" thickBot="1">
      <c r="B2727" s="96" t="inlineStr">
        <is>
          <t>NACL INDUSTRIES LTD</t>
        </is>
      </c>
      <c r="C2727" s="97" t="n">
        <v>524709</v>
      </c>
      <c r="D2727" s="96" t="inlineStr">
        <is>
          <t>NACLIND</t>
        </is>
      </c>
      <c r="E2727" s="96" t="inlineStr">
        <is>
          <t>Agrochemicals</t>
        </is>
      </c>
    </row>
    <row r="2728" ht="15" customHeight="1" s="109" thickBot="1">
      <c r="B2728" s="96" t="inlineStr">
        <is>
          <t>NAGA DHUNSERI GROUP LTD</t>
        </is>
      </c>
      <c r="C2728" s="96" t="inlineStr">
        <is>
          <t>Not Listed</t>
        </is>
      </c>
      <c r="D2728" s="96" t="inlineStr">
        <is>
          <t>NDGL</t>
        </is>
      </c>
      <c r="E2728" s="96" t="inlineStr">
        <is>
          <t>Others</t>
        </is>
      </c>
    </row>
    <row r="2729" ht="15" customHeight="1" s="109" thickBot="1">
      <c r="B2729" s="96" t="inlineStr">
        <is>
          <t>NAGARJUNA AGRI TECH LTD</t>
        </is>
      </c>
      <c r="C2729" s="97" t="n">
        <v>531832</v>
      </c>
      <c r="D2729" s="96" t="inlineStr">
        <is>
          <t>Not Listed</t>
        </is>
      </c>
      <c r="E2729" s="96" t="inlineStr">
        <is>
          <t>Other Agricultural Products</t>
        </is>
      </c>
    </row>
    <row r="2730" ht="15" customHeight="1" s="109" thickBot="1">
      <c r="B2730" s="96" t="inlineStr">
        <is>
          <t>NAGARJUNA FERTILIZERS AND CHEMICALS LTD</t>
        </is>
      </c>
      <c r="C2730" s="97" t="n">
        <v>539917</v>
      </c>
      <c r="D2730" s="96" t="inlineStr">
        <is>
          <t>NAGAFERT</t>
        </is>
      </c>
      <c r="E2730" s="96" t="inlineStr">
        <is>
          <t>Fertilizers</t>
        </is>
      </c>
    </row>
    <row r="2731" ht="15" customHeight="1" s="109" thickBot="1">
      <c r="B2731" s="96" t="inlineStr">
        <is>
          <t>NAGARJUNA OIL REFINERY LTD</t>
        </is>
      </c>
      <c r="C2731" s="97" t="n">
        <v>534184</v>
      </c>
      <c r="D2731" s="96" t="inlineStr">
        <is>
          <t>NAGAROIL</t>
        </is>
      </c>
      <c r="E2731" s="96" t="inlineStr">
        <is>
          <t>Exploration &amp; Production</t>
        </is>
      </c>
    </row>
    <row r="2732" ht="15" customHeight="1" s="109" thickBot="1">
      <c r="B2732" s="96" t="inlineStr">
        <is>
          <t>NAGPUR POWER &amp; INDUSTRIES LTD</t>
        </is>
      </c>
      <c r="C2732" s="97" t="n">
        <v>532362</v>
      </c>
      <c r="D2732" s="96" t="inlineStr">
        <is>
          <t>Not Listed</t>
        </is>
      </c>
      <c r="E2732" s="96" t="inlineStr">
        <is>
          <t>Iron &amp; Steel/Interm.Products</t>
        </is>
      </c>
    </row>
    <row r="2733" ht="15" customHeight="1" s="109" thickBot="1">
      <c r="B2733" s="96" t="inlineStr">
        <is>
          <t>NAGREEKA CAPITAL &amp; INFRASTRUCTURE LTD</t>
        </is>
      </c>
      <c r="C2733" s="97" t="n">
        <v>532895</v>
      </c>
      <c r="D2733" s="96" t="inlineStr">
        <is>
          <t>NAGREEKCAP</t>
        </is>
      </c>
      <c r="E2733" s="96" t="inlineStr">
        <is>
          <t>Investment Companies</t>
        </is>
      </c>
    </row>
    <row r="2734" ht="15" customHeight="1" s="109" thickBot="1">
      <c r="B2734" s="96" t="inlineStr">
        <is>
          <t>NAGREEKA EXPORTS LTD</t>
        </is>
      </c>
      <c r="C2734" s="97" t="n">
        <v>521109</v>
      </c>
      <c r="D2734" s="96" t="inlineStr">
        <is>
          <t>NAGREEKEXP</t>
        </is>
      </c>
      <c r="E2734" s="96" t="inlineStr">
        <is>
          <t>Textiles</t>
        </is>
      </c>
    </row>
    <row r="2735" ht="15" customHeight="1" s="109" thickBot="1">
      <c r="B2735" s="96" t="inlineStr">
        <is>
          <t>NAHAR CAPITAL AND FINANCIAL SERVICES LTD</t>
        </is>
      </c>
      <c r="C2735" s="97" t="n">
        <v>532952</v>
      </c>
      <c r="D2735" s="96" t="inlineStr">
        <is>
          <t>NAHARCAP</t>
        </is>
      </c>
      <c r="E2735" s="96" t="inlineStr">
        <is>
          <t>Investment Companies</t>
        </is>
      </c>
    </row>
    <row r="2736" ht="15" customHeight="1" s="109" thickBot="1">
      <c r="B2736" s="96" t="inlineStr">
        <is>
          <t>NAHAR INDUSTRIAL ENTERPRISES LTD</t>
        </is>
      </c>
      <c r="C2736" s="97" t="n">
        <v>519136</v>
      </c>
      <c r="D2736" s="96" t="inlineStr">
        <is>
          <t>NAHARINDUS</t>
        </is>
      </c>
      <c r="E2736" s="96" t="inlineStr">
        <is>
          <t>Textiles</t>
        </is>
      </c>
    </row>
    <row r="2737" ht="15" customHeight="1" s="109" thickBot="1">
      <c r="B2737" s="96" t="inlineStr">
        <is>
          <t>NAHAR POLY FILMS LTD</t>
        </is>
      </c>
      <c r="C2737" s="97" t="n">
        <v>523391</v>
      </c>
      <c r="D2737" s="96" t="inlineStr">
        <is>
          <t>NAHARPOLY</t>
        </is>
      </c>
      <c r="E2737" s="96" t="inlineStr">
        <is>
          <t>Textiles</t>
        </is>
      </c>
    </row>
    <row r="2738" ht="15" customHeight="1" s="109" thickBot="1">
      <c r="B2738" s="96" t="inlineStr">
        <is>
          <t>NAHAR SPINNING MILLS LTD</t>
        </is>
      </c>
      <c r="C2738" s="97" t="n">
        <v>500296</v>
      </c>
      <c r="D2738" s="96" t="inlineStr">
        <is>
          <t>NAHARSPING</t>
        </is>
      </c>
      <c r="E2738" s="96" t="inlineStr">
        <is>
          <t>Textiles</t>
        </is>
      </c>
    </row>
    <row r="2739" ht="15" customHeight="1" s="109" thickBot="1">
      <c r="B2739" s="96" t="inlineStr">
        <is>
          <t>NAKODA GROUP OF INDUSTRIES LTD</t>
        </is>
      </c>
      <c r="C2739" s="97" t="n">
        <v>541418</v>
      </c>
      <c r="D2739" s="96" t="inlineStr">
        <is>
          <t>Not Listed</t>
        </is>
      </c>
      <c r="E2739" s="96" t="inlineStr">
        <is>
          <t>Packaged Foods</t>
        </is>
      </c>
    </row>
    <row r="2740" ht="15" customHeight="1" s="109" thickBot="1">
      <c r="B2740" s="96" t="inlineStr">
        <is>
          <t>NALIN LEASE FINANCE LTD</t>
        </is>
      </c>
      <c r="C2740" s="97" t="n">
        <v>531212</v>
      </c>
      <c r="D2740" s="96" t="inlineStr">
        <is>
          <t>Not Listed</t>
        </is>
      </c>
      <c r="E2740" s="96" t="inlineStr">
        <is>
          <t>Finance (including NBFCs)</t>
        </is>
      </c>
    </row>
    <row r="2741" ht="15" customHeight="1" s="109" thickBot="1">
      <c r="B2741" s="96" t="inlineStr">
        <is>
          <t>NALWA SONS INVESTMENTS LTD</t>
        </is>
      </c>
      <c r="C2741" s="97" t="n">
        <v>532256</v>
      </c>
      <c r="D2741" s="96" t="inlineStr">
        <is>
          <t>NSIL</t>
        </is>
      </c>
      <c r="E2741" s="96" t="inlineStr">
        <is>
          <t>Finance (including NBFCs)</t>
        </is>
      </c>
    </row>
    <row r="2742" ht="15" customHeight="1" s="109" thickBot="1">
      <c r="B2742" s="96" t="inlineStr">
        <is>
          <t>NAM SECURITIES LTD</t>
        </is>
      </c>
      <c r="C2742" s="97" t="n">
        <v>538395</v>
      </c>
      <c r="D2742" s="96" t="inlineStr">
        <is>
          <t>Not Listed</t>
        </is>
      </c>
      <c r="E2742" s="96" t="inlineStr">
        <is>
          <t>Other Financial Services</t>
        </is>
      </c>
    </row>
    <row r="2743" ht="15" customHeight="1" s="109" thickBot="1">
      <c r="B2743" s="96" t="inlineStr">
        <is>
          <t>NANDAN DENIM LTD</t>
        </is>
      </c>
      <c r="C2743" s="97" t="n">
        <v>532641</v>
      </c>
      <c r="D2743" s="96" t="inlineStr">
        <is>
          <t>NDL</t>
        </is>
      </c>
      <c r="E2743" s="96" t="inlineStr">
        <is>
          <t>Textiles</t>
        </is>
      </c>
    </row>
    <row r="2744" ht="15" customHeight="1" s="109" thickBot="1">
      <c r="B2744" s="96" t="inlineStr">
        <is>
          <t>NANDANI CREATION LTD</t>
        </is>
      </c>
      <c r="C2744" s="96" t="inlineStr">
        <is>
          <t>Not Listed</t>
        </is>
      </c>
      <c r="D2744" s="96" t="inlineStr">
        <is>
          <t>NANDANI</t>
        </is>
      </c>
      <c r="E2744" s="96" t="inlineStr">
        <is>
          <t>SME</t>
        </is>
      </c>
    </row>
    <row r="2745" ht="15" customHeight="1" s="109" thickBot="1">
      <c r="B2745" s="96" t="inlineStr">
        <is>
          <t>NARAYANA HRUDAYALAYA LTD</t>
        </is>
      </c>
      <c r="C2745" s="97" t="n">
        <v>539551</v>
      </c>
      <c r="D2745" s="96" t="inlineStr">
        <is>
          <t>NH</t>
        </is>
      </c>
      <c r="E2745" s="96" t="inlineStr">
        <is>
          <t>Healthcare Facilities</t>
        </is>
      </c>
    </row>
    <row r="2746" ht="15" customHeight="1" s="109" thickBot="1">
      <c r="B2746" s="96" t="inlineStr">
        <is>
          <t>NARAYANI STEELS LTD</t>
        </is>
      </c>
      <c r="C2746" s="97" t="n">
        <v>540080</v>
      </c>
      <c r="D2746" s="96" t="inlineStr">
        <is>
          <t>Not Listed</t>
        </is>
      </c>
      <c r="E2746" s="96" t="inlineStr">
        <is>
          <t>Iron &amp; Steel/Interm.Products</t>
        </is>
      </c>
    </row>
    <row r="2747" ht="15" customHeight="1" s="109" thickBot="1">
      <c r="B2747" s="96" t="inlineStr">
        <is>
          <t>NARBADA GEMS AND JEWELLERY LTD</t>
        </is>
      </c>
      <c r="C2747" s="97" t="n">
        <v>519455</v>
      </c>
      <c r="D2747" s="96" t="inlineStr">
        <is>
          <t>Not Listed</t>
        </is>
      </c>
      <c r="E2747" s="96" t="inlineStr">
        <is>
          <t>Other Apparels &amp; Accessories</t>
        </is>
      </c>
    </row>
    <row r="2748" ht="15" customHeight="1" s="109" thickBot="1">
      <c r="B2748" s="96" t="inlineStr">
        <is>
          <t>Narendra Investments (Delhi) Ltd</t>
        </is>
      </c>
      <c r="C2748" s="97" t="n">
        <v>540204</v>
      </c>
      <c r="D2748" s="96" t="inlineStr">
        <is>
          <t>NIDL</t>
        </is>
      </c>
      <c r="E2748" s="96" t="inlineStr">
        <is>
          <t>Consulting Services</t>
        </is>
      </c>
    </row>
    <row r="2749" ht="15" customHeight="1" s="109" thickBot="1">
      <c r="B2749" s="96" t="inlineStr">
        <is>
          <t>NARENDRA PROPERTIES LTD</t>
        </is>
      </c>
      <c r="C2749" s="97" t="n">
        <v>531416</v>
      </c>
      <c r="D2749" s="96" t="inlineStr">
        <is>
          <t>Not Listed</t>
        </is>
      </c>
      <c r="E2749" s="96" t="inlineStr">
        <is>
          <t>Realty</t>
        </is>
      </c>
    </row>
    <row r="2750" ht="15" customHeight="1" s="109" thickBot="1">
      <c r="B2750" s="96" t="inlineStr">
        <is>
          <t>NARMADA AGROBASE LTD</t>
        </is>
      </c>
      <c r="C2750" s="96" t="inlineStr">
        <is>
          <t>Not Listed</t>
        </is>
      </c>
      <c r="D2750" s="96" t="inlineStr">
        <is>
          <t>NARMADA</t>
        </is>
      </c>
      <c r="E2750" s="96" t="inlineStr">
        <is>
          <t>SME</t>
        </is>
      </c>
    </row>
    <row r="2751" ht="15" customHeight="1" s="109" thickBot="1">
      <c r="B2751" s="96" t="inlineStr">
        <is>
          <t>NARMADA GELATINES LTD</t>
        </is>
      </c>
      <c r="C2751" s="97" t="n">
        <v>526739</v>
      </c>
      <c r="D2751" s="96" t="inlineStr">
        <is>
          <t>Not Listed</t>
        </is>
      </c>
      <c r="E2751" s="96" t="inlineStr">
        <is>
          <t>Specialty Chemicals</t>
        </is>
      </c>
    </row>
    <row r="2752" ht="15" customHeight="1" s="109" thickBot="1">
      <c r="B2752" s="96" t="inlineStr">
        <is>
          <t>NARMADA MACPLAST DRIP IRRIGATION SYSTEMS LTD.</t>
        </is>
      </c>
      <c r="C2752" s="97" t="n">
        <v>517431</v>
      </c>
      <c r="D2752" s="96" t="inlineStr">
        <is>
          <t>NARMP</t>
        </is>
      </c>
      <c r="E2752" s="96" t="inlineStr">
        <is>
          <t>Plastic Products</t>
        </is>
      </c>
    </row>
    <row r="2753" ht="15" customHeight="1" s="109" thickBot="1">
      <c r="B2753" s="96" t="inlineStr">
        <is>
          <t>NATCO ECONOMICALS LTD</t>
        </is>
      </c>
      <c r="C2753" s="97" t="n">
        <v>539595</v>
      </c>
      <c r="D2753" s="96" t="inlineStr">
        <is>
          <t>Not Listed</t>
        </is>
      </c>
      <c r="E2753" s="96" t="inlineStr">
        <is>
          <t>Other Financial Services</t>
        </is>
      </c>
    </row>
    <row r="2754" ht="15" customHeight="1" s="109" thickBot="1">
      <c r="B2754" s="96" t="inlineStr">
        <is>
          <t>NATCO PHARMA LTD</t>
        </is>
      </c>
      <c r="C2754" s="97" t="n">
        <v>524816</v>
      </c>
      <c r="D2754" s="96" t="inlineStr">
        <is>
          <t>NATCOPHARM</t>
        </is>
      </c>
      <c r="E2754" s="96" t="inlineStr">
        <is>
          <t>Pharmaceuticals</t>
        </is>
      </c>
    </row>
    <row r="2755" ht="15" customHeight="1" s="109" thickBot="1">
      <c r="B2755" s="96" t="inlineStr">
        <is>
          <t>NATH BIO-GENES (INDIA) LTD</t>
        </is>
      </c>
      <c r="C2755" s="97" t="n">
        <v>537291</v>
      </c>
      <c r="D2755" s="96" t="inlineStr">
        <is>
          <t>NATHBIOGEN</t>
        </is>
      </c>
      <c r="E2755" s="96" t="inlineStr">
        <is>
          <t>Other Agricultural Products</t>
        </is>
      </c>
    </row>
    <row r="2756" ht="15" customHeight="1" s="109" thickBot="1">
      <c r="B2756" s="96" t="inlineStr">
        <is>
          <t>NATH BIO-GENES INDIA LTD</t>
        </is>
      </c>
      <c r="C2756" s="97" t="n">
        <v>537291</v>
      </c>
      <c r="D2756" s="96" t="inlineStr">
        <is>
          <t>NATHBIOGEN</t>
        </is>
      </c>
      <c r="E2756" s="96" t="inlineStr">
        <is>
          <t>Other Agricultural Products</t>
        </is>
      </c>
    </row>
    <row r="2757" ht="15" customHeight="1" s="109" thickBot="1">
      <c r="B2757" s="96" t="inlineStr">
        <is>
          <t>NATH PULP &amp; PAPER MILLS LTD</t>
        </is>
      </c>
      <c r="C2757" s="97" t="n">
        <v>502407</v>
      </c>
      <c r="D2757" s="96" t="inlineStr">
        <is>
          <t>Not Listed</t>
        </is>
      </c>
      <c r="E2757" s="96" t="inlineStr">
        <is>
          <t>Paper &amp; Paper Products</t>
        </is>
      </c>
    </row>
    <row r="2758" ht="15" customHeight="1" s="109" thickBot="1">
      <c r="B2758" s="96" t="inlineStr">
        <is>
          <t>NATIONAL ALUMINIUM COMPANY LTD</t>
        </is>
      </c>
      <c r="C2758" s="97" t="n">
        <v>532234</v>
      </c>
      <c r="D2758" s="96" t="inlineStr">
        <is>
          <t>NATIONALUM</t>
        </is>
      </c>
      <c r="E2758" s="96" t="inlineStr">
        <is>
          <t>Aluminium</t>
        </is>
      </c>
    </row>
    <row r="2759" ht="15" customHeight="1" s="109" thickBot="1">
      <c r="B2759" s="96" t="inlineStr">
        <is>
          <t>NATIONAL FERTILIZERS LTD</t>
        </is>
      </c>
      <c r="C2759" s="97" t="n">
        <v>523630</v>
      </c>
      <c r="D2759" s="96" t="inlineStr">
        <is>
          <t>NFL</t>
        </is>
      </c>
      <c r="E2759" s="96" t="inlineStr">
        <is>
          <t>Fertilizers</t>
        </is>
      </c>
    </row>
    <row r="2760" ht="15" customHeight="1" s="109" thickBot="1">
      <c r="B2760" s="96" t="inlineStr">
        <is>
          <t>NATIONAL FITTINGS LTD</t>
        </is>
      </c>
      <c r="C2760" s="97" t="n">
        <v>531289</v>
      </c>
      <c r="D2760" s="96" t="inlineStr">
        <is>
          <t>Not Listed</t>
        </is>
      </c>
      <c r="E2760" s="96" t="inlineStr">
        <is>
          <t>Iron &amp; Steel Products</t>
        </is>
      </c>
    </row>
    <row r="2761" ht="15" customHeight="1" s="109" thickBot="1">
      <c r="B2761" s="96" t="inlineStr">
        <is>
          <t>NATIONAL GENERAL INDUSTRIES LTD</t>
        </is>
      </c>
      <c r="C2761" s="97" t="n">
        <v>531651</v>
      </c>
      <c r="D2761" s="96" t="inlineStr">
        <is>
          <t>Not Listed</t>
        </is>
      </c>
      <c r="E2761" s="96" t="inlineStr">
        <is>
          <t>Iron &amp; Steel/Interm.Products</t>
        </is>
      </c>
    </row>
    <row r="2762" ht="15" customHeight="1" s="109" thickBot="1">
      <c r="B2762" s="96" t="inlineStr">
        <is>
          <t>NATIONAL OXYGEN LTD</t>
        </is>
      </c>
      <c r="C2762" s="97" t="n">
        <v>507813</v>
      </c>
      <c r="D2762" s="96" t="inlineStr">
        <is>
          <t>Not Listed</t>
        </is>
      </c>
      <c r="E2762" s="96" t="inlineStr">
        <is>
          <t>Industrial Gases</t>
        </is>
      </c>
    </row>
    <row r="2763" ht="15" customHeight="1" s="109" thickBot="1">
      <c r="B2763" s="96" t="inlineStr">
        <is>
          <t>NATIONAL PEROXIDE LTD</t>
        </is>
      </c>
      <c r="C2763" s="97" t="n">
        <v>500298</v>
      </c>
      <c r="D2763" s="96" t="inlineStr">
        <is>
          <t>Not Listed</t>
        </is>
      </c>
      <c r="E2763" s="96" t="inlineStr">
        <is>
          <t>Commodity Chemicals</t>
        </is>
      </c>
    </row>
    <row r="2764" ht="15" customHeight="1" s="109" thickBot="1">
      <c r="B2764" s="96" t="inlineStr">
        <is>
          <t>NATIONAL PLASTIC INDUSTRIES LTD</t>
        </is>
      </c>
      <c r="C2764" s="97" t="n">
        <v>526616</v>
      </c>
      <c r="D2764" s="96" t="inlineStr">
        <is>
          <t>Not Listed</t>
        </is>
      </c>
      <c r="E2764" s="96" t="inlineStr">
        <is>
          <t>Plastic Products</t>
        </is>
      </c>
    </row>
    <row r="2765" ht="15" customHeight="1" s="109" thickBot="1">
      <c r="B2765" s="96" t="inlineStr">
        <is>
          <t>NATIONAL PLASTIC TECHNOLOGIES LTD</t>
        </is>
      </c>
      <c r="C2765" s="97" t="n">
        <v>531287</v>
      </c>
      <c r="D2765" s="96" t="inlineStr">
        <is>
          <t>Not Listed</t>
        </is>
      </c>
      <c r="E2765" s="96" t="inlineStr">
        <is>
          <t>Plastic Products</t>
        </is>
      </c>
    </row>
    <row r="2766" ht="15" customHeight="1" s="109" thickBot="1">
      <c r="B2766" s="96" t="inlineStr">
        <is>
          <t>NATIONAL PLYWOOD INDUSTRIES LTD</t>
        </is>
      </c>
      <c r="C2766" s="97" t="n">
        <v>516062</v>
      </c>
      <c r="D2766" s="96" t="inlineStr">
        <is>
          <t>Not Listed</t>
        </is>
      </c>
      <c r="E2766" s="96" t="inlineStr">
        <is>
          <t>Forest Products</t>
        </is>
      </c>
    </row>
    <row r="2767" ht="15" customHeight="1" s="109" thickBot="1">
      <c r="B2767" s="96" t="inlineStr">
        <is>
          <t>NATIONAL STANDARD (INDIA) LTD</t>
        </is>
      </c>
      <c r="C2767" s="97" t="n">
        <v>504882</v>
      </c>
      <c r="D2767" s="96" t="inlineStr">
        <is>
          <t>Not Listed</t>
        </is>
      </c>
      <c r="E2767" s="96" t="inlineStr">
        <is>
          <t>Realty</t>
        </is>
      </c>
    </row>
    <row r="2768" ht="15" customHeight="1" s="109" thickBot="1">
      <c r="B2768" s="96" t="inlineStr">
        <is>
          <t>NATIONAL STANDARD INDIA LTD</t>
        </is>
      </c>
      <c r="C2768" s="97" t="n">
        <v>504882</v>
      </c>
      <c r="D2768" s="96" t="inlineStr">
        <is>
          <t>Not Listed</t>
        </is>
      </c>
      <c r="E2768" s="96" t="inlineStr">
        <is>
          <t>Realty</t>
        </is>
      </c>
    </row>
    <row r="2769" ht="15" customHeight="1" s="109" thickBot="1">
      <c r="B2769" s="96" t="inlineStr">
        <is>
          <t>NATIONAL STEEL AND AGRO INDUSTRIES LTD</t>
        </is>
      </c>
      <c r="C2769" s="97" t="n">
        <v>513179</v>
      </c>
      <c r="D2769" s="96" t="inlineStr">
        <is>
          <t>NATNLSTEEL</t>
        </is>
      </c>
      <c r="E2769" s="96" t="inlineStr">
        <is>
          <t>Iron &amp; Steel/Interm.Products</t>
        </is>
      </c>
    </row>
    <row r="2770" ht="15" customHeight="1" s="109" thickBot="1">
      <c r="B2770" s="96" t="inlineStr">
        <is>
          <t>NATRAJ PROTEINS LTD</t>
        </is>
      </c>
      <c r="C2770" s="97" t="n">
        <v>530119</v>
      </c>
      <c r="D2770" s="96" t="inlineStr">
        <is>
          <t>Not Listed</t>
        </is>
      </c>
      <c r="E2770" s="96" t="inlineStr">
        <is>
          <t>Edible Oils</t>
        </is>
      </c>
    </row>
    <row r="2771" ht="15" customHeight="1" s="109" thickBot="1">
      <c r="B2771" s="96" t="inlineStr">
        <is>
          <t>NATURA HUE CHEM LTD</t>
        </is>
      </c>
      <c r="C2771" s="97" t="n">
        <v>531834</v>
      </c>
      <c r="D2771" s="96" t="inlineStr">
        <is>
          <t>Not Listed</t>
        </is>
      </c>
      <c r="E2771" s="96" t="inlineStr">
        <is>
          <t>Other Agricultural Products</t>
        </is>
      </c>
    </row>
    <row r="2772" ht="15" customHeight="1" s="109" thickBot="1">
      <c r="B2772" s="96" t="inlineStr">
        <is>
          <t>NATURAL CAPSULES LTD</t>
        </is>
      </c>
      <c r="C2772" s="97" t="n">
        <v>524654</v>
      </c>
      <c r="D2772" s="96" t="inlineStr">
        <is>
          <t>Not Listed</t>
        </is>
      </c>
      <c r="E2772" s="96" t="inlineStr">
        <is>
          <t>Pharmaceuticals</t>
        </is>
      </c>
    </row>
    <row r="2773" ht="15" customHeight="1" s="109" thickBot="1">
      <c r="B2773" s="96" t="inlineStr">
        <is>
          <t>NATURITE AGRO PRODUCTS LTD</t>
        </is>
      </c>
      <c r="C2773" s="97" t="n">
        <v>538926</v>
      </c>
      <c r="D2773" s="96" t="inlineStr">
        <is>
          <t>Not Listed</t>
        </is>
      </c>
      <c r="E2773" s="96" t="inlineStr">
        <is>
          <t>Other Agricultural Products</t>
        </is>
      </c>
    </row>
    <row r="2774" ht="15" customHeight="1" s="109" thickBot="1">
      <c r="B2774" s="96" t="inlineStr">
        <is>
          <t>NAVA BHARAT VENTURES LTD</t>
        </is>
      </c>
      <c r="C2774" s="97" t="n">
        <v>513023</v>
      </c>
      <c r="D2774" s="96" t="inlineStr">
        <is>
          <t>NBVENTURES</t>
        </is>
      </c>
      <c r="E2774" s="96" t="inlineStr">
        <is>
          <t>Electric Utilities</t>
        </is>
      </c>
    </row>
    <row r="2775" ht="15" customHeight="1" s="109" thickBot="1">
      <c r="B2775" s="96" t="inlineStr">
        <is>
          <t>NAVIGANT CORPORATE ADVISORS LTD</t>
        </is>
      </c>
      <c r="C2775" s="97" t="n">
        <v>539521</v>
      </c>
      <c r="D2775" s="96" t="inlineStr">
        <is>
          <t>Not Listed</t>
        </is>
      </c>
      <c r="E2775" s="96" t="inlineStr">
        <is>
          <t>Other Financial Services</t>
        </is>
      </c>
    </row>
    <row r="2776" ht="15" customHeight="1" s="109" thickBot="1">
      <c r="B2776" s="96" t="inlineStr">
        <is>
          <t>NAVIN FLUORINE INTERNATIONAL LTD</t>
        </is>
      </c>
      <c r="C2776" s="97" t="n">
        <v>532504</v>
      </c>
      <c r="D2776" s="96" t="inlineStr">
        <is>
          <t>NAVINFLUOR</t>
        </is>
      </c>
      <c r="E2776" s="96" t="inlineStr">
        <is>
          <t>Commodity Chemicals</t>
        </is>
      </c>
    </row>
    <row r="2777" ht="15" customHeight="1" s="109" thickBot="1">
      <c r="B2777" s="96" t="inlineStr">
        <is>
          <t>NAVKAR BUILDERS LTD</t>
        </is>
      </c>
      <c r="C2777" s="97" t="n">
        <v>531494</v>
      </c>
      <c r="D2777" s="96" t="inlineStr">
        <is>
          <t>Not Listed</t>
        </is>
      </c>
      <c r="E2777" s="96" t="inlineStr">
        <is>
          <t>Realty</t>
        </is>
      </c>
    </row>
    <row r="2778" ht="15" customHeight="1" s="109" thickBot="1">
      <c r="B2778" s="96" t="inlineStr">
        <is>
          <t>NAVKAR CORPORATION LTD</t>
        </is>
      </c>
      <c r="C2778" s="97" t="n">
        <v>539332</v>
      </c>
      <c r="D2778" s="96" t="inlineStr">
        <is>
          <t>NAVKARCORP</t>
        </is>
      </c>
      <c r="E2778" s="96" t="inlineStr">
        <is>
          <t>Transport Related Services</t>
        </is>
      </c>
    </row>
    <row r="2779" ht="15" customHeight="1" s="109" thickBot="1">
      <c r="B2779" s="96" t="inlineStr">
        <is>
          <t>NAVKETAN MERCHANTS LTD</t>
        </is>
      </c>
      <c r="C2779" s="97" t="n">
        <v>539525</v>
      </c>
      <c r="D2779" s="96" t="inlineStr">
        <is>
          <t>Not Listed</t>
        </is>
      </c>
      <c r="E2779" s="96" t="inlineStr">
        <is>
          <t>Distributors</t>
        </is>
      </c>
    </row>
    <row r="2780" ht="15" customHeight="1" s="109" thickBot="1">
      <c r="B2780" s="96" t="inlineStr">
        <is>
          <t>NAVNEET EDUCATION LTD</t>
        </is>
      </c>
      <c r="C2780" s="97" t="n">
        <v>508989</v>
      </c>
      <c r="D2780" s="96" t="inlineStr">
        <is>
          <t>NAVNETEDUL</t>
        </is>
      </c>
      <c r="E2780" s="96" t="inlineStr">
        <is>
          <t>Publishing</t>
        </is>
      </c>
    </row>
    <row r="2781" ht="15" customHeight="1" s="109" thickBot="1">
      <c r="B2781" s="96" t="inlineStr">
        <is>
          <t>NAYSAA SECURITIES LTD</t>
        </is>
      </c>
      <c r="C2781" s="97" t="n">
        <v>538668</v>
      </c>
      <c r="D2781" s="96" t="inlineStr">
        <is>
          <t>Not Listed</t>
        </is>
      </c>
      <c r="E2781" s="96" t="inlineStr">
        <is>
          <t>Finance (including NBFCs)</t>
        </is>
      </c>
    </row>
    <row r="2782" ht="15" customHeight="1" s="109" thickBot="1">
      <c r="B2782" s="96" t="inlineStr">
        <is>
          <t>NB FOOTWEAR LTD</t>
        </is>
      </c>
      <c r="C2782" s="97" t="n">
        <v>523242</v>
      </c>
      <c r="D2782" s="96" t="inlineStr">
        <is>
          <t>Not Listed</t>
        </is>
      </c>
      <c r="E2782" s="96" t="inlineStr">
        <is>
          <t>Footwear</t>
        </is>
      </c>
    </row>
    <row r="2783" ht="15" customHeight="1" s="109" thickBot="1">
      <c r="B2783" s="96" t="inlineStr">
        <is>
          <t>NBCC (INDIA) LTD</t>
        </is>
      </c>
      <c r="C2783" s="97" t="n">
        <v>534309</v>
      </c>
      <c r="D2783" s="96" t="inlineStr">
        <is>
          <t>NBCC</t>
        </is>
      </c>
      <c r="E2783" s="96" t="inlineStr">
        <is>
          <t>Construction &amp; Engineering</t>
        </is>
      </c>
    </row>
    <row r="2784" ht="15" customHeight="1" s="109" thickBot="1">
      <c r="B2784" s="96" t="inlineStr">
        <is>
          <t>NBCC INDIA LTD</t>
        </is>
      </c>
      <c r="C2784" s="97" t="n">
        <v>534309</v>
      </c>
      <c r="D2784" s="96" t="inlineStr">
        <is>
          <t>NBCC</t>
        </is>
      </c>
      <c r="E2784" s="96" t="inlineStr">
        <is>
          <t>Construction &amp; Engineering</t>
        </is>
      </c>
    </row>
    <row r="2785" ht="15" customHeight="1" s="109" thickBot="1">
      <c r="B2785" s="96" t="inlineStr">
        <is>
          <t>NCC BLUE WATER PRODUCTS LTD</t>
        </is>
      </c>
      <c r="C2785" s="97" t="n">
        <v>519506</v>
      </c>
      <c r="D2785" s="96" t="inlineStr">
        <is>
          <t>Not Listed</t>
        </is>
      </c>
      <c r="E2785" s="96" t="inlineStr">
        <is>
          <t>Packaged Foods</t>
        </is>
      </c>
    </row>
    <row r="2786" ht="15" customHeight="1" s="109" thickBot="1">
      <c r="B2786" s="96" t="inlineStr">
        <is>
          <t>NCC FINANCE LTD</t>
        </is>
      </c>
      <c r="C2786" s="97" t="n">
        <v>531452</v>
      </c>
      <c r="D2786" s="96" t="inlineStr">
        <is>
          <t>Not Listed</t>
        </is>
      </c>
      <c r="E2786" s="96" t="inlineStr">
        <is>
          <t>Finance (including NBFCs)</t>
        </is>
      </c>
    </row>
    <row r="2787" ht="15" customHeight="1" s="109" thickBot="1">
      <c r="B2787" s="96" t="inlineStr">
        <is>
          <t>NCC LTD</t>
        </is>
      </c>
      <c r="C2787" s="97" t="n">
        <v>500294</v>
      </c>
      <c r="D2787" s="96" t="inlineStr">
        <is>
          <t>NCC</t>
        </is>
      </c>
      <c r="E2787" s="96" t="inlineStr">
        <is>
          <t>Construction &amp; Engineering</t>
        </is>
      </c>
    </row>
    <row r="2788" ht="15" customHeight="1" s="109" thickBot="1">
      <c r="B2788" s="96" t="inlineStr">
        <is>
          <t>NCL INDUSTRIES LTD</t>
        </is>
      </c>
      <c r="C2788" s="97" t="n">
        <v>502168</v>
      </c>
      <c r="D2788" s="96" t="inlineStr">
        <is>
          <t>NCLIND</t>
        </is>
      </c>
      <c r="E2788" s="96" t="inlineStr">
        <is>
          <t>Cement &amp; Cement Products</t>
        </is>
      </c>
    </row>
    <row r="2789" ht="15" customHeight="1" s="109" thickBot="1">
      <c r="B2789" s="96" t="inlineStr">
        <is>
          <t>NCL RESEARCH &amp; FINANCIAL SERVICES LTD</t>
        </is>
      </c>
      <c r="C2789" s="97" t="n">
        <v>530557</v>
      </c>
      <c r="D2789" s="96" t="inlineStr">
        <is>
          <t>Not Listed</t>
        </is>
      </c>
      <c r="E2789" s="96" t="inlineStr">
        <is>
          <t>Other Financial Services</t>
        </is>
      </c>
    </row>
    <row r="2790" ht="15" customHeight="1" s="109" thickBot="1">
      <c r="B2790" s="96" t="inlineStr">
        <is>
          <t>NDA SECURITIES LTD</t>
        </is>
      </c>
      <c r="C2790" s="97" t="n">
        <v>511535</v>
      </c>
      <c r="D2790" s="96" t="inlineStr">
        <is>
          <t>Not Listed</t>
        </is>
      </c>
      <c r="E2790" s="96" t="inlineStr">
        <is>
          <t>Other Financial Services</t>
        </is>
      </c>
    </row>
    <row r="2791" ht="15" customHeight="1" s="109" thickBot="1">
      <c r="B2791" s="96" t="inlineStr">
        <is>
          <t>NECTAR LIFESCIENCES LTD</t>
        </is>
      </c>
      <c r="C2791" s="97" t="n">
        <v>532649</v>
      </c>
      <c r="D2791" s="96" t="inlineStr">
        <is>
          <t>NECLIFE</t>
        </is>
      </c>
      <c r="E2791" s="96" t="inlineStr">
        <is>
          <t>Pharmaceuticals</t>
        </is>
      </c>
    </row>
    <row r="2792" ht="15" customHeight="1" s="109" thickBot="1">
      <c r="B2792" s="96" t="inlineStr">
        <is>
          <t>NEELAMALAI AGRO INDUSTRIES LTD</t>
        </is>
      </c>
      <c r="C2792" s="97" t="n">
        <v>508670</v>
      </c>
      <c r="D2792" s="96" t="inlineStr">
        <is>
          <t>Not Listed</t>
        </is>
      </c>
      <c r="E2792" s="96" t="inlineStr">
        <is>
          <t>Tea &amp; Coffee</t>
        </is>
      </c>
    </row>
    <row r="2793" ht="15" customHeight="1" s="109" thickBot="1">
      <c r="B2793" s="96" t="inlineStr">
        <is>
          <t>NEELKANTH ROCKMINERALS LTD</t>
        </is>
      </c>
      <c r="C2793" s="97" t="n">
        <v>531049</v>
      </c>
      <c r="D2793" s="96" t="inlineStr">
        <is>
          <t>Not Listed</t>
        </is>
      </c>
      <c r="E2793" s="96" t="inlineStr">
        <is>
          <t>Construction Materials</t>
        </is>
      </c>
    </row>
    <row r="2794" ht="15" customHeight="1" s="109" thickBot="1">
      <c r="B2794" s="96" t="inlineStr">
        <is>
          <t>NEERAJ PAPER MARKETING LTD</t>
        </is>
      </c>
      <c r="C2794" s="97" t="n">
        <v>539409</v>
      </c>
      <c r="D2794" s="96" t="inlineStr">
        <is>
          <t>Not Listed</t>
        </is>
      </c>
      <c r="E2794" s="96" t="inlineStr">
        <is>
          <t>Comm.Trading &amp; Distribution</t>
        </is>
      </c>
    </row>
    <row r="2795" ht="15" customHeight="1" s="109" thickBot="1">
      <c r="B2795" s="96" t="inlineStr">
        <is>
          <t>NEGOTIUM INTERNATIONAL TRADE LTD</t>
        </is>
      </c>
      <c r="C2795" s="97" t="n">
        <v>537838</v>
      </c>
      <c r="D2795" s="96" t="inlineStr">
        <is>
          <t>Not Listed</t>
        </is>
      </c>
      <c r="E2795" s="96" t="inlineStr">
        <is>
          <t>Comm.Trading &amp; Distribution</t>
        </is>
      </c>
    </row>
    <row r="2796" ht="15" customHeight="1" s="109" thickBot="1">
      <c r="B2796" s="96" t="inlineStr">
        <is>
          <t>NEHA INTERNATIONAL LTD</t>
        </is>
      </c>
      <c r="C2796" s="97" t="n">
        <v>519560</v>
      </c>
      <c r="D2796" s="96" t="inlineStr">
        <is>
          <t>Not Listed</t>
        </is>
      </c>
      <c r="E2796" s="96" t="inlineStr">
        <is>
          <t>Other Agricultural Products</t>
        </is>
      </c>
    </row>
    <row r="2797" ht="15" customHeight="1" s="109" thickBot="1">
      <c r="B2797" s="96" t="inlineStr">
        <is>
          <t>NEIL INDUSTRIES LTD</t>
        </is>
      </c>
      <c r="C2797" s="97" t="n">
        <v>539016</v>
      </c>
      <c r="D2797" s="96" t="inlineStr">
        <is>
          <t>Not Listed</t>
        </is>
      </c>
      <c r="E2797" s="96" t="inlineStr">
        <is>
          <t>Finance (including NBFCs)</t>
        </is>
      </c>
    </row>
    <row r="2798" ht="15" customHeight="1" s="109" thickBot="1">
      <c r="B2798" s="96" t="inlineStr">
        <is>
          <t>NELCAST LTD</t>
        </is>
      </c>
      <c r="C2798" s="97" t="n">
        <v>532864</v>
      </c>
      <c r="D2798" s="96" t="inlineStr">
        <is>
          <t>NELCAST</t>
        </is>
      </c>
      <c r="E2798" s="96" t="inlineStr">
        <is>
          <t>Other Industrial Products</t>
        </is>
      </c>
    </row>
    <row r="2799" ht="15" customHeight="1" s="109" thickBot="1">
      <c r="B2799" s="96" t="inlineStr">
        <is>
          <t>NELCO LTD</t>
        </is>
      </c>
      <c r="C2799" s="97" t="n">
        <v>504112</v>
      </c>
      <c r="D2799" s="96" t="inlineStr">
        <is>
          <t>NELCO</t>
        </is>
      </c>
      <c r="E2799" s="96" t="inlineStr">
        <is>
          <t>IT Networking Equipment</t>
        </is>
      </c>
    </row>
    <row r="2800" ht="15" customHeight="1" s="109" thickBot="1">
      <c r="B2800" s="96" t="inlineStr">
        <is>
          <t>NEO INFRACON LTD</t>
        </is>
      </c>
      <c r="C2800" s="97" t="n">
        <v>514332</v>
      </c>
      <c r="D2800" s="96" t="inlineStr">
        <is>
          <t>Not Listed</t>
        </is>
      </c>
      <c r="E2800" s="96" t="inlineStr">
        <is>
          <t>Realty</t>
        </is>
      </c>
    </row>
    <row r="2801" ht="15" customHeight="1" s="109" thickBot="1">
      <c r="B2801" s="96" t="inlineStr">
        <is>
          <t>NEOGEM (INDIA) LTD</t>
        </is>
      </c>
      <c r="C2801" s="97" t="n">
        <v>526195</v>
      </c>
      <c r="D2801" s="96" t="inlineStr">
        <is>
          <t>Not Listed</t>
        </is>
      </c>
      <c r="E2801" s="96" t="inlineStr">
        <is>
          <t>Other Apparels &amp; Accessories</t>
        </is>
      </c>
    </row>
    <row r="2802" ht="15" customHeight="1" s="109" thickBot="1">
      <c r="B2802" s="96" t="inlineStr">
        <is>
          <t>NEOGEM INDIA LTD</t>
        </is>
      </c>
      <c r="C2802" s="97" t="n">
        <v>526195</v>
      </c>
      <c r="D2802" s="96" t="inlineStr">
        <is>
          <t>Not Listed</t>
        </is>
      </c>
      <c r="E2802" s="96" t="inlineStr">
        <is>
          <t>Other Apparels &amp; Accessories</t>
        </is>
      </c>
    </row>
    <row r="2803" ht="15" customHeight="1" s="109" thickBot="1">
      <c r="B2803" s="96" t="inlineStr">
        <is>
          <t>Neogen Chemicals Ltd</t>
        </is>
      </c>
      <c r="C2803" s="97" t="n">
        <v>542665</v>
      </c>
      <c r="D2803" s="96" t="inlineStr">
        <is>
          <t>NEOGEN</t>
        </is>
      </c>
      <c r="E2803" s="96" t="inlineStr">
        <is>
          <t>Specialty Chemicals</t>
        </is>
      </c>
    </row>
    <row r="2804" ht="15" customHeight="1" s="109" thickBot="1">
      <c r="B2804" s="96" t="inlineStr">
        <is>
          <t>NEPTUNE EXPORTS LTD</t>
        </is>
      </c>
      <c r="C2804" s="97" t="n">
        <v>512522</v>
      </c>
      <c r="D2804" s="96" t="inlineStr">
        <is>
          <t>Not Listed</t>
        </is>
      </c>
      <c r="E2804" s="96" t="inlineStr">
        <is>
          <t>Comm.Trading &amp; Distribution</t>
        </is>
      </c>
    </row>
    <row r="2805" ht="15" customHeight="1" s="109" thickBot="1">
      <c r="B2805" s="96" t="inlineStr">
        <is>
          <t>NESCO LTD</t>
        </is>
      </c>
      <c r="C2805" s="97" t="n">
        <v>505355</v>
      </c>
      <c r="D2805" s="96" t="inlineStr">
        <is>
          <t>NESCO</t>
        </is>
      </c>
      <c r="E2805" s="96" t="inlineStr">
        <is>
          <t>Misc.Commercial Services</t>
        </is>
      </c>
    </row>
    <row r="2806" ht="15" customHeight="1" s="109" thickBot="1">
      <c r="B2806" s="96" t="inlineStr">
        <is>
          <t>NESTLE (INDIA) LTD</t>
        </is>
      </c>
      <c r="C2806" s="97" t="n">
        <v>500790</v>
      </c>
      <c r="D2806" s="96" t="inlineStr">
        <is>
          <t>NESTLEIND</t>
        </is>
      </c>
      <c r="E2806" s="96" t="inlineStr">
        <is>
          <t>Packaged Foods</t>
        </is>
      </c>
    </row>
    <row r="2807" ht="15" customHeight="1" s="109" thickBot="1">
      <c r="B2807" s="96" t="inlineStr">
        <is>
          <t>NESTLE INDIA LTD</t>
        </is>
      </c>
      <c r="C2807" s="97" t="n">
        <v>500790</v>
      </c>
      <c r="D2807" s="96" t="inlineStr">
        <is>
          <t>NESTLEIND</t>
        </is>
      </c>
      <c r="E2807" s="96" t="inlineStr">
        <is>
          <t>Packaged Foods</t>
        </is>
      </c>
    </row>
    <row r="2808" ht="15" customHeight="1" s="109" thickBot="1">
      <c r="B2808" s="96" t="inlineStr">
        <is>
          <t>NETLINK SOLUTIONS (INDIA) LTD</t>
        </is>
      </c>
      <c r="C2808" s="97" t="n">
        <v>509040</v>
      </c>
      <c r="D2808" s="96" t="inlineStr">
        <is>
          <t>Not Listed</t>
        </is>
      </c>
      <c r="E2808" s="96" t="inlineStr">
        <is>
          <t>IT Software Products</t>
        </is>
      </c>
    </row>
    <row r="2809" ht="15" customHeight="1" s="109" thickBot="1">
      <c r="B2809" s="96" t="inlineStr">
        <is>
          <t>NETLINK SOLUTIONS INDIA LTD</t>
        </is>
      </c>
      <c r="C2809" s="97" t="n">
        <v>509040</v>
      </c>
      <c r="D2809" s="96" t="inlineStr">
        <is>
          <t>Not Listed</t>
        </is>
      </c>
      <c r="E2809" s="96" t="inlineStr">
        <is>
          <t>IT Software Products</t>
        </is>
      </c>
    </row>
    <row r="2810" ht="15" customHeight="1" s="109" thickBot="1">
      <c r="B2810" s="96" t="inlineStr">
        <is>
          <t>NETRIPPLES SOFTWARE LTD</t>
        </is>
      </c>
      <c r="C2810" s="97" t="n">
        <v>542117</v>
      </c>
      <c r="D2810" s="96" t="inlineStr">
        <is>
          <t>Not Listed</t>
        </is>
      </c>
      <c r="E2810" s="96" t="inlineStr">
        <is>
          <t>Others</t>
        </is>
      </c>
    </row>
    <row r="2811" ht="15" customHeight="1" s="109" thickBot="1">
      <c r="B2811" s="96" t="inlineStr">
        <is>
          <t>NETTLINX LTD</t>
        </is>
      </c>
      <c r="C2811" s="97" t="n">
        <v>511658</v>
      </c>
      <c r="D2811" s="96" t="inlineStr">
        <is>
          <t>Not Listed</t>
        </is>
      </c>
      <c r="E2811" s="96" t="inlineStr">
        <is>
          <t>IT Software Products</t>
        </is>
      </c>
    </row>
    <row r="2812" ht="15" customHeight="1" s="109" thickBot="1">
      <c r="B2812" s="96" t="inlineStr">
        <is>
          <t>NETWORK LTD</t>
        </is>
      </c>
      <c r="C2812" s="97" t="n">
        <v>523558</v>
      </c>
      <c r="D2812" s="96" t="inlineStr">
        <is>
          <t>Not Listed</t>
        </is>
      </c>
      <c r="E2812" s="96" t="inlineStr">
        <is>
          <t>Electronic Components</t>
        </is>
      </c>
    </row>
    <row r="2813" ht="15" customHeight="1" s="109" thickBot="1">
      <c r="B2813" s="96" t="inlineStr">
        <is>
          <t>NETWORK18 MEDIA &amp; INVESTMENTS LTD</t>
        </is>
      </c>
      <c r="C2813" s="97" t="n">
        <v>532798</v>
      </c>
      <c r="D2813" s="96" t="inlineStr">
        <is>
          <t>NETWORK18</t>
        </is>
      </c>
      <c r="E2813" s="96" t="inlineStr">
        <is>
          <t>Holding Companies</t>
        </is>
      </c>
    </row>
    <row r="2814" ht="15" customHeight="1" s="109" thickBot="1">
      <c r="B2814" s="96" t="inlineStr">
        <is>
          <t>NEUEON TOWERS LTD</t>
        </is>
      </c>
      <c r="C2814" s="97" t="n">
        <v>532887</v>
      </c>
      <c r="D2814" s="96" t="inlineStr">
        <is>
          <t>NTL</t>
        </is>
      </c>
      <c r="E2814" s="96" t="inlineStr">
        <is>
          <t>Heavy Electrical Equipment</t>
        </is>
      </c>
    </row>
    <row r="2815" ht="15" customHeight="1" s="109" thickBot="1">
      <c r="B2815" s="96" t="inlineStr">
        <is>
          <t>NEULAND LABORATORIES LTD</t>
        </is>
      </c>
      <c r="C2815" s="97" t="n">
        <v>524558</v>
      </c>
      <c r="D2815" s="96" t="inlineStr">
        <is>
          <t>NEULANDLAB</t>
        </is>
      </c>
      <c r="E2815" s="96" t="inlineStr">
        <is>
          <t>Pharmaceuticals</t>
        </is>
      </c>
    </row>
    <row r="2816" ht="15" customHeight="1" s="109" thickBot="1">
      <c r="B2816" s="96" t="inlineStr">
        <is>
          <t>NEW DELHI TELEVISION LTD</t>
        </is>
      </c>
      <c r="C2816" s="97" t="n">
        <v>532529</v>
      </c>
      <c r="D2816" s="96" t="inlineStr">
        <is>
          <t>NDTV</t>
        </is>
      </c>
      <c r="E2816" s="96" t="inlineStr">
        <is>
          <t>Broadcasting &amp; Cable TV</t>
        </is>
      </c>
    </row>
    <row r="2817" ht="15" customHeight="1" s="109" thickBot="1">
      <c r="B2817" s="96" t="inlineStr">
        <is>
          <t>NEW LIGHT APPARELS LTD</t>
        </is>
      </c>
      <c r="C2817" s="97" t="n">
        <v>540243</v>
      </c>
      <c r="D2817" s="96" t="inlineStr">
        <is>
          <t>Not Listed</t>
        </is>
      </c>
      <c r="E2817" s="96" t="inlineStr">
        <is>
          <t>Comm.Trading &amp; Distribution</t>
        </is>
      </c>
    </row>
    <row r="2818" ht="15" customHeight="1" s="109" thickBot="1">
      <c r="B2818" s="96" t="inlineStr">
        <is>
          <t>NEW MARKETS ADVISORY LTD</t>
        </is>
      </c>
      <c r="C2818" s="97" t="n">
        <v>508867</v>
      </c>
      <c r="D2818" s="96" t="inlineStr">
        <is>
          <t>Not Listed</t>
        </is>
      </c>
      <c r="E2818" s="96" t="inlineStr">
        <is>
          <t>IT Software Products</t>
        </is>
      </c>
    </row>
    <row r="2819" ht="15" customHeight="1" s="109" thickBot="1">
      <c r="B2819" s="96" t="inlineStr">
        <is>
          <t>NEW SAGAR TRADING CO LTD</t>
        </is>
      </c>
      <c r="C2819" s="97" t="n">
        <v>501479</v>
      </c>
      <c r="D2819" s="96" t="inlineStr">
        <is>
          <t>Not Listed</t>
        </is>
      </c>
      <c r="E2819" s="96" t="inlineStr">
        <is>
          <t>Comm.Trading &amp; Distribution</t>
        </is>
      </c>
    </row>
    <row r="2820" ht="15" customHeight="1" s="109" thickBot="1">
      <c r="B2820" s="96" t="inlineStr">
        <is>
          <t>NEWEVER TRADE WINGS LTD</t>
        </is>
      </c>
      <c r="C2820" s="97" t="n">
        <v>536644</v>
      </c>
      <c r="D2820" s="96" t="inlineStr">
        <is>
          <t>Not Listed</t>
        </is>
      </c>
      <c r="E2820" s="96" t="inlineStr">
        <is>
          <t>Comm.Trading &amp; Distribution</t>
        </is>
      </c>
    </row>
    <row r="2821" ht="15" customHeight="1" s="109" thickBot="1">
      <c r="B2821" s="96" t="inlineStr">
        <is>
          <t>NEWGEN SOFTWARE TECHNOLOGIES LTD</t>
        </is>
      </c>
      <c r="C2821" s="97" t="n">
        <v>540900</v>
      </c>
      <c r="D2821" s="96" t="inlineStr">
        <is>
          <t>NEWGEN</t>
        </is>
      </c>
      <c r="E2821" s="96" t="inlineStr">
        <is>
          <t>IT Consulting &amp; Software</t>
        </is>
      </c>
    </row>
    <row r="2822" ht="15" customHeight="1" s="109" thickBot="1">
      <c r="B2822" s="96" t="inlineStr">
        <is>
          <t>NEXT MEDIAWORKS LTD</t>
        </is>
      </c>
      <c r="C2822" s="97" t="n">
        <v>532416</v>
      </c>
      <c r="D2822" s="96" t="inlineStr">
        <is>
          <t>NEXTMEDIA</t>
        </is>
      </c>
      <c r="E2822" s="96" t="inlineStr">
        <is>
          <t>Publishing</t>
        </is>
      </c>
    </row>
    <row r="2823" ht="15" customHeight="1" s="109" thickBot="1">
      <c r="B2823" s="96" t="inlineStr">
        <is>
          <t>NEXUS COMMODITIES AND TECHNOLOGIES LTD</t>
        </is>
      </c>
      <c r="C2823" s="97" t="n">
        <v>538874</v>
      </c>
      <c r="D2823" s="96" t="inlineStr">
        <is>
          <t>Not Listed</t>
        </is>
      </c>
      <c r="E2823" s="96" t="inlineStr">
        <is>
          <t>Other Financial Services</t>
        </is>
      </c>
    </row>
    <row r="2824" ht="15" customHeight="1" s="109" thickBot="1">
      <c r="B2824" s="96" t="inlineStr">
        <is>
          <t>NGL FINE-CHEM LTD</t>
        </is>
      </c>
      <c r="C2824" s="97" t="n">
        <v>524774</v>
      </c>
      <c r="D2824" s="96" t="inlineStr">
        <is>
          <t>Not Listed</t>
        </is>
      </c>
      <c r="E2824" s="96" t="inlineStr">
        <is>
          <t>Pharmaceuticals</t>
        </is>
      </c>
    </row>
    <row r="2825" ht="15" customHeight="1" s="109" thickBot="1">
      <c r="B2825" s="96" t="inlineStr">
        <is>
          <t>NHC FOODS LTD</t>
        </is>
      </c>
      <c r="C2825" s="97" t="n">
        <v>517554</v>
      </c>
      <c r="D2825" s="96" t="inlineStr">
        <is>
          <t>Not Listed</t>
        </is>
      </c>
      <c r="E2825" s="96" t="inlineStr">
        <is>
          <t>Other Food Products</t>
        </is>
      </c>
    </row>
    <row r="2826" ht="15" customHeight="1" s="109" thickBot="1">
      <c r="B2826" s="96" t="inlineStr">
        <is>
          <t>NHPC LTD</t>
        </is>
      </c>
      <c r="C2826" s="97" t="n">
        <v>533098</v>
      </c>
      <c r="D2826" s="96" t="inlineStr">
        <is>
          <t>NHPC</t>
        </is>
      </c>
      <c r="E2826" s="96" t="inlineStr">
        <is>
          <t>Electric Utilities</t>
        </is>
      </c>
    </row>
    <row r="2827" ht="15" customHeight="1" s="109" thickBot="1">
      <c r="B2827" s="96" t="inlineStr">
        <is>
          <t>NICCO PARKS &amp; RESORTS LTD</t>
        </is>
      </c>
      <c r="C2827" s="97" t="n">
        <v>526721</v>
      </c>
      <c r="D2827" s="96" t="inlineStr">
        <is>
          <t>Not Listed</t>
        </is>
      </c>
      <c r="E2827" s="96" t="inlineStr">
        <is>
          <t>Other Leisure Facilities</t>
        </is>
      </c>
    </row>
    <row r="2828" ht="15" customHeight="1" s="109" thickBot="1">
      <c r="B2828" s="96" t="inlineStr">
        <is>
          <t>NICCO UCO ALLIANCE CREDIT LTD</t>
        </is>
      </c>
      <c r="C2828" s="97" t="n">
        <v>523209</v>
      </c>
      <c r="D2828" s="96" t="inlineStr">
        <is>
          <t>Not Listed</t>
        </is>
      </c>
      <c r="E2828" s="96" t="inlineStr">
        <is>
          <t>Finance (including NBFCs)</t>
        </is>
      </c>
    </row>
    <row r="2829" ht="15" customHeight="1" s="109" thickBot="1">
      <c r="B2829" s="96" t="inlineStr">
        <is>
          <t>NIDHI GRANITES LTD</t>
        </is>
      </c>
      <c r="C2829" s="97" t="n">
        <v>512103</v>
      </c>
      <c r="D2829" s="96" t="inlineStr">
        <is>
          <t>Not Listed</t>
        </is>
      </c>
      <c r="E2829" s="96" t="inlineStr">
        <is>
          <t>Construction Materials</t>
        </is>
      </c>
    </row>
    <row r="2830" ht="15" customHeight="1" s="109" thickBot="1">
      <c r="B2830" s="96" t="inlineStr">
        <is>
          <t>NIHAR INFO GLOBAL LTD</t>
        </is>
      </c>
      <c r="C2830" s="97" t="n">
        <v>531083</v>
      </c>
      <c r="D2830" s="96" t="inlineStr">
        <is>
          <t>Not Listed</t>
        </is>
      </c>
      <c r="E2830" s="96" t="inlineStr">
        <is>
          <t>IT Software Products</t>
        </is>
      </c>
    </row>
    <row r="2831" ht="15" customHeight="1" s="109" thickBot="1">
      <c r="B2831" s="96" t="inlineStr">
        <is>
          <t>NIIT LTD</t>
        </is>
      </c>
      <c r="C2831" s="97" t="n">
        <v>500304</v>
      </c>
      <c r="D2831" s="96" t="inlineStr">
        <is>
          <t>NIITLTD</t>
        </is>
      </c>
      <c r="E2831" s="96" t="inlineStr">
        <is>
          <t>IT Training Services</t>
        </is>
      </c>
    </row>
    <row r="2832" ht="15" customHeight="1" s="109" thickBot="1">
      <c r="B2832" s="96" t="inlineStr">
        <is>
          <t>NIIT TECHNOLOGIES LTD</t>
        </is>
      </c>
      <c r="C2832" s="97" t="n">
        <v>532541</v>
      </c>
      <c r="D2832" s="96" t="inlineStr">
        <is>
          <t>NIITTECH</t>
        </is>
      </c>
      <c r="E2832" s="96" t="inlineStr">
        <is>
          <t>IT Consulting &amp; Software</t>
        </is>
      </c>
    </row>
    <row r="2833" ht="15" customHeight="1" s="109" thickBot="1">
      <c r="B2833" s="96" t="inlineStr">
        <is>
          <t>NIKHIL ADHESIVES LTD</t>
        </is>
      </c>
      <c r="C2833" s="97" t="n">
        <v>526159</v>
      </c>
      <c r="D2833" s="96" t="inlineStr">
        <is>
          <t>Not Listed</t>
        </is>
      </c>
      <c r="E2833" s="96" t="inlineStr">
        <is>
          <t>Comm.Trading &amp; Distribution</t>
        </is>
      </c>
    </row>
    <row r="2834" ht="15" customHeight="1" s="109" thickBot="1">
      <c r="B2834" s="96" t="inlineStr">
        <is>
          <t>NIKKI GLOBAL FINANCE LTD</t>
        </is>
      </c>
      <c r="C2834" s="97" t="n">
        <v>531272</v>
      </c>
      <c r="D2834" s="96" t="inlineStr">
        <is>
          <t>Not Listed</t>
        </is>
      </c>
      <c r="E2834" s="96" t="inlineStr">
        <is>
          <t>Finance (including NBFCs)</t>
        </is>
      </c>
    </row>
    <row r="2835" ht="15" customHeight="1" s="109" thickBot="1">
      <c r="B2835" s="96" t="inlineStr">
        <is>
          <t>NILA INFRASTRUCTURES LTD</t>
        </is>
      </c>
      <c r="C2835" s="97" t="n">
        <v>530377</v>
      </c>
      <c r="D2835" s="96" t="inlineStr">
        <is>
          <t>NILAINFRA</t>
        </is>
      </c>
      <c r="E2835" s="96" t="inlineStr">
        <is>
          <t>Realty</t>
        </is>
      </c>
    </row>
    <row r="2836" ht="15" customHeight="1" s="109" thickBot="1">
      <c r="B2836" s="96" t="inlineStr">
        <is>
          <t>Nila Spaces Ltd</t>
        </is>
      </c>
      <c r="C2836" s="97" t="n">
        <v>542231</v>
      </c>
      <c r="D2836" s="96" t="inlineStr">
        <is>
          <t>NILASPACES</t>
        </is>
      </c>
      <c r="E2836" s="96" t="inlineStr">
        <is>
          <t>Realty</t>
        </is>
      </c>
    </row>
    <row r="2837" ht="15" customHeight="1" s="109" thickBot="1">
      <c r="B2837" s="96" t="inlineStr">
        <is>
          <t>NILACHAL REFRACTORIES LTD</t>
        </is>
      </c>
      <c r="C2837" s="97" t="n">
        <v>502294</v>
      </c>
      <c r="D2837" s="96" t="inlineStr">
        <is>
          <t>Not Listed</t>
        </is>
      </c>
      <c r="E2837" s="96" t="inlineStr">
        <is>
          <t>Construction Materials</t>
        </is>
      </c>
    </row>
    <row r="2838" ht="15" customHeight="1" s="109" thickBot="1">
      <c r="B2838" s="96" t="inlineStr">
        <is>
          <t>NILE LTD</t>
        </is>
      </c>
      <c r="C2838" s="97" t="n">
        <v>530129</v>
      </c>
      <c r="D2838" s="96" t="inlineStr">
        <is>
          <t>Not Listed</t>
        </is>
      </c>
      <c r="E2838" s="96" t="inlineStr">
        <is>
          <t>Iron &amp; Steel Products</t>
        </is>
      </c>
    </row>
    <row r="2839" ht="15" customHeight="1" s="109" thickBot="1">
      <c r="B2839" s="96" t="inlineStr">
        <is>
          <t>NILKAMAL LTD</t>
        </is>
      </c>
      <c r="C2839" s="97" t="n">
        <v>523385</v>
      </c>
      <c r="D2839" s="96" t="inlineStr">
        <is>
          <t>NILKAMAL</t>
        </is>
      </c>
      <c r="E2839" s="96" t="inlineStr">
        <is>
          <t>Plastic Products</t>
        </is>
      </c>
    </row>
    <row r="2840" ht="15" customHeight="1" s="109" thickBot="1">
      <c r="B2840" s="96" t="inlineStr">
        <is>
          <t>NILKANTH ENGINEERING LTD</t>
        </is>
      </c>
      <c r="C2840" s="97" t="n">
        <v>512004</v>
      </c>
      <c r="D2840" s="96" t="inlineStr">
        <is>
          <t>Not Listed</t>
        </is>
      </c>
      <c r="E2840" s="96" t="inlineStr">
        <is>
          <t>Misc.Commercial Services</t>
        </is>
      </c>
    </row>
    <row r="2841" ht="15" customHeight="1" s="109" thickBot="1">
      <c r="B2841" s="96" t="inlineStr">
        <is>
          <t>NIMBUS FOODS INDUSTRIES LTD</t>
        </is>
      </c>
      <c r="C2841" s="97" t="n">
        <v>531598</v>
      </c>
      <c r="D2841" s="96" t="inlineStr">
        <is>
          <t>Not Listed</t>
        </is>
      </c>
      <c r="E2841" s="96" t="inlineStr">
        <is>
          <t>Packaged Foods</t>
        </is>
      </c>
    </row>
    <row r="2842" ht="15" customHeight="1" s="109" thickBot="1">
      <c r="B2842" s="96" t="inlineStr">
        <is>
          <t>NIMBUS INDUSTRIES LTD</t>
        </is>
      </c>
      <c r="C2842" s="97" t="n">
        <v>530971</v>
      </c>
      <c r="D2842" s="96" t="inlineStr">
        <is>
          <t>Not Listed</t>
        </is>
      </c>
      <c r="E2842" s="96" t="inlineStr">
        <is>
          <t>Comm.Trading &amp; Distribution</t>
        </is>
      </c>
    </row>
    <row r="2843" ht="15" customHeight="1" s="109" thickBot="1">
      <c r="B2843" s="96" t="inlineStr">
        <is>
          <t>NIMBUS PROJECTS LTD</t>
        </is>
      </c>
      <c r="C2843" s="97" t="n">
        <v>511714</v>
      </c>
      <c r="D2843" s="96" t="inlineStr">
        <is>
          <t>Not Listed</t>
        </is>
      </c>
      <c r="E2843" s="96" t="inlineStr">
        <is>
          <t>Realty</t>
        </is>
      </c>
    </row>
    <row r="2844" ht="15" customHeight="1" s="109" thickBot="1">
      <c r="B2844" s="96" t="inlineStr">
        <is>
          <t>NINTEC SYSTEMS LTD</t>
        </is>
      </c>
      <c r="C2844" s="97" t="n">
        <v>539843</v>
      </c>
      <c r="D2844" s="96" t="inlineStr">
        <is>
          <t>Not Listed</t>
        </is>
      </c>
      <c r="E2844" s="96" t="inlineStr">
        <is>
          <t>IT Consulting &amp; Software</t>
        </is>
      </c>
    </row>
    <row r="2845" ht="15" customHeight="1" s="109" thickBot="1">
      <c r="B2845" s="96" t="inlineStr">
        <is>
          <t>NIRAJ CEMENT STRUCTURALS LTD</t>
        </is>
      </c>
      <c r="C2845" s="97" t="n">
        <v>532986</v>
      </c>
      <c r="D2845" s="96" t="inlineStr">
        <is>
          <t>Not Listed</t>
        </is>
      </c>
      <c r="E2845" s="96" t="inlineStr">
        <is>
          <t>Construction &amp; Engineering</t>
        </is>
      </c>
    </row>
    <row r="2846" ht="15" customHeight="1" s="109" thickBot="1">
      <c r="B2846" s="96" t="inlineStr">
        <is>
          <t>NIRAJ ISPAT INDUSTRIES LTD</t>
        </is>
      </c>
      <c r="C2846" s="96" t="inlineStr">
        <is>
          <t>Not Listed</t>
        </is>
      </c>
      <c r="D2846" s="96" t="inlineStr">
        <is>
          <t>NIRAJISPAT</t>
        </is>
      </c>
      <c r="E2846" s="96" t="inlineStr">
        <is>
          <t>Others</t>
        </is>
      </c>
    </row>
    <row r="2847" ht="15" customHeight="1" s="109" thickBot="1">
      <c r="B2847" s="96" t="inlineStr">
        <is>
          <t>NIRAV COMMERCIALS LTD</t>
        </is>
      </c>
      <c r="C2847" s="97" t="n">
        <v>512425</v>
      </c>
      <c r="D2847" s="96" t="inlineStr">
        <is>
          <t>Not Listed</t>
        </is>
      </c>
      <c r="E2847" s="96" t="inlineStr">
        <is>
          <t>Comm.Trading &amp; Distribution</t>
        </is>
      </c>
    </row>
    <row r="2848" ht="15" customHeight="1" s="109" thickBot="1">
      <c r="B2848" s="96" t="inlineStr">
        <is>
          <t>NIRLON LTD</t>
        </is>
      </c>
      <c r="C2848" s="97" t="n">
        <v>500307</v>
      </c>
      <c r="D2848" s="96" t="inlineStr">
        <is>
          <t>Not Listed</t>
        </is>
      </c>
      <c r="E2848" s="96" t="inlineStr">
        <is>
          <t>Misc.Commercial Services</t>
        </is>
      </c>
    </row>
    <row r="2849" ht="15" customHeight="1" s="109" thickBot="1">
      <c r="B2849" s="96" t="inlineStr">
        <is>
          <t>NISHTHA FINANCE AND INVESTMENT (INDIA) LTD</t>
        </is>
      </c>
      <c r="C2849" s="97" t="n">
        <v>539311</v>
      </c>
      <c r="D2849" s="96" t="inlineStr">
        <is>
          <t>Not Listed</t>
        </is>
      </c>
      <c r="E2849" s="96" t="inlineStr">
        <is>
          <t>Other Financial Services</t>
        </is>
      </c>
    </row>
    <row r="2850" ht="15" customHeight="1" s="109" thickBot="1">
      <c r="B2850" s="96" t="inlineStr">
        <is>
          <t>NISHTHA FINANCE AND INVESTMENT INDIA LTD</t>
        </is>
      </c>
      <c r="C2850" s="97" t="n">
        <v>539311</v>
      </c>
      <c r="D2850" s="96" t="inlineStr">
        <is>
          <t>Not Listed</t>
        </is>
      </c>
      <c r="E2850" s="96" t="inlineStr">
        <is>
          <t>Other Financial Services</t>
        </is>
      </c>
    </row>
    <row r="2851" ht="15" customHeight="1" s="109" thickBot="1">
      <c r="B2851" s="96" t="inlineStr">
        <is>
          <t>NITCO LTD</t>
        </is>
      </c>
      <c r="C2851" s="97" t="n">
        <v>532722</v>
      </c>
      <c r="D2851" s="96" t="inlineStr">
        <is>
          <t>NITCO</t>
        </is>
      </c>
      <c r="E2851" s="96" t="inlineStr">
        <is>
          <t>Furniture-Furnishing-Paints</t>
        </is>
      </c>
    </row>
    <row r="2852" ht="15" customHeight="1" s="109" thickBot="1">
      <c r="B2852" s="96" t="inlineStr">
        <is>
          <t>NITESH ESTATES LTD</t>
        </is>
      </c>
      <c r="C2852" s="97" t="n">
        <v>533202</v>
      </c>
      <c r="D2852" s="96" t="inlineStr">
        <is>
          <t>NITESHEST</t>
        </is>
      </c>
      <c r="E2852" s="96" t="inlineStr">
        <is>
          <t>Realty</t>
        </is>
      </c>
    </row>
    <row r="2853" ht="15" customHeight="1" s="109" thickBot="1">
      <c r="B2853" s="96" t="inlineStr">
        <is>
          <t>NITIN CASTINGS LTD</t>
        </is>
      </c>
      <c r="C2853" s="97" t="n">
        <v>508875</v>
      </c>
      <c r="D2853" s="96" t="inlineStr">
        <is>
          <t>Not Listed</t>
        </is>
      </c>
      <c r="E2853" s="96" t="inlineStr">
        <is>
          <t>Misc.Commercial Services</t>
        </is>
      </c>
    </row>
    <row r="2854" ht="15" customHeight="1" s="109" thickBot="1">
      <c r="B2854" s="96" t="inlineStr">
        <is>
          <t>NITIN FIRE PROTECTION INDUSTRIES LTD</t>
        </is>
      </c>
      <c r="C2854" s="97" t="n">
        <v>532854</v>
      </c>
      <c r="D2854" s="96" t="inlineStr">
        <is>
          <t>NITINFIRE</t>
        </is>
      </c>
      <c r="E2854" s="96" t="inlineStr">
        <is>
          <t>Industrial Machinery</t>
        </is>
      </c>
    </row>
    <row r="2855" ht="15" customHeight="1" s="109" thickBot="1">
      <c r="B2855" s="96" t="inlineStr">
        <is>
          <t>NITIN SPINNERS LTD</t>
        </is>
      </c>
      <c r="C2855" s="97" t="n">
        <v>532698</v>
      </c>
      <c r="D2855" s="96" t="inlineStr">
        <is>
          <t>NITINSPIN</t>
        </is>
      </c>
      <c r="E2855" s="96" t="inlineStr">
        <is>
          <t>Textiles</t>
        </is>
      </c>
    </row>
    <row r="2856" ht="15" customHeight="1" s="109" thickBot="1">
      <c r="B2856" s="96" t="inlineStr">
        <is>
          <t>NITIRAJ ENGINEERS LTD</t>
        </is>
      </c>
      <c r="C2856" s="96" t="inlineStr">
        <is>
          <t>Not Listed</t>
        </is>
      </c>
      <c r="D2856" s="96" t="inlineStr">
        <is>
          <t>NITIRAJ</t>
        </is>
      </c>
      <c r="E2856" s="96" t="inlineStr">
        <is>
          <t>SME</t>
        </is>
      </c>
    </row>
    <row r="2857" ht="15" customHeight="1" s="109" thickBot="1">
      <c r="B2857" s="96" t="inlineStr">
        <is>
          <t>NITTA GELATIN (INDIA) LTD</t>
        </is>
      </c>
      <c r="C2857" s="97" t="n">
        <v>506532</v>
      </c>
      <c r="D2857" s="96" t="inlineStr">
        <is>
          <t>Not Listed</t>
        </is>
      </c>
      <c r="E2857" s="96" t="inlineStr">
        <is>
          <t>Specialty Chemicals</t>
        </is>
      </c>
    </row>
    <row r="2858" ht="15" customHeight="1" s="109" thickBot="1">
      <c r="B2858" s="96" t="inlineStr">
        <is>
          <t>NITTA GELATIN INDIA LTD</t>
        </is>
      </c>
      <c r="C2858" s="97" t="n">
        <v>506532</v>
      </c>
      <c r="D2858" s="96" t="inlineStr">
        <is>
          <t>Not Listed</t>
        </is>
      </c>
      <c r="E2858" s="96" t="inlineStr">
        <is>
          <t>Specialty Chemicals</t>
        </is>
      </c>
    </row>
    <row r="2859" ht="15" customHeight="1" s="109" thickBot="1">
      <c r="B2859" s="96" t="inlineStr">
        <is>
          <t>NIVEDITA MERCANTILE &amp; FINANCING LTD</t>
        </is>
      </c>
      <c r="C2859" s="97" t="n">
        <v>512381</v>
      </c>
      <c r="D2859" s="96" t="inlineStr">
        <is>
          <t>Not Listed</t>
        </is>
      </c>
      <c r="E2859" s="96" t="inlineStr">
        <is>
          <t>Comm.Trading &amp; Distribution</t>
        </is>
      </c>
    </row>
    <row r="2860" ht="15" customHeight="1" s="109" thickBot="1">
      <c r="B2860" s="96" t="inlineStr">
        <is>
          <t>NIVI TRADING LTD</t>
        </is>
      </c>
      <c r="C2860" s="97" t="n">
        <v>512245</v>
      </c>
      <c r="D2860" s="96" t="inlineStr">
        <is>
          <t>Not Listed</t>
        </is>
      </c>
      <c r="E2860" s="96" t="inlineStr">
        <is>
          <t>Misc.Commercial Services</t>
        </is>
      </c>
    </row>
    <row r="2861" ht="15" customHeight="1" s="109" thickBot="1">
      <c r="B2861" s="96" t="inlineStr">
        <is>
          <t>NIYOGIN FINTECH LTD</t>
        </is>
      </c>
      <c r="C2861" s="97" t="n">
        <v>538772</v>
      </c>
      <c r="D2861" s="96" t="inlineStr">
        <is>
          <t>Not Listed</t>
        </is>
      </c>
      <c r="E2861" s="96" t="inlineStr">
        <is>
          <t>Finance (including NBFCs)</t>
        </is>
      </c>
    </row>
    <row r="2862" ht="15" customHeight="1" s="109" thickBot="1">
      <c r="B2862" s="96" t="inlineStr">
        <is>
          <t>NK INDUSTRIES LTD</t>
        </is>
      </c>
      <c r="C2862" s="97" t="n">
        <v>519494</v>
      </c>
      <c r="D2862" s="96" t="inlineStr">
        <is>
          <t>NKIND</t>
        </is>
      </c>
      <c r="E2862" s="96" t="inlineStr">
        <is>
          <t>Edible Oils</t>
        </is>
      </c>
    </row>
    <row r="2863" ht="15" customHeight="1" s="109" thickBot="1">
      <c r="B2863" s="96" t="inlineStr">
        <is>
          <t>NLC (INDIA) LTD</t>
        </is>
      </c>
      <c r="C2863" s="97" t="n">
        <v>513683</v>
      </c>
      <c r="D2863" s="96" t="inlineStr">
        <is>
          <t>NLC(INDIA)</t>
        </is>
      </c>
      <c r="E2863" s="96" t="inlineStr">
        <is>
          <t>Electric Utilities</t>
        </is>
      </c>
    </row>
    <row r="2864" ht="15" customHeight="1" s="109" thickBot="1">
      <c r="B2864" s="96" t="inlineStr">
        <is>
          <t>NLC INDIA LTD</t>
        </is>
      </c>
      <c r="C2864" s="97" t="n">
        <v>513683</v>
      </c>
      <c r="D2864" s="96" t="inlineStr">
        <is>
          <t>NLCINDIA</t>
        </is>
      </c>
      <c r="E2864" s="96" t="inlineStr">
        <is>
          <t>Electric Utilities</t>
        </is>
      </c>
    </row>
    <row r="2865" ht="15" customHeight="1" s="109" thickBot="1">
      <c r="B2865" s="96" t="inlineStr">
        <is>
          <t>NMDC LTD</t>
        </is>
      </c>
      <c r="C2865" s="97" t="n">
        <v>526371</v>
      </c>
      <c r="D2865" s="96" t="inlineStr">
        <is>
          <t>NMDC</t>
        </is>
      </c>
      <c r="E2865" s="96" t="inlineStr">
        <is>
          <t>Mining</t>
        </is>
      </c>
    </row>
    <row r="2866" ht="15" customHeight="1" s="109" thickBot="1">
      <c r="B2866" s="96" t="inlineStr">
        <is>
          <t>NOCIL LTD</t>
        </is>
      </c>
      <c r="C2866" s="97" t="n">
        <v>500730</v>
      </c>
      <c r="D2866" s="96" t="inlineStr">
        <is>
          <t>NOCIL</t>
        </is>
      </c>
      <c r="E2866" s="96" t="inlineStr">
        <is>
          <t>Specialty Chemicals</t>
        </is>
      </c>
    </row>
    <row r="2867" ht="15" customHeight="1" s="109" thickBot="1">
      <c r="B2867" s="96" t="inlineStr">
        <is>
          <t>NOIDA TOLL BRIDGE COMPANY LTD</t>
        </is>
      </c>
      <c r="C2867" s="97" t="n">
        <v>532481</v>
      </c>
      <c r="D2867" s="96" t="inlineStr">
        <is>
          <t>NOIDATOLL</t>
        </is>
      </c>
      <c r="E2867" s="96" t="inlineStr">
        <is>
          <t>Roads &amp; Highways</t>
        </is>
      </c>
    </row>
    <row r="2868" ht="15" customHeight="1" s="109" thickBot="1">
      <c r="B2868" s="96" t="inlineStr">
        <is>
          <t>NORBEN TEA &amp; EXPORTS LTD</t>
        </is>
      </c>
      <c r="C2868" s="96" t="inlineStr">
        <is>
          <t>Not Listed</t>
        </is>
      </c>
      <c r="D2868" s="96" t="inlineStr">
        <is>
          <t>NORBTEAEXP</t>
        </is>
      </c>
      <c r="E2868" s="96" t="inlineStr">
        <is>
          <t>Others</t>
        </is>
      </c>
    </row>
    <row r="2869" ht="15" customHeight="1" s="109" thickBot="1">
      <c r="B2869" s="96" t="inlineStr">
        <is>
          <t>NORRIS MEDICINES LTD</t>
        </is>
      </c>
      <c r="C2869" s="97" t="n">
        <v>524414</v>
      </c>
      <c r="D2869" s="96" t="inlineStr">
        <is>
          <t>Not Listed</t>
        </is>
      </c>
      <c r="E2869" s="96" t="inlineStr">
        <is>
          <t>Comm.Trading &amp; Distribution</t>
        </is>
      </c>
    </row>
    <row r="2870" ht="15" customHeight="1" s="109" thickBot="1">
      <c r="B2870" s="96" t="inlineStr">
        <is>
          <t>NORTH EASTERN CARRYING CORPORATION LTD</t>
        </is>
      </c>
      <c r="C2870" s="97" t="n">
        <v>534615</v>
      </c>
      <c r="D2870" s="96" t="inlineStr">
        <is>
          <t>NECCLTD</t>
        </is>
      </c>
      <c r="E2870" s="96" t="inlineStr">
        <is>
          <t>Transportation - Logistics</t>
        </is>
      </c>
    </row>
    <row r="2871" ht="15" customHeight="1" s="109" thickBot="1">
      <c r="B2871" s="96" t="inlineStr">
        <is>
          <t>Northern Spirits Ltd</t>
        </is>
      </c>
      <c r="C2871" s="97" t="n">
        <v>542628</v>
      </c>
      <c r="D2871" s="96" t="inlineStr">
        <is>
          <t>NSL</t>
        </is>
      </c>
      <c r="E2871" s="96" t="inlineStr">
        <is>
          <t>Comm.Trading &amp;amp; Distribution</t>
        </is>
      </c>
    </row>
    <row r="2872" ht="15" customHeight="1" s="109" thickBot="1">
      <c r="B2872" s="96" t="inlineStr">
        <is>
          <t>NORTHLINK FISCAL AND CAPITAL SERVICES LTD</t>
        </is>
      </c>
      <c r="C2872" s="97" t="n">
        <v>539110</v>
      </c>
      <c r="D2872" s="96" t="inlineStr">
        <is>
          <t>Not Listed</t>
        </is>
      </c>
      <c r="E2872" s="96" t="inlineStr">
        <is>
          <t>Finance (including NBFCs)</t>
        </is>
      </c>
    </row>
    <row r="2873" ht="15" customHeight="1" s="109" thickBot="1">
      <c r="B2873" s="96" t="inlineStr">
        <is>
          <t>NOURITRANS EXIM LTD</t>
        </is>
      </c>
      <c r="C2873" s="97" t="n">
        <v>540698</v>
      </c>
      <c r="D2873" s="96" t="inlineStr">
        <is>
          <t>Not Listed</t>
        </is>
      </c>
      <c r="E2873" s="96" t="inlineStr">
        <is>
          <t>Comm.Trading &amp; Distribution</t>
        </is>
      </c>
    </row>
    <row r="2874" ht="15" customHeight="1" s="109" thickBot="1">
      <c r="B2874" s="96" t="inlineStr">
        <is>
          <t>NOUVEAU GLOBAL VENTURES LTD</t>
        </is>
      </c>
      <c r="C2874" s="97" t="n">
        <v>531465</v>
      </c>
      <c r="D2874" s="96" t="inlineStr">
        <is>
          <t>Not Listed</t>
        </is>
      </c>
      <c r="E2874" s="96" t="inlineStr">
        <is>
          <t>Comm.Trading &amp; Distribution</t>
        </is>
      </c>
    </row>
    <row r="2875" ht="15" customHeight="1" s="109" thickBot="1">
      <c r="B2875" s="96" t="inlineStr">
        <is>
          <t>NOVA IRON &amp; STEEL LTD</t>
        </is>
      </c>
      <c r="C2875" s="97" t="n">
        <v>513566</v>
      </c>
      <c r="D2875" s="96" t="inlineStr">
        <is>
          <t>Not Listed</t>
        </is>
      </c>
      <c r="E2875" s="96" t="inlineStr">
        <is>
          <t>Iron &amp; Steel/Interm.Products</t>
        </is>
      </c>
    </row>
    <row r="2876" ht="15" customHeight="1" s="109" thickBot="1">
      <c r="B2876" s="96" t="inlineStr">
        <is>
          <t>NOVA PUBLICATIONS (INDIA) LTD</t>
        </is>
      </c>
      <c r="C2876" s="97" t="n">
        <v>530733</v>
      </c>
      <c r="D2876" s="96" t="inlineStr">
        <is>
          <t>Not Listed</t>
        </is>
      </c>
      <c r="E2876" s="96" t="inlineStr">
        <is>
          <t>Publishing</t>
        </is>
      </c>
    </row>
    <row r="2877" ht="15" customHeight="1" s="109" thickBot="1">
      <c r="B2877" s="96" t="inlineStr">
        <is>
          <t>NOVA PUBLICATIONS INDIA LTD</t>
        </is>
      </c>
      <c r="C2877" s="97" t="n">
        <v>530733</v>
      </c>
      <c r="D2877" s="96" t="inlineStr">
        <is>
          <t>Not Listed</t>
        </is>
      </c>
      <c r="E2877" s="96" t="inlineStr">
        <is>
          <t>Publishing</t>
        </is>
      </c>
    </row>
    <row r="2878" ht="15" customHeight="1" s="109" thickBot="1">
      <c r="B2878" s="96" t="inlineStr">
        <is>
          <t>NOVARTIS (INDIA) LTD</t>
        </is>
      </c>
      <c r="C2878" s="97" t="n">
        <v>500672</v>
      </c>
      <c r="D2878" s="96" t="inlineStr">
        <is>
          <t>Not Listed</t>
        </is>
      </c>
      <c r="E2878" s="96" t="inlineStr">
        <is>
          <t>Pharmaceuticals</t>
        </is>
      </c>
    </row>
    <row r="2879" ht="15" customHeight="1" s="109" thickBot="1">
      <c r="B2879" s="96" t="inlineStr">
        <is>
          <t>NOVARTIS INDIA LTD</t>
        </is>
      </c>
      <c r="C2879" s="97" t="n">
        <v>500672</v>
      </c>
      <c r="D2879" s="96" t="inlineStr">
        <is>
          <t>Not Listed</t>
        </is>
      </c>
      <c r="E2879" s="96" t="inlineStr">
        <is>
          <t>Pharmaceuticals</t>
        </is>
      </c>
    </row>
    <row r="2880" ht="15" customHeight="1" s="109" thickBot="1">
      <c r="B2880" s="96" t="inlineStr">
        <is>
          <t>NPR FINANCE LTD</t>
        </is>
      </c>
      <c r="C2880" s="97" t="n">
        <v>530127</v>
      </c>
      <c r="D2880" s="96" t="inlineStr">
        <is>
          <t>Not Listed</t>
        </is>
      </c>
      <c r="E2880" s="96" t="inlineStr">
        <is>
          <t>Other Financial Services</t>
        </is>
      </c>
    </row>
    <row r="2881" ht="15" customHeight="1" s="109" thickBot="1">
      <c r="B2881" s="96" t="inlineStr">
        <is>
          <t>NRB BEARING LTD</t>
        </is>
      </c>
      <c r="C2881" s="97" t="n">
        <v>530367</v>
      </c>
      <c r="D2881" s="96" t="inlineStr">
        <is>
          <t>NRBBEARING</t>
        </is>
      </c>
      <c r="E2881" s="96" t="inlineStr">
        <is>
          <t>Industrial Machinery</t>
        </is>
      </c>
    </row>
    <row r="2882" ht="15" customHeight="1" s="109" thickBot="1">
      <c r="B2882" s="96" t="inlineStr">
        <is>
          <t>NRB INDUSTRIAL BEARINGS LTD</t>
        </is>
      </c>
      <c r="C2882" s="97" t="n">
        <v>535458</v>
      </c>
      <c r="D2882" s="96" t="inlineStr">
        <is>
          <t>NIBL</t>
        </is>
      </c>
      <c r="E2882" s="96" t="inlineStr">
        <is>
          <t>Other Industrial Goods</t>
        </is>
      </c>
    </row>
    <row r="2883" ht="15" customHeight="1" s="109" thickBot="1">
      <c r="B2883" s="96" t="inlineStr">
        <is>
          <t>NTC INDUSTRIES LTD</t>
        </is>
      </c>
      <c r="C2883" s="97" t="n">
        <v>526723</v>
      </c>
      <c r="D2883" s="96" t="inlineStr">
        <is>
          <t>Not Listed</t>
        </is>
      </c>
      <c r="E2883" s="96" t="inlineStr">
        <is>
          <t>Cigarettes-Tobacco Products</t>
        </is>
      </c>
    </row>
    <row r="2884" ht="15" customHeight="1" s="109" thickBot="1">
      <c r="B2884" s="96" t="inlineStr">
        <is>
          <t>NTPC LTD</t>
        </is>
      </c>
      <c r="C2884" s="97" t="n">
        <v>532555</v>
      </c>
      <c r="D2884" s="96" t="inlineStr">
        <is>
          <t>NTPC</t>
        </is>
      </c>
      <c r="E2884" s="96" t="inlineStr">
        <is>
          <t>Electric Utilities</t>
        </is>
      </c>
    </row>
    <row r="2885" ht="15" customHeight="1" s="109" thickBot="1">
      <c r="B2885" s="96" t="inlineStr">
        <is>
          <t>NU TEK (INDIA) LTD</t>
        </is>
      </c>
      <c r="C2885" s="97" t="n">
        <v>533015</v>
      </c>
      <c r="D2885" s="96" t="inlineStr">
        <is>
          <t>NUTEK</t>
        </is>
      </c>
      <c r="E2885" s="96" t="inlineStr">
        <is>
          <t>Other Telecom Services</t>
        </is>
      </c>
    </row>
    <row r="2886" ht="15" customHeight="1" s="109" thickBot="1">
      <c r="B2886" s="96" t="inlineStr">
        <is>
          <t>NU TEK INDIA LTD</t>
        </is>
      </c>
      <c r="C2886" s="97" t="n">
        <v>533015</v>
      </c>
      <c r="D2886" s="96" t="inlineStr">
        <is>
          <t>NUTEK</t>
        </is>
      </c>
      <c r="E2886" s="96" t="inlineStr">
        <is>
          <t>Other Telecom Services</t>
        </is>
      </c>
    </row>
    <row r="2887" ht="15" customHeight="1" s="109" thickBot="1">
      <c r="B2887" s="96" t="inlineStr">
        <is>
          <t>NUCLEUS SOFTWARE EXPORTS LTD</t>
        </is>
      </c>
      <c r="C2887" s="97" t="n">
        <v>531209</v>
      </c>
      <c r="D2887" s="96" t="inlineStr">
        <is>
          <t>NUCLEUS</t>
        </is>
      </c>
      <c r="E2887" s="96" t="inlineStr">
        <is>
          <t>IT Software Products</t>
        </is>
      </c>
    </row>
    <row r="2888" ht="15" customHeight="1" s="109" thickBot="1">
      <c r="B2888" s="96" t="inlineStr">
        <is>
          <t>NUTECH GLOBAL LTD</t>
        </is>
      </c>
      <c r="C2888" s="97" t="n">
        <v>531304</v>
      </c>
      <c r="D2888" s="96" t="inlineStr">
        <is>
          <t>Not Listed</t>
        </is>
      </c>
      <c r="E2888" s="96" t="inlineStr">
        <is>
          <t>Textiles</t>
        </is>
      </c>
    </row>
    <row r="2889" ht="15" customHeight="1" s="109" thickBot="1">
      <c r="B2889" s="96" t="inlineStr">
        <is>
          <t>NUTRAPLUS (INDIA) LTD</t>
        </is>
      </c>
      <c r="C2889" s="97" t="n">
        <v>524764</v>
      </c>
      <c r="D2889" s="96" t="inlineStr">
        <is>
          <t>Not Listed</t>
        </is>
      </c>
      <c r="E2889" s="96" t="inlineStr">
        <is>
          <t>Commodity Chemicals</t>
        </is>
      </c>
    </row>
    <row r="2890" ht="15" customHeight="1" s="109" thickBot="1">
      <c r="B2890" s="96" t="inlineStr">
        <is>
          <t>NUTRAPLUS INDIA LTD</t>
        </is>
      </c>
      <c r="C2890" s="97" t="n">
        <v>524764</v>
      </c>
      <c r="D2890" s="96" t="inlineStr">
        <is>
          <t>Not Listed</t>
        </is>
      </c>
      <c r="E2890" s="96" t="inlineStr">
        <is>
          <t>Commodity Chemicals</t>
        </is>
      </c>
    </row>
    <row r="2891" ht="15" customHeight="1" s="109" thickBot="1">
      <c r="B2891" s="96" t="inlineStr">
        <is>
          <t>NUTRICIRCLE LTD</t>
        </is>
      </c>
      <c r="C2891" s="97" t="n">
        <v>530219</v>
      </c>
      <c r="D2891" s="96" t="inlineStr">
        <is>
          <t>Not Listed</t>
        </is>
      </c>
      <c r="E2891" s="96" t="inlineStr">
        <is>
          <t>Other Apparels &amp; Accessories</t>
        </is>
      </c>
    </row>
    <row r="2892" ht="15" customHeight="1" s="109" thickBot="1">
      <c r="B2892" s="96" t="inlineStr">
        <is>
          <t>NUWAY ORGANIC NATURALS (INDIA) LTD</t>
        </is>
      </c>
      <c r="C2892" s="97" t="n">
        <v>531819</v>
      </c>
      <c r="D2892" s="96" t="inlineStr">
        <is>
          <t>Not Listed</t>
        </is>
      </c>
      <c r="E2892" s="96" t="inlineStr">
        <is>
          <t>Comm.Trading &amp; Distribution</t>
        </is>
      </c>
    </row>
    <row r="2893" ht="15" customHeight="1" s="109" thickBot="1">
      <c r="B2893" s="96" t="inlineStr">
        <is>
          <t>NUWAY ORGANIC NATURALS INDIA LTD</t>
        </is>
      </c>
      <c r="C2893" s="97" t="n">
        <v>531819</v>
      </c>
      <c r="D2893" s="96" t="inlineStr">
        <is>
          <t>Not Listed</t>
        </is>
      </c>
      <c r="E2893" s="96" t="inlineStr">
        <is>
          <t>Comm.Trading &amp; Distribution</t>
        </is>
      </c>
    </row>
    <row r="2894" ht="15" customHeight="1" s="109" thickBot="1">
      <c r="B2894" s="96" t="inlineStr">
        <is>
          <t>NYSSA CORPORATION LTD</t>
        </is>
      </c>
      <c r="C2894" s="97" t="n">
        <v>504378</v>
      </c>
      <c r="D2894" s="96" t="inlineStr">
        <is>
          <t>Not Listed</t>
        </is>
      </c>
      <c r="E2894" s="96" t="inlineStr">
        <is>
          <t>Comm.Trading &amp; Distribution</t>
        </is>
      </c>
    </row>
    <row r="2895" ht="15" customHeight="1" s="109" thickBot="1">
      <c r="B2895" s="96" t="inlineStr">
        <is>
          <t>O P CHAINS LTD</t>
        </is>
      </c>
      <c r="C2895" s="97" t="n">
        <v>539116</v>
      </c>
      <c r="D2895" s="96" t="inlineStr">
        <is>
          <t>Not Listed</t>
        </is>
      </c>
      <c r="E2895" s="96" t="inlineStr">
        <is>
          <t>Comm.Trading &amp; Distribution</t>
        </is>
      </c>
    </row>
    <row r="2896" ht="15" customHeight="1" s="109" thickBot="1">
      <c r="B2896" s="96" t="inlineStr">
        <is>
          <t>OASIS SECURITIES LTD</t>
        </is>
      </c>
      <c r="C2896" s="97" t="n">
        <v>512489</v>
      </c>
      <c r="D2896" s="96" t="inlineStr">
        <is>
          <t>Not Listed</t>
        </is>
      </c>
      <c r="E2896" s="96" t="inlineStr">
        <is>
          <t>Finance (including NBFCs)</t>
        </is>
      </c>
    </row>
    <row r="2897" ht="15" customHeight="1" s="109" thickBot="1">
      <c r="B2897" s="96" t="inlineStr">
        <is>
          <t>OASIS TRADELINK LTD</t>
        </is>
      </c>
      <c r="C2897" s="97" t="n">
        <v>538547</v>
      </c>
      <c r="D2897" s="96" t="inlineStr">
        <is>
          <t>Not Listed</t>
        </is>
      </c>
      <c r="E2897" s="96" t="inlineStr">
        <is>
          <t>Edible Oils</t>
        </is>
      </c>
    </row>
    <row r="2898" ht="15" customHeight="1" s="109" thickBot="1">
      <c r="B2898" s="96" t="inlineStr">
        <is>
          <t>OBEROI REALTY LTD</t>
        </is>
      </c>
      <c r="C2898" s="97" t="n">
        <v>533273</v>
      </c>
      <c r="D2898" s="96" t="inlineStr">
        <is>
          <t>OBEROIRLTY</t>
        </is>
      </c>
      <c r="E2898" s="96" t="inlineStr">
        <is>
          <t>Realty</t>
        </is>
      </c>
    </row>
    <row r="2899" ht="15" customHeight="1" s="109" thickBot="1">
      <c r="B2899" s="96" t="inlineStr">
        <is>
          <t>OBJECTONE INFORMATION SYSTEMS LTD</t>
        </is>
      </c>
      <c r="C2899" s="97" t="n">
        <v>535657</v>
      </c>
      <c r="D2899" s="96" t="inlineStr">
        <is>
          <t>Not Listed</t>
        </is>
      </c>
      <c r="E2899" s="96" t="inlineStr">
        <is>
          <t>IT Consulting &amp; Software</t>
        </is>
      </c>
    </row>
    <row r="2900" ht="15" customHeight="1" s="109" thickBot="1">
      <c r="B2900" s="96" t="inlineStr">
        <is>
          <t>OCEAN AGRO (INDIA) LTD</t>
        </is>
      </c>
      <c r="C2900" s="97" t="n">
        <v>519491</v>
      </c>
      <c r="D2900" s="96" t="inlineStr">
        <is>
          <t>Not Listed</t>
        </is>
      </c>
      <c r="E2900" s="96" t="inlineStr">
        <is>
          <t>Containers &amp; Packaging</t>
        </is>
      </c>
    </row>
    <row r="2901" ht="15" customHeight="1" s="109" thickBot="1">
      <c r="B2901" s="96" t="inlineStr">
        <is>
          <t>OCEAN AGRO INDIA LTD</t>
        </is>
      </c>
      <c r="C2901" s="97" t="n">
        <v>519491</v>
      </c>
      <c r="D2901" s="96" t="inlineStr">
        <is>
          <t>Not Listed</t>
        </is>
      </c>
      <c r="E2901" s="96" t="inlineStr">
        <is>
          <t>Containers &amp; Packaging</t>
        </is>
      </c>
    </row>
    <row r="2902" ht="15" customHeight="1" s="109" thickBot="1">
      <c r="B2902" s="96" t="inlineStr">
        <is>
          <t>OCEANAA BIOTEK INDUSTRIES LTD</t>
        </is>
      </c>
      <c r="C2902" s="97" t="n">
        <v>538019</v>
      </c>
      <c r="D2902" s="96" t="inlineStr">
        <is>
          <t>Not Listed</t>
        </is>
      </c>
      <c r="E2902" s="96" t="inlineStr">
        <is>
          <t>Other Food Products</t>
        </is>
      </c>
    </row>
    <row r="2903" ht="15" customHeight="1" s="109" thickBot="1">
      <c r="B2903" s="96" t="inlineStr">
        <is>
          <t>OCEANIC FOODS LTD</t>
        </is>
      </c>
      <c r="C2903" s="97" t="n">
        <v>540405</v>
      </c>
      <c r="D2903" s="96" t="inlineStr">
        <is>
          <t>Not Listed</t>
        </is>
      </c>
      <c r="E2903" s="96" t="inlineStr">
        <is>
          <t>Other Food Products</t>
        </is>
      </c>
    </row>
    <row r="2904" ht="15" customHeight="1" s="109" thickBot="1">
      <c r="B2904" s="96" t="inlineStr">
        <is>
          <t>OCL IRON AND STEEL LTD</t>
        </is>
      </c>
      <c r="C2904" s="97" t="n">
        <v>533008</v>
      </c>
      <c r="D2904" s="96" t="inlineStr">
        <is>
          <t>OISL</t>
        </is>
      </c>
      <c r="E2904" s="96" t="inlineStr">
        <is>
          <t>Iron &amp; Steel/Interm.Products</t>
        </is>
      </c>
    </row>
    <row r="2905" ht="15" customHeight="1" s="109" thickBot="1">
      <c r="B2905" s="96" t="inlineStr">
        <is>
          <t>OCTAL CREDIT CAPITAL LTD</t>
        </is>
      </c>
      <c r="C2905" s="97" t="n">
        <v>538894</v>
      </c>
      <c r="D2905" s="96" t="inlineStr">
        <is>
          <t>Not Listed</t>
        </is>
      </c>
      <c r="E2905" s="96" t="inlineStr">
        <is>
          <t>Other Financial Services</t>
        </is>
      </c>
    </row>
    <row r="2906" ht="15" customHeight="1" s="109" thickBot="1">
      <c r="B2906" s="96" t="inlineStr">
        <is>
          <t>OCTAWARE TECHNOLOGIES LTD</t>
        </is>
      </c>
      <c r="C2906" s="97" t="n">
        <v>540416</v>
      </c>
      <c r="D2906" s="96" t="inlineStr">
        <is>
          <t>Not Listed</t>
        </is>
      </c>
      <c r="E2906" s="96" t="inlineStr">
        <is>
          <t>Internet Software &amp; Services</t>
        </is>
      </c>
    </row>
    <row r="2907" ht="15" customHeight="1" s="109" thickBot="1">
      <c r="B2907" s="96" t="inlineStr">
        <is>
          <t>ODYSSEY CORPORATION LTD</t>
        </is>
      </c>
      <c r="C2907" s="97" t="n">
        <v>531996</v>
      </c>
      <c r="D2907" s="96" t="inlineStr">
        <is>
          <t>Not Listed</t>
        </is>
      </c>
      <c r="E2907" s="96" t="inlineStr">
        <is>
          <t>Finance (including NBFCs)</t>
        </is>
      </c>
    </row>
    <row r="2908" ht="15" customHeight="1" s="109" thickBot="1">
      <c r="B2908" s="96" t="inlineStr">
        <is>
          <t>ODYSSEY TECHNOLOGIES LTD</t>
        </is>
      </c>
      <c r="C2908" s="97" t="n">
        <v>530175</v>
      </c>
      <c r="D2908" s="96" t="inlineStr">
        <is>
          <t>Not Listed</t>
        </is>
      </c>
      <c r="E2908" s="96" t="inlineStr">
        <is>
          <t>IT Software Products</t>
        </is>
      </c>
    </row>
    <row r="2909" ht="15" customHeight="1" s="109" thickBot="1">
      <c r="B2909" s="96" t="inlineStr">
        <is>
          <t>OFS TECHNOLOGIES LTD</t>
        </is>
      </c>
      <c r="C2909" s="97" t="n">
        <v>539570</v>
      </c>
      <c r="D2909" s="96" t="inlineStr">
        <is>
          <t>Not Listed</t>
        </is>
      </c>
      <c r="E2909" s="96" t="inlineStr">
        <is>
          <t>IT Consulting &amp; Software</t>
        </is>
      </c>
    </row>
    <row r="2910" ht="15" customHeight="1" s="109" thickBot="1">
      <c r="B2910" s="96" t="inlineStr">
        <is>
          <t>OIL &amp; NATURAL GAS CORPORATION LTD</t>
        </is>
      </c>
      <c r="C2910" s="97" t="n">
        <v>500312</v>
      </c>
      <c r="D2910" s="96" t="inlineStr">
        <is>
          <t>ONGC</t>
        </is>
      </c>
      <c r="E2910" s="96" t="inlineStr">
        <is>
          <t>Exploration &amp; Production</t>
        </is>
      </c>
    </row>
    <row r="2911" ht="15" customHeight="1" s="109" thickBot="1">
      <c r="B2911" s="96" t="inlineStr">
        <is>
          <t>OIL (INDIA) LTD</t>
        </is>
      </c>
      <c r="C2911" s="97" t="n">
        <v>533106</v>
      </c>
      <c r="D2911" s="96" t="inlineStr">
        <is>
          <t>OIL</t>
        </is>
      </c>
      <c r="E2911" s="96" t="inlineStr">
        <is>
          <t>Exploration &amp; Production</t>
        </is>
      </c>
    </row>
    <row r="2912" ht="15" customHeight="1" s="109" thickBot="1">
      <c r="B2912" s="96" t="inlineStr">
        <is>
          <t>OIL COUNTRY TUBULAR LTD</t>
        </is>
      </c>
      <c r="C2912" s="97" t="n">
        <v>500313</v>
      </c>
      <c r="D2912" s="96" t="inlineStr">
        <is>
          <t>OILCOUNTUB</t>
        </is>
      </c>
      <c r="E2912" s="96" t="inlineStr">
        <is>
          <t>Oil Equipment &amp; Services</t>
        </is>
      </c>
    </row>
    <row r="2913" ht="15" customHeight="1" s="109" thickBot="1">
      <c r="B2913" s="96" t="inlineStr">
        <is>
          <t>OIL INDIA LTD</t>
        </is>
      </c>
      <c r="C2913" s="97" t="n">
        <v>533106</v>
      </c>
      <c r="D2913" s="96" t="inlineStr">
        <is>
          <t>OIL</t>
        </is>
      </c>
      <c r="E2913" s="96" t="inlineStr">
        <is>
          <t>Exploration &amp; Production</t>
        </is>
      </c>
    </row>
    <row r="2914" ht="15" customHeight="1" s="109" thickBot="1">
      <c r="B2914" s="96" t="inlineStr">
        <is>
          <t>OK PLAY (INDIA) LTD</t>
        </is>
      </c>
      <c r="C2914" s="97" t="n">
        <v>526415</v>
      </c>
      <c r="D2914" s="96" t="inlineStr">
        <is>
          <t>Not Listed</t>
        </is>
      </c>
      <c r="E2914" s="96" t="inlineStr">
        <is>
          <t>Gift Articles-Toys &amp; Cards</t>
        </is>
      </c>
    </row>
    <row r="2915" ht="15" customHeight="1" s="109" thickBot="1">
      <c r="B2915" s="96" t="inlineStr">
        <is>
          <t>OK PLAY INDIA LTD</t>
        </is>
      </c>
      <c r="C2915" s="97" t="n">
        <v>526415</v>
      </c>
      <c r="D2915" s="96" t="inlineStr">
        <is>
          <t>Not Listed</t>
        </is>
      </c>
      <c r="E2915" s="96" t="inlineStr">
        <is>
          <t>Gift Articles-Toys &amp; Cards</t>
        </is>
      </c>
    </row>
    <row r="2916" ht="15" customHeight="1" s="109" thickBot="1">
      <c r="B2916" s="96" t="inlineStr">
        <is>
          <t>OLECTRA GREENTECH LTD</t>
        </is>
      </c>
      <c r="C2916" s="97" t="n">
        <v>532439</v>
      </c>
      <c r="D2916" s="96" t="inlineStr">
        <is>
          <t>OLECTRA</t>
        </is>
      </c>
      <c r="E2916" s="96" t="inlineStr">
        <is>
          <t>Industrial Machinery</t>
        </is>
      </c>
    </row>
    <row r="2917" ht="15" customHeight="1" s="109" thickBot="1">
      <c r="B2917" s="96" t="inlineStr">
        <is>
          <t>OLYMPIA INDUSTRIES LTD</t>
        </is>
      </c>
      <c r="C2917" s="97" t="n">
        <v>521105</v>
      </c>
      <c r="D2917" s="96" t="inlineStr">
        <is>
          <t>Not Listed</t>
        </is>
      </c>
      <c r="E2917" s="96" t="inlineStr">
        <is>
          <t>Internet &amp; Catalogue Retail</t>
        </is>
      </c>
    </row>
    <row r="2918" ht="15" customHeight="1" s="109" thickBot="1">
      <c r="B2918" s="96" t="inlineStr">
        <is>
          <t>OLYMPIC CARDS LTD</t>
        </is>
      </c>
      <c r="C2918" s="97" t="n">
        <v>534190</v>
      </c>
      <c r="D2918" s="96" t="inlineStr">
        <is>
          <t>Not Listed</t>
        </is>
      </c>
      <c r="E2918" s="96" t="inlineStr">
        <is>
          <t>Gift Articles-Toys &amp; Cards</t>
        </is>
      </c>
    </row>
    <row r="2919" ht="15" customHeight="1" s="109" thickBot="1">
      <c r="B2919" s="96" t="inlineStr">
        <is>
          <t>OLYMPIC OIL INDUSTRIES LTD</t>
        </is>
      </c>
      <c r="C2919" s="97" t="n">
        <v>507609</v>
      </c>
      <c r="D2919" s="96" t="inlineStr">
        <is>
          <t>Not Listed</t>
        </is>
      </c>
      <c r="E2919" s="96" t="inlineStr">
        <is>
          <t>Other Agricultural Products</t>
        </is>
      </c>
    </row>
    <row r="2920" ht="15" customHeight="1" s="109" thickBot="1">
      <c r="B2920" s="96" t="inlineStr">
        <is>
          <t>OM METALS INFRAPROJECTS LTD</t>
        </is>
      </c>
      <c r="C2920" s="97" t="n">
        <v>531092</v>
      </c>
      <c r="D2920" s="96" t="inlineStr">
        <is>
          <t>OMMETALS</t>
        </is>
      </c>
      <c r="E2920" s="96" t="inlineStr">
        <is>
          <t>Construction &amp; Engineering</t>
        </is>
      </c>
    </row>
    <row r="2921" ht="15" customHeight="1" s="109" thickBot="1">
      <c r="B2921" s="96" t="inlineStr">
        <is>
          <t>OMANSH ENTERPRISES LTD</t>
        </is>
      </c>
      <c r="C2921" s="97" t="n">
        <v>538537</v>
      </c>
      <c r="D2921" s="96" t="inlineStr">
        <is>
          <t>Not Listed</t>
        </is>
      </c>
      <c r="E2921" s="96" t="inlineStr">
        <is>
          <t>Comm.Trading &amp; Distribution</t>
        </is>
      </c>
    </row>
    <row r="2922" ht="15" customHeight="1" s="109" thickBot="1">
      <c r="B2922" s="96" t="inlineStr">
        <is>
          <t>OMAX AUTOS LTD</t>
        </is>
      </c>
      <c r="C2922" s="97" t="n">
        <v>520021</v>
      </c>
      <c r="D2922" s="96" t="inlineStr">
        <is>
          <t>OMAXAUTO</t>
        </is>
      </c>
      <c r="E2922" s="96" t="inlineStr">
        <is>
          <t>Auto Parts &amp; Equipment</t>
        </is>
      </c>
    </row>
    <row r="2923" ht="15" customHeight="1" s="109" thickBot="1">
      <c r="B2923" s="96" t="inlineStr">
        <is>
          <t>OMAXE LTD</t>
        </is>
      </c>
      <c r="C2923" s="97" t="n">
        <v>532880</v>
      </c>
      <c r="D2923" s="96" t="inlineStr">
        <is>
          <t>OMAXE</t>
        </is>
      </c>
      <c r="E2923" s="96" t="inlineStr">
        <is>
          <t>Realty</t>
        </is>
      </c>
    </row>
    <row r="2924" ht="15" customHeight="1" s="109" thickBot="1">
      <c r="B2924" s="96" t="inlineStr">
        <is>
          <t>OMFURN (INDIA) LTD</t>
        </is>
      </c>
      <c r="C2924" s="96" t="inlineStr">
        <is>
          <t>Not Listed</t>
        </is>
      </c>
      <c r="D2924" s="96" t="inlineStr">
        <is>
          <t>OMFURN</t>
        </is>
      </c>
      <c r="E2924" s="96" t="inlineStr">
        <is>
          <t>SME</t>
        </is>
      </c>
    </row>
    <row r="2925" ht="15" customHeight="1" s="109" thickBot="1">
      <c r="B2925" s="96" t="inlineStr">
        <is>
          <t>OMFURN INDIA LTD</t>
        </is>
      </c>
      <c r="C2925" s="96" t="inlineStr">
        <is>
          <t>Not Listed</t>
        </is>
      </c>
      <c r="D2925" s="96" t="inlineStr">
        <is>
          <t>OMFURN</t>
        </is>
      </c>
      <c r="E2925" s="96" t="inlineStr">
        <is>
          <t>SME</t>
        </is>
      </c>
    </row>
    <row r="2926" ht="15" customHeight="1" s="109" thickBot="1">
      <c r="B2926" s="96" t="inlineStr">
        <is>
          <t>OMKAR OVERSEAS LTD</t>
        </is>
      </c>
      <c r="C2926" s="97" t="n">
        <v>531496</v>
      </c>
      <c r="D2926" s="96" t="inlineStr">
        <is>
          <t>Not Listed</t>
        </is>
      </c>
      <c r="E2926" s="96" t="inlineStr">
        <is>
          <t>Textiles</t>
        </is>
      </c>
    </row>
    <row r="2927" ht="15" customHeight="1" s="109" thickBot="1">
      <c r="B2927" s="96" t="inlineStr">
        <is>
          <t>OMKAR PHARMACHEM LTD</t>
        </is>
      </c>
      <c r="C2927" s="97" t="n">
        <v>532167</v>
      </c>
      <c r="D2927" s="96" t="inlineStr">
        <is>
          <t>Not Listed</t>
        </is>
      </c>
      <c r="E2927" s="96" t="inlineStr">
        <is>
          <t>Commodity Chemicals</t>
        </is>
      </c>
    </row>
    <row r="2928" ht="15" customHeight="1" s="109" thickBot="1">
      <c r="B2928" s="96" t="inlineStr">
        <is>
          <t>OMKAR SPECIALITY CHEMICALS LTD</t>
        </is>
      </c>
      <c r="C2928" s="97" t="n">
        <v>533317</v>
      </c>
      <c r="D2928" s="96" t="inlineStr">
        <is>
          <t>OMKARCHEM</t>
        </is>
      </c>
      <c r="E2928" s="96" t="inlineStr">
        <is>
          <t>Specialty Chemicals</t>
        </is>
      </c>
    </row>
    <row r="2929" ht="15" customHeight="1" s="109" thickBot="1">
      <c r="B2929" s="96" t="inlineStr">
        <is>
          <t>OMNI AXS SOFTWARE LTD</t>
        </is>
      </c>
      <c r="C2929" s="97" t="n">
        <v>532340</v>
      </c>
      <c r="D2929" s="96" t="inlineStr">
        <is>
          <t>Not Listed</t>
        </is>
      </c>
      <c r="E2929" s="96" t="inlineStr">
        <is>
          <t>IT Software Products</t>
        </is>
      </c>
    </row>
    <row r="2930" ht="15" customHeight="1" s="109" thickBot="1">
      <c r="B2930" s="96" t="inlineStr">
        <is>
          <t>OMNITEX INDUSTRIES (INDIA) LTD</t>
        </is>
      </c>
      <c r="C2930" s="97" t="n">
        <v>514324</v>
      </c>
      <c r="D2930" s="96" t="inlineStr">
        <is>
          <t>Not Listed</t>
        </is>
      </c>
      <c r="E2930" s="96" t="inlineStr">
        <is>
          <t>Textiles</t>
        </is>
      </c>
    </row>
    <row r="2931" ht="15" customHeight="1" s="109" thickBot="1">
      <c r="B2931" s="96" t="inlineStr">
        <is>
          <t>OMNITEX INDUSTRIES INDIA LTD</t>
        </is>
      </c>
      <c r="C2931" s="97" t="n">
        <v>514324</v>
      </c>
      <c r="D2931" s="96" t="inlineStr">
        <is>
          <t>Not Listed</t>
        </is>
      </c>
      <c r="E2931" s="96" t="inlineStr">
        <is>
          <t>Textiles</t>
        </is>
      </c>
    </row>
    <row r="2932" ht="15" customHeight="1" s="109" thickBot="1">
      <c r="B2932" s="96" t="inlineStr">
        <is>
          <t>ONE POINT ONE SOLUTIONS LTD</t>
        </is>
      </c>
      <c r="C2932" s="96" t="inlineStr">
        <is>
          <t>Not Listed</t>
        </is>
      </c>
      <c r="D2932" s="96" t="inlineStr">
        <is>
          <t>ONEPOINT</t>
        </is>
      </c>
      <c r="E2932" s="96" t="inlineStr">
        <is>
          <t>SME</t>
        </is>
      </c>
    </row>
    <row r="2933" ht="15" customHeight="1" s="109" thickBot="1">
      <c r="B2933" s="96" t="inlineStr">
        <is>
          <t>ONELIFE CAPITAL ADVISORS LTD</t>
        </is>
      </c>
      <c r="C2933" s="97" t="n">
        <v>533632</v>
      </c>
      <c r="D2933" s="96" t="inlineStr">
        <is>
          <t>ONELIFECAP</t>
        </is>
      </c>
      <c r="E2933" s="96" t="inlineStr">
        <is>
          <t>Investment Companies</t>
        </is>
      </c>
    </row>
    <row r="2934" ht="15" customHeight="1" s="109" thickBot="1">
      <c r="B2934" s="96" t="inlineStr">
        <is>
          <t>ONESOURCE IDEAS VENTURE LTD</t>
        </is>
      </c>
      <c r="C2934" s="97" t="n">
        <v>530805</v>
      </c>
      <c r="D2934" s="96" t="inlineStr">
        <is>
          <t>Not Listed</t>
        </is>
      </c>
      <c r="E2934" s="96" t="inlineStr">
        <is>
          <t>Consulting Services</t>
        </is>
      </c>
    </row>
    <row r="2935" ht="15" customHeight="1" s="109" thickBot="1">
      <c r="B2935" s="96" t="inlineStr">
        <is>
          <t>ONESOURCE TECHMEDIA LTD</t>
        </is>
      </c>
      <c r="C2935" s="97" t="n">
        <v>535647</v>
      </c>
      <c r="D2935" s="96" t="inlineStr">
        <is>
          <t>Not Listed</t>
        </is>
      </c>
      <c r="E2935" s="96" t="inlineStr">
        <is>
          <t>Movies &amp; Entertainment</t>
        </is>
      </c>
    </row>
    <row r="2936" ht="15" customHeight="1" s="109" thickBot="1">
      <c r="B2936" s="96" t="inlineStr">
        <is>
          <t>ONMOBILE GLOBAL LTD</t>
        </is>
      </c>
      <c r="C2936" s="97" t="n">
        <v>532944</v>
      </c>
      <c r="D2936" s="96" t="inlineStr">
        <is>
          <t>ONMOBILE</t>
        </is>
      </c>
      <c r="E2936" s="96" t="inlineStr">
        <is>
          <t>Other Telecom Services</t>
        </is>
      </c>
    </row>
    <row r="2937" ht="15" customHeight="1" s="109" thickBot="1">
      <c r="B2937" s="96" t="inlineStr">
        <is>
          <t>ONTIC FINSERVE LTD</t>
        </is>
      </c>
      <c r="C2937" s="97" t="n">
        <v>540386</v>
      </c>
      <c r="D2937" s="96" t="inlineStr">
        <is>
          <t>Not Listed</t>
        </is>
      </c>
      <c r="E2937" s="96" t="inlineStr">
        <is>
          <t>Other Financial Services</t>
        </is>
      </c>
    </row>
    <row r="2938" ht="15" customHeight="1" s="109" thickBot="1">
      <c r="B2938" s="96" t="inlineStr">
        <is>
          <t>ONWARD TECHNOLOGIES LTD</t>
        </is>
      </c>
      <c r="C2938" s="97" t="n">
        <v>517536</v>
      </c>
      <c r="D2938" s="96" t="inlineStr">
        <is>
          <t>ONWARDTEC</t>
        </is>
      </c>
      <c r="E2938" s="96" t="inlineStr">
        <is>
          <t>IT Consulting &amp; Software</t>
        </is>
      </c>
    </row>
    <row r="2939" ht="15" customHeight="1" s="109" thickBot="1">
      <c r="B2939" s="96" t="inlineStr">
        <is>
          <t>OPAL LUXURY TIME PRODUCTS LTD</t>
        </is>
      </c>
      <c r="C2939" s="96" t="inlineStr">
        <is>
          <t>Not Listed</t>
        </is>
      </c>
      <c r="D2939" s="96" t="inlineStr">
        <is>
          <t>OPAL</t>
        </is>
      </c>
      <c r="E2939" s="96" t="inlineStr">
        <is>
          <t>SME</t>
        </is>
      </c>
    </row>
    <row r="2940" ht="15" customHeight="1" s="109" thickBot="1">
      <c r="B2940" s="96" t="inlineStr">
        <is>
          <t>OPTIEMUS INFRACOM LTD</t>
        </is>
      </c>
      <c r="C2940" s="97" t="n">
        <v>530135</v>
      </c>
      <c r="D2940" s="96" t="inlineStr">
        <is>
          <t>OPTIEMUS</t>
        </is>
      </c>
      <c r="E2940" s="96" t="inlineStr">
        <is>
          <t>Distributors</t>
        </is>
      </c>
    </row>
    <row r="2941" ht="15" customHeight="1" s="109" thickBot="1">
      <c r="B2941" s="96" t="inlineStr">
        <is>
          <t>OPTIMUS FINANCE LTD</t>
        </is>
      </c>
      <c r="C2941" s="97" t="n">
        <v>531254</v>
      </c>
      <c r="D2941" s="96" t="inlineStr">
        <is>
          <t>Not Listed</t>
        </is>
      </c>
      <c r="E2941" s="96" t="inlineStr">
        <is>
          <t>Finance (including NBFCs)</t>
        </is>
      </c>
    </row>
    <row r="2942" ht="15" customHeight="1" s="109" thickBot="1">
      <c r="B2942" s="96" t="inlineStr">
        <is>
          <t>OPTO CIRCUITS (INDIA) LTD</t>
        </is>
      </c>
      <c r="C2942" s="97" t="n">
        <v>532391</v>
      </c>
      <c r="D2942" s="96" t="inlineStr">
        <is>
          <t>OPTOCIRCUI</t>
        </is>
      </c>
      <c r="E2942" s="96" t="inlineStr">
        <is>
          <t>Medical Equipment</t>
        </is>
      </c>
    </row>
    <row r="2943" ht="15" customHeight="1" s="109" thickBot="1">
      <c r="B2943" s="96" t="inlineStr">
        <is>
          <t>OPTO CIRCUITS INDIA LTD</t>
        </is>
      </c>
      <c r="C2943" s="97" t="n">
        <v>532391</v>
      </c>
      <c r="D2943" s="96" t="inlineStr">
        <is>
          <t>OPTOCIRCUI</t>
        </is>
      </c>
      <c r="E2943" s="96" t="inlineStr">
        <is>
          <t>Medical Equipment</t>
        </is>
      </c>
    </row>
    <row r="2944" ht="15" customHeight="1" s="109" thickBot="1">
      <c r="B2944" s="96" t="inlineStr">
        <is>
          <t>ORACLE CREDIT LTD</t>
        </is>
      </c>
      <c r="C2944" s="97" t="n">
        <v>539598</v>
      </c>
      <c r="D2944" s="96" t="inlineStr">
        <is>
          <t>Not Listed</t>
        </is>
      </c>
      <c r="E2944" s="96" t="inlineStr">
        <is>
          <t>Finance (including NBFCs)</t>
        </is>
      </c>
    </row>
    <row r="2945" ht="15" customHeight="1" s="109" thickBot="1">
      <c r="B2945" s="96" t="inlineStr">
        <is>
          <t>ORACLE FINANCIAL SERVICES SOFTWARE LTD</t>
        </is>
      </c>
      <c r="C2945" s="97" t="n">
        <v>532466</v>
      </c>
      <c r="D2945" s="96" t="inlineStr">
        <is>
          <t>OFSS</t>
        </is>
      </c>
      <c r="E2945" s="96" t="inlineStr">
        <is>
          <t>IT Consulting &amp; Software</t>
        </is>
      </c>
    </row>
    <row r="2946" ht="15" customHeight="1" s="109" thickBot="1">
      <c r="B2946" s="96" t="inlineStr">
        <is>
          <t>ORBIT EXPORTS LTD</t>
        </is>
      </c>
      <c r="C2946" s="97" t="n">
        <v>512626</v>
      </c>
      <c r="D2946" s="96" t="inlineStr">
        <is>
          <t>ORBTEXP</t>
        </is>
      </c>
      <c r="E2946" s="96" t="inlineStr">
        <is>
          <t>Textiles</t>
        </is>
      </c>
    </row>
    <row r="2947" ht="15" customHeight="1" s="109" thickBot="1">
      <c r="B2947" s="96" t="inlineStr">
        <is>
          <t>ORCHID PHARMA LTD</t>
        </is>
      </c>
      <c r="C2947" s="97" t="n">
        <v>524372</v>
      </c>
      <c r="D2947" s="96" t="inlineStr">
        <is>
          <t>ORCHIDPHAR</t>
        </is>
      </c>
      <c r="E2947" s="96" t="inlineStr">
        <is>
          <t>Pharmaceuticals</t>
        </is>
      </c>
    </row>
    <row r="2948" ht="15" customHeight="1" s="109" thickBot="1">
      <c r="B2948" s="96" t="inlineStr">
        <is>
          <t>ORGANIC COATINGS LTD</t>
        </is>
      </c>
      <c r="C2948" s="97" t="n">
        <v>531157</v>
      </c>
      <c r="D2948" s="96" t="inlineStr">
        <is>
          <t>Not Listed</t>
        </is>
      </c>
      <c r="E2948" s="96" t="inlineStr">
        <is>
          <t>Specialty Chemicals</t>
        </is>
      </c>
    </row>
    <row r="2949" ht="15" customHeight="1" s="109" thickBot="1">
      <c r="B2949" s="96" t="inlineStr">
        <is>
          <t>ORICON ENTERPRISES LTD</t>
        </is>
      </c>
      <c r="C2949" s="97" t="n">
        <v>513121</v>
      </c>
      <c r="D2949" s="96" t="inlineStr">
        <is>
          <t>ORICONENT</t>
        </is>
      </c>
      <c r="E2949" s="96" t="inlineStr">
        <is>
          <t>Specialty Chemicals</t>
        </is>
      </c>
    </row>
    <row r="2950" ht="15" customHeight="1" s="109" thickBot="1">
      <c r="B2950" s="96" t="inlineStr">
        <is>
          <t>ORIENT ABRASIVES LTD</t>
        </is>
      </c>
      <c r="C2950" s="97" t="n">
        <v>504879</v>
      </c>
      <c r="D2950" s="96" t="inlineStr">
        <is>
          <t>ORIENTABRA</t>
        </is>
      </c>
      <c r="E2950" s="96" t="inlineStr">
        <is>
          <t>Other Industrial Products</t>
        </is>
      </c>
    </row>
    <row r="2951" ht="15" customHeight="1" s="109" thickBot="1">
      <c r="B2951" s="96" t="inlineStr">
        <is>
          <t>ORIENT BELL LTD</t>
        </is>
      </c>
      <c r="C2951" s="97" t="n">
        <v>530365</v>
      </c>
      <c r="D2951" s="96" t="inlineStr">
        <is>
          <t>ORIENTBELL</t>
        </is>
      </c>
      <c r="E2951" s="96" t="inlineStr">
        <is>
          <t>Furniture-Furnishing-Paints</t>
        </is>
      </c>
    </row>
    <row r="2952" ht="15" customHeight="1" s="109" thickBot="1">
      <c r="B2952" s="96" t="inlineStr">
        <is>
          <t>ORIENT BEVERAGES LTD</t>
        </is>
      </c>
      <c r="C2952" s="97" t="n">
        <v>507690</v>
      </c>
      <c r="D2952" s="96" t="inlineStr">
        <is>
          <t>Not Listed</t>
        </is>
      </c>
      <c r="E2952" s="96" t="inlineStr">
        <is>
          <t>Non-alcoholic Beverages</t>
        </is>
      </c>
    </row>
    <row r="2953" ht="15" customHeight="1" s="109" thickBot="1">
      <c r="B2953" s="96" t="inlineStr">
        <is>
          <t>ORIENT CEMENT LTD</t>
        </is>
      </c>
      <c r="C2953" s="97" t="n">
        <v>535754</v>
      </c>
      <c r="D2953" s="96" t="inlineStr">
        <is>
          <t>ORIENTCEM</t>
        </is>
      </c>
      <c r="E2953" s="96" t="inlineStr">
        <is>
          <t>Cement &amp; Cement Products</t>
        </is>
      </c>
    </row>
    <row r="2954" ht="15" customHeight="1" s="109" thickBot="1">
      <c r="B2954" s="96" t="inlineStr">
        <is>
          <t>ORIENT ELECTRIC LTD</t>
        </is>
      </c>
      <c r="C2954" s="97" t="n">
        <v>541301</v>
      </c>
      <c r="D2954" s="96" t="inlineStr">
        <is>
          <t>ORIENTELEC</t>
        </is>
      </c>
      <c r="E2954" s="96" t="inlineStr">
        <is>
          <t>Consumer Electronics</t>
        </is>
      </c>
    </row>
    <row r="2955" ht="15" customHeight="1" s="109" thickBot="1">
      <c r="B2955" s="96" t="inlineStr">
        <is>
          <t>ORIENT GREEN POWER COMPANY LTD</t>
        </is>
      </c>
      <c r="C2955" s="97" t="n">
        <v>533263</v>
      </c>
      <c r="D2955" s="96" t="inlineStr">
        <is>
          <t>GREENPOWER</t>
        </is>
      </c>
      <c r="E2955" s="96" t="inlineStr">
        <is>
          <t>Electric Utilities</t>
        </is>
      </c>
    </row>
    <row r="2956" ht="15" customHeight="1" s="109" thickBot="1">
      <c r="B2956" s="96" t="inlineStr">
        <is>
          <t>ORIENT PAPER &amp; INDUSTRIES LTD</t>
        </is>
      </c>
      <c r="C2956" s="97" t="n">
        <v>502420</v>
      </c>
      <c r="D2956" s="96" t="inlineStr">
        <is>
          <t>ORIENTPPR</t>
        </is>
      </c>
      <c r="E2956" s="96" t="inlineStr">
        <is>
          <t>Paper &amp; Paper Products</t>
        </is>
      </c>
    </row>
    <row r="2957" ht="15" customHeight="1" s="109" thickBot="1">
      <c r="B2957" s="96" t="inlineStr">
        <is>
          <t>ORIENT PRESS LTD</t>
        </is>
      </c>
      <c r="C2957" s="97" t="n">
        <v>526325</v>
      </c>
      <c r="D2957" s="96" t="inlineStr">
        <is>
          <t>ORIENTLTD</t>
        </is>
      </c>
      <c r="E2957" s="96" t="inlineStr">
        <is>
          <t>Containers &amp; Packaging</t>
        </is>
      </c>
    </row>
    <row r="2958" ht="15" customHeight="1" s="109" thickBot="1">
      <c r="B2958" s="96" t="inlineStr">
        <is>
          <t>ORIENT REFRACTORIES LTD</t>
        </is>
      </c>
      <c r="C2958" s="97" t="n">
        <v>534076</v>
      </c>
      <c r="D2958" s="96" t="inlineStr">
        <is>
          <t>ORIENTREF</t>
        </is>
      </c>
      <c r="E2958" s="96" t="inlineStr">
        <is>
          <t>Other Industrial Goods</t>
        </is>
      </c>
    </row>
    <row r="2959" ht="15" customHeight="1" s="109" thickBot="1">
      <c r="B2959" s="96" t="inlineStr">
        <is>
          <t>ORIENT TRADELINK LTD</t>
        </is>
      </c>
      <c r="C2959" s="97" t="n">
        <v>531512</v>
      </c>
      <c r="D2959" s="96" t="inlineStr">
        <is>
          <t>Not Listed</t>
        </is>
      </c>
      <c r="E2959" s="96" t="inlineStr">
        <is>
          <t>Movies &amp; Entertainment</t>
        </is>
      </c>
    </row>
    <row r="2960" ht="15" customHeight="1" s="109" thickBot="1">
      <c r="B2960" s="96" t="inlineStr">
        <is>
          <t>ORIENTAL AROMATICS LTD</t>
        </is>
      </c>
      <c r="C2960" s="97" t="n">
        <v>500078</v>
      </c>
      <c r="D2960" s="96" t="inlineStr">
        <is>
          <t>Not Listed</t>
        </is>
      </c>
      <c r="E2960" s="96" t="inlineStr">
        <is>
          <t>Commodity Chemicals</t>
        </is>
      </c>
    </row>
    <row r="2961" ht="15" customHeight="1" s="109" thickBot="1">
      <c r="B2961" s="96" t="inlineStr">
        <is>
          <t>ORIENTAL BANK OF COMMERCE</t>
        </is>
      </c>
      <c r="C2961" s="97" t="n">
        <v>500315</v>
      </c>
      <c r="D2961" s="96" t="inlineStr">
        <is>
          <t>ORIENTBANK</t>
        </is>
      </c>
      <c r="E2961" s="96" t="inlineStr">
        <is>
          <t>Banks</t>
        </is>
      </c>
    </row>
    <row r="2962" ht="15" customHeight="1" s="109" thickBot="1">
      <c r="B2962" s="96" t="inlineStr">
        <is>
          <t>ORIENTAL CARBON &amp; CHEMICALS LTD</t>
        </is>
      </c>
      <c r="C2962" s="97" t="n">
        <v>506579</v>
      </c>
      <c r="D2962" s="96" t="inlineStr">
        <is>
          <t>OCCL</t>
        </is>
      </c>
      <c r="E2962" s="96" t="inlineStr">
        <is>
          <t>Commodity Chemicals</t>
        </is>
      </c>
    </row>
    <row r="2963" ht="15" customHeight="1" s="109" thickBot="1">
      <c r="B2963" s="96" t="inlineStr">
        <is>
          <t>ORIENTAL HOTELS LTD</t>
        </is>
      </c>
      <c r="C2963" s="97" t="n">
        <v>500314</v>
      </c>
      <c r="D2963" s="96" t="inlineStr">
        <is>
          <t>ORIENTHOT</t>
        </is>
      </c>
      <c r="E2963" s="96" t="inlineStr">
        <is>
          <t>Hotels</t>
        </is>
      </c>
    </row>
    <row r="2964" ht="15" customHeight="1" s="109" thickBot="1">
      <c r="B2964" s="96" t="inlineStr">
        <is>
          <t>ORIENTAL TRIMEX LTD</t>
        </is>
      </c>
      <c r="C2964" s="97" t="n">
        <v>532817</v>
      </c>
      <c r="D2964" s="96" t="inlineStr">
        <is>
          <t>ORIENTALTL</t>
        </is>
      </c>
      <c r="E2964" s="96" t="inlineStr">
        <is>
          <t>Construction Materials</t>
        </is>
      </c>
    </row>
    <row r="2965" ht="15" customHeight="1" s="109" thickBot="1">
      <c r="B2965" s="96" t="inlineStr">
        <is>
          <t>ORIENTAL VENEER PRODUCTS LTD</t>
        </is>
      </c>
      <c r="C2965" s="97" t="n">
        <v>531859</v>
      </c>
      <c r="D2965" s="96" t="inlineStr">
        <is>
          <t>Not Listed</t>
        </is>
      </c>
      <c r="E2965" s="96" t="inlineStr">
        <is>
          <t>Other Industrial Products</t>
        </is>
      </c>
    </row>
    <row r="2966" ht="15" customHeight="1" s="109" thickBot="1">
      <c r="B2966" s="96" t="inlineStr">
        <is>
          <t>ORISSA BENGAL CARRIER LTD</t>
        </is>
      </c>
      <c r="C2966" s="97" t="n">
        <v>541206</v>
      </c>
      <c r="D2966" s="96" t="inlineStr">
        <is>
          <t>Not Listed</t>
        </is>
      </c>
      <c r="E2966" s="96" t="inlineStr">
        <is>
          <t>Transportation - Logistics</t>
        </is>
      </c>
    </row>
    <row r="2967" ht="15" customHeight="1" s="109" thickBot="1">
      <c r="B2967" s="96" t="inlineStr">
        <is>
          <t>OROSIL SMITHS (INDIA) LTD</t>
        </is>
      </c>
      <c r="C2967" s="97" t="n">
        <v>531626</v>
      </c>
      <c r="D2967" s="96" t="inlineStr">
        <is>
          <t>Not Listed</t>
        </is>
      </c>
      <c r="E2967" s="96" t="inlineStr">
        <is>
          <t>Other Apparels &amp; Accessories</t>
        </is>
      </c>
    </row>
    <row r="2968" ht="15" customHeight="1" s="109" thickBot="1">
      <c r="B2968" s="96" t="inlineStr">
        <is>
          <t>OROSIL SMITHS INDIA LTD</t>
        </is>
      </c>
      <c r="C2968" s="97" t="n">
        <v>531626</v>
      </c>
      <c r="D2968" s="96" t="inlineStr">
        <is>
          <t>Not Listed</t>
        </is>
      </c>
      <c r="E2968" s="96" t="inlineStr">
        <is>
          <t>Other Apparels &amp; Accessories</t>
        </is>
      </c>
    </row>
    <row r="2969" ht="15" customHeight="1" s="109" thickBot="1">
      <c r="B2969" s="96" t="inlineStr">
        <is>
          <t>ORTEL COMMUNICATIONS LTD</t>
        </is>
      </c>
      <c r="C2969" s="97" t="n">
        <v>539015</v>
      </c>
      <c r="D2969" s="96" t="inlineStr">
        <is>
          <t>ORTEL</t>
        </is>
      </c>
      <c r="E2969" s="96" t="inlineStr">
        <is>
          <t>Broadcasting &amp; Cable TV</t>
        </is>
      </c>
    </row>
    <row r="2970" ht="15" customHeight="1" s="109" thickBot="1">
      <c r="B2970" s="96" t="inlineStr">
        <is>
          <t>ORTIN LABORATORIES LTD</t>
        </is>
      </c>
      <c r="C2970" s="97" t="n">
        <v>539287</v>
      </c>
      <c r="D2970" s="96" t="inlineStr">
        <is>
          <t>ORTINLABSS</t>
        </is>
      </c>
      <c r="E2970" s="96" t="inlineStr">
        <is>
          <t>Pharmaceuticals</t>
        </is>
      </c>
    </row>
    <row r="2971" ht="15" customHeight="1" s="109" thickBot="1">
      <c r="B2971" s="96" t="inlineStr">
        <is>
          <t>OSCAR GLOBAL LTD</t>
        </is>
      </c>
      <c r="C2971" s="97" t="n">
        <v>530173</v>
      </c>
      <c r="D2971" s="96" t="inlineStr">
        <is>
          <t>Not Listed</t>
        </is>
      </c>
      <c r="E2971" s="96" t="inlineStr">
        <is>
          <t>Other Apparels &amp; Accessories</t>
        </is>
      </c>
    </row>
    <row r="2972" ht="15" customHeight="1" s="109" thickBot="1">
      <c r="B2972" s="96" t="inlineStr">
        <is>
          <t>OSCAR INVESTMENTS LTD</t>
        </is>
      </c>
      <c r="C2972" s="97" t="n">
        <v>501179</v>
      </c>
      <c r="D2972" s="96" t="inlineStr">
        <is>
          <t>Not Listed</t>
        </is>
      </c>
      <c r="E2972" s="96" t="inlineStr">
        <is>
          <t>Investment Companies</t>
        </is>
      </c>
    </row>
    <row r="2973" ht="15" customHeight="1" s="109" thickBot="1">
      <c r="B2973" s="96" t="inlineStr">
        <is>
          <t>OSEASPRE CONSULTANTS LTD</t>
        </is>
      </c>
      <c r="C2973" s="97" t="n">
        <v>509782</v>
      </c>
      <c r="D2973" s="96" t="inlineStr">
        <is>
          <t>Not Listed</t>
        </is>
      </c>
      <c r="E2973" s="96" t="inlineStr">
        <is>
          <t>Misc.Commercial Services</t>
        </is>
      </c>
    </row>
    <row r="2974" ht="15" customHeight="1" s="109" thickBot="1">
      <c r="B2974" s="96" t="inlineStr">
        <is>
          <t>OSIAJEE TEXFAB LTD</t>
        </is>
      </c>
      <c r="C2974" s="97" t="n">
        <v>540198</v>
      </c>
      <c r="D2974" s="96" t="inlineStr">
        <is>
          <t>Not Listed</t>
        </is>
      </c>
      <c r="E2974" s="96" t="inlineStr">
        <is>
          <t>Textiles</t>
        </is>
      </c>
    </row>
    <row r="2975" ht="15" customHeight="1" s="109" thickBot="1">
      <c r="B2975" s="96" t="inlineStr">
        <is>
          <t>OSWAL AGRO MILLS LTD</t>
        </is>
      </c>
      <c r="C2975" s="97" t="n">
        <v>500317</v>
      </c>
      <c r="D2975" s="96" t="inlineStr">
        <is>
          <t>OSWALAGRO</t>
        </is>
      </c>
      <c r="E2975" s="96" t="inlineStr">
        <is>
          <t>Investment Companies</t>
        </is>
      </c>
    </row>
    <row r="2976" ht="15" customHeight="1" s="109" thickBot="1">
      <c r="B2976" s="96" t="inlineStr">
        <is>
          <t>OSWAL CHEMICALS &amp; FERTILIZERS LTD</t>
        </is>
      </c>
      <c r="C2976" s="97" t="n">
        <v>539290</v>
      </c>
      <c r="D2976" s="96" t="inlineStr">
        <is>
          <t>BINDALAGRO</t>
        </is>
      </c>
      <c r="E2976" s="96" t="inlineStr">
        <is>
          <t>Investment Companies</t>
        </is>
      </c>
    </row>
    <row r="2977" ht="15" customHeight="1" s="109" thickBot="1">
      <c r="B2977" s="96" t="inlineStr">
        <is>
          <t>OSWAL LEASING LTD</t>
        </is>
      </c>
      <c r="C2977" s="97" t="n">
        <v>509099</v>
      </c>
      <c r="D2977" s="96" t="inlineStr">
        <is>
          <t>Not Listed</t>
        </is>
      </c>
      <c r="E2977" s="96" t="inlineStr">
        <is>
          <t>Misc.Commercial Services</t>
        </is>
      </c>
    </row>
    <row r="2978" ht="15" customHeight="1" s="109" thickBot="1">
      <c r="B2978" s="96" t="inlineStr">
        <is>
          <t>OSWAL OVERSEAS LTD</t>
        </is>
      </c>
      <c r="C2978" s="97" t="n">
        <v>531065</v>
      </c>
      <c r="D2978" s="96" t="inlineStr">
        <is>
          <t>Not Listed</t>
        </is>
      </c>
      <c r="E2978" s="96" t="inlineStr">
        <is>
          <t>Sugar</t>
        </is>
      </c>
    </row>
    <row r="2979" ht="15" customHeight="1" s="109" thickBot="1">
      <c r="B2979" s="96" t="inlineStr">
        <is>
          <t>OSWAL YARNS LTD</t>
        </is>
      </c>
      <c r="C2979" s="97" t="n">
        <v>514460</v>
      </c>
      <c r="D2979" s="96" t="inlineStr">
        <is>
          <t>Not Listed</t>
        </is>
      </c>
      <c r="E2979" s="96" t="inlineStr">
        <is>
          <t>Comm.Trading &amp; Distribution</t>
        </is>
      </c>
    </row>
    <row r="2980" ht="15" customHeight="1" s="109" thickBot="1">
      <c r="B2980" s="96" t="inlineStr">
        <is>
          <t>OTCO INTERNATIONAL LTD</t>
        </is>
      </c>
      <c r="C2980" s="97" t="n">
        <v>523151</v>
      </c>
      <c r="D2980" s="96" t="inlineStr">
        <is>
          <t>Not Listed</t>
        </is>
      </c>
      <c r="E2980" s="96" t="inlineStr">
        <is>
          <t>Consulting Services</t>
        </is>
      </c>
    </row>
    <row r="2981" ht="15" customHeight="1" s="109" thickBot="1">
      <c r="B2981" s="96" t="inlineStr">
        <is>
          <t>OVERSEAS SYNTHETICS LTD</t>
        </is>
      </c>
      <c r="C2981" s="97" t="n">
        <v>514330</v>
      </c>
      <c r="D2981" s="96" t="inlineStr">
        <is>
          <t>Not Listed</t>
        </is>
      </c>
      <c r="E2981" s="96" t="inlineStr">
        <is>
          <t>Textiles</t>
        </is>
      </c>
    </row>
    <row r="2982" ht="15" customHeight="1" s="109" thickBot="1">
      <c r="B2982" s="96" t="inlineStr">
        <is>
          <t>OVOBEL FOODS LTD</t>
        </is>
      </c>
      <c r="C2982" s="97" t="n">
        <v>530741</v>
      </c>
      <c r="D2982" s="96" t="inlineStr">
        <is>
          <t>Not Listed</t>
        </is>
      </c>
      <c r="E2982" s="96" t="inlineStr">
        <is>
          <t>Other Food Products</t>
        </is>
      </c>
    </row>
    <row r="2983" ht="15" customHeight="1" s="109" thickBot="1">
      <c r="B2983" s="96" t="inlineStr">
        <is>
          <t>OZONE WORLD LTD</t>
        </is>
      </c>
      <c r="C2983" s="97" t="n">
        <v>539291</v>
      </c>
      <c r="D2983" s="96" t="inlineStr">
        <is>
          <t>Not Listed</t>
        </is>
      </c>
      <c r="E2983" s="96" t="inlineStr">
        <is>
          <t>Other Agricultural Products</t>
        </is>
      </c>
    </row>
    <row r="2984" ht="15" customHeight="1" s="109" thickBot="1">
      <c r="B2984" s="96" t="inlineStr">
        <is>
          <t>P B FILMS LTD</t>
        </is>
      </c>
      <c r="C2984" s="97" t="n">
        <v>539352</v>
      </c>
      <c r="D2984" s="96" t="inlineStr">
        <is>
          <t>Not Listed</t>
        </is>
      </c>
      <c r="E2984" s="96" t="inlineStr">
        <is>
          <t>Movies &amp; Entertainment</t>
        </is>
      </c>
    </row>
    <row r="2985" ht="15" customHeight="1" s="109" thickBot="1">
      <c r="B2985" s="96" t="inlineStr">
        <is>
          <t>P M TELELINNKS LTD</t>
        </is>
      </c>
      <c r="C2985" s="97" t="n">
        <v>513403</v>
      </c>
      <c r="D2985" s="96" t="inlineStr">
        <is>
          <t>Not Listed</t>
        </is>
      </c>
      <c r="E2985" s="96" t="inlineStr">
        <is>
          <t>Iron &amp; Steel/Interm.Products</t>
        </is>
      </c>
    </row>
    <row r="2986" ht="15" customHeight="1" s="109" thickBot="1">
      <c r="B2986" s="96" t="inlineStr">
        <is>
          <t>PACHELI INDUSTRIAL FINANCE LTD</t>
        </is>
      </c>
      <c r="C2986" s="97" t="n">
        <v>523862</v>
      </c>
      <c r="D2986" s="96" t="inlineStr">
        <is>
          <t>Not Listed</t>
        </is>
      </c>
      <c r="E2986" s="96" t="inlineStr">
        <is>
          <t>Finance (including NBFCs)</t>
        </is>
      </c>
    </row>
    <row r="2987" ht="15" customHeight="1" s="109" thickBot="1">
      <c r="B2987" s="96" t="inlineStr">
        <is>
          <t>PACIFIC INDUSTRIES LTD</t>
        </is>
      </c>
      <c r="C2987" s="97" t="n">
        <v>523483</v>
      </c>
      <c r="D2987" s="96" t="inlineStr">
        <is>
          <t>Not Listed</t>
        </is>
      </c>
      <c r="E2987" s="96" t="inlineStr">
        <is>
          <t>Construction Materials</t>
        </is>
      </c>
    </row>
    <row r="2988" ht="15" customHeight="1" s="109" thickBot="1">
      <c r="B2988" s="96" t="inlineStr">
        <is>
          <t>PACT INDUSTRIES LTD</t>
        </is>
      </c>
      <c r="C2988" s="97" t="n">
        <v>538963</v>
      </c>
      <c r="D2988" s="96" t="inlineStr">
        <is>
          <t>Not Listed</t>
        </is>
      </c>
      <c r="E2988" s="96" t="inlineStr">
        <is>
          <t>Iron &amp; Steel Products</t>
        </is>
      </c>
    </row>
    <row r="2989" ht="15" customHeight="1" s="109" thickBot="1">
      <c r="B2989" s="96" t="inlineStr">
        <is>
          <t>PADAM COTTON YARNS LTD</t>
        </is>
      </c>
      <c r="C2989" s="97" t="n">
        <v>531395</v>
      </c>
      <c r="D2989" s="96" t="inlineStr">
        <is>
          <t>Not Listed</t>
        </is>
      </c>
      <c r="E2989" s="96" t="inlineStr">
        <is>
          <t>Textiles</t>
        </is>
      </c>
    </row>
    <row r="2990" ht="15" customHeight="1" s="109" thickBot="1">
      <c r="B2990" s="96" t="inlineStr">
        <is>
          <t>PADMALAYA TELEFILMS LTD</t>
        </is>
      </c>
      <c r="C2990" s="97" t="n">
        <v>532350</v>
      </c>
      <c r="D2990" s="96" t="inlineStr">
        <is>
          <t>Not Listed</t>
        </is>
      </c>
      <c r="E2990" s="96" t="inlineStr">
        <is>
          <t>Movies &amp; Entertainment</t>
        </is>
      </c>
    </row>
    <row r="2991" ht="15" customHeight="1" s="109" thickBot="1">
      <c r="B2991" s="96" t="inlineStr">
        <is>
          <t>PADMANABH INDUSTRIES LTD</t>
        </is>
      </c>
      <c r="C2991" s="97" t="n">
        <v>526905</v>
      </c>
      <c r="D2991" s="96" t="inlineStr">
        <is>
          <t>Not Listed</t>
        </is>
      </c>
      <c r="E2991" s="96" t="inlineStr">
        <is>
          <t>Commodity Chemicals</t>
        </is>
      </c>
    </row>
    <row r="2992" ht="15" customHeight="1" s="109" thickBot="1">
      <c r="B2992" s="96" t="inlineStr">
        <is>
          <t>PAE LTD</t>
        </is>
      </c>
      <c r="C2992" s="97" t="n">
        <v>517230</v>
      </c>
      <c r="D2992" s="96" t="inlineStr">
        <is>
          <t>PAEL</t>
        </is>
      </c>
      <c r="E2992" s="96" t="inlineStr">
        <is>
          <t>Comm.Trading &amp; Distribution</t>
        </is>
      </c>
    </row>
    <row r="2993" ht="15" customHeight="1" s="109" thickBot="1">
      <c r="B2993" s="96" t="inlineStr">
        <is>
          <t>PAGE INDUSTRIES LTD</t>
        </is>
      </c>
      <c r="C2993" s="97" t="n">
        <v>532827</v>
      </c>
      <c r="D2993" s="96" t="inlineStr">
        <is>
          <t>PAGEIND</t>
        </is>
      </c>
      <c r="E2993" s="96" t="inlineStr">
        <is>
          <t>Other Apparels &amp; Accessories</t>
        </is>
      </c>
    </row>
    <row r="2994" ht="15" customHeight="1" s="109" thickBot="1">
      <c r="B2994" s="96" t="inlineStr">
        <is>
          <t>PAISALO DIGITAL LTD</t>
        </is>
      </c>
      <c r="C2994" s="97" t="n">
        <v>532900</v>
      </c>
      <c r="D2994" s="96" t="inlineStr">
        <is>
          <t>PAISALO</t>
        </is>
      </c>
      <c r="E2994" s="96" t="inlineStr">
        <is>
          <t>Finance (including NBFCs)</t>
        </is>
      </c>
    </row>
    <row r="2995" ht="15" customHeight="1" s="109" thickBot="1">
      <c r="B2995" s="96" t="inlineStr">
        <is>
          <t>PALASH SECURITIES LTD</t>
        </is>
      </c>
      <c r="C2995" s="97" t="n">
        <v>540648</v>
      </c>
      <c r="D2995" s="96" t="inlineStr">
        <is>
          <t>PALASHSECU</t>
        </is>
      </c>
      <c r="E2995" s="96" t="inlineStr">
        <is>
          <t>Investment Companies</t>
        </is>
      </c>
    </row>
    <row r="2996" ht="15" customHeight="1" s="109" thickBot="1">
      <c r="B2996" s="96" t="inlineStr">
        <is>
          <t>PALCO METALS LTD</t>
        </is>
      </c>
      <c r="C2996" s="97" t="n">
        <v>539121</v>
      </c>
      <c r="D2996" s="96" t="inlineStr">
        <is>
          <t>Not Listed</t>
        </is>
      </c>
      <c r="E2996" s="96" t="inlineStr">
        <is>
          <t>Aluminium</t>
        </is>
      </c>
    </row>
    <row r="2997" ht="15" customHeight="1" s="109" thickBot="1">
      <c r="B2997" s="96" t="inlineStr">
        <is>
          <t>PALM JEWELS LTD</t>
        </is>
      </c>
      <c r="C2997" s="97" t="n">
        <v>541444</v>
      </c>
      <c r="D2997" s="96" t="inlineStr">
        <is>
          <t>Not Listed</t>
        </is>
      </c>
      <c r="E2997" s="96" t="inlineStr">
        <is>
          <t>Other Apparels &amp; Accessories</t>
        </is>
      </c>
    </row>
    <row r="2998" ht="15" customHeight="1" s="109" thickBot="1">
      <c r="B2998" s="96" t="inlineStr">
        <is>
          <t>PALRED TECHNOLOGIES LTD</t>
        </is>
      </c>
      <c r="C2998" s="97" t="n">
        <v>532521</v>
      </c>
      <c r="D2998" s="96" t="inlineStr">
        <is>
          <t>PALREDTEC</t>
        </is>
      </c>
      <c r="E2998" s="96" t="inlineStr">
        <is>
          <t>IT Software Products</t>
        </is>
      </c>
    </row>
    <row r="2999" ht="15" customHeight="1" s="109" thickBot="1">
      <c r="B2999" s="96" t="inlineStr">
        <is>
          <t>PALSOFT INFOSYSTEMS LTD</t>
        </is>
      </c>
      <c r="C2999" s="97" t="n">
        <v>511597</v>
      </c>
      <c r="D2999" s="96" t="inlineStr">
        <is>
          <t>Not Listed</t>
        </is>
      </c>
      <c r="E2999" s="96" t="inlineStr">
        <is>
          <t>Finance (including NBFCs)</t>
        </is>
      </c>
    </row>
    <row r="3000" ht="15" customHeight="1" s="109" thickBot="1">
      <c r="B3000" s="96" t="inlineStr">
        <is>
          <t>PAN ELECTRONICS (INDIA) LTD</t>
        </is>
      </c>
      <c r="C3000" s="97" t="n">
        <v>517397</v>
      </c>
      <c r="D3000" s="96" t="inlineStr">
        <is>
          <t>Not Listed</t>
        </is>
      </c>
      <c r="E3000" s="96" t="inlineStr">
        <is>
          <t>Electronic Components</t>
        </is>
      </c>
    </row>
    <row r="3001" ht="15" customHeight="1" s="109" thickBot="1">
      <c r="B3001" s="96" t="inlineStr">
        <is>
          <t>PAN ELECTRONICS INDIA LTD</t>
        </is>
      </c>
      <c r="C3001" s="97" t="n">
        <v>517397</v>
      </c>
      <c r="D3001" s="96" t="inlineStr">
        <is>
          <t>Not Listed</t>
        </is>
      </c>
      <c r="E3001" s="96" t="inlineStr">
        <is>
          <t>Electronic Components</t>
        </is>
      </c>
    </row>
    <row r="3002" ht="15" customHeight="1" s="109" thickBot="1">
      <c r="B3002" s="96" t="inlineStr">
        <is>
          <t>PAN INDIA CORPORATION LTD</t>
        </is>
      </c>
      <c r="C3002" s="97" t="n">
        <v>511525</v>
      </c>
      <c r="D3002" s="96" t="inlineStr">
        <is>
          <t>Not Listed</t>
        </is>
      </c>
      <c r="E3002" s="96" t="inlineStr">
        <is>
          <t>IT Software Products</t>
        </is>
      </c>
    </row>
    <row r="3003" ht="15" customHeight="1" s="109" thickBot="1">
      <c r="B3003" s="96" t="inlineStr">
        <is>
          <t>PANACEA BIOTEC LTD</t>
        </is>
      </c>
      <c r="C3003" s="97" t="n">
        <v>531349</v>
      </c>
      <c r="D3003" s="96" t="inlineStr">
        <is>
          <t>PANACEABIO</t>
        </is>
      </c>
      <c r="E3003" s="96" t="inlineStr">
        <is>
          <t>Biotechnology</t>
        </is>
      </c>
    </row>
    <row r="3004" ht="15" customHeight="1" s="109" thickBot="1">
      <c r="B3004" s="96" t="inlineStr">
        <is>
          <t>PANACHE DIGILIFE LTD</t>
        </is>
      </c>
      <c r="C3004" s="96" t="inlineStr">
        <is>
          <t>Not Listed</t>
        </is>
      </c>
      <c r="D3004" s="96" t="inlineStr">
        <is>
          <t>PANACHE</t>
        </is>
      </c>
      <c r="E3004" s="96" t="inlineStr">
        <is>
          <t>SME</t>
        </is>
      </c>
    </row>
    <row r="3005" ht="15" customHeight="1" s="109" thickBot="1">
      <c r="B3005" s="96" t="inlineStr">
        <is>
          <t>PANACHE INNOVATIONS LTD</t>
        </is>
      </c>
      <c r="C3005" s="97" t="n">
        <v>538742</v>
      </c>
      <c r="D3005" s="96" t="inlineStr">
        <is>
          <t>Not Listed</t>
        </is>
      </c>
      <c r="E3005" s="96" t="inlineStr">
        <is>
          <t>Comm.Trading &amp; Distribution</t>
        </is>
      </c>
    </row>
    <row r="3006" ht="15" customHeight="1" s="109" thickBot="1">
      <c r="B3006" s="96" t="inlineStr">
        <is>
          <t>PANAFIC INDUSTRIALS LTD</t>
        </is>
      </c>
      <c r="C3006" s="97" t="n">
        <v>538860</v>
      </c>
      <c r="D3006" s="96" t="inlineStr">
        <is>
          <t>Not Listed</t>
        </is>
      </c>
      <c r="E3006" s="96" t="inlineStr">
        <is>
          <t>Finance (including NBFCs)</t>
        </is>
      </c>
    </row>
    <row r="3007" ht="15" customHeight="1" s="109" thickBot="1">
      <c r="B3007" s="96" t="inlineStr">
        <is>
          <t>PANAMA PETROCHEM LTD</t>
        </is>
      </c>
      <c r="C3007" s="97" t="n">
        <v>524820</v>
      </c>
      <c r="D3007" s="96" t="inlineStr">
        <is>
          <t>PANAMAPET</t>
        </is>
      </c>
      <c r="E3007" s="96" t="inlineStr">
        <is>
          <t>Oil Marketing &amp; Distribution</t>
        </is>
      </c>
    </row>
    <row r="3008" ht="15" customHeight="1" s="109" thickBot="1">
      <c r="B3008" s="96" t="inlineStr">
        <is>
          <t>PANASONIC CARBON INDIA CO LTD</t>
        </is>
      </c>
      <c r="C3008" s="97" t="n">
        <v>508941</v>
      </c>
      <c r="D3008" s="96" t="inlineStr">
        <is>
          <t>Not Listed</t>
        </is>
      </c>
      <c r="E3008" s="96" t="inlineStr">
        <is>
          <t>Other Industrial Goods</t>
        </is>
      </c>
    </row>
    <row r="3009" ht="15" customHeight="1" s="109" thickBot="1">
      <c r="B3009" s="96" t="inlineStr">
        <is>
          <t>PANASONIC ENERGY INDIA COMPANY LTD</t>
        </is>
      </c>
      <c r="C3009" s="97" t="n">
        <v>504093</v>
      </c>
      <c r="D3009" s="96" t="inlineStr">
        <is>
          <t>Not Listed</t>
        </is>
      </c>
      <c r="E3009" s="96" t="inlineStr">
        <is>
          <t>Non-Durable Household Prod.</t>
        </is>
      </c>
    </row>
    <row r="3010" ht="15" customHeight="1" s="109" thickBot="1">
      <c r="B3010" s="96" t="inlineStr">
        <is>
          <t>PANCHMAHAL STEEL LTD</t>
        </is>
      </c>
      <c r="C3010" s="97" t="n">
        <v>513511</v>
      </c>
      <c r="D3010" s="96" t="inlineStr">
        <is>
          <t>Not Listed</t>
        </is>
      </c>
      <c r="E3010" s="96" t="inlineStr">
        <is>
          <t>Iron &amp; Steel/Interm.Products</t>
        </is>
      </c>
    </row>
    <row r="3011" ht="15" customHeight="1" s="109" thickBot="1">
      <c r="B3011" s="96" t="inlineStr">
        <is>
          <t>PANCHSHEEL ORGANICS LTD</t>
        </is>
      </c>
      <c r="C3011" s="97" t="n">
        <v>531726</v>
      </c>
      <c r="D3011" s="96" t="inlineStr">
        <is>
          <t>Not Listed</t>
        </is>
      </c>
      <c r="E3011" s="96" t="inlineStr">
        <is>
          <t>Pharmaceuticals</t>
        </is>
      </c>
    </row>
    <row r="3012" ht="15" customHeight="1" s="109" thickBot="1">
      <c r="B3012" s="96" t="inlineStr">
        <is>
          <t>PANKAJ PIYUSH TRADE &amp; INVESTMENT LTD</t>
        </is>
      </c>
      <c r="C3012" s="97" t="n">
        <v>506122</v>
      </c>
      <c r="D3012" s="96" t="inlineStr">
        <is>
          <t>Not Listed</t>
        </is>
      </c>
      <c r="E3012" s="96" t="inlineStr">
        <is>
          <t>Auto Parts &amp; Equipment</t>
        </is>
      </c>
    </row>
    <row r="3013" ht="15" customHeight="1" s="109" thickBot="1">
      <c r="B3013" s="96" t="inlineStr">
        <is>
          <t>PANKAJ POLYMERS LTD</t>
        </is>
      </c>
      <c r="C3013" s="97" t="n">
        <v>531280</v>
      </c>
      <c r="D3013" s="96" t="inlineStr">
        <is>
          <t>Not Listed</t>
        </is>
      </c>
      <c r="E3013" s="96" t="inlineStr">
        <is>
          <t>Containers &amp; Packaging</t>
        </is>
      </c>
    </row>
    <row r="3014" ht="15" customHeight="1" s="109" thickBot="1">
      <c r="B3014" s="96" t="inlineStr">
        <is>
          <t>PANKAJ POLYPACK LTD</t>
        </is>
      </c>
      <c r="C3014" s="97" t="n">
        <v>534796</v>
      </c>
      <c r="D3014" s="96" t="inlineStr">
        <is>
          <t>Not Listed</t>
        </is>
      </c>
      <c r="E3014" s="96" t="inlineStr">
        <is>
          <t>Plastic Products</t>
        </is>
      </c>
    </row>
    <row r="3015" ht="15" customHeight="1" s="109" thickBot="1">
      <c r="B3015" s="96" t="inlineStr">
        <is>
          <t>PANSARI DEVELOPERS LTD</t>
        </is>
      </c>
      <c r="C3015" s="96" t="inlineStr">
        <is>
          <t>Not Listed</t>
        </is>
      </c>
      <c r="D3015" s="96" t="inlineStr">
        <is>
          <t>PANSARI</t>
        </is>
      </c>
      <c r="E3015" s="96" t="inlineStr">
        <is>
          <t>SME</t>
        </is>
      </c>
    </row>
    <row r="3016" ht="15" customHeight="1" s="109" thickBot="1">
      <c r="B3016" s="96" t="inlineStr">
        <is>
          <t>PANTH INFINITY LTD</t>
        </is>
      </c>
      <c r="C3016" s="97" t="n">
        <v>539143</v>
      </c>
      <c r="D3016" s="96" t="inlineStr">
        <is>
          <t>Not Listed</t>
        </is>
      </c>
      <c r="E3016" s="96" t="inlineStr">
        <is>
          <t>Diversified</t>
        </is>
      </c>
    </row>
    <row r="3017" ht="15" customHeight="1" s="109" thickBot="1">
      <c r="B3017" s="96" t="inlineStr">
        <is>
          <t>PANYAM CEMENTS &amp; MINERAL INDUSTRIES LTD</t>
        </is>
      </c>
      <c r="C3017" s="97" t="n">
        <v>500322</v>
      </c>
      <c r="D3017" s="96" t="inlineStr">
        <is>
          <t>Not Listed</t>
        </is>
      </c>
      <c r="E3017" s="96" t="inlineStr">
        <is>
          <t>Cement &amp; Cement Products</t>
        </is>
      </c>
    </row>
    <row r="3018" ht="15" customHeight="1" s="109" thickBot="1">
      <c r="B3018" s="96" t="inlineStr">
        <is>
          <t>Parab Infra Ltd</t>
        </is>
      </c>
      <c r="C3018" s="97" t="n">
        <v>513359</v>
      </c>
      <c r="D3018" s="96" t="inlineStr">
        <is>
          <t>PARINFRA</t>
        </is>
      </c>
      <c r="E3018" s="96" t="inlineStr">
        <is>
          <t>Furniture-Furnishing-Paints</t>
        </is>
      </c>
    </row>
    <row r="3019" ht="15" customHeight="1" s="109" thickBot="1">
      <c r="B3019" s="96" t="inlineStr">
        <is>
          <t>PARABOLIC DRUGS LTD</t>
        </is>
      </c>
      <c r="C3019" s="97" t="n">
        <v>533211</v>
      </c>
      <c r="D3019" s="96" t="inlineStr">
        <is>
          <t>PARABDRUGS</t>
        </is>
      </c>
      <c r="E3019" s="96" t="inlineStr">
        <is>
          <t>Pharmaceuticals</t>
        </is>
      </c>
    </row>
    <row r="3020" ht="15" customHeight="1" s="109" thickBot="1">
      <c r="B3020" s="96" t="inlineStr">
        <is>
          <t>PARAG MILK FOODS LTD</t>
        </is>
      </c>
      <c r="C3020" s="97" t="n">
        <v>539889</v>
      </c>
      <c r="D3020" s="96" t="inlineStr">
        <is>
          <t>PARAGMILK</t>
        </is>
      </c>
      <c r="E3020" s="96" t="inlineStr">
        <is>
          <t>Packaged Foods</t>
        </is>
      </c>
    </row>
    <row r="3021" ht="15" customHeight="1" s="109" thickBot="1">
      <c r="B3021" s="96" t="inlineStr">
        <is>
          <t>PARAGON FINANCE LTD</t>
        </is>
      </c>
      <c r="C3021" s="97" t="n">
        <v>531255</v>
      </c>
      <c r="D3021" s="96" t="inlineStr">
        <is>
          <t>Not Listed</t>
        </is>
      </c>
      <c r="E3021" s="96" t="inlineStr">
        <is>
          <t>Finance (including NBFCs)</t>
        </is>
      </c>
    </row>
    <row r="3022" ht="15" customHeight="1" s="109" thickBot="1">
      <c r="B3022" s="96" t="inlineStr">
        <is>
          <t>PARAMOUNT COMMUNICATIONS LTD</t>
        </is>
      </c>
      <c r="C3022" s="97" t="n">
        <v>530555</v>
      </c>
      <c r="D3022" s="96" t="inlineStr">
        <is>
          <t>PARACABLES</t>
        </is>
      </c>
      <c r="E3022" s="96" t="inlineStr">
        <is>
          <t>Other Elect.Equip./ Prod.</t>
        </is>
      </c>
    </row>
    <row r="3023" ht="15" customHeight="1" s="109" thickBot="1">
      <c r="B3023" s="96" t="inlineStr">
        <is>
          <t>PARAMOUNT COSMETICS (INDIA) LTD</t>
        </is>
      </c>
      <c r="C3023" s="97" t="n">
        <v>507970</v>
      </c>
      <c r="D3023" s="96" t="inlineStr">
        <is>
          <t>Not Listed</t>
        </is>
      </c>
      <c r="E3023" s="96" t="inlineStr">
        <is>
          <t>Personal Products</t>
        </is>
      </c>
    </row>
    <row r="3024" ht="15" customHeight="1" s="109" thickBot="1">
      <c r="B3024" s="96" t="inlineStr">
        <is>
          <t>PARAMOUNT COSMETICS INDIA LTD</t>
        </is>
      </c>
      <c r="C3024" s="97" t="n">
        <v>507970</v>
      </c>
      <c r="D3024" s="96" t="inlineStr">
        <is>
          <t>Not Listed</t>
        </is>
      </c>
      <c r="E3024" s="96" t="inlineStr">
        <is>
          <t>Personal Products</t>
        </is>
      </c>
    </row>
    <row r="3025" ht="15" customHeight="1" s="109" thickBot="1">
      <c r="B3025" s="96" t="inlineStr">
        <is>
          <t>PARENTERAL DRUGS (INDIA) LTD</t>
        </is>
      </c>
      <c r="C3025" s="97" t="n">
        <v>524689</v>
      </c>
      <c r="D3025" s="96" t="inlineStr">
        <is>
          <t>PDPL</t>
        </is>
      </c>
      <c r="E3025" s="96" t="inlineStr">
        <is>
          <t>Pharmaceuticals</t>
        </is>
      </c>
    </row>
    <row r="3026" ht="15" customHeight="1" s="109" thickBot="1">
      <c r="B3026" s="96" t="inlineStr">
        <is>
          <t>PARENTERAL DRUGS INDIA LTD</t>
        </is>
      </c>
      <c r="C3026" s="97" t="n">
        <v>524689</v>
      </c>
      <c r="D3026" s="96" t="inlineStr">
        <is>
          <t>PDPL</t>
        </is>
      </c>
      <c r="E3026" s="96" t="inlineStr">
        <is>
          <t>Pharmaceuticals</t>
        </is>
      </c>
    </row>
    <row r="3027" ht="15" customHeight="1" s="109" thickBot="1">
      <c r="B3027" s="96" t="inlineStr">
        <is>
          <t>PARIKSHA FIN- INVEST- LEASE LTD</t>
        </is>
      </c>
      <c r="C3027" s="97" t="n">
        <v>539481</v>
      </c>
      <c r="D3027" s="96" t="inlineStr">
        <is>
          <t>Not Listed</t>
        </is>
      </c>
      <c r="E3027" s="96" t="inlineStr">
        <is>
          <t>Finance (including NBFCs)</t>
        </is>
      </c>
    </row>
    <row r="3028" ht="15" customHeight="1" s="109" thickBot="1">
      <c r="B3028" s="96" t="inlineStr">
        <is>
          <t>PARIN FURNITURE LTD</t>
        </is>
      </c>
      <c r="C3028" s="96" t="inlineStr">
        <is>
          <t>Not Listed</t>
        </is>
      </c>
      <c r="D3028" s="96" t="inlineStr">
        <is>
          <t>PARIN</t>
        </is>
      </c>
      <c r="E3028" s="96" t="inlineStr">
        <is>
          <t>SME</t>
        </is>
      </c>
    </row>
    <row r="3029" ht="15" customHeight="1" s="109" thickBot="1">
      <c r="B3029" s="96" t="inlineStr">
        <is>
          <t>PARKER AGROCHEM EXPORTS LTD</t>
        </is>
      </c>
      <c r="C3029" s="97" t="n">
        <v>524628</v>
      </c>
      <c r="D3029" s="96" t="inlineStr">
        <is>
          <t>Not Listed</t>
        </is>
      </c>
      <c r="E3029" s="96" t="inlineStr">
        <is>
          <t>Comm.Trading &amp; Distribution</t>
        </is>
      </c>
    </row>
    <row r="3030" ht="15" customHeight="1" s="109" thickBot="1">
      <c r="B3030" s="96" t="inlineStr">
        <is>
          <t>PARLE SOFTWARE LTD</t>
        </is>
      </c>
      <c r="C3030" s="97" t="n">
        <v>532911</v>
      </c>
      <c r="D3030" s="96" t="inlineStr">
        <is>
          <t>Not Listed</t>
        </is>
      </c>
      <c r="E3030" s="96" t="inlineStr">
        <is>
          <t>Realty</t>
        </is>
      </c>
    </row>
    <row r="3031" ht="15" customHeight="1" s="109" thickBot="1">
      <c r="B3031" s="96" t="inlineStr">
        <is>
          <t>PARMAX PHARMA LTD</t>
        </is>
      </c>
      <c r="C3031" s="97" t="n">
        <v>540359</v>
      </c>
      <c r="D3031" s="96" t="inlineStr">
        <is>
          <t>Not Listed</t>
        </is>
      </c>
      <c r="E3031" s="96" t="inlineStr">
        <is>
          <t>Pharmaceuticals</t>
        </is>
      </c>
    </row>
    <row r="3032" ht="15" customHeight="1" s="109" thickBot="1">
      <c r="B3032" s="96" t="inlineStr">
        <is>
          <t>PARMESHWARI SILK MILLS LTD</t>
        </is>
      </c>
      <c r="C3032" s="97" t="n">
        <v>540467</v>
      </c>
      <c r="D3032" s="96" t="inlineStr">
        <is>
          <t>Not Listed</t>
        </is>
      </c>
      <c r="E3032" s="96" t="inlineStr">
        <is>
          <t>Other Apparels &amp; Accessories</t>
        </is>
      </c>
    </row>
    <row r="3033" ht="15" customHeight="1" s="109" thickBot="1">
      <c r="B3033" s="96" t="inlineStr">
        <is>
          <t>PARNAV SPORTS ACADEMY LTD</t>
        </is>
      </c>
      <c r="C3033" s="97" t="n">
        <v>780017</v>
      </c>
      <c r="D3033" s="96" t="inlineStr">
        <is>
          <t>Not Listed</t>
        </is>
      </c>
      <c r="E3033" s="96" t="inlineStr">
        <is>
          <t>Others</t>
        </is>
      </c>
    </row>
    <row r="3034" ht="15" customHeight="1" s="109" thickBot="1">
      <c r="B3034" s="96" t="inlineStr">
        <is>
          <t>PARNAX LAB LTD</t>
        </is>
      </c>
      <c r="C3034" s="97" t="n">
        <v>506128</v>
      </c>
      <c r="D3034" s="96" t="inlineStr">
        <is>
          <t>Not Listed</t>
        </is>
      </c>
      <c r="E3034" s="96" t="inlineStr">
        <is>
          <t>Pharmaceuticals</t>
        </is>
      </c>
    </row>
    <row r="3035" ht="15" customHeight="1" s="109" thickBot="1">
      <c r="B3035" s="96" t="inlineStr">
        <is>
          <t>PARSHARTI INVESTMENT LTD</t>
        </is>
      </c>
      <c r="C3035" s="97" t="n">
        <v>511702</v>
      </c>
      <c r="D3035" s="96" t="inlineStr">
        <is>
          <t>Not Listed</t>
        </is>
      </c>
      <c r="E3035" s="96" t="inlineStr">
        <is>
          <t>Finance (including NBFCs)</t>
        </is>
      </c>
    </row>
    <row r="3036" ht="15" customHeight="1" s="109" thickBot="1">
      <c r="B3036" s="96" t="inlineStr">
        <is>
          <t>PARSHWANATH CORPORATION LTD</t>
        </is>
      </c>
      <c r="C3036" s="97" t="n">
        <v>511176</v>
      </c>
      <c r="D3036" s="96" t="inlineStr">
        <is>
          <t>Not Listed</t>
        </is>
      </c>
      <c r="E3036" s="96" t="inlineStr">
        <is>
          <t>Realty</t>
        </is>
      </c>
    </row>
    <row r="3037" ht="15" customHeight="1" s="109" thickBot="1">
      <c r="B3037" s="96" t="inlineStr">
        <is>
          <t>PARSVNATH DEVELOPERS LTD</t>
        </is>
      </c>
      <c r="C3037" s="97" t="n">
        <v>532780</v>
      </c>
      <c r="D3037" s="96" t="inlineStr">
        <is>
          <t>PARSVNATH</t>
        </is>
      </c>
      <c r="E3037" s="96" t="inlineStr">
        <is>
          <t>Realty</t>
        </is>
      </c>
    </row>
    <row r="3038" ht="15" customHeight="1" s="109" thickBot="1">
      <c r="B3038" s="96" t="inlineStr">
        <is>
          <t>PARTH INDUSTRIES LTD</t>
        </is>
      </c>
      <c r="C3038" s="97" t="n">
        <v>526349</v>
      </c>
      <c r="D3038" s="96" t="inlineStr">
        <is>
          <t>Not Listed</t>
        </is>
      </c>
      <c r="E3038" s="96" t="inlineStr">
        <is>
          <t>Auto Parts &amp; Equipment</t>
        </is>
      </c>
    </row>
    <row r="3039" ht="15" customHeight="1" s="109" thickBot="1">
      <c r="B3039" s="96" t="inlineStr">
        <is>
          <t>PARVATI SWEETNERS AND POWER LTD</t>
        </is>
      </c>
      <c r="C3039" s="97" t="n">
        <v>541347</v>
      </c>
      <c r="D3039" s="96" t="inlineStr">
        <is>
          <t>Not Listed</t>
        </is>
      </c>
      <c r="E3039" s="96" t="inlineStr">
        <is>
          <t>Sugar</t>
        </is>
      </c>
    </row>
    <row r="3040" ht="15" customHeight="1" s="109" thickBot="1">
      <c r="B3040" s="96" t="inlineStr">
        <is>
          <t>PASARI SPINNING MILLS LTD</t>
        </is>
      </c>
      <c r="C3040" s="97" t="n">
        <v>521080</v>
      </c>
      <c r="D3040" s="96" t="inlineStr">
        <is>
          <t>Not Listed</t>
        </is>
      </c>
      <c r="E3040" s="96" t="inlineStr">
        <is>
          <t>Textiles</t>
        </is>
      </c>
    </row>
    <row r="3041" ht="15" customHeight="1" s="109" thickBot="1">
      <c r="B3041" s="96" t="inlineStr">
        <is>
          <t>PASHUPATI COTSPIN LTD</t>
        </is>
      </c>
      <c r="C3041" s="96" t="inlineStr">
        <is>
          <t>Not Listed</t>
        </is>
      </c>
      <c r="D3041" s="96" t="inlineStr">
        <is>
          <t>PASHUPATI</t>
        </is>
      </c>
      <c r="E3041" s="96" t="inlineStr">
        <is>
          <t>SME</t>
        </is>
      </c>
    </row>
    <row r="3042" ht="15" customHeight="1" s="109" thickBot="1">
      <c r="B3042" s="96" t="inlineStr">
        <is>
          <t>PASUPATI ACRYLON LTD</t>
        </is>
      </c>
      <c r="C3042" s="97" t="n">
        <v>500456</v>
      </c>
      <c r="D3042" s="96" t="inlineStr">
        <is>
          <t>Not Listed</t>
        </is>
      </c>
      <c r="E3042" s="96" t="inlineStr">
        <is>
          <t>Fibres &amp; Plastics</t>
        </is>
      </c>
    </row>
    <row r="3043" ht="15" customHeight="1" s="109" thickBot="1">
      <c r="B3043" s="96" t="inlineStr">
        <is>
          <t>PASUPATI FINCAP LTD</t>
        </is>
      </c>
      <c r="C3043" s="97" t="n">
        <v>511734</v>
      </c>
      <c r="D3043" s="96" t="inlineStr">
        <is>
          <t>Not Listed</t>
        </is>
      </c>
      <c r="E3043" s="96" t="inlineStr">
        <is>
          <t>Finance (including NBFCs)</t>
        </is>
      </c>
    </row>
    <row r="3044" ht="15" customHeight="1" s="109" thickBot="1">
      <c r="B3044" s="96" t="inlineStr">
        <is>
          <t>PASUPATI SPG &amp; WVG MILLS LTD</t>
        </is>
      </c>
      <c r="C3044" s="97" t="n">
        <v>503092</v>
      </c>
      <c r="D3044" s="96" t="inlineStr">
        <is>
          <t>Not Listed</t>
        </is>
      </c>
      <c r="E3044" s="96" t="inlineStr">
        <is>
          <t>Textiles</t>
        </is>
      </c>
    </row>
    <row r="3045" ht="15" customHeight="1" s="109" thickBot="1">
      <c r="B3045" s="96" t="inlineStr">
        <is>
          <t>PATDIAM JEWELLERY LTD</t>
        </is>
      </c>
      <c r="C3045" s="97" t="n">
        <v>539401</v>
      </c>
      <c r="D3045" s="96" t="inlineStr">
        <is>
          <t>Not Listed</t>
        </is>
      </c>
      <c r="E3045" s="96" t="inlineStr">
        <is>
          <t>Other Apparels &amp; Accessories</t>
        </is>
      </c>
    </row>
    <row r="3046" ht="15" customHeight="1" s="109" thickBot="1">
      <c r="B3046" s="96" t="inlineStr">
        <is>
          <t>PATEL ENGINEERING LTD</t>
        </is>
      </c>
      <c r="C3046" s="97" t="n">
        <v>531120</v>
      </c>
      <c r="D3046" s="96" t="inlineStr">
        <is>
          <t>PATELENG</t>
        </is>
      </c>
      <c r="E3046" s="96" t="inlineStr">
        <is>
          <t>Construction &amp; Engineering</t>
        </is>
      </c>
    </row>
    <row r="3047" ht="15" customHeight="1" s="109" thickBot="1">
      <c r="B3047" s="96" t="inlineStr">
        <is>
          <t>PATEL INTEGRATED LOGISTICS LTD</t>
        </is>
      </c>
      <c r="C3047" s="97" t="n">
        <v>526381</v>
      </c>
      <c r="D3047" s="96" t="inlineStr">
        <is>
          <t>PATINTLOG</t>
        </is>
      </c>
      <c r="E3047" s="96" t="inlineStr">
        <is>
          <t>Surface Transportation</t>
        </is>
      </c>
    </row>
    <row r="3048" ht="15" customHeight="1" s="109" thickBot="1">
      <c r="B3048" s="96" t="inlineStr">
        <is>
          <t>PATELS AIRTEMP (INDIA) LTD</t>
        </is>
      </c>
      <c r="C3048" s="97" t="n">
        <v>517417</v>
      </c>
      <c r="D3048" s="96" t="inlineStr">
        <is>
          <t>Not Listed</t>
        </is>
      </c>
      <c r="E3048" s="96" t="inlineStr">
        <is>
          <t>Industrial Machinery</t>
        </is>
      </c>
    </row>
    <row r="3049" ht="15" customHeight="1" s="109" thickBot="1">
      <c r="B3049" s="96" t="inlineStr">
        <is>
          <t>PATELS AIRTEMP INDIA LTD</t>
        </is>
      </c>
      <c r="C3049" s="97" t="n">
        <v>517417</v>
      </c>
      <c r="D3049" s="96" t="inlineStr">
        <is>
          <t>Not Listed</t>
        </is>
      </c>
      <c r="E3049" s="96" t="inlineStr">
        <is>
          <t>Industrial Machinery</t>
        </is>
      </c>
    </row>
    <row r="3050" ht="15" customHeight="1" s="109" thickBot="1">
      <c r="B3050" s="96" t="inlineStr">
        <is>
          <t>PATIDAR BUILDCON LTD</t>
        </is>
      </c>
      <c r="C3050" s="97" t="n">
        <v>524031</v>
      </c>
      <c r="D3050" s="96" t="inlineStr">
        <is>
          <t>Not Listed</t>
        </is>
      </c>
      <c r="E3050" s="96" t="inlineStr">
        <is>
          <t>Realty</t>
        </is>
      </c>
    </row>
    <row r="3051" ht="15" customHeight="1" s="109" thickBot="1">
      <c r="B3051" s="96" t="inlineStr">
        <is>
          <t>PATSPIN (INDIA) LTD</t>
        </is>
      </c>
      <c r="C3051" s="97" t="n">
        <v>514326</v>
      </c>
      <c r="D3051" s="96" t="inlineStr">
        <is>
          <t>PATSPINLTD</t>
        </is>
      </c>
      <c r="E3051" s="96" t="inlineStr">
        <is>
          <t>Textiles</t>
        </is>
      </c>
    </row>
    <row r="3052" ht="15" customHeight="1" s="109" thickBot="1">
      <c r="B3052" s="96" t="inlineStr">
        <is>
          <t>PATSPIN INDIA LTD</t>
        </is>
      </c>
      <c r="C3052" s="97" t="n">
        <v>514326</v>
      </c>
      <c r="D3052" s="96" t="inlineStr">
        <is>
          <t>PATSPINLTD</t>
        </is>
      </c>
      <c r="E3052" s="96" t="inlineStr">
        <is>
          <t>Textiles</t>
        </is>
      </c>
    </row>
    <row r="3053" ht="15" customHeight="1" s="109" thickBot="1">
      <c r="B3053" s="96" t="inlineStr">
        <is>
          <t>PAUL MERCHANTS LTD</t>
        </is>
      </c>
      <c r="C3053" s="97" t="n">
        <v>539113</v>
      </c>
      <c r="D3053" s="96" t="inlineStr">
        <is>
          <t>Not Listed</t>
        </is>
      </c>
      <c r="E3053" s="96" t="inlineStr">
        <is>
          <t>Finance (including NBFCs)</t>
        </is>
      </c>
    </row>
    <row r="3054" ht="15" customHeight="1" s="109" thickBot="1">
      <c r="B3054" s="96" t="inlineStr">
        <is>
          <t>PAUSHAK LTD</t>
        </is>
      </c>
      <c r="C3054" s="97" t="n">
        <v>532742</v>
      </c>
      <c r="D3054" s="96" t="inlineStr">
        <is>
          <t>Not Listed</t>
        </is>
      </c>
      <c r="E3054" s="96" t="inlineStr">
        <is>
          <t>Specialty Chemicals</t>
        </is>
      </c>
    </row>
    <row r="3055" ht="15" customHeight="1" s="109" thickBot="1">
      <c r="B3055" s="96" t="inlineStr">
        <is>
          <t>PAWANSUT HOLDINGS LTD</t>
        </is>
      </c>
      <c r="C3055" s="97" t="n">
        <v>535658</v>
      </c>
      <c r="D3055" s="96" t="inlineStr">
        <is>
          <t>Not Listed</t>
        </is>
      </c>
      <c r="E3055" s="96" t="inlineStr">
        <is>
          <t>Finance (including NBFCs)</t>
        </is>
      </c>
    </row>
    <row r="3056" ht="15" customHeight="1" s="109" thickBot="1">
      <c r="B3056" s="96" t="inlineStr">
        <is>
          <t>PBA INFRASTRUCTURE LTD</t>
        </is>
      </c>
      <c r="C3056" s="97" t="n">
        <v>532676</v>
      </c>
      <c r="D3056" s="96" t="inlineStr">
        <is>
          <t>PBAINFRA</t>
        </is>
      </c>
      <c r="E3056" s="96" t="inlineStr">
        <is>
          <t>Construction &amp; Engineering</t>
        </is>
      </c>
    </row>
    <row r="3057" ht="15" customHeight="1" s="109" thickBot="1">
      <c r="B3057" s="96" t="inlineStr">
        <is>
          <t>PBM POLYTEX LTD</t>
        </is>
      </c>
      <c r="C3057" s="97" t="n">
        <v>514087</v>
      </c>
      <c r="D3057" s="96" t="inlineStr">
        <is>
          <t>Not Listed</t>
        </is>
      </c>
      <c r="E3057" s="96" t="inlineStr">
        <is>
          <t>Textiles</t>
        </is>
      </c>
    </row>
    <row r="3058" ht="15" customHeight="1" s="109" thickBot="1">
      <c r="B3058" s="96" t="inlineStr">
        <is>
          <t>PC JEWELLER LTD</t>
        </is>
      </c>
      <c r="C3058" s="97" t="n">
        <v>534809</v>
      </c>
      <c r="D3058" s="96" t="inlineStr">
        <is>
          <t>PCJEWELLER</t>
        </is>
      </c>
      <c r="E3058" s="96" t="inlineStr">
        <is>
          <t>Other Apparels &amp; Accessories</t>
        </is>
      </c>
    </row>
    <row r="3059" ht="15" customHeight="1" s="109" thickBot="1">
      <c r="B3059" s="96" t="inlineStr">
        <is>
          <t>PCS TECHNOLOGY LTD</t>
        </is>
      </c>
      <c r="C3059" s="97" t="n">
        <v>517119</v>
      </c>
      <c r="D3059" s="96" t="inlineStr">
        <is>
          <t>Not Listed</t>
        </is>
      </c>
      <c r="E3059" s="96" t="inlineStr">
        <is>
          <t>Computer Hardware</t>
        </is>
      </c>
    </row>
    <row r="3060" ht="15" customHeight="1" s="109" thickBot="1">
      <c r="B3060" s="96" t="inlineStr">
        <is>
          <t>PDS MULTINATIONAL FASHIONS LTD</t>
        </is>
      </c>
      <c r="C3060" s="97" t="n">
        <v>538730</v>
      </c>
      <c r="D3060" s="96" t="inlineStr">
        <is>
          <t>PDSMFL</t>
        </is>
      </c>
      <c r="E3060" s="96" t="inlineStr">
        <is>
          <t>Comm.Trading &amp; Distribution</t>
        </is>
      </c>
    </row>
    <row r="3061" ht="15" customHeight="1" s="109" thickBot="1">
      <c r="B3061" s="96" t="inlineStr">
        <is>
          <t>PEARL GLOBAL INDUSTRIES LTD</t>
        </is>
      </c>
      <c r="C3061" s="97" t="n">
        <v>532808</v>
      </c>
      <c r="D3061" s="96" t="inlineStr">
        <is>
          <t>PGIL</t>
        </is>
      </c>
      <c r="E3061" s="96" t="inlineStr">
        <is>
          <t>Other Apparels &amp; Accessories</t>
        </is>
      </c>
    </row>
    <row r="3062" ht="15" customHeight="1" s="109" thickBot="1">
      <c r="B3062" s="96" t="inlineStr">
        <is>
          <t>PEARL POLYMERS LTD</t>
        </is>
      </c>
      <c r="C3062" s="97" t="n">
        <v>523260</v>
      </c>
      <c r="D3062" s="96" t="inlineStr">
        <is>
          <t>PEARLPOLY</t>
        </is>
      </c>
      <c r="E3062" s="96" t="inlineStr">
        <is>
          <t>Containers &amp; Packaging</t>
        </is>
      </c>
    </row>
    <row r="3063" ht="15" customHeight="1" s="109" thickBot="1">
      <c r="B3063" s="96" t="inlineStr">
        <is>
          <t>PECOS HOTELS AND PUBS LTD</t>
        </is>
      </c>
      <c r="C3063" s="97" t="n">
        <v>539273</v>
      </c>
      <c r="D3063" s="96" t="inlineStr">
        <is>
          <t>Not Listed</t>
        </is>
      </c>
      <c r="E3063" s="96" t="inlineStr">
        <is>
          <t>Restaurants</t>
        </is>
      </c>
    </row>
    <row r="3064" ht="15" customHeight="1" s="109" thickBot="1">
      <c r="B3064" s="96" t="inlineStr">
        <is>
          <t>PEE CEE COSMA SOPE LTD</t>
        </is>
      </c>
      <c r="C3064" s="97" t="n">
        <v>524136</v>
      </c>
      <c r="D3064" s="96" t="inlineStr">
        <is>
          <t>Not Listed</t>
        </is>
      </c>
      <c r="E3064" s="96" t="inlineStr">
        <is>
          <t>Household Products</t>
        </is>
      </c>
    </row>
    <row r="3065" ht="15" customHeight="1" s="109" thickBot="1">
      <c r="B3065" s="96" t="inlineStr">
        <is>
          <t>PEETI SECURITIES LTD</t>
        </is>
      </c>
      <c r="C3065" s="97" t="n">
        <v>531352</v>
      </c>
      <c r="D3065" s="96" t="inlineStr">
        <is>
          <t>Not Listed</t>
        </is>
      </c>
      <c r="E3065" s="96" t="inlineStr">
        <is>
          <t>Textiles</t>
        </is>
      </c>
    </row>
    <row r="3066" ht="15" customHeight="1" s="109" thickBot="1">
      <c r="B3066" s="96" t="inlineStr">
        <is>
          <t>PENINSULA LAND LTD</t>
        </is>
      </c>
      <c r="C3066" s="97" t="n">
        <v>503031</v>
      </c>
      <c r="D3066" s="96" t="inlineStr">
        <is>
          <t>PENINLAND</t>
        </is>
      </c>
      <c r="E3066" s="96" t="inlineStr">
        <is>
          <t>Realty</t>
        </is>
      </c>
    </row>
    <row r="3067" ht="15" customHeight="1" s="109" thickBot="1">
      <c r="B3067" s="96" t="inlineStr">
        <is>
          <t>PENNAR ENGINEERED BUILDING SYSTEMS LTD</t>
        </is>
      </c>
      <c r="C3067" s="97" t="n">
        <v>539333</v>
      </c>
      <c r="D3067" s="96" t="inlineStr">
        <is>
          <t>PENPEBS</t>
        </is>
      </c>
      <c r="E3067" s="96" t="inlineStr">
        <is>
          <t>Realty</t>
        </is>
      </c>
    </row>
    <row r="3068" ht="15" customHeight="1" s="109" thickBot="1">
      <c r="B3068" s="96" t="inlineStr">
        <is>
          <t>PENNAR INDUSTRIES LTD</t>
        </is>
      </c>
      <c r="C3068" s="97" t="n">
        <v>513228</v>
      </c>
      <c r="D3068" s="96" t="inlineStr">
        <is>
          <t>PENIND</t>
        </is>
      </c>
      <c r="E3068" s="96" t="inlineStr">
        <is>
          <t>Iron &amp; Steel/Interm.Products</t>
        </is>
      </c>
    </row>
    <row r="3069" ht="15" customHeight="1" s="109" thickBot="1">
      <c r="B3069" s="96" t="inlineStr">
        <is>
          <t>PENTA GOLD LTD</t>
        </is>
      </c>
      <c r="C3069" s="96" t="inlineStr">
        <is>
          <t>Not Listed</t>
        </is>
      </c>
      <c r="D3069" s="96" t="inlineStr">
        <is>
          <t>PENTAGOLD</t>
        </is>
      </c>
      <c r="E3069" s="96" t="inlineStr">
        <is>
          <t>SME</t>
        </is>
      </c>
    </row>
    <row r="3070" ht="15" customHeight="1" s="109" thickBot="1">
      <c r="B3070" s="96" t="inlineStr">
        <is>
          <t>PENTAMEDIA GRAPHICS LTD</t>
        </is>
      </c>
      <c r="C3070" s="97" t="n">
        <v>500329</v>
      </c>
      <c r="D3070" s="96" t="inlineStr">
        <is>
          <t>Not Listed</t>
        </is>
      </c>
      <c r="E3070" s="96" t="inlineStr">
        <is>
          <t>Movies &amp; Entertainment</t>
        </is>
      </c>
    </row>
    <row r="3071" ht="15" customHeight="1" s="109" thickBot="1">
      <c r="B3071" s="96" t="inlineStr">
        <is>
          <t>PENTOKEY ORGANY (INDIA) LTD</t>
        </is>
      </c>
      <c r="C3071" s="97" t="n">
        <v>524210</v>
      </c>
      <c r="D3071" s="96" t="inlineStr">
        <is>
          <t>Not Listed</t>
        </is>
      </c>
      <c r="E3071" s="96" t="inlineStr">
        <is>
          <t>Commodity Chemicals</t>
        </is>
      </c>
    </row>
    <row r="3072" ht="15" customHeight="1" s="109" thickBot="1">
      <c r="B3072" s="96" t="inlineStr">
        <is>
          <t>PENTOKEY ORGANY INDIA LTD</t>
        </is>
      </c>
      <c r="C3072" s="97" t="n">
        <v>524210</v>
      </c>
      <c r="D3072" s="96" t="inlineStr">
        <is>
          <t>Not Listed</t>
        </is>
      </c>
      <c r="E3072" s="96" t="inlineStr">
        <is>
          <t>Commodity Chemicals</t>
        </is>
      </c>
    </row>
    <row r="3073" ht="15" customHeight="1" s="109" thickBot="1">
      <c r="B3073" s="96" t="inlineStr">
        <is>
          <t>PEOPLES INVESTMENTS LTD</t>
        </is>
      </c>
      <c r="C3073" s="97" t="n">
        <v>501144</v>
      </c>
      <c r="D3073" s="96" t="inlineStr">
        <is>
          <t>Not Listed</t>
        </is>
      </c>
      <c r="E3073" s="96" t="inlineStr">
        <is>
          <t>Misc.Commercial Services</t>
        </is>
      </c>
    </row>
    <row r="3074" ht="15" customHeight="1" s="109" thickBot="1">
      <c r="B3074" s="96" t="inlineStr">
        <is>
          <t>PERFECT INFRAENGINEERS LTD</t>
        </is>
      </c>
      <c r="C3074" s="96" t="inlineStr">
        <is>
          <t>Not Listed</t>
        </is>
      </c>
      <c r="D3074" s="96" t="inlineStr">
        <is>
          <t>PERFECT</t>
        </is>
      </c>
      <c r="E3074" s="96" t="inlineStr">
        <is>
          <t>SME</t>
        </is>
      </c>
    </row>
    <row r="3075" ht="15" customHeight="1" s="109" thickBot="1">
      <c r="B3075" s="96" t="inlineStr">
        <is>
          <t>PERFECT-OCTAVE MEDIA PROJECTS LTD</t>
        </is>
      </c>
      <c r="C3075" s="97" t="n">
        <v>521062</v>
      </c>
      <c r="D3075" s="96" t="inlineStr">
        <is>
          <t>Not Listed</t>
        </is>
      </c>
      <c r="E3075" s="96" t="inlineStr">
        <is>
          <t>Broadcasting &amp; Cable TV</t>
        </is>
      </c>
    </row>
    <row r="3076" ht="15" customHeight="1" s="109" thickBot="1">
      <c r="B3076" s="96" t="inlineStr">
        <is>
          <t>PERFECTPAC LTD</t>
        </is>
      </c>
      <c r="C3076" s="97" t="n">
        <v>526435</v>
      </c>
      <c r="D3076" s="96" t="inlineStr">
        <is>
          <t>Not Listed</t>
        </is>
      </c>
      <c r="E3076" s="96" t="inlineStr">
        <is>
          <t>Paper &amp; Paper Products</t>
        </is>
      </c>
    </row>
    <row r="3077" ht="15" customHeight="1" s="109" thickBot="1">
      <c r="B3077" s="96" t="inlineStr">
        <is>
          <t>PERMANENT MAGNETS LTD</t>
        </is>
      </c>
      <c r="C3077" s="97" t="n">
        <v>504132</v>
      </c>
      <c r="D3077" s="96" t="inlineStr">
        <is>
          <t>Not Listed</t>
        </is>
      </c>
      <c r="E3077" s="96" t="inlineStr">
        <is>
          <t>Other Industrial Goods</t>
        </is>
      </c>
    </row>
    <row r="3078" ht="15" customHeight="1" s="109" thickBot="1">
      <c r="B3078" s="96" t="inlineStr">
        <is>
          <t>PERSISTENT SYSTEMS LTD</t>
        </is>
      </c>
      <c r="C3078" s="97" t="n">
        <v>533179</v>
      </c>
      <c r="D3078" s="96" t="inlineStr">
        <is>
          <t>PERSISTENT</t>
        </is>
      </c>
      <c r="E3078" s="96" t="inlineStr">
        <is>
          <t>IT Consulting &amp; Software</t>
        </is>
      </c>
    </row>
    <row r="3079" ht="15" customHeight="1" s="109" thickBot="1">
      <c r="B3079" s="96" t="inlineStr">
        <is>
          <t>PERVASIVE COMMODITIES LTD</t>
        </is>
      </c>
      <c r="C3079" s="97" t="n">
        <v>517172</v>
      </c>
      <c r="D3079" s="96" t="inlineStr">
        <is>
          <t>Not Listed</t>
        </is>
      </c>
      <c r="E3079" s="96" t="inlineStr">
        <is>
          <t>Electronic Components</t>
        </is>
      </c>
    </row>
    <row r="3080" ht="15" customHeight="1" s="109" thickBot="1">
      <c r="B3080" s="96" t="inlineStr">
        <is>
          <t>PETRON ENGINEERING CONSTRUCTION LTD</t>
        </is>
      </c>
      <c r="C3080" s="97" t="n">
        <v>530381</v>
      </c>
      <c r="D3080" s="96" t="inlineStr">
        <is>
          <t>PETRONENGG</t>
        </is>
      </c>
      <c r="E3080" s="96" t="inlineStr">
        <is>
          <t>Construction &amp; Engineering</t>
        </is>
      </c>
    </row>
    <row r="3081" ht="15" customHeight="1" s="109" thickBot="1">
      <c r="B3081" s="96" t="inlineStr">
        <is>
          <t>PETRONET LNG LTD</t>
        </is>
      </c>
      <c r="C3081" s="97" t="n">
        <v>532522</v>
      </c>
      <c r="D3081" s="96" t="inlineStr">
        <is>
          <t>PETRONET</t>
        </is>
      </c>
      <c r="E3081" s="96" t="inlineStr">
        <is>
          <t>Oil Marketing &amp; Distribution</t>
        </is>
      </c>
    </row>
    <row r="3082" ht="15" customHeight="1" s="109" thickBot="1">
      <c r="B3082" s="96" t="inlineStr">
        <is>
          <t>PFIZER LTD</t>
        </is>
      </c>
      <c r="C3082" s="97" t="n">
        <v>500680</v>
      </c>
      <c r="D3082" s="96" t="inlineStr">
        <is>
          <t>PFIZER</t>
        </is>
      </c>
      <c r="E3082" s="96" t="inlineStr">
        <is>
          <t>Pharmaceuticals</t>
        </is>
      </c>
    </row>
    <row r="3083" ht="15" customHeight="1" s="109" thickBot="1">
      <c r="B3083" s="96" t="inlineStr">
        <is>
          <t>PFL INFOTECH LTD</t>
        </is>
      </c>
      <c r="C3083" s="97" t="n">
        <v>531769</v>
      </c>
      <c r="D3083" s="96" t="inlineStr">
        <is>
          <t>Not Listed</t>
        </is>
      </c>
      <c r="E3083" s="96" t="inlineStr">
        <is>
          <t>IT Software Products</t>
        </is>
      </c>
    </row>
    <row r="3084" ht="15" customHeight="1" s="109" thickBot="1">
      <c r="B3084" s="96" t="inlineStr">
        <is>
          <t>PG ELECTROPLAST LTD</t>
        </is>
      </c>
      <c r="C3084" s="97" t="n">
        <v>533581</v>
      </c>
      <c r="D3084" s="96" t="inlineStr">
        <is>
          <t>PGEL</t>
        </is>
      </c>
      <c r="E3084" s="96" t="inlineStr">
        <is>
          <t>Consumer Electronics</t>
        </is>
      </c>
    </row>
    <row r="3085" ht="15" customHeight="1" s="109" thickBot="1">
      <c r="B3085" s="96" t="inlineStr">
        <is>
          <t>PG FOILS LTD</t>
        </is>
      </c>
      <c r="C3085" s="97" t="n">
        <v>526747</v>
      </c>
      <c r="D3085" s="96" t="inlineStr">
        <is>
          <t>Not Listed</t>
        </is>
      </c>
      <c r="E3085" s="96" t="inlineStr">
        <is>
          <t>Aluminium</t>
        </is>
      </c>
    </row>
    <row r="3086" ht="15" customHeight="1" s="109" thickBot="1">
      <c r="B3086" s="96" t="inlineStr">
        <is>
          <t>PG INDUSTRY LTD</t>
        </is>
      </c>
      <c r="C3086" s="97" t="n">
        <v>531281</v>
      </c>
      <c r="D3086" s="96" t="inlineStr">
        <is>
          <t>Not Listed</t>
        </is>
      </c>
      <c r="E3086" s="96" t="inlineStr">
        <is>
          <t>Construction Materials</t>
        </is>
      </c>
    </row>
    <row r="3087" ht="15" customHeight="1" s="109" thickBot="1">
      <c r="B3087" s="96" t="inlineStr">
        <is>
          <t>PH CAPITAL LTD</t>
        </is>
      </c>
      <c r="C3087" s="97" t="n">
        <v>500143</v>
      </c>
      <c r="D3087" s="96" t="inlineStr">
        <is>
          <t>Not Listed</t>
        </is>
      </c>
      <c r="E3087" s="96" t="inlineStr">
        <is>
          <t>Comm.Trading &amp; Distribution</t>
        </is>
      </c>
    </row>
    <row r="3088" ht="15" customHeight="1" s="109" thickBot="1">
      <c r="B3088" s="96" t="inlineStr">
        <is>
          <t>PH TRADING LTD</t>
        </is>
      </c>
      <c r="C3088" s="97" t="n">
        <v>512026</v>
      </c>
      <c r="D3088" s="96" t="inlineStr">
        <is>
          <t>Not Listed</t>
        </is>
      </c>
      <c r="E3088" s="96" t="inlineStr">
        <is>
          <t>Comm.Trading &amp; Distribution</t>
        </is>
      </c>
    </row>
    <row r="3089" ht="15" customHeight="1" s="109" thickBot="1">
      <c r="B3089" s="96" t="inlineStr">
        <is>
          <t>PHAARMASIA LTD</t>
        </is>
      </c>
      <c r="C3089" s="97" t="n">
        <v>523620</v>
      </c>
      <c r="D3089" s="96" t="inlineStr">
        <is>
          <t>Not Listed</t>
        </is>
      </c>
      <c r="E3089" s="96" t="inlineStr">
        <is>
          <t>Pharmaceuticals</t>
        </is>
      </c>
    </row>
    <row r="3090" ht="15" customHeight="1" s="109" thickBot="1">
      <c r="B3090" s="96" t="inlineStr">
        <is>
          <t>PHILLIPS CARBON BLACK LTD</t>
        </is>
      </c>
      <c r="C3090" s="97" t="n">
        <v>506590</v>
      </c>
      <c r="D3090" s="96" t="inlineStr">
        <is>
          <t>PHILIPCARB</t>
        </is>
      </c>
      <c r="E3090" s="96" t="inlineStr">
        <is>
          <t>Carbon Black</t>
        </is>
      </c>
    </row>
    <row r="3091" ht="15" customHeight="1" s="109" thickBot="1">
      <c r="B3091" s="96" t="inlineStr">
        <is>
          <t>PHOENIX INTERNATIONAL LTD</t>
        </is>
      </c>
      <c r="C3091" s="97" t="n">
        <v>526481</v>
      </c>
      <c r="D3091" s="96" t="inlineStr">
        <is>
          <t>Not Listed</t>
        </is>
      </c>
      <c r="E3091" s="96" t="inlineStr">
        <is>
          <t>Other Apparels &amp; Accessories</t>
        </is>
      </c>
    </row>
    <row r="3092" ht="15" customHeight="1" s="109" thickBot="1">
      <c r="B3092" s="96" t="inlineStr">
        <is>
          <t>PHOENIX TOWNSHIP LTD</t>
        </is>
      </c>
      <c r="C3092" s="97" t="n">
        <v>537839</v>
      </c>
      <c r="D3092" s="96" t="inlineStr">
        <is>
          <t>Not Listed</t>
        </is>
      </c>
      <c r="E3092" s="96" t="inlineStr">
        <is>
          <t>Hotels</t>
        </is>
      </c>
    </row>
    <row r="3093" ht="15" customHeight="1" s="109" thickBot="1">
      <c r="B3093" s="96" t="inlineStr">
        <is>
          <t>PHOTON CAPITAL ADVISORS LTD</t>
        </is>
      </c>
      <c r="C3093" s="97" t="n">
        <v>509084</v>
      </c>
      <c r="D3093" s="96" t="inlineStr">
        <is>
          <t>Not Listed</t>
        </is>
      </c>
      <c r="E3093" s="96" t="inlineStr">
        <is>
          <t>Misc.Commercial Services</t>
        </is>
      </c>
    </row>
    <row r="3094" ht="15" customHeight="1" s="109" thickBot="1">
      <c r="B3094" s="96" t="inlineStr">
        <is>
          <t>PHOTOQUIP (INDIA) LTD</t>
        </is>
      </c>
      <c r="C3094" s="97" t="n">
        <v>526588</v>
      </c>
      <c r="D3094" s="96" t="inlineStr">
        <is>
          <t>Not Listed</t>
        </is>
      </c>
      <c r="E3094" s="96" t="inlineStr">
        <is>
          <t>Photographic Products</t>
        </is>
      </c>
    </row>
    <row r="3095" ht="15" customHeight="1" s="109" thickBot="1">
      <c r="B3095" s="96" t="inlineStr">
        <is>
          <t>PHOTOQUIP INDIA LTD</t>
        </is>
      </c>
      <c r="C3095" s="97" t="n">
        <v>526588</v>
      </c>
      <c r="D3095" s="96" t="inlineStr">
        <is>
          <t>Not Listed</t>
        </is>
      </c>
      <c r="E3095" s="96" t="inlineStr">
        <is>
          <t>Photographic Products</t>
        </is>
      </c>
    </row>
    <row r="3096" ht="15" customHeight="1" s="109" thickBot="1">
      <c r="B3096" s="96" t="inlineStr">
        <is>
          <t>PHYTO CHEM (INDIA) LTD</t>
        </is>
      </c>
      <c r="C3096" s="97" t="n">
        <v>524808</v>
      </c>
      <c r="D3096" s="96" t="inlineStr">
        <is>
          <t>Not Listed</t>
        </is>
      </c>
      <c r="E3096" s="96" t="inlineStr">
        <is>
          <t>Agrochemicals</t>
        </is>
      </c>
    </row>
    <row r="3097" ht="15" customHeight="1" s="109" thickBot="1">
      <c r="B3097" s="96" t="inlineStr">
        <is>
          <t>PHYTO CHEM INDIA LTD</t>
        </is>
      </c>
      <c r="C3097" s="97" t="n">
        <v>524808</v>
      </c>
      <c r="D3097" s="96" t="inlineStr">
        <is>
          <t>Not Listed</t>
        </is>
      </c>
      <c r="E3097" s="96" t="inlineStr">
        <is>
          <t>Agrochemicals</t>
        </is>
      </c>
    </row>
    <row r="3098" ht="15" customHeight="1" s="109" thickBot="1">
      <c r="B3098" s="96" t="inlineStr">
        <is>
          <t>PI INDUSTRIES LTD</t>
        </is>
      </c>
      <c r="C3098" s="97" t="n">
        <v>523642</v>
      </c>
      <c r="D3098" s="96" t="inlineStr">
        <is>
          <t>PIIND</t>
        </is>
      </c>
      <c r="E3098" s="96" t="inlineStr">
        <is>
          <t>Agrochemicals</t>
        </is>
      </c>
    </row>
    <row r="3099" ht="15" customHeight="1" s="109" thickBot="1">
      <c r="B3099" s="96" t="inlineStr">
        <is>
          <t>PICCADILY AGRO INDUSTRIES LTD</t>
        </is>
      </c>
      <c r="C3099" s="97" t="n">
        <v>530305</v>
      </c>
      <c r="D3099" s="96" t="inlineStr">
        <is>
          <t>Not Listed</t>
        </is>
      </c>
      <c r="E3099" s="96" t="inlineStr">
        <is>
          <t>Sugar</t>
        </is>
      </c>
    </row>
    <row r="3100" ht="15" customHeight="1" s="109" thickBot="1">
      <c r="B3100" s="96" t="inlineStr">
        <is>
          <t>PICCADILY SUGAR &amp; ALLIED INDUSTRIES LTD</t>
        </is>
      </c>
      <c r="C3100" s="97" t="n">
        <v>507498</v>
      </c>
      <c r="D3100" s="96" t="inlineStr">
        <is>
          <t>Not Listed</t>
        </is>
      </c>
      <c r="E3100" s="96" t="inlineStr">
        <is>
          <t>Sugar</t>
        </is>
      </c>
    </row>
    <row r="3101" ht="15" customHeight="1" s="109" thickBot="1">
      <c r="B3101" s="96" t="inlineStr">
        <is>
          <t>PICTUREHOUSE MEDIA LTD</t>
        </is>
      </c>
      <c r="C3101" s="97" t="n">
        <v>532355</v>
      </c>
      <c r="D3101" s="96" t="inlineStr">
        <is>
          <t>Not Listed</t>
        </is>
      </c>
      <c r="E3101" s="96" t="inlineStr">
        <is>
          <t>Movies &amp; Entertainment</t>
        </is>
      </c>
    </row>
    <row r="3102" ht="15" customHeight="1" s="109" thickBot="1">
      <c r="B3102" s="96" t="inlineStr">
        <is>
          <t>PIDILITE INDUSTRIES LTD</t>
        </is>
      </c>
      <c r="C3102" s="97" t="n">
        <v>500331</v>
      </c>
      <c r="D3102" s="96" t="inlineStr">
        <is>
          <t>PIDILITIND</t>
        </is>
      </c>
      <c r="E3102" s="96" t="inlineStr">
        <is>
          <t>Specialty Chemicals</t>
        </is>
      </c>
    </row>
    <row r="3103" ht="15" customHeight="1" s="109" thickBot="1">
      <c r="B3103" s="96" t="inlineStr">
        <is>
          <t>PIL ITALICA LIFESTYLE LTD</t>
        </is>
      </c>
      <c r="C3103" s="97" t="n">
        <v>500327</v>
      </c>
      <c r="D3103" s="96" t="inlineStr">
        <is>
          <t>PILITA</t>
        </is>
      </c>
      <c r="E3103" s="96" t="inlineStr">
        <is>
          <t>Plastic Products</t>
        </is>
      </c>
    </row>
    <row r="3104" ht="15" customHeight="1" s="109" thickBot="1">
      <c r="B3104" s="96" t="inlineStr">
        <is>
          <t>PILANI INVESTMENT AND INDUSTRIES CORPORATION LTD</t>
        </is>
      </c>
      <c r="C3104" s="97" t="n">
        <v>539883</v>
      </c>
      <c r="D3104" s="96" t="inlineStr">
        <is>
          <t>PILANIINVS</t>
        </is>
      </c>
      <c r="E3104" s="96" t="inlineStr">
        <is>
          <t>Holding Companies</t>
        </is>
      </c>
    </row>
    <row r="3105" ht="15" customHeight="1" s="109" thickBot="1">
      <c r="B3105" s="96" t="inlineStr">
        <is>
          <t>PIONEER AGRO EXTRACTS LTD</t>
        </is>
      </c>
      <c r="C3105" s="97" t="n">
        <v>519439</v>
      </c>
      <c r="D3105" s="96" t="inlineStr">
        <is>
          <t>Not Listed</t>
        </is>
      </c>
      <c r="E3105" s="96" t="inlineStr">
        <is>
          <t>Edible Oils</t>
        </is>
      </c>
    </row>
    <row r="3106" ht="15" customHeight="1" s="109" thickBot="1">
      <c r="B3106" s="96" t="inlineStr">
        <is>
          <t>PIONEER DISTILLERIES LTD</t>
        </is>
      </c>
      <c r="C3106" s="97" t="n">
        <v>531879</v>
      </c>
      <c r="D3106" s="96" t="inlineStr">
        <is>
          <t>PIONDIST</t>
        </is>
      </c>
      <c r="E3106" s="96" t="inlineStr">
        <is>
          <t>Breweries &amp; Distilleries</t>
        </is>
      </c>
    </row>
    <row r="3107" ht="15" customHeight="1" s="109" thickBot="1">
      <c r="B3107" s="96" t="inlineStr">
        <is>
          <t>PIONEER EMBROIDERIES LTD</t>
        </is>
      </c>
      <c r="C3107" s="97" t="n">
        <v>514300</v>
      </c>
      <c r="D3107" s="96" t="inlineStr">
        <is>
          <t>PIONEEREMB</t>
        </is>
      </c>
      <c r="E3107" s="96" t="inlineStr">
        <is>
          <t>Textiles</t>
        </is>
      </c>
    </row>
    <row r="3108" ht="15" customHeight="1" s="109" thickBot="1">
      <c r="B3108" s="96" t="inlineStr">
        <is>
          <t>PIONEER INVESTCORP LTD</t>
        </is>
      </c>
      <c r="C3108" s="97" t="n">
        <v>507864</v>
      </c>
      <c r="D3108" s="96" t="inlineStr">
        <is>
          <t>Not Listed</t>
        </is>
      </c>
      <c r="E3108" s="96" t="inlineStr">
        <is>
          <t>Other Financial Services</t>
        </is>
      </c>
    </row>
    <row r="3109" ht="15" customHeight="1" s="109" thickBot="1">
      <c r="B3109" s="96" t="inlineStr">
        <is>
          <t>PIRAMAL ENTERPRISES LTD</t>
        </is>
      </c>
      <c r="C3109" s="97" t="n">
        <v>500302</v>
      </c>
      <c r="D3109" s="96" t="inlineStr">
        <is>
          <t>PEL</t>
        </is>
      </c>
      <c r="E3109" s="96" t="inlineStr">
        <is>
          <t>Pharmaceuticals</t>
        </is>
      </c>
    </row>
    <row r="3110" ht="15" customHeight="1" s="109" thickBot="1">
      <c r="B3110" s="96" t="inlineStr">
        <is>
          <t>PIRAMAL PHYTOCARE LTD</t>
        </is>
      </c>
      <c r="C3110" s="97" t="n">
        <v>532979</v>
      </c>
      <c r="D3110" s="96" t="inlineStr">
        <is>
          <t>PIRPHYTO</t>
        </is>
      </c>
      <c r="E3110" s="96" t="inlineStr">
        <is>
          <t>Pharmaceuticals</t>
        </is>
      </c>
    </row>
    <row r="3111" ht="15" customHeight="1" s="109" thickBot="1">
      <c r="B3111" s="96" t="inlineStr">
        <is>
          <t>PITHAMPUR POLY PRODUCTS LTD</t>
        </is>
      </c>
      <c r="C3111" s="97" t="n">
        <v>530683</v>
      </c>
      <c r="D3111" s="96" t="inlineStr">
        <is>
          <t>Not Listed</t>
        </is>
      </c>
      <c r="E3111" s="96" t="inlineStr">
        <is>
          <t>Containers &amp; Packaging</t>
        </is>
      </c>
    </row>
    <row r="3112" ht="15" customHeight="1" s="109" thickBot="1">
      <c r="B3112" s="96" t="inlineStr">
        <is>
          <t>PITTI ENGINEERING LTD</t>
        </is>
      </c>
      <c r="C3112" s="97" t="n">
        <v>513519</v>
      </c>
      <c r="D3112" s="96" t="inlineStr">
        <is>
          <t>PITTIENG</t>
        </is>
      </c>
      <c r="E3112" s="96" t="inlineStr">
        <is>
          <t>Other Elect.Equip./ Prod.</t>
        </is>
      </c>
    </row>
    <row r="3113" ht="15" customHeight="1" s="109" thickBot="1">
      <c r="B3113" s="96" t="inlineStr">
        <is>
          <t>PIX TRANSMISSIONS LTD</t>
        </is>
      </c>
      <c r="C3113" s="97" t="n">
        <v>500333</v>
      </c>
      <c r="D3113" s="96" t="inlineStr">
        <is>
          <t>Not Listed</t>
        </is>
      </c>
      <c r="E3113" s="96" t="inlineStr">
        <is>
          <t>Auto Tyres &amp; Rubber Products</t>
        </is>
      </c>
    </row>
    <row r="3114" ht="15" customHeight="1" s="109" thickBot="1">
      <c r="B3114" s="96" t="inlineStr">
        <is>
          <t>PLANTER POLYSACKS LTD</t>
        </is>
      </c>
      <c r="C3114" s="97" t="n">
        <v>523105</v>
      </c>
      <c r="D3114" s="96" t="inlineStr">
        <is>
          <t>Not Listed</t>
        </is>
      </c>
      <c r="E3114" s="96" t="inlineStr">
        <is>
          <t>Containers &amp; Packaging</t>
        </is>
      </c>
    </row>
    <row r="3115" ht="15" customHeight="1" s="109" thickBot="1">
      <c r="B3115" s="96" t="inlineStr">
        <is>
          <t>PLASTIBLENDS (INDIA) LTD</t>
        </is>
      </c>
      <c r="C3115" s="97" t="n">
        <v>523648</v>
      </c>
      <c r="D3115" s="96" t="inlineStr">
        <is>
          <t>PLASTIBLEN</t>
        </is>
      </c>
      <c r="E3115" s="96" t="inlineStr">
        <is>
          <t>Specialty Chemicals</t>
        </is>
      </c>
    </row>
    <row r="3116" ht="15" customHeight="1" s="109" thickBot="1">
      <c r="B3116" s="96" t="inlineStr">
        <is>
          <t>PLASTIBLENDS INDIA LTD</t>
        </is>
      </c>
      <c r="C3116" s="97" t="n">
        <v>523648</v>
      </c>
      <c r="D3116" s="96" t="inlineStr">
        <is>
          <t>PLASTIBLEN</t>
        </is>
      </c>
      <c r="E3116" s="96" t="inlineStr">
        <is>
          <t>Specialty Chemicals</t>
        </is>
      </c>
    </row>
    <row r="3117" ht="15" customHeight="1" s="109" thickBot="1">
      <c r="B3117" s="96" t="inlineStr">
        <is>
          <t>PMC FINCORP LTD</t>
        </is>
      </c>
      <c r="C3117" s="97" t="n">
        <v>534060</v>
      </c>
      <c r="D3117" s="96" t="inlineStr">
        <is>
          <t>Not Listed</t>
        </is>
      </c>
      <c r="E3117" s="96" t="inlineStr">
        <is>
          <t>Finance (including NBFCs)</t>
        </is>
      </c>
    </row>
    <row r="3118" ht="15" customHeight="1" s="109" thickBot="1">
      <c r="B3118" s="96" t="inlineStr">
        <is>
          <t>PNB GILTS LTD</t>
        </is>
      </c>
      <c r="C3118" s="97" t="n">
        <v>532366</v>
      </c>
      <c r="D3118" s="96" t="inlineStr">
        <is>
          <t>PNBGILTS</t>
        </is>
      </c>
      <c r="E3118" s="96" t="inlineStr">
        <is>
          <t>Finance (including NBFCs)</t>
        </is>
      </c>
    </row>
    <row r="3119" ht="15" customHeight="1" s="109" thickBot="1">
      <c r="B3119" s="96" t="inlineStr">
        <is>
          <t>PNB HOUSING FINANCE LTD</t>
        </is>
      </c>
      <c r="C3119" s="97" t="n">
        <v>540173</v>
      </c>
      <c r="D3119" s="96" t="inlineStr">
        <is>
          <t>PNBHOUSING</t>
        </is>
      </c>
      <c r="E3119" s="96" t="inlineStr">
        <is>
          <t>Housing Finance</t>
        </is>
      </c>
    </row>
    <row r="3120" ht="15" customHeight="1" s="109" thickBot="1">
      <c r="B3120" s="96" t="inlineStr">
        <is>
          <t>PNC INFRATECH LTD</t>
        </is>
      </c>
      <c r="C3120" s="97" t="n">
        <v>539150</v>
      </c>
      <c r="D3120" s="96" t="inlineStr">
        <is>
          <t>PNCINFRA</t>
        </is>
      </c>
      <c r="E3120" s="96" t="inlineStr">
        <is>
          <t>Roads &amp; Highways</t>
        </is>
      </c>
    </row>
    <row r="3121" ht="15" customHeight="1" s="109" thickBot="1">
      <c r="B3121" s="96" t="inlineStr">
        <is>
          <t>POCHIRAJU INDUSTRIES LTD</t>
        </is>
      </c>
      <c r="C3121" s="97" t="n">
        <v>532803</v>
      </c>
      <c r="D3121" s="96" t="inlineStr">
        <is>
          <t>POCHIRAJU</t>
        </is>
      </c>
      <c r="E3121" s="96" t="inlineStr">
        <is>
          <t>Other Agricultural Products</t>
        </is>
      </c>
    </row>
    <row r="3122" ht="15" customHeight="1" s="109" thickBot="1">
      <c r="B3122" s="96" t="inlineStr">
        <is>
          <t>POCL ENTERPRISES LTD</t>
        </is>
      </c>
      <c r="C3122" s="97" t="n">
        <v>539195</v>
      </c>
      <c r="D3122" s="96" t="inlineStr">
        <is>
          <t>Not Listed</t>
        </is>
      </c>
      <c r="E3122" s="96" t="inlineStr">
        <is>
          <t>Commodity Chemicals</t>
        </is>
      </c>
    </row>
    <row r="3123" ht="15" customHeight="1" s="109" thickBot="1">
      <c r="B3123" s="96" t="inlineStr">
        <is>
          <t>PODDAR HOUSING AND DEVELOPMENT LTD</t>
        </is>
      </c>
      <c r="C3123" s="97" t="n">
        <v>523628</v>
      </c>
      <c r="D3123" s="96" t="inlineStr">
        <is>
          <t>PODDARHOUS</t>
        </is>
      </c>
      <c r="E3123" s="96" t="inlineStr">
        <is>
          <t>Realty</t>
        </is>
      </c>
    </row>
    <row r="3124" ht="15" customHeight="1" s="109" thickBot="1">
      <c r="B3124" s="96" t="inlineStr">
        <is>
          <t>PODDAR PIGMENTS LTD</t>
        </is>
      </c>
      <c r="C3124" s="97" t="n">
        <v>524570</v>
      </c>
      <c r="D3124" s="96" t="inlineStr">
        <is>
          <t>PODDARMENT</t>
        </is>
      </c>
      <c r="E3124" s="96" t="inlineStr">
        <is>
          <t>Specialty Chemicals</t>
        </is>
      </c>
    </row>
    <row r="3125" ht="15" customHeight="1" s="109" thickBot="1">
      <c r="B3125" s="96" t="inlineStr">
        <is>
          <t>POKARNA LTD</t>
        </is>
      </c>
      <c r="C3125" s="97" t="n">
        <v>532486</v>
      </c>
      <c r="D3125" s="96" t="inlineStr">
        <is>
          <t>POKARNA</t>
        </is>
      </c>
      <c r="E3125" s="96" t="inlineStr">
        <is>
          <t>Construction Materials</t>
        </is>
      </c>
    </row>
    <row r="3126" ht="15" customHeight="1" s="109" thickBot="1">
      <c r="B3126" s="96" t="inlineStr">
        <is>
          <t>POLO HOTELS LTD</t>
        </is>
      </c>
      <c r="C3126" s="97" t="n">
        <v>526687</v>
      </c>
      <c r="D3126" s="96" t="inlineStr">
        <is>
          <t>Not Listed</t>
        </is>
      </c>
      <c r="E3126" s="96" t="inlineStr">
        <is>
          <t>Hotels</t>
        </is>
      </c>
    </row>
    <row r="3127" ht="15" customHeight="1" s="109" thickBot="1">
      <c r="B3127" s="96" t="inlineStr">
        <is>
          <t>POLO QUEEN INDUSTRIAL AND FINTECH LTD</t>
        </is>
      </c>
      <c r="C3127" s="97" t="n">
        <v>540717</v>
      </c>
      <c r="D3127" s="96" t="inlineStr">
        <is>
          <t>Not Listed</t>
        </is>
      </c>
      <c r="E3127" s="96" t="inlineStr">
        <is>
          <t>Comm.Trading &amp; Distribution</t>
        </is>
      </c>
    </row>
    <row r="3128" ht="15" customHeight="1" s="109" thickBot="1">
      <c r="B3128" s="96" t="inlineStr">
        <is>
          <t>POLSON LTD</t>
        </is>
      </c>
      <c r="C3128" s="97" t="n">
        <v>507645</v>
      </c>
      <c r="D3128" s="96" t="inlineStr">
        <is>
          <t>Not Listed</t>
        </is>
      </c>
      <c r="E3128" s="96" t="inlineStr">
        <is>
          <t>Specialty Chemicals</t>
        </is>
      </c>
    </row>
    <row r="3129" ht="15" customHeight="1" s="109" thickBot="1">
      <c r="B3129" s="96" t="inlineStr">
        <is>
          <t>POLY MEDICURE LTD</t>
        </is>
      </c>
      <c r="C3129" s="97" t="n">
        <v>531768</v>
      </c>
      <c r="D3129" s="96" t="inlineStr">
        <is>
          <t>POLYMED</t>
        </is>
      </c>
      <c r="E3129" s="96" t="inlineStr">
        <is>
          <t>Medical Equipment</t>
        </is>
      </c>
    </row>
    <row r="3130" ht="15" customHeight="1" s="109" thickBot="1">
      <c r="B3130" s="96" t="inlineStr">
        <is>
          <t>Polycab India Ltd</t>
        </is>
      </c>
      <c r="C3130" s="97" t="n">
        <v>542652</v>
      </c>
      <c r="D3130" s="96" t="inlineStr">
        <is>
          <t>POLYCAB</t>
        </is>
      </c>
      <c r="E3130" s="96" t="inlineStr">
        <is>
          <t>Other Elect.Equip./ Prod.</t>
        </is>
      </c>
    </row>
    <row r="3131" ht="15" customHeight="1" s="109" thickBot="1">
      <c r="B3131" s="96" t="inlineStr">
        <is>
          <t>POLYCHEM LTD</t>
        </is>
      </c>
      <c r="C3131" s="97" t="n">
        <v>506605</v>
      </c>
      <c r="D3131" s="96" t="inlineStr">
        <is>
          <t>Not Listed</t>
        </is>
      </c>
      <c r="E3131" s="96" t="inlineStr">
        <is>
          <t>Commodity Chemicals</t>
        </is>
      </c>
    </row>
    <row r="3132" ht="15" customHeight="1" s="109" thickBot="1">
      <c r="B3132" s="96" t="inlineStr">
        <is>
          <t>POLYCON INTERNATIONAL LTD</t>
        </is>
      </c>
      <c r="C3132" s="97" t="n">
        <v>531397</v>
      </c>
      <c r="D3132" s="96" t="inlineStr">
        <is>
          <t>Not Listed</t>
        </is>
      </c>
      <c r="E3132" s="96" t="inlineStr">
        <is>
          <t>Containers &amp; Packaging</t>
        </is>
      </c>
    </row>
    <row r="3133" ht="15" customHeight="1" s="109" thickBot="1">
      <c r="B3133" s="96" t="inlineStr">
        <is>
          <t>POLYGENTA TECHNOLOGIES LTD</t>
        </is>
      </c>
      <c r="C3133" s="97" t="n">
        <v>514486</v>
      </c>
      <c r="D3133" s="96" t="inlineStr">
        <is>
          <t>Not Listed</t>
        </is>
      </c>
      <c r="E3133" s="96" t="inlineStr">
        <is>
          <t>Textiles</t>
        </is>
      </c>
    </row>
    <row r="3134" ht="15" customHeight="1" s="109" thickBot="1">
      <c r="B3134" s="96" t="inlineStr">
        <is>
          <t>POLYLINK POLYMERS (INDIA) LTD</t>
        </is>
      </c>
      <c r="C3134" s="97" t="n">
        <v>531454</v>
      </c>
      <c r="D3134" s="96" t="inlineStr">
        <is>
          <t>Not Listed</t>
        </is>
      </c>
      <c r="E3134" s="96" t="inlineStr">
        <is>
          <t>Fibres &amp; Plastics</t>
        </is>
      </c>
    </row>
    <row r="3135" ht="15" customHeight="1" s="109" thickBot="1">
      <c r="B3135" s="96" t="inlineStr">
        <is>
          <t>POLYLINK POLYMERS INDIA LTD</t>
        </is>
      </c>
      <c r="C3135" s="97" t="n">
        <v>531454</v>
      </c>
      <c r="D3135" s="96" t="inlineStr">
        <is>
          <t>Not Listed</t>
        </is>
      </c>
      <c r="E3135" s="96" t="inlineStr">
        <is>
          <t>Fibres &amp; Plastics</t>
        </is>
      </c>
    </row>
    <row r="3136" ht="15" customHeight="1" s="109" thickBot="1">
      <c r="B3136" s="96" t="inlineStr">
        <is>
          <t>POLYMAC THERMOFORMERS LTD</t>
        </is>
      </c>
      <c r="C3136" s="97" t="n">
        <v>537573</v>
      </c>
      <c r="D3136" s="96" t="inlineStr">
        <is>
          <t>Not Listed</t>
        </is>
      </c>
      <c r="E3136" s="96" t="inlineStr">
        <is>
          <t>Plastic Products</t>
        </is>
      </c>
    </row>
    <row r="3137" ht="15" customHeight="1" s="109" thickBot="1">
      <c r="B3137" s="96" t="inlineStr">
        <is>
          <t>POLYMECHPLAST MACHINES LTD</t>
        </is>
      </c>
      <c r="C3137" s="97" t="n">
        <v>526043</v>
      </c>
      <c r="D3137" s="96" t="inlineStr">
        <is>
          <t>Not Listed</t>
        </is>
      </c>
      <c r="E3137" s="96" t="inlineStr">
        <is>
          <t>Industrial Machinery</t>
        </is>
      </c>
    </row>
    <row r="3138" ht="15" customHeight="1" s="109" thickBot="1">
      <c r="B3138" s="96" t="inlineStr">
        <is>
          <t>POLYPLEX CORPORATION LTD</t>
        </is>
      </c>
      <c r="C3138" s="97" t="n">
        <v>524051</v>
      </c>
      <c r="D3138" s="96" t="inlineStr">
        <is>
          <t>POLYPLEX</t>
        </is>
      </c>
      <c r="E3138" s="96" t="inlineStr">
        <is>
          <t>Commodity Chemicals</t>
        </is>
      </c>
    </row>
    <row r="3139" ht="15" customHeight="1" s="109" thickBot="1">
      <c r="B3139" s="96" t="inlineStr">
        <is>
          <t>POLYSPIN EXPORTS LTD</t>
        </is>
      </c>
      <c r="C3139" s="97" t="n">
        <v>539354</v>
      </c>
      <c r="D3139" s="96" t="inlineStr">
        <is>
          <t>Not Listed</t>
        </is>
      </c>
      <c r="E3139" s="96" t="inlineStr">
        <is>
          <t>Containers &amp; Packaging</t>
        </is>
      </c>
    </row>
    <row r="3140" ht="15" customHeight="1" s="109" thickBot="1">
      <c r="B3140" s="96" t="inlineStr">
        <is>
          <t>POLYTEX (INDIA) LTD</t>
        </is>
      </c>
      <c r="C3140" s="97" t="n">
        <v>512481</v>
      </c>
      <c r="D3140" s="96" t="inlineStr">
        <is>
          <t>Not Listed</t>
        </is>
      </c>
      <c r="E3140" s="96" t="inlineStr">
        <is>
          <t>Finance (including NBFCs)</t>
        </is>
      </c>
    </row>
    <row r="3141" ht="15" customHeight="1" s="109" thickBot="1">
      <c r="B3141" s="96" t="inlineStr">
        <is>
          <t>POLYTEX INDIA LTD</t>
        </is>
      </c>
      <c r="C3141" s="97" t="n">
        <v>512481</v>
      </c>
      <c r="D3141" s="96" t="inlineStr">
        <is>
          <t>Not Listed</t>
        </is>
      </c>
      <c r="E3141" s="96" t="inlineStr">
        <is>
          <t>Finance (including NBFCs)</t>
        </is>
      </c>
    </row>
    <row r="3142" ht="15" customHeight="1" s="109" thickBot="1">
      <c r="B3142" s="96" t="inlineStr">
        <is>
          <t>PONDY OXIDES &amp; CHEMICALS LTD</t>
        </is>
      </c>
      <c r="C3142" s="97" t="n">
        <v>532626</v>
      </c>
      <c r="D3142" s="96" t="inlineStr">
        <is>
          <t>Not Listed</t>
        </is>
      </c>
      <c r="E3142" s="96" t="inlineStr">
        <is>
          <t>Other Non-Ferrous Metals</t>
        </is>
      </c>
    </row>
    <row r="3143" ht="15" customHeight="1" s="109" thickBot="1">
      <c r="B3143" s="96" t="inlineStr">
        <is>
          <t>PONNI SUGARS ERODE LTD</t>
        </is>
      </c>
      <c r="C3143" s="97" t="n">
        <v>532460</v>
      </c>
      <c r="D3143" s="96" t="inlineStr">
        <is>
          <t>PONNIERODE</t>
        </is>
      </c>
      <c r="E3143" s="96" t="inlineStr">
        <is>
          <t>Sugar</t>
        </is>
      </c>
    </row>
    <row r="3144" ht="15" customHeight="1" s="109" thickBot="1">
      <c r="B3144" s="96" t="inlineStr">
        <is>
          <t>POOJA ENTERTAINMENT AND FILMS LTD</t>
        </is>
      </c>
      <c r="C3144" s="97" t="n">
        <v>532011</v>
      </c>
      <c r="D3144" s="96" t="inlineStr">
        <is>
          <t>Not Listed</t>
        </is>
      </c>
      <c r="E3144" s="96" t="inlineStr">
        <is>
          <t>Movies &amp; Entertainment</t>
        </is>
      </c>
    </row>
    <row r="3145" ht="15" customHeight="1" s="109" thickBot="1">
      <c r="B3145" s="96" t="inlineStr">
        <is>
          <t>POOJAWESTERN METALIKS LTD</t>
        </is>
      </c>
      <c r="C3145" s="97" t="n">
        <v>540727</v>
      </c>
      <c r="D3145" s="96" t="inlineStr">
        <is>
          <t>Not Listed</t>
        </is>
      </c>
      <c r="E3145" s="96" t="inlineStr">
        <is>
          <t>Other Industrial Products</t>
        </is>
      </c>
    </row>
    <row r="3146" ht="15" customHeight="1" s="109" thickBot="1">
      <c r="B3146" s="96" t="inlineStr">
        <is>
          <t>POONA DAL &amp; OIL INDUSTRIES LTD</t>
        </is>
      </c>
      <c r="C3146" s="97" t="n">
        <v>519359</v>
      </c>
      <c r="D3146" s="96" t="inlineStr">
        <is>
          <t>Not Listed</t>
        </is>
      </c>
      <c r="E3146" s="96" t="inlineStr">
        <is>
          <t>Edible Oils</t>
        </is>
      </c>
    </row>
    <row r="3147" ht="15" customHeight="1" s="109" thickBot="1">
      <c r="B3147" s="96" t="inlineStr">
        <is>
          <t>POPULAR ESTATE MANAGEMENT LTD</t>
        </is>
      </c>
      <c r="C3147" s="97" t="n">
        <v>531870</v>
      </c>
      <c r="D3147" s="96" t="inlineStr">
        <is>
          <t>Not Listed</t>
        </is>
      </c>
      <c r="E3147" s="96" t="inlineStr">
        <is>
          <t>Construction &amp; Engineering</t>
        </is>
      </c>
    </row>
    <row r="3148" ht="15" customHeight="1" s="109" thickBot="1">
      <c r="B3148" s="96" t="inlineStr">
        <is>
          <t>PORWAL AUTO COMPONENTS LTD</t>
        </is>
      </c>
      <c r="C3148" s="97" t="n">
        <v>532933</v>
      </c>
      <c r="D3148" s="96" t="inlineStr">
        <is>
          <t>Not Listed</t>
        </is>
      </c>
      <c r="E3148" s="96" t="inlineStr">
        <is>
          <t>Auto Parts &amp; Equipment</t>
        </is>
      </c>
    </row>
    <row r="3149" ht="15" customHeight="1" s="109" thickBot="1">
      <c r="B3149" s="96" t="inlineStr">
        <is>
          <t>POWER &amp; INSTRUMENTATION GUJARAT LTD</t>
        </is>
      </c>
      <c r="C3149" s="96" t="inlineStr">
        <is>
          <t>Not Listed</t>
        </is>
      </c>
      <c r="D3149" s="96" t="inlineStr">
        <is>
          <t>PIGL</t>
        </is>
      </c>
      <c r="E3149" s="96" t="inlineStr">
        <is>
          <t>SME</t>
        </is>
      </c>
    </row>
    <row r="3150" ht="15" customHeight="1" s="109" thickBot="1">
      <c r="B3150" s="96" t="inlineStr">
        <is>
          <t>POWER FINANCE CORPORATION LTD</t>
        </is>
      </c>
      <c r="C3150" s="97" t="n">
        <v>532810</v>
      </c>
      <c r="D3150" s="96" t="inlineStr">
        <is>
          <t>PFC</t>
        </is>
      </c>
      <c r="E3150" s="96" t="inlineStr">
        <is>
          <t>Finance (including NBFCs)</t>
        </is>
      </c>
    </row>
    <row r="3151" ht="15" customHeight="1" s="109" thickBot="1">
      <c r="B3151" s="96" t="inlineStr">
        <is>
          <t>POWER GRID CORPORATION OF (INDIA) LTD</t>
        </is>
      </c>
      <c r="C3151" s="97" t="n">
        <v>532898</v>
      </c>
      <c r="D3151" s="96" t="inlineStr">
        <is>
          <t>POWERGRID</t>
        </is>
      </c>
      <c r="E3151" s="96" t="inlineStr">
        <is>
          <t>Electric Utilities</t>
        </is>
      </c>
    </row>
    <row r="3152" ht="15" customHeight="1" s="109" thickBot="1">
      <c r="B3152" s="96" t="inlineStr">
        <is>
          <t>POWER GRID CORPORATION OF INDIA LTD</t>
        </is>
      </c>
      <c r="C3152" s="97" t="n">
        <v>532898</v>
      </c>
      <c r="D3152" s="96" t="inlineStr">
        <is>
          <t>POWERGRID</t>
        </is>
      </c>
      <c r="E3152" s="96" t="inlineStr">
        <is>
          <t>Electric Utilities</t>
        </is>
      </c>
    </row>
    <row r="3153" ht="15" customHeight="1" s="109" thickBot="1">
      <c r="B3153" s="96" t="inlineStr">
        <is>
          <t>POWER MECH PROJECTS LTD</t>
        </is>
      </c>
      <c r="C3153" s="97" t="n">
        <v>539302</v>
      </c>
      <c r="D3153" s="96" t="inlineStr">
        <is>
          <t>POWERMECH</t>
        </is>
      </c>
      <c r="E3153" s="96" t="inlineStr">
        <is>
          <t>Construction &amp; Engineering</t>
        </is>
      </c>
    </row>
    <row r="3154" ht="15" customHeight="1" s="109" thickBot="1">
      <c r="B3154" s="96" t="inlineStr">
        <is>
          <t>POWERFUL TECHNOLOGIES LTD</t>
        </is>
      </c>
      <c r="C3154" s="96" t="inlineStr">
        <is>
          <t>Not Listed</t>
        </is>
      </c>
      <c r="D3154" s="96" t="inlineStr">
        <is>
          <t>POWERFUL</t>
        </is>
      </c>
      <c r="E3154" s="96" t="inlineStr">
        <is>
          <t>SME</t>
        </is>
      </c>
    </row>
    <row r="3155" ht="15" customHeight="1" s="109" thickBot="1">
      <c r="B3155" s="96" t="inlineStr">
        <is>
          <t>POWERHOUSE GYM &amp; WELLNESS LTD</t>
        </is>
      </c>
      <c r="C3155" s="97" t="n">
        <v>538731</v>
      </c>
      <c r="D3155" s="96" t="inlineStr">
        <is>
          <t>Not Listed</t>
        </is>
      </c>
      <c r="E3155" s="96" t="inlineStr">
        <is>
          <t>Other Leisure Facilities</t>
        </is>
      </c>
    </row>
    <row r="3156" ht="15" customHeight="1" s="109" thickBot="1">
      <c r="B3156" s="96" t="inlineStr">
        <is>
          <t>PPAP AUTOMOTIVE LTD</t>
        </is>
      </c>
      <c r="C3156" s="97" t="n">
        <v>532934</v>
      </c>
      <c r="D3156" s="96" t="inlineStr">
        <is>
          <t>PPAP</t>
        </is>
      </c>
      <c r="E3156" s="96" t="inlineStr">
        <is>
          <t>Auto Parts &amp; Equipment</t>
        </is>
      </c>
    </row>
    <row r="3157" ht="15" customHeight="1" s="109" thickBot="1">
      <c r="B3157" s="96" t="inlineStr">
        <is>
          <t>PRABHAT DAIRY LTD</t>
        </is>
      </c>
      <c r="C3157" s="97" t="n">
        <v>539351</v>
      </c>
      <c r="D3157" s="96" t="inlineStr">
        <is>
          <t>PRABHAT</t>
        </is>
      </c>
      <c r="E3157" s="96" t="inlineStr">
        <is>
          <t>Packaged Foods</t>
        </is>
      </c>
    </row>
    <row r="3158" ht="15" customHeight="1" s="109" thickBot="1">
      <c r="B3158" s="96" t="inlineStr">
        <is>
          <t>PRABHAT TELECOMS (INDIA) LTD</t>
        </is>
      </c>
      <c r="C3158" s="97" t="n">
        <v>540027</v>
      </c>
      <c r="D3158" s="96" t="inlineStr">
        <is>
          <t>Not Listed</t>
        </is>
      </c>
      <c r="E3158" s="96" t="inlineStr">
        <is>
          <t>Specialty Retail</t>
        </is>
      </c>
    </row>
    <row r="3159" ht="15" customHeight="1" s="109" thickBot="1">
      <c r="B3159" s="96" t="inlineStr">
        <is>
          <t>PRABHAT TELECOMS INDIA LTD</t>
        </is>
      </c>
      <c r="C3159" s="97" t="n">
        <v>540027</v>
      </c>
      <c r="D3159" s="96" t="inlineStr">
        <is>
          <t>Not Listed</t>
        </is>
      </c>
      <c r="E3159" s="96" t="inlineStr">
        <is>
          <t>Specialty Retail</t>
        </is>
      </c>
    </row>
    <row r="3160" ht="15" customHeight="1" s="109" thickBot="1">
      <c r="B3160" s="96" t="inlineStr">
        <is>
          <t>PRABHAV INDUSTRIES LTD</t>
        </is>
      </c>
      <c r="C3160" s="97" t="n">
        <v>531855</v>
      </c>
      <c r="D3160" s="96" t="inlineStr">
        <is>
          <t>Not Listed</t>
        </is>
      </c>
      <c r="E3160" s="96" t="inlineStr">
        <is>
          <t>Iron &amp; Steel/Interm.Products</t>
        </is>
      </c>
    </row>
    <row r="3161" ht="15" customHeight="1" s="109" thickBot="1">
      <c r="B3161" s="96" t="inlineStr">
        <is>
          <t>PRABHU STEEL INDUSTRIES LTD</t>
        </is>
      </c>
      <c r="C3161" s="97" t="n">
        <v>506042</v>
      </c>
      <c r="D3161" s="96" t="inlineStr">
        <is>
          <t>Not Listed</t>
        </is>
      </c>
      <c r="E3161" s="96" t="inlineStr">
        <is>
          <t>Iron &amp; Steel/Interm.Products</t>
        </is>
      </c>
    </row>
    <row r="3162" ht="15" customHeight="1" s="109" thickBot="1">
      <c r="B3162" s="96" t="inlineStr">
        <is>
          <t>PRADEEP METALS LTD</t>
        </is>
      </c>
      <c r="C3162" s="97" t="n">
        <v>513532</v>
      </c>
      <c r="D3162" s="96" t="inlineStr">
        <is>
          <t>Not Listed</t>
        </is>
      </c>
      <c r="E3162" s="96" t="inlineStr">
        <is>
          <t>Auto Parts &amp; Equipment</t>
        </is>
      </c>
    </row>
    <row r="3163" ht="15" customHeight="1" s="109" thickBot="1">
      <c r="B3163" s="96" t="inlineStr">
        <is>
          <t>PRADHIN LTD</t>
        </is>
      </c>
      <c r="C3163" s="97" t="n">
        <v>530095</v>
      </c>
      <c r="D3163" s="96" t="inlineStr">
        <is>
          <t>Not Listed</t>
        </is>
      </c>
      <c r="E3163" s="96" t="inlineStr">
        <is>
          <t>Iron &amp; Steel/Interm.Products</t>
        </is>
      </c>
    </row>
    <row r="3164" ht="15" customHeight="1" s="109" thickBot="1">
      <c r="B3164" s="96" t="inlineStr">
        <is>
          <t>PRADIP OVERSEAS LTD</t>
        </is>
      </c>
      <c r="C3164" s="97" t="n">
        <v>533178</v>
      </c>
      <c r="D3164" s="96" t="inlineStr">
        <is>
          <t>PRADIP</t>
        </is>
      </c>
      <c r="E3164" s="96" t="inlineStr">
        <is>
          <t>Textiles</t>
        </is>
      </c>
    </row>
    <row r="3165" ht="15" customHeight="1" s="109" thickBot="1">
      <c r="B3165" s="96" t="inlineStr">
        <is>
          <t>PRAG BOSIMI SYNTHETICS LTD</t>
        </is>
      </c>
      <c r="C3165" s="97" t="n">
        <v>500192</v>
      </c>
      <c r="D3165" s="96" t="inlineStr">
        <is>
          <t>Not Listed</t>
        </is>
      </c>
      <c r="E3165" s="96" t="inlineStr">
        <is>
          <t>Textiles</t>
        </is>
      </c>
    </row>
    <row r="3166" ht="15" customHeight="1" s="109" thickBot="1">
      <c r="B3166" s="96" t="inlineStr">
        <is>
          <t>PRAJ INDUSTRIES LTD</t>
        </is>
      </c>
      <c r="C3166" s="97" t="n">
        <v>522205</v>
      </c>
      <c r="D3166" s="96" t="inlineStr">
        <is>
          <t>PRAJIND</t>
        </is>
      </c>
      <c r="E3166" s="96" t="inlineStr">
        <is>
          <t>Construction &amp; Engineering</t>
        </is>
      </c>
    </row>
    <row r="3167" ht="15" customHeight="1" s="109" thickBot="1">
      <c r="B3167" s="96" t="inlineStr">
        <is>
          <t>PRAJAY ENGINEERS SYNDICATE LTD</t>
        </is>
      </c>
      <c r="C3167" s="97" t="n">
        <v>531746</v>
      </c>
      <c r="D3167" s="96" t="inlineStr">
        <is>
          <t>PRAENG</t>
        </is>
      </c>
      <c r="E3167" s="96" t="inlineStr">
        <is>
          <t>Realty</t>
        </is>
      </c>
    </row>
    <row r="3168" ht="15" customHeight="1" s="109" thickBot="1">
      <c r="B3168" s="96" t="inlineStr">
        <is>
          <t>PRAKASH CONSTROWELL LTD</t>
        </is>
      </c>
      <c r="C3168" s="97" t="n">
        <v>533605</v>
      </c>
      <c r="D3168" s="96" t="inlineStr">
        <is>
          <t>PRAKASHCON</t>
        </is>
      </c>
      <c r="E3168" s="96" t="inlineStr">
        <is>
          <t>Construction &amp; Engineering</t>
        </is>
      </c>
    </row>
    <row r="3169" ht="15" customHeight="1" s="109" thickBot="1">
      <c r="B3169" s="96" t="inlineStr">
        <is>
          <t>PRAKASH INDUSTRIES LTD</t>
        </is>
      </c>
      <c r="C3169" s="97" t="n">
        <v>506022</v>
      </c>
      <c r="D3169" s="96" t="inlineStr">
        <is>
          <t>PRAKASH</t>
        </is>
      </c>
      <c r="E3169" s="96" t="inlineStr">
        <is>
          <t>Iron &amp; Steel/Interm.Products</t>
        </is>
      </c>
    </row>
    <row r="3170" ht="15" customHeight="1" s="109" thickBot="1">
      <c r="B3170" s="96" t="inlineStr">
        <is>
          <t>Prakash Pipes Ltd</t>
        </is>
      </c>
      <c r="C3170" s="97" t="n">
        <v>542684</v>
      </c>
      <c r="D3170" s="96" t="inlineStr">
        <is>
          <t>PPL</t>
        </is>
      </c>
      <c r="E3170" s="96" t="inlineStr">
        <is>
          <t>Plastic Products</t>
        </is>
      </c>
    </row>
    <row r="3171" ht="15" customHeight="1" s="109" thickBot="1">
      <c r="B3171" s="96" t="inlineStr">
        <is>
          <t>PRAKASH STEELAGE LTD</t>
        </is>
      </c>
      <c r="C3171" s="97" t="n">
        <v>533239</v>
      </c>
      <c r="D3171" s="96" t="inlineStr">
        <is>
          <t>PRAKASHSTL</t>
        </is>
      </c>
      <c r="E3171" s="96" t="inlineStr">
        <is>
          <t>Construction &amp; Engineering</t>
        </is>
      </c>
    </row>
    <row r="3172" ht="15" customHeight="1" s="109" thickBot="1">
      <c r="B3172" s="96" t="inlineStr">
        <is>
          <t>PRAKASH WOOLLEN &amp; SYNTHETIC MILLS LTD</t>
        </is>
      </c>
      <c r="C3172" s="97" t="n">
        <v>531437</v>
      </c>
      <c r="D3172" s="96" t="inlineStr">
        <is>
          <t>Not Listed</t>
        </is>
      </c>
      <c r="E3172" s="96" t="inlineStr">
        <is>
          <t>Textiles</t>
        </is>
      </c>
    </row>
    <row r="3173" ht="15" customHeight="1" s="109" thickBot="1">
      <c r="B3173" s="96" t="inlineStr">
        <is>
          <t>PRANAVADITYA SPINNING MILLS LTD</t>
        </is>
      </c>
      <c r="C3173" s="97" t="n">
        <v>531172</v>
      </c>
      <c r="D3173" s="96" t="inlineStr">
        <is>
          <t>Not Listed</t>
        </is>
      </c>
      <c r="E3173" s="96" t="inlineStr">
        <is>
          <t>Textiles</t>
        </is>
      </c>
    </row>
    <row r="3174" ht="15" customHeight="1" s="109" thickBot="1">
      <c r="B3174" s="96" t="inlineStr">
        <is>
          <t>PRASHANT (INDIA) LTD</t>
        </is>
      </c>
      <c r="C3174" s="97" t="n">
        <v>519014</v>
      </c>
      <c r="D3174" s="96" t="inlineStr">
        <is>
          <t>Not Listed</t>
        </is>
      </c>
      <c r="E3174" s="96" t="inlineStr">
        <is>
          <t>Textiles</t>
        </is>
      </c>
    </row>
    <row r="3175" ht="15" customHeight="1" s="109" thickBot="1">
      <c r="B3175" s="96" t="inlineStr">
        <is>
          <t>PRASHANT INDIA LTD</t>
        </is>
      </c>
      <c r="C3175" s="97" t="n">
        <v>519014</v>
      </c>
      <c r="D3175" s="96" t="inlineStr">
        <is>
          <t>Not Listed</t>
        </is>
      </c>
      <c r="E3175" s="96" t="inlineStr">
        <is>
          <t>Textiles</t>
        </is>
      </c>
    </row>
    <row r="3176" ht="15" customHeight="1" s="109" thickBot="1">
      <c r="B3176" s="96" t="inlineStr">
        <is>
          <t>PRATAAP SNACKS LTD</t>
        </is>
      </c>
      <c r="C3176" s="97" t="n">
        <v>540724</v>
      </c>
      <c r="D3176" s="96" t="inlineStr">
        <is>
          <t>DIAMONDYD</t>
        </is>
      </c>
      <c r="E3176" s="96" t="inlineStr">
        <is>
          <t>Packaged Foods</t>
        </is>
      </c>
    </row>
    <row r="3177" ht="15" customHeight="1" s="109" thickBot="1">
      <c r="B3177" s="96" t="inlineStr">
        <is>
          <t>PRATIK PANELS LTD</t>
        </is>
      </c>
      <c r="C3177" s="97" t="n">
        <v>526490</v>
      </c>
      <c r="D3177" s="96" t="inlineStr">
        <is>
          <t>Not Listed</t>
        </is>
      </c>
      <c r="E3177" s="96" t="inlineStr">
        <is>
          <t>Forest Products</t>
        </is>
      </c>
    </row>
    <row r="3178" ht="15" customHeight="1" s="109" thickBot="1">
      <c r="B3178" s="96" t="inlineStr">
        <is>
          <t>PRATIKSHA CHEMICALS LTD</t>
        </is>
      </c>
      <c r="C3178" s="97" t="n">
        <v>531257</v>
      </c>
      <c r="D3178" s="96" t="inlineStr">
        <is>
          <t>Not Listed</t>
        </is>
      </c>
      <c r="E3178" s="96" t="inlineStr">
        <is>
          <t>Specialty Chemicals</t>
        </is>
      </c>
    </row>
    <row r="3179" ht="15" customHeight="1" s="109" thickBot="1">
      <c r="B3179" s="96" t="inlineStr">
        <is>
          <t>PRAXIS HOME RETAIL LTD</t>
        </is>
      </c>
      <c r="C3179" s="97" t="n">
        <v>540901</v>
      </c>
      <c r="D3179" s="96" t="inlineStr">
        <is>
          <t>PRAXIS</t>
        </is>
      </c>
      <c r="E3179" s="96" t="inlineStr">
        <is>
          <t>Specialty Retail</t>
        </is>
      </c>
    </row>
    <row r="3180" ht="15" customHeight="1" s="109" thickBot="1">
      <c r="B3180" s="96" t="inlineStr">
        <is>
          <t>PRECIOUS TRADING &amp; INVESTMENTS LTD</t>
        </is>
      </c>
      <c r="C3180" s="97" t="n">
        <v>506107</v>
      </c>
      <c r="D3180" s="96" t="inlineStr">
        <is>
          <t>Not Listed</t>
        </is>
      </c>
      <c r="E3180" s="96" t="inlineStr">
        <is>
          <t>Misc.Commercial Services</t>
        </is>
      </c>
    </row>
    <row r="3181" ht="15" customHeight="1" s="109" thickBot="1">
      <c r="B3181" s="96" t="inlineStr">
        <is>
          <t>PRECISION CAMSHAFTS LTD</t>
        </is>
      </c>
      <c r="C3181" s="97" t="n">
        <v>539636</v>
      </c>
      <c r="D3181" s="96" t="inlineStr">
        <is>
          <t>PRECAM</t>
        </is>
      </c>
      <c r="E3181" s="96" t="inlineStr">
        <is>
          <t>Auto Parts &amp; Equipment</t>
        </is>
      </c>
    </row>
    <row r="3182" ht="15" customHeight="1" s="109" thickBot="1">
      <c r="B3182" s="96" t="inlineStr">
        <is>
          <t>PRECISION CONTAINEURS LTD</t>
        </is>
      </c>
      <c r="C3182" s="97" t="n">
        <v>523874</v>
      </c>
      <c r="D3182" s="96" t="inlineStr">
        <is>
          <t>Not Listed</t>
        </is>
      </c>
      <c r="E3182" s="96" t="inlineStr">
        <is>
          <t>Comm.Trading &amp; Distribution</t>
        </is>
      </c>
    </row>
    <row r="3183" ht="15" customHeight="1" s="109" thickBot="1">
      <c r="B3183" s="96" t="inlineStr">
        <is>
          <t>PRECISION ELECTRONICS LTD</t>
        </is>
      </c>
      <c r="C3183" s="97" t="n">
        <v>517258</v>
      </c>
      <c r="D3183" s="96" t="inlineStr">
        <is>
          <t>Not Listed</t>
        </is>
      </c>
      <c r="E3183" s="96" t="inlineStr">
        <is>
          <t>Electronic Components</t>
        </is>
      </c>
    </row>
    <row r="3184" ht="15" customHeight="1" s="109" thickBot="1">
      <c r="B3184" s="96" t="inlineStr">
        <is>
          <t>PRECISION WIRES (INDIA) LTD</t>
        </is>
      </c>
      <c r="C3184" s="97" t="n">
        <v>523539</v>
      </c>
      <c r="D3184" s="96" t="inlineStr">
        <is>
          <t>PRECWIRE</t>
        </is>
      </c>
      <c r="E3184" s="96" t="inlineStr">
        <is>
          <t>Other Industrial Products</t>
        </is>
      </c>
    </row>
    <row r="3185" ht="15" customHeight="1" s="109" thickBot="1">
      <c r="B3185" s="96" t="inlineStr">
        <is>
          <t>PRECISION WIRES INDIA LTD</t>
        </is>
      </c>
      <c r="C3185" s="97" t="n">
        <v>523539</v>
      </c>
      <c r="D3185" s="96" t="inlineStr">
        <is>
          <t>PRECWIRE</t>
        </is>
      </c>
      <c r="E3185" s="96" t="inlineStr">
        <is>
          <t>Other Industrial Products</t>
        </is>
      </c>
    </row>
    <row r="3186" ht="15" customHeight="1" s="109" thickBot="1">
      <c r="B3186" s="96" t="inlineStr">
        <is>
          <t>PRECOT MERIDIAN LTD</t>
        </is>
      </c>
      <c r="C3186" s="96" t="inlineStr">
        <is>
          <t>Not Listed</t>
        </is>
      </c>
      <c r="D3186" s="96" t="inlineStr">
        <is>
          <t>PRECOT</t>
        </is>
      </c>
      <c r="E3186" s="96" t="inlineStr">
        <is>
          <t>Others</t>
        </is>
      </c>
    </row>
    <row r="3187" ht="15" customHeight="1" s="109" thickBot="1">
      <c r="B3187" s="96" t="inlineStr">
        <is>
          <t>PREM SOMANI FINANCIAL SERVICES LTD</t>
        </is>
      </c>
      <c r="C3187" s="97" t="n">
        <v>530669</v>
      </c>
      <c r="D3187" s="96" t="inlineStr">
        <is>
          <t>Not Listed</t>
        </is>
      </c>
      <c r="E3187" s="96" t="inlineStr">
        <is>
          <t>Other Financial Services</t>
        </is>
      </c>
    </row>
    <row r="3188" ht="15" customHeight="1" s="109" thickBot="1">
      <c r="B3188" s="96" t="inlineStr">
        <is>
          <t>PREMCO GLOBAL LTD</t>
        </is>
      </c>
      <c r="C3188" s="97" t="n">
        <v>530331</v>
      </c>
      <c r="D3188" s="96" t="inlineStr">
        <is>
          <t>Not Listed</t>
        </is>
      </c>
      <c r="E3188" s="96" t="inlineStr">
        <is>
          <t>Textiles</t>
        </is>
      </c>
    </row>
    <row r="3189" ht="15" customHeight="1" s="109" thickBot="1">
      <c r="B3189" s="96" t="inlineStr">
        <is>
          <t>PREMIER CHENNAI PROPERTIES LTD</t>
        </is>
      </c>
      <c r="C3189" s="97" t="n">
        <v>780007</v>
      </c>
      <c r="D3189" s="96" t="inlineStr">
        <is>
          <t>Not Listed</t>
        </is>
      </c>
      <c r="E3189" s="96" t="inlineStr">
        <is>
          <t>Others</t>
        </is>
      </c>
    </row>
    <row r="3190" ht="15" customHeight="1" s="109" thickBot="1">
      <c r="B3190" s="96" t="inlineStr">
        <is>
          <t>PREMIER EXPLOSIVES LTD</t>
        </is>
      </c>
      <c r="C3190" s="97" t="n">
        <v>526247</v>
      </c>
      <c r="D3190" s="96" t="inlineStr">
        <is>
          <t>PREMEXPLN</t>
        </is>
      </c>
      <c r="E3190" s="96" t="inlineStr">
        <is>
          <t>Specialty Chemicals</t>
        </is>
      </c>
    </row>
    <row r="3191" ht="15" customHeight="1" s="109" thickBot="1">
      <c r="B3191" s="96" t="inlineStr">
        <is>
          <t>PREMIER LTD</t>
        </is>
      </c>
      <c r="C3191" s="97" t="n">
        <v>500540</v>
      </c>
      <c r="D3191" s="96" t="inlineStr">
        <is>
          <t>PREMIER</t>
        </is>
      </c>
      <c r="E3191" s="96" t="inlineStr">
        <is>
          <t>Industrial Machinery</t>
        </is>
      </c>
    </row>
    <row r="3192" ht="15" customHeight="1" s="109" thickBot="1">
      <c r="B3192" s="96" t="inlineStr">
        <is>
          <t>PREMIER PIPES LTD</t>
        </is>
      </c>
      <c r="C3192" s="97" t="n">
        <v>513291</v>
      </c>
      <c r="D3192" s="96" t="inlineStr">
        <is>
          <t>Not Listed</t>
        </is>
      </c>
      <c r="E3192" s="96" t="inlineStr">
        <is>
          <t>Iron &amp; Steel Products</t>
        </is>
      </c>
    </row>
    <row r="3193" ht="15" customHeight="1" s="109" thickBot="1">
      <c r="B3193" s="96" t="inlineStr">
        <is>
          <t>PREMIER POLYFILM LTD</t>
        </is>
      </c>
      <c r="C3193" s="97" t="n">
        <v>514354</v>
      </c>
      <c r="D3193" s="96" t="inlineStr">
        <is>
          <t>PREMIERPOL</t>
        </is>
      </c>
      <c r="E3193" s="96" t="inlineStr">
        <is>
          <t>Commodity Chemicals</t>
        </is>
      </c>
    </row>
    <row r="3194" ht="15" customHeight="1" s="109" thickBot="1">
      <c r="B3194" s="96" t="inlineStr">
        <is>
          <t>PREMIER SYNTHETICS LTD</t>
        </is>
      </c>
      <c r="C3194" s="97" t="n">
        <v>509835</v>
      </c>
      <c r="D3194" s="96" t="inlineStr">
        <is>
          <t>Not Listed</t>
        </is>
      </c>
      <c r="E3194" s="96" t="inlineStr">
        <is>
          <t>Textiles</t>
        </is>
      </c>
    </row>
    <row r="3195" ht="15" customHeight="1" s="109" thickBot="1">
      <c r="B3195" s="96" t="inlineStr">
        <is>
          <t>PRERNA INFRABUILD LTD</t>
        </is>
      </c>
      <c r="C3195" s="97" t="n">
        <v>531802</v>
      </c>
      <c r="D3195" s="96" t="inlineStr">
        <is>
          <t>Not Listed</t>
        </is>
      </c>
      <c r="E3195" s="96" t="inlineStr">
        <is>
          <t>Realty</t>
        </is>
      </c>
    </row>
    <row r="3196" ht="15" customHeight="1" s="109" thickBot="1">
      <c r="B3196" s="96" t="inlineStr">
        <is>
          <t>PRESSMAN ADVERTISING LTD</t>
        </is>
      </c>
      <c r="C3196" s="97" t="n">
        <v>509077</v>
      </c>
      <c r="D3196" s="96" t="inlineStr">
        <is>
          <t>PRESSMN</t>
        </is>
      </c>
      <c r="E3196" s="96" t="inlineStr">
        <is>
          <t>Advertising &amp; Media</t>
        </is>
      </c>
    </row>
    <row r="3197" ht="15" customHeight="1" s="109" thickBot="1">
      <c r="B3197" s="96" t="inlineStr">
        <is>
          <t>PRESTIGE ESTATES PROJECTS LTD</t>
        </is>
      </c>
      <c r="C3197" s="97" t="n">
        <v>533274</v>
      </c>
      <c r="D3197" s="96" t="inlineStr">
        <is>
          <t>PRESTIGE</t>
        </is>
      </c>
      <c r="E3197" s="96" t="inlineStr">
        <is>
          <t>Realty</t>
        </is>
      </c>
    </row>
    <row r="3198" ht="15" customHeight="1" s="109" thickBot="1">
      <c r="B3198" s="96" t="inlineStr">
        <is>
          <t>PRICOL LTD</t>
        </is>
      </c>
      <c r="C3198" s="97" t="n">
        <v>540293</v>
      </c>
      <c r="D3198" s="96" t="inlineStr">
        <is>
          <t>PRICOLLTD</t>
        </is>
      </c>
      <c r="E3198" s="96" t="inlineStr">
        <is>
          <t>Auto Parts &amp; Equipment</t>
        </is>
      </c>
    </row>
    <row r="3199" ht="15" customHeight="1" s="109" thickBot="1">
      <c r="B3199" s="96" t="inlineStr">
        <is>
          <t>PRIMA AGRO LTD</t>
        </is>
      </c>
      <c r="C3199" s="97" t="n">
        <v>519262</v>
      </c>
      <c r="D3199" s="96" t="inlineStr">
        <is>
          <t>Not Listed</t>
        </is>
      </c>
      <c r="E3199" s="96" t="inlineStr">
        <is>
          <t>Other Agricultural Products</t>
        </is>
      </c>
    </row>
    <row r="3200" ht="15" customHeight="1" s="109" thickBot="1">
      <c r="B3200" s="96" t="inlineStr">
        <is>
          <t>PRIMA INDUSTRIES LTD</t>
        </is>
      </c>
      <c r="C3200" s="97" t="n">
        <v>531246</v>
      </c>
      <c r="D3200" s="96" t="inlineStr">
        <is>
          <t>Not Listed</t>
        </is>
      </c>
      <c r="E3200" s="96" t="inlineStr">
        <is>
          <t>Edible Oils</t>
        </is>
      </c>
    </row>
    <row r="3201" ht="15" customHeight="1" s="109" thickBot="1">
      <c r="B3201" s="96" t="inlineStr">
        <is>
          <t>PRIMA PLASTICS LTD</t>
        </is>
      </c>
      <c r="C3201" s="97" t="n">
        <v>530589</v>
      </c>
      <c r="D3201" s="96" t="inlineStr">
        <is>
          <t>Not Listed</t>
        </is>
      </c>
      <c r="E3201" s="96" t="inlineStr">
        <is>
          <t>Plastic Products</t>
        </is>
      </c>
    </row>
    <row r="3202" ht="15" customHeight="1" s="109" thickBot="1">
      <c r="B3202" s="96" t="inlineStr">
        <is>
          <t>PRIME CAPITAL MARKET LTD</t>
        </is>
      </c>
      <c r="C3202" s="97" t="n">
        <v>535514</v>
      </c>
      <c r="D3202" s="96" t="inlineStr">
        <is>
          <t>Not Listed</t>
        </is>
      </c>
      <c r="E3202" s="96" t="inlineStr">
        <is>
          <t>Finance (including NBFCs)</t>
        </is>
      </c>
    </row>
    <row r="3203" ht="15" customHeight="1" s="109" thickBot="1">
      <c r="B3203" s="96" t="inlineStr">
        <is>
          <t>PRIME CUSTOMER SERVICES LTD</t>
        </is>
      </c>
      <c r="C3203" s="97" t="n">
        <v>540404</v>
      </c>
      <c r="D3203" s="96" t="inlineStr">
        <is>
          <t>Not Listed</t>
        </is>
      </c>
      <c r="E3203" s="96" t="inlineStr">
        <is>
          <t>Other Agricultural Products</t>
        </is>
      </c>
    </row>
    <row r="3204" ht="15" customHeight="1" s="109" thickBot="1">
      <c r="B3204" s="96" t="inlineStr">
        <is>
          <t>PRIME FOCUS LTD</t>
        </is>
      </c>
      <c r="C3204" s="97" t="n">
        <v>532748</v>
      </c>
      <c r="D3204" s="96" t="inlineStr">
        <is>
          <t>PFOCUS</t>
        </is>
      </c>
      <c r="E3204" s="96" t="inlineStr">
        <is>
          <t>Movies &amp; Entertainment</t>
        </is>
      </c>
    </row>
    <row r="3205" ht="15" customHeight="1" s="109" thickBot="1">
      <c r="B3205" s="96" t="inlineStr">
        <is>
          <t>PRIME INDUSTRIES LTD</t>
        </is>
      </c>
      <c r="C3205" s="97" t="n">
        <v>519299</v>
      </c>
      <c r="D3205" s="96" t="inlineStr">
        <is>
          <t>Not Listed</t>
        </is>
      </c>
      <c r="E3205" s="96" t="inlineStr">
        <is>
          <t>Edible Oils</t>
        </is>
      </c>
    </row>
    <row r="3206" ht="15" customHeight="1" s="109" thickBot="1">
      <c r="B3206" s="96" t="inlineStr">
        <is>
          <t>PRIME PROPERTY DEVELOPMENT CORPORATION LTD</t>
        </is>
      </c>
      <c r="C3206" s="97" t="n">
        <v>530695</v>
      </c>
      <c r="D3206" s="96" t="inlineStr">
        <is>
          <t>Not Listed</t>
        </is>
      </c>
      <c r="E3206" s="96" t="inlineStr">
        <is>
          <t>Realty</t>
        </is>
      </c>
    </row>
    <row r="3207" ht="15" customHeight="1" s="109" thickBot="1">
      <c r="B3207" s="96" t="inlineStr">
        <is>
          <t>PRIME SECURITIES LTD</t>
        </is>
      </c>
      <c r="C3207" s="97" t="n">
        <v>500337</v>
      </c>
      <c r="D3207" s="96" t="inlineStr">
        <is>
          <t>PRIMESECU</t>
        </is>
      </c>
      <c r="E3207" s="96" t="inlineStr">
        <is>
          <t>Other Financial Services</t>
        </is>
      </c>
    </row>
    <row r="3208" ht="15" customHeight="1" s="109" thickBot="1">
      <c r="B3208" s="96" t="inlineStr">
        <is>
          <t>PRIME URBAN DEVELOPMENT (INDIA) LTD</t>
        </is>
      </c>
      <c r="C3208" s="97" t="n">
        <v>521149</v>
      </c>
      <c r="D3208" s="96" t="inlineStr">
        <is>
          <t>Not Listed</t>
        </is>
      </c>
      <c r="E3208" s="96" t="inlineStr">
        <is>
          <t>Realty</t>
        </is>
      </c>
    </row>
    <row r="3209" ht="15" customHeight="1" s="109" thickBot="1">
      <c r="B3209" s="96" t="inlineStr">
        <is>
          <t>PRIME URBAN DEVELOPMENT INDIA LTD</t>
        </is>
      </c>
      <c r="C3209" s="97" t="n">
        <v>521149</v>
      </c>
      <c r="D3209" s="96" t="inlineStr">
        <is>
          <t>Not Listed</t>
        </is>
      </c>
      <c r="E3209" s="96" t="inlineStr">
        <is>
          <t>Realty</t>
        </is>
      </c>
    </row>
    <row r="3210" ht="15" customHeight="1" s="109" thickBot="1">
      <c r="B3210" s="96" t="inlineStr">
        <is>
          <t>PRISM FINANCE LTD</t>
        </is>
      </c>
      <c r="C3210" s="97" t="n">
        <v>531735</v>
      </c>
      <c r="D3210" s="96" t="inlineStr">
        <is>
          <t>Not Listed</t>
        </is>
      </c>
      <c r="E3210" s="96" t="inlineStr">
        <is>
          <t>Finance (including NBFCs)</t>
        </is>
      </c>
    </row>
    <row r="3211" ht="15" customHeight="1" s="109" thickBot="1">
      <c r="B3211" s="96" t="inlineStr">
        <is>
          <t>PRISM JOHNSON LTD</t>
        </is>
      </c>
      <c r="C3211" s="97" t="n">
        <v>500338</v>
      </c>
      <c r="D3211" s="96" t="inlineStr">
        <is>
          <t>PRSMJOHNSN</t>
        </is>
      </c>
      <c r="E3211" s="96" t="inlineStr">
        <is>
          <t>Cement &amp; Cement Products</t>
        </is>
      </c>
    </row>
    <row r="3212" ht="15" customHeight="1" s="109" thickBot="1">
      <c r="B3212" s="96" t="inlineStr">
        <is>
          <t>PRISM MEDICO AND PHARMACY LTD</t>
        </is>
      </c>
      <c r="C3212" s="97" t="n">
        <v>512217</v>
      </c>
      <c r="D3212" s="96" t="inlineStr">
        <is>
          <t>Not Listed</t>
        </is>
      </c>
      <c r="E3212" s="96" t="inlineStr">
        <is>
          <t>Finance (including NBFCs)</t>
        </is>
      </c>
    </row>
    <row r="3213" ht="15" customHeight="1" s="109" thickBot="1">
      <c r="B3213" s="96" t="inlineStr">
        <is>
          <t>PRITHVI EXCHANGE (INDIA) LTD</t>
        </is>
      </c>
      <c r="C3213" s="97" t="n">
        <v>531688</v>
      </c>
      <c r="D3213" s="96" t="inlineStr">
        <is>
          <t>Not Listed</t>
        </is>
      </c>
      <c r="E3213" s="96" t="inlineStr">
        <is>
          <t>IT Software Products</t>
        </is>
      </c>
    </row>
    <row r="3214" ht="15" customHeight="1" s="109" thickBot="1">
      <c r="B3214" s="96" t="inlineStr">
        <is>
          <t>PRITHVI EXCHANGE INDIA LTD</t>
        </is>
      </c>
      <c r="C3214" s="97" t="n">
        <v>531688</v>
      </c>
      <c r="D3214" s="96" t="inlineStr">
        <is>
          <t>Not Listed</t>
        </is>
      </c>
      <c r="E3214" s="96" t="inlineStr">
        <is>
          <t>IT Software Products</t>
        </is>
      </c>
    </row>
    <row r="3215" ht="15" customHeight="1" s="109" thickBot="1">
      <c r="B3215" s="96" t="inlineStr">
        <is>
          <t>PRITI INTERNATIONAL LTD</t>
        </is>
      </c>
      <c r="C3215" s="96" t="inlineStr">
        <is>
          <t>Not Listed</t>
        </is>
      </c>
      <c r="D3215" s="96" t="inlineStr">
        <is>
          <t>PRITI</t>
        </is>
      </c>
      <c r="E3215" s="96" t="inlineStr">
        <is>
          <t>SME</t>
        </is>
      </c>
    </row>
    <row r="3216" ht="15" customHeight="1" s="109" thickBot="1">
      <c r="B3216" s="96" t="inlineStr">
        <is>
          <t>PRITIKA AUTO INDUSTRIES LTD</t>
        </is>
      </c>
      <c r="C3216" s="97" t="n">
        <v>539359</v>
      </c>
      <c r="D3216" s="96" t="inlineStr">
        <is>
          <t>Not Listed</t>
        </is>
      </c>
      <c r="E3216" s="96" t="inlineStr">
        <is>
          <t>Other Industrial Products</t>
        </is>
      </c>
    </row>
    <row r="3217" ht="15" customHeight="1" s="109" thickBot="1">
      <c r="B3217" s="96" t="inlineStr">
        <is>
          <t>PRITISH NANDY COMMUNICATIONS LTD</t>
        </is>
      </c>
      <c r="C3217" s="97" t="n">
        <v>532387</v>
      </c>
      <c r="D3217" s="96" t="inlineStr">
        <is>
          <t>PNC</t>
        </is>
      </c>
      <c r="E3217" s="96" t="inlineStr">
        <is>
          <t>Movies &amp; Entertainment</t>
        </is>
      </c>
    </row>
    <row r="3218" ht="15" customHeight="1" s="109" thickBot="1">
      <c r="B3218" s="96" t="inlineStr">
        <is>
          <t>PRIYA LTD</t>
        </is>
      </c>
      <c r="C3218" s="97" t="n">
        <v>524580</v>
      </c>
      <c r="D3218" s="96" t="inlineStr">
        <is>
          <t>Not Listed</t>
        </is>
      </c>
      <c r="E3218" s="96" t="inlineStr">
        <is>
          <t>Comm.Trading &amp; Distribution</t>
        </is>
      </c>
    </row>
    <row r="3219" ht="15" customHeight="1" s="109" thickBot="1">
      <c r="B3219" s="96" t="inlineStr">
        <is>
          <t>PRO FIN CAPITAL SERVICES LTD</t>
        </is>
      </c>
      <c r="C3219" s="97" t="n">
        <v>511557</v>
      </c>
      <c r="D3219" s="96" t="inlineStr">
        <is>
          <t>Not Listed</t>
        </is>
      </c>
      <c r="E3219" s="96" t="inlineStr">
        <is>
          <t>Misc.Commercial Services</t>
        </is>
      </c>
    </row>
    <row r="3220" ht="15" customHeight="1" s="109" thickBot="1">
      <c r="B3220" s="96" t="inlineStr">
        <is>
          <t>PROAIM ENTERPRISES LTD</t>
        </is>
      </c>
      <c r="C3220" s="97" t="n">
        <v>512105</v>
      </c>
      <c r="D3220" s="96" t="inlineStr">
        <is>
          <t>Not Listed</t>
        </is>
      </c>
      <c r="E3220" s="96" t="inlineStr">
        <is>
          <t>Misc.Commercial Services</t>
        </is>
      </c>
    </row>
    <row r="3221" ht="15" customHeight="1" s="109" thickBot="1">
      <c r="B3221" s="96" t="inlineStr">
        <is>
          <t>PROCAL ELECTRONICS (INDIA) LTD</t>
        </is>
      </c>
      <c r="C3221" s="97" t="n">
        <v>526009</v>
      </c>
      <c r="D3221" s="96" t="inlineStr">
        <is>
          <t>Not Listed</t>
        </is>
      </c>
      <c r="E3221" s="96" t="inlineStr">
        <is>
          <t>Comm.Trading &amp; Distribution</t>
        </is>
      </c>
    </row>
    <row r="3222" ht="15" customHeight="1" s="109" thickBot="1">
      <c r="B3222" s="96" t="inlineStr">
        <is>
          <t>PROCAL ELECTRONICS INDIA LTD</t>
        </is>
      </c>
      <c r="C3222" s="97" t="n">
        <v>526009</v>
      </c>
      <c r="D3222" s="96" t="inlineStr">
        <is>
          <t>Not Listed</t>
        </is>
      </c>
      <c r="E3222" s="96" t="inlineStr">
        <is>
          <t>Comm.Trading &amp; Distribution</t>
        </is>
      </c>
    </row>
    <row r="3223" ht="15" customHeight="1" s="109" thickBot="1">
      <c r="B3223" s="96" t="inlineStr">
        <is>
          <t>Procter &amp; Gamble Health LTD</t>
        </is>
      </c>
      <c r="C3223" s="96" t="inlineStr">
        <is>
          <t>Not Listed</t>
        </is>
      </c>
      <c r="D3223" s="96" t="inlineStr">
        <is>
          <t>PGHL</t>
        </is>
      </c>
      <c r="E3223" s="96" t="inlineStr">
        <is>
          <t>Comm.Trading &amp; Distribution</t>
        </is>
      </c>
    </row>
    <row r="3224" ht="15" customHeight="1" s="109" thickBot="1">
      <c r="B3224" s="96" t="inlineStr">
        <is>
          <t>PROCTER &amp; GAMBLE HYGIENE AND HEALTH CARE LTD</t>
        </is>
      </c>
      <c r="C3224" s="97" t="n">
        <v>500459</v>
      </c>
      <c r="D3224" s="96" t="inlineStr">
        <is>
          <t>PGHH</t>
        </is>
      </c>
      <c r="E3224" s="96" t="inlineStr">
        <is>
          <t>Personal Products</t>
        </is>
      </c>
    </row>
    <row r="3225" ht="15" customHeight="1" s="109" thickBot="1">
      <c r="B3225" s="96" t="inlineStr">
        <is>
          <t>PROGRESSIVE EXTRACTIONS &amp; EXPORTS LTD</t>
        </is>
      </c>
      <c r="C3225" s="97" t="n">
        <v>531265</v>
      </c>
      <c r="D3225" s="96" t="inlineStr">
        <is>
          <t>Not Listed</t>
        </is>
      </c>
      <c r="E3225" s="96" t="inlineStr">
        <is>
          <t>Other Food Products</t>
        </is>
      </c>
    </row>
    <row r="3226" ht="15" customHeight="1" s="109" thickBot="1">
      <c r="B3226" s="96" t="inlineStr">
        <is>
          <t>PROLIFE INDUSTRIES LTD</t>
        </is>
      </c>
      <c r="C3226" s="96" t="inlineStr">
        <is>
          <t>Not Listed</t>
        </is>
      </c>
      <c r="D3226" s="96" t="inlineStr">
        <is>
          <t>PROLIFE</t>
        </is>
      </c>
      <c r="E3226" s="96" t="inlineStr">
        <is>
          <t>SME</t>
        </is>
      </c>
    </row>
    <row r="3227" ht="15" customHeight="1" s="109" thickBot="1">
      <c r="B3227" s="96" t="inlineStr">
        <is>
          <t>PROMACT IMPEX LTD</t>
        </is>
      </c>
      <c r="C3227" s="97" t="n">
        <v>526494</v>
      </c>
      <c r="D3227" s="96" t="inlineStr">
        <is>
          <t>Not Listed</t>
        </is>
      </c>
      <c r="E3227" s="96" t="inlineStr">
        <is>
          <t>Containers &amp; Packaging</t>
        </is>
      </c>
    </row>
    <row r="3228" ht="15" customHeight="1" s="109" thickBot="1">
      <c r="B3228" s="96" t="inlineStr">
        <is>
          <t>PROSEED (INDIA) LTD</t>
        </is>
      </c>
      <c r="C3228" s="97" t="n">
        <v>590057</v>
      </c>
      <c r="D3228" s="96" t="inlineStr">
        <is>
          <t>PROSEED</t>
        </is>
      </c>
      <c r="E3228" s="96" t="inlineStr">
        <is>
          <t>IT Software Products</t>
        </is>
      </c>
    </row>
    <row r="3229" ht="15" customHeight="1" s="109" thickBot="1">
      <c r="B3229" s="96" t="inlineStr">
        <is>
          <t>PROSEED INDIA LTD</t>
        </is>
      </c>
      <c r="C3229" s="97" t="n">
        <v>590057</v>
      </c>
      <c r="D3229" s="96" t="inlineStr">
        <is>
          <t>PROSEED</t>
        </is>
      </c>
      <c r="E3229" s="96" t="inlineStr">
        <is>
          <t>IT Software Products</t>
        </is>
      </c>
    </row>
    <row r="3230" ht="15" customHeight="1" s="109" thickBot="1">
      <c r="B3230" s="96" t="inlineStr">
        <is>
          <t>PROVESTMENT SERVICES LTD</t>
        </is>
      </c>
      <c r="C3230" s="97" t="n">
        <v>540703</v>
      </c>
      <c r="D3230" s="96" t="inlineStr">
        <is>
          <t>Not Listed</t>
        </is>
      </c>
      <c r="E3230" s="96" t="inlineStr">
        <is>
          <t>Consulting Services</t>
        </is>
      </c>
    </row>
    <row r="3231" ht="15" customHeight="1" s="109" thickBot="1">
      <c r="B3231" s="96" t="inlineStr">
        <is>
          <t>PROVOGUE (INDIA) LTD</t>
        </is>
      </c>
      <c r="C3231" s="97" t="n">
        <v>532647</v>
      </c>
      <c r="D3231" s="96" t="inlineStr">
        <is>
          <t>PROVOGE</t>
        </is>
      </c>
      <c r="E3231" s="96" t="inlineStr">
        <is>
          <t>Other Apparels &amp; Accessories</t>
        </is>
      </c>
    </row>
    <row r="3232" ht="15" customHeight="1" s="109" thickBot="1">
      <c r="B3232" s="96" t="inlineStr">
        <is>
          <t>PROVOGUE INDIA LTD</t>
        </is>
      </c>
      <c r="C3232" s="97" t="n">
        <v>532647</v>
      </c>
      <c r="D3232" s="96" t="inlineStr">
        <is>
          <t>PROVOGE</t>
        </is>
      </c>
      <c r="E3232" s="96" t="inlineStr">
        <is>
          <t>Other Apparels &amp; Accessories</t>
        </is>
      </c>
    </row>
    <row r="3233" ht="15" customHeight="1" s="109" thickBot="1">
      <c r="B3233" s="96" t="inlineStr">
        <is>
          <t>PROZONE INTU PROPERTIES LTD</t>
        </is>
      </c>
      <c r="C3233" s="97" t="n">
        <v>534675</v>
      </c>
      <c r="D3233" s="96" t="inlineStr">
        <is>
          <t>PROZONINTU</t>
        </is>
      </c>
      <c r="E3233" s="96" t="inlineStr">
        <is>
          <t>Realty</t>
        </is>
      </c>
    </row>
    <row r="3234" ht="15" customHeight="1" s="109" thickBot="1">
      <c r="B3234" s="96" t="inlineStr">
        <is>
          <t>PS IT INFRASTRUCTURE &amp; SERVICES LTD</t>
        </is>
      </c>
      <c r="C3234" s="97" t="n">
        <v>505502</v>
      </c>
      <c r="D3234" s="96" t="inlineStr">
        <is>
          <t>Not Listed</t>
        </is>
      </c>
      <c r="E3234" s="96" t="inlineStr">
        <is>
          <t>Other Financial Services</t>
        </is>
      </c>
    </row>
    <row r="3235" ht="15" customHeight="1" s="109" thickBot="1">
      <c r="B3235" s="96" t="inlineStr">
        <is>
          <t>PSL LTD</t>
        </is>
      </c>
      <c r="C3235" s="97" t="n">
        <v>526801</v>
      </c>
      <c r="D3235" s="96" t="inlineStr">
        <is>
          <t>PSL</t>
        </is>
      </c>
      <c r="E3235" s="96" t="inlineStr">
        <is>
          <t>Construction &amp; Engineering</t>
        </is>
      </c>
    </row>
    <row r="3236" ht="15" customHeight="1" s="109" thickBot="1">
      <c r="B3236" s="96" t="inlineStr">
        <is>
          <t>PSP PROJECTS LTD</t>
        </is>
      </c>
      <c r="C3236" s="97" t="n">
        <v>540544</v>
      </c>
      <c r="D3236" s="96" t="inlineStr">
        <is>
          <t>PSPPROJECT</t>
        </is>
      </c>
      <c r="E3236" s="96" t="inlineStr">
        <is>
          <t>Construction &amp; Engineering</t>
        </is>
      </c>
    </row>
    <row r="3237" ht="15" customHeight="1" s="109" thickBot="1">
      <c r="B3237" s="96" t="inlineStr">
        <is>
          <t>PTC (INDIA) LTD</t>
        </is>
      </c>
      <c r="C3237" s="97" t="n">
        <v>532524</v>
      </c>
      <c r="D3237" s="96" t="inlineStr">
        <is>
          <t>PTC</t>
        </is>
      </c>
      <c r="E3237" s="96" t="inlineStr">
        <is>
          <t>Electric Utilities</t>
        </is>
      </c>
    </row>
    <row r="3238" ht="15" customHeight="1" s="109" thickBot="1">
      <c r="B3238" s="96" t="inlineStr">
        <is>
          <t>PTC INDIA FINANCIAL SERVICES LTD</t>
        </is>
      </c>
      <c r="C3238" s="97" t="n">
        <v>533344</v>
      </c>
      <c r="D3238" s="96" t="inlineStr">
        <is>
          <t>PFS</t>
        </is>
      </c>
      <c r="E3238" s="96" t="inlineStr">
        <is>
          <t>Finance (including NBFCs)</t>
        </is>
      </c>
    </row>
    <row r="3239" ht="15" customHeight="1" s="109" thickBot="1">
      <c r="B3239" s="96" t="inlineStr">
        <is>
          <t>PTC INDIA LTD</t>
        </is>
      </c>
      <c r="C3239" s="97" t="n">
        <v>532524</v>
      </c>
      <c r="D3239" s="96" t="inlineStr">
        <is>
          <t>PTC</t>
        </is>
      </c>
      <c r="E3239" s="96" t="inlineStr">
        <is>
          <t>Electric Utilities</t>
        </is>
      </c>
    </row>
    <row r="3240" ht="15" customHeight="1" s="109" thickBot="1">
      <c r="B3240" s="96" t="inlineStr">
        <is>
          <t>PTC INDUSTRIES LTD</t>
        </is>
      </c>
      <c r="C3240" s="97" t="n">
        <v>539006</v>
      </c>
      <c r="D3240" s="96" t="inlineStr">
        <is>
          <t>Not Listed</t>
        </is>
      </c>
      <c r="E3240" s="96" t="inlineStr">
        <is>
          <t>Other Industrial Products</t>
        </is>
      </c>
    </row>
    <row r="3241" ht="15" customHeight="1" s="109" thickBot="1">
      <c r="B3241" s="96" t="inlineStr">
        <is>
          <t>PTL ENTERPRISES LTD</t>
        </is>
      </c>
      <c r="C3241" s="97" t="n">
        <v>509220</v>
      </c>
      <c r="D3241" s="96" t="inlineStr">
        <is>
          <t>PTL</t>
        </is>
      </c>
      <c r="E3241" s="96" t="inlineStr">
        <is>
          <t>Comm.Trading &amp; Distribution</t>
        </is>
      </c>
    </row>
    <row r="3242" ht="15" customHeight="1" s="109" thickBot="1">
      <c r="B3242" s="96" t="inlineStr">
        <is>
          <t>PUDUMJEE PAPER PRODUCTS LTD</t>
        </is>
      </c>
      <c r="C3242" s="97" t="n">
        <v>539785</v>
      </c>
      <c r="D3242" s="96" t="inlineStr">
        <is>
          <t>PDMJEPAPER</t>
        </is>
      </c>
      <c r="E3242" s="96" t="inlineStr">
        <is>
          <t>Paper &amp; Paper Products</t>
        </is>
      </c>
    </row>
    <row r="3243" ht="15" customHeight="1" s="109" thickBot="1">
      <c r="B3243" s="96" t="inlineStr">
        <is>
          <t>PULSAR INTERNATIONAL LTD</t>
        </is>
      </c>
      <c r="C3243" s="97" t="n">
        <v>512591</v>
      </c>
      <c r="D3243" s="96" t="inlineStr">
        <is>
          <t>Not Listed</t>
        </is>
      </c>
      <c r="E3243" s="96" t="inlineStr">
        <is>
          <t>Comm.Trading &amp; Distribution</t>
        </is>
      </c>
    </row>
    <row r="3244" ht="15" customHeight="1" s="109" thickBot="1">
      <c r="B3244" s="96" t="inlineStr">
        <is>
          <t>PULZ ELECTRONICS LTD</t>
        </is>
      </c>
      <c r="C3244" s="96" t="inlineStr">
        <is>
          <t>Not Listed</t>
        </is>
      </c>
      <c r="D3244" s="96" t="inlineStr">
        <is>
          <t>PULZ</t>
        </is>
      </c>
      <c r="E3244" s="96" t="inlineStr">
        <is>
          <t>SME</t>
        </is>
      </c>
    </row>
    <row r="3245" ht="15" customHeight="1" s="109" thickBot="1">
      <c r="B3245" s="96" t="inlineStr">
        <is>
          <t>PUNCTUAL TRADING LTD</t>
        </is>
      </c>
      <c r="C3245" s="97" t="n">
        <v>512461</v>
      </c>
      <c r="D3245" s="96" t="inlineStr">
        <is>
          <t>Not Listed</t>
        </is>
      </c>
      <c r="E3245" s="96" t="inlineStr">
        <is>
          <t>Comm.Trading &amp; Distribution</t>
        </is>
      </c>
    </row>
    <row r="3246" ht="15" customHeight="1" s="109" thickBot="1">
      <c r="B3246" s="96" t="inlineStr">
        <is>
          <t>PUNIT COMMERCIALS LTD</t>
        </is>
      </c>
      <c r="C3246" s="97" t="n">
        <v>512099</v>
      </c>
      <c r="D3246" s="96" t="inlineStr">
        <is>
          <t>Not Listed</t>
        </is>
      </c>
      <c r="E3246" s="96" t="inlineStr">
        <is>
          <t>Other Apparels &amp; Accessories</t>
        </is>
      </c>
    </row>
    <row r="3247" ht="15" customHeight="1" s="109" thickBot="1">
      <c r="B3247" s="96" t="inlineStr">
        <is>
          <t>PUNJ LLOYD LTD</t>
        </is>
      </c>
      <c r="C3247" s="97" t="n">
        <v>532693</v>
      </c>
      <c r="D3247" s="96" t="inlineStr">
        <is>
          <t>PUNJLLOYD</t>
        </is>
      </c>
      <c r="E3247" s="96" t="inlineStr">
        <is>
          <t>Construction &amp; Engineering</t>
        </is>
      </c>
    </row>
    <row r="3248" ht="15" customHeight="1" s="109" thickBot="1">
      <c r="B3248" s="96" t="inlineStr">
        <is>
          <t>PUNJAB &amp; SIND BANK</t>
        </is>
      </c>
      <c r="C3248" s="97" t="n">
        <v>533295</v>
      </c>
      <c r="D3248" s="96" t="inlineStr">
        <is>
          <t>PSB</t>
        </is>
      </c>
      <c r="E3248" s="96" t="inlineStr">
        <is>
          <t>Banks</t>
        </is>
      </c>
    </row>
    <row r="3249" ht="15" customHeight="1" s="109" thickBot="1">
      <c r="B3249" s="96" t="inlineStr">
        <is>
          <t>PUNJAB ALKALIES &amp; CHEMICALS LTD</t>
        </is>
      </c>
      <c r="C3249" s="97" t="n">
        <v>506852</v>
      </c>
      <c r="D3249" s="96" t="inlineStr">
        <is>
          <t>Not Listed</t>
        </is>
      </c>
      <c r="E3249" s="96" t="inlineStr">
        <is>
          <t>Commodity Chemicals</t>
        </is>
      </c>
    </row>
    <row r="3250" ht="15" customHeight="1" s="109" thickBot="1">
      <c r="B3250" s="96" t="inlineStr">
        <is>
          <t>PUNJAB CHEMICALS &amp; CROP PROTECTION LTD</t>
        </is>
      </c>
      <c r="C3250" s="97" t="n">
        <v>506618</v>
      </c>
      <c r="D3250" s="96" t="inlineStr">
        <is>
          <t>PUNJABCHEM</t>
        </is>
      </c>
      <c r="E3250" s="96" t="inlineStr">
        <is>
          <t>Agrochemicals</t>
        </is>
      </c>
    </row>
    <row r="3251" ht="15" customHeight="1" s="109" thickBot="1">
      <c r="B3251" s="96" t="inlineStr">
        <is>
          <t>PUNJAB COMMUNICATIONS LTD</t>
        </is>
      </c>
      <c r="C3251" s="97" t="n">
        <v>500346</v>
      </c>
      <c r="D3251" s="96" t="inlineStr">
        <is>
          <t>Not Listed</t>
        </is>
      </c>
      <c r="E3251" s="96" t="inlineStr">
        <is>
          <t>Telecom Equipment</t>
        </is>
      </c>
    </row>
    <row r="3252" ht="15" customHeight="1" s="109" thickBot="1">
      <c r="B3252" s="96" t="inlineStr">
        <is>
          <t>PUNJAB NATIONAL BANK</t>
        </is>
      </c>
      <c r="C3252" s="97" t="n">
        <v>532461</v>
      </c>
      <c r="D3252" s="96" t="inlineStr">
        <is>
          <t>PNB</t>
        </is>
      </c>
      <c r="E3252" s="96" t="inlineStr">
        <is>
          <t>Banks</t>
        </is>
      </c>
    </row>
    <row r="3253" ht="15" customHeight="1" s="109" thickBot="1">
      <c r="B3253" s="96" t="inlineStr">
        <is>
          <t>PURAVANKARA LTD</t>
        </is>
      </c>
      <c r="C3253" s="97" t="n">
        <v>532891</v>
      </c>
      <c r="D3253" s="96" t="inlineStr">
        <is>
          <t>PURVA</t>
        </is>
      </c>
      <c r="E3253" s="96" t="inlineStr">
        <is>
          <t>Realty</t>
        </is>
      </c>
    </row>
    <row r="3254" ht="15" customHeight="1" s="109" thickBot="1">
      <c r="B3254" s="96" t="inlineStr">
        <is>
          <t>PURE GIFTCARAT LTD</t>
        </is>
      </c>
      <c r="C3254" s="97" t="n">
        <v>540492</v>
      </c>
      <c r="D3254" s="96" t="inlineStr">
        <is>
          <t>Not Listed</t>
        </is>
      </c>
      <c r="E3254" s="96" t="inlineStr">
        <is>
          <t>Comm.Trading &amp; Distribution</t>
        </is>
      </c>
    </row>
    <row r="3255" ht="15" customHeight="1" s="109" thickBot="1">
      <c r="B3255" s="96" t="inlineStr">
        <is>
          <t>PURITY FLEX PACK LTD</t>
        </is>
      </c>
      <c r="C3255" s="97" t="n">
        <v>523315</v>
      </c>
      <c r="D3255" s="96" t="inlineStr">
        <is>
          <t>Not Listed</t>
        </is>
      </c>
      <c r="E3255" s="96" t="inlineStr">
        <is>
          <t>Paper &amp; Paper Products</t>
        </is>
      </c>
    </row>
    <row r="3256" ht="15" customHeight="1" s="109" thickBot="1">
      <c r="B3256" s="96" t="inlineStr">
        <is>
          <t>PUROHIT CONSTRUCTION LTD</t>
        </is>
      </c>
      <c r="C3256" s="97" t="n">
        <v>538993</v>
      </c>
      <c r="D3256" s="96" t="inlineStr">
        <is>
          <t>Not Listed</t>
        </is>
      </c>
      <c r="E3256" s="96" t="inlineStr">
        <is>
          <t>Realty</t>
        </is>
      </c>
    </row>
    <row r="3257" ht="15" customHeight="1" s="109" thickBot="1">
      <c r="B3257" s="96" t="inlineStr">
        <is>
          <t>PURPLE ENTERTAINMENT LTD</t>
        </is>
      </c>
      <c r="C3257" s="97" t="n">
        <v>540159</v>
      </c>
      <c r="D3257" s="96" t="inlineStr">
        <is>
          <t>Not Listed</t>
        </is>
      </c>
      <c r="E3257" s="96" t="inlineStr">
        <is>
          <t>Movies &amp; Entertainment</t>
        </is>
      </c>
    </row>
    <row r="3258" ht="15" customHeight="1" s="109" thickBot="1">
      <c r="B3258" s="96" t="inlineStr">
        <is>
          <t>PURSHOTTAM INVESTOFIN LTD</t>
        </is>
      </c>
      <c r="C3258" s="97" t="n">
        <v>538647</v>
      </c>
      <c r="D3258" s="96" t="inlineStr">
        <is>
          <t>Not Listed</t>
        </is>
      </c>
      <c r="E3258" s="96" t="inlineStr">
        <is>
          <t>Finance (including NBFCs)</t>
        </is>
      </c>
    </row>
    <row r="3259" ht="15" customHeight="1" s="109" thickBot="1">
      <c r="B3259" s="96" t="inlineStr">
        <is>
          <t>PUSHPANJALI REALMS AND INFRATECH LTD</t>
        </is>
      </c>
      <c r="C3259" s="96" t="inlineStr">
        <is>
          <t>Not Listed</t>
        </is>
      </c>
      <c r="D3259" s="96" t="inlineStr">
        <is>
          <t>PUSHPREALM</t>
        </is>
      </c>
      <c r="E3259" s="96" t="inlineStr">
        <is>
          <t>SME</t>
        </is>
      </c>
    </row>
    <row r="3260" ht="15" customHeight="1" s="109" thickBot="1">
      <c r="B3260" s="96" t="inlineStr">
        <is>
          <t>PUSHPSONS INDUSTRIES LTD</t>
        </is>
      </c>
      <c r="C3260" s="97" t="n">
        <v>531562</v>
      </c>
      <c r="D3260" s="96" t="inlineStr">
        <is>
          <t>Not Listed</t>
        </is>
      </c>
      <c r="E3260" s="96" t="inlineStr">
        <is>
          <t>Textiles</t>
        </is>
      </c>
    </row>
    <row r="3261" ht="15" customHeight="1" s="109" thickBot="1">
      <c r="B3261" s="96" t="inlineStr">
        <is>
          <t>PVP VENTURES LTD</t>
        </is>
      </c>
      <c r="C3261" s="97" t="n">
        <v>517556</v>
      </c>
      <c r="D3261" s="96" t="inlineStr">
        <is>
          <t>PVP</t>
        </is>
      </c>
      <c r="E3261" s="96" t="inlineStr">
        <is>
          <t>Realty</t>
        </is>
      </c>
    </row>
    <row r="3262" ht="15" customHeight="1" s="109" thickBot="1">
      <c r="B3262" s="96" t="inlineStr">
        <is>
          <t>PVR LTD</t>
        </is>
      </c>
      <c r="C3262" s="97" t="n">
        <v>532689</v>
      </c>
      <c r="D3262" s="96" t="inlineStr">
        <is>
          <t>PVR</t>
        </is>
      </c>
      <c r="E3262" s="96" t="inlineStr">
        <is>
          <t>Specialty Retail</t>
        </is>
      </c>
    </row>
    <row r="3263" ht="15" customHeight="1" s="109" thickBot="1">
      <c r="B3263" s="96" t="inlineStr">
        <is>
          <t>PVV INFRA LTD</t>
        </is>
      </c>
      <c r="C3263" s="97" t="n">
        <v>536659</v>
      </c>
      <c r="D3263" s="96" t="inlineStr">
        <is>
          <t>Not Listed</t>
        </is>
      </c>
      <c r="E3263" s="96" t="inlineStr">
        <is>
          <t>Construction &amp; Engineering</t>
        </is>
      </c>
    </row>
    <row r="3264" ht="15" customHeight="1" s="109" thickBot="1">
      <c r="B3264" s="96" t="inlineStr">
        <is>
          <t>PYXIS FINVEST LTD</t>
        </is>
      </c>
      <c r="C3264" s="97" t="n">
        <v>534109</v>
      </c>
      <c r="D3264" s="96" t="inlineStr">
        <is>
          <t>Not Listed</t>
        </is>
      </c>
      <c r="E3264" s="96" t="inlineStr">
        <is>
          <t>Finance (including NBFCs)</t>
        </is>
      </c>
    </row>
    <row r="3265" ht="15" customHeight="1" s="109" thickBot="1">
      <c r="B3265" s="96" t="inlineStr">
        <is>
          <t>QUADRANT TELEVENTURES LTD</t>
        </is>
      </c>
      <c r="C3265" s="97" t="n">
        <v>511116</v>
      </c>
      <c r="D3265" s="96" t="inlineStr">
        <is>
          <t>Not Listed</t>
        </is>
      </c>
      <c r="E3265" s="96" t="inlineStr">
        <is>
          <t>Telecom Services</t>
        </is>
      </c>
    </row>
    <row r="3266" ht="15" customHeight="1" s="109" thickBot="1">
      <c r="B3266" s="96" t="inlineStr">
        <is>
          <t>QUANTUM BUILD-TECH LTD</t>
        </is>
      </c>
      <c r="C3266" s="97" t="n">
        <v>538596</v>
      </c>
      <c r="D3266" s="96" t="inlineStr">
        <is>
          <t>Not Listed</t>
        </is>
      </c>
      <c r="E3266" s="96" t="inlineStr">
        <is>
          <t>Realty</t>
        </is>
      </c>
    </row>
    <row r="3267" ht="15" customHeight="1" s="109" thickBot="1">
      <c r="B3267" s="96" t="inlineStr">
        <is>
          <t>QUANTUM DIGITAL VISION (INDIA) LTD</t>
        </is>
      </c>
      <c r="C3267" s="97" t="n">
        <v>530281</v>
      </c>
      <c r="D3267" s="96" t="inlineStr">
        <is>
          <t>Not Listed</t>
        </is>
      </c>
      <c r="E3267" s="96" t="inlineStr">
        <is>
          <t>Containers &amp; Packaging</t>
        </is>
      </c>
    </row>
    <row r="3268" ht="15" customHeight="1" s="109" thickBot="1">
      <c r="B3268" s="96" t="inlineStr">
        <is>
          <t>QUANTUM DIGITAL VISION INDIA LTD</t>
        </is>
      </c>
      <c r="C3268" s="97" t="n">
        <v>530281</v>
      </c>
      <c r="D3268" s="96" t="inlineStr">
        <is>
          <t>Not Listed</t>
        </is>
      </c>
      <c r="E3268" s="96" t="inlineStr">
        <is>
          <t>Containers &amp; Packaging</t>
        </is>
      </c>
    </row>
    <row r="3269" ht="15" customHeight="1" s="109" thickBot="1">
      <c r="B3269" s="96" t="inlineStr">
        <is>
          <t>QUANTUM GOLD FUND - EXCHANGE TRADED FUND (ETF)</t>
        </is>
      </c>
      <c r="C3269" s="97" t="n">
        <v>590099</v>
      </c>
      <c r="D3269" s="96" t="inlineStr">
        <is>
          <t>QGOLDHALF</t>
        </is>
      </c>
      <c r="E3269" s="96" t="inlineStr">
        <is>
          <t>Other Financial Services</t>
        </is>
      </c>
    </row>
    <row r="3270" ht="15" customHeight="1" s="109" thickBot="1">
      <c r="B3270" s="96" t="inlineStr">
        <is>
          <t>QUANTUM MUTUAL FUND - QUANTUM INDEX FUND ETF</t>
        </is>
      </c>
      <c r="C3270" s="97" t="n">
        <v>590110</v>
      </c>
      <c r="D3270" s="96" t="inlineStr">
        <is>
          <t>QNIFTY</t>
        </is>
      </c>
      <c r="E3270" s="96" t="inlineStr">
        <is>
          <t>Other Financial Services</t>
        </is>
      </c>
    </row>
    <row r="3271" ht="15" customHeight="1" s="109" thickBot="1">
      <c r="B3271" s="96" t="inlineStr">
        <is>
          <t>QUESS CORP LTD</t>
        </is>
      </c>
      <c r="C3271" s="97" t="n">
        <v>539978</v>
      </c>
      <c r="D3271" s="96" t="inlineStr">
        <is>
          <t>QUESS</t>
        </is>
      </c>
      <c r="E3271" s="96" t="inlineStr">
        <is>
          <t>Diversified</t>
        </is>
      </c>
    </row>
    <row r="3272" ht="15" customHeight="1" s="109" thickBot="1">
      <c r="B3272" s="96" t="inlineStr">
        <is>
          <t>QUEST FINANCIAL SERVICES LTD</t>
        </is>
      </c>
      <c r="C3272" s="97" t="n">
        <v>539962</v>
      </c>
      <c r="D3272" s="96" t="inlineStr">
        <is>
          <t>Not Listed</t>
        </is>
      </c>
      <c r="E3272" s="96" t="inlineStr">
        <is>
          <t>Finance (including NBFCs)</t>
        </is>
      </c>
    </row>
    <row r="3273" ht="15" customHeight="1" s="109" thickBot="1">
      <c r="B3273" s="96" t="inlineStr">
        <is>
          <t>QUEST SOFTECH (INDIA) LTD</t>
        </is>
      </c>
      <c r="C3273" s="97" t="n">
        <v>535719</v>
      </c>
      <c r="D3273" s="96" t="inlineStr">
        <is>
          <t>Not Listed</t>
        </is>
      </c>
      <c r="E3273" s="96" t="inlineStr">
        <is>
          <t>IT Consulting &amp; Software</t>
        </is>
      </c>
    </row>
    <row r="3274" ht="15" customHeight="1" s="109" thickBot="1">
      <c r="B3274" s="96" t="inlineStr">
        <is>
          <t>QUEST SOFTECH INDIA LTD</t>
        </is>
      </c>
      <c r="C3274" s="97" t="n">
        <v>535719</v>
      </c>
      <c r="D3274" s="96" t="inlineStr">
        <is>
          <t>Not Listed</t>
        </is>
      </c>
      <c r="E3274" s="96" t="inlineStr">
        <is>
          <t>IT Consulting &amp; Software</t>
        </is>
      </c>
    </row>
    <row r="3275" ht="15" customHeight="1" s="109" thickBot="1">
      <c r="B3275" s="96" t="inlineStr">
        <is>
          <t>QUICK HEAL TECHNOLOGIES LTD</t>
        </is>
      </c>
      <c r="C3275" s="97" t="n">
        <v>539678</v>
      </c>
      <c r="D3275" s="96" t="inlineStr">
        <is>
          <t>QUICKHEAL</t>
        </is>
      </c>
      <c r="E3275" s="96" t="inlineStr">
        <is>
          <t>IT Software Products</t>
        </is>
      </c>
    </row>
    <row r="3276" ht="15" customHeight="1" s="109" thickBot="1">
      <c r="B3276" s="96" t="inlineStr">
        <is>
          <t>QUINTEGRA SOLUTIONS LTD</t>
        </is>
      </c>
      <c r="C3276" s="97" t="n">
        <v>532866</v>
      </c>
      <c r="D3276" s="96" t="inlineStr">
        <is>
          <t>QUINTEGRA</t>
        </is>
      </c>
      <c r="E3276" s="96" t="inlineStr">
        <is>
          <t>IT Consulting &amp; Software</t>
        </is>
      </c>
    </row>
    <row r="3277" ht="15" customHeight="1" s="109" thickBot="1">
      <c r="B3277" s="96" t="inlineStr">
        <is>
          <t>R B GUPTA FINANCIALS LTD</t>
        </is>
      </c>
      <c r="C3277" s="97" t="n">
        <v>532024</v>
      </c>
      <c r="D3277" s="96" t="inlineStr">
        <is>
          <t>Not Listed</t>
        </is>
      </c>
      <c r="E3277" s="96" t="inlineStr">
        <is>
          <t>Other Financial Services</t>
        </is>
      </c>
    </row>
    <row r="3278" ht="15" customHeight="1" s="109" thickBot="1">
      <c r="B3278" s="96" t="inlineStr">
        <is>
          <t>R J BIO-TECH LTD</t>
        </is>
      </c>
      <c r="C3278" s="97" t="n">
        <v>536456</v>
      </c>
      <c r="D3278" s="96" t="inlineStr">
        <is>
          <t>Not Listed</t>
        </is>
      </c>
      <c r="E3278" s="96" t="inlineStr">
        <is>
          <t>Other Agricultural Products</t>
        </is>
      </c>
    </row>
    <row r="3279" ht="15" customHeight="1" s="109" thickBot="1">
      <c r="B3279" s="96" t="inlineStr">
        <is>
          <t>R J SHAH &amp; CO LTD</t>
        </is>
      </c>
      <c r="C3279" s="97" t="n">
        <v>509845</v>
      </c>
      <c r="D3279" s="96" t="inlineStr">
        <is>
          <t>Not Listed</t>
        </is>
      </c>
      <c r="E3279" s="96" t="inlineStr">
        <is>
          <t>Realty</t>
        </is>
      </c>
    </row>
    <row r="3280" ht="15" customHeight="1" s="109" thickBot="1">
      <c r="B3280" s="96" t="inlineStr">
        <is>
          <t>R M DRIP AND SPRINKLERS SYSTEMS LTD</t>
        </is>
      </c>
      <c r="C3280" s="96" t="inlineStr">
        <is>
          <t>Not Listed</t>
        </is>
      </c>
      <c r="D3280" s="96" t="inlineStr">
        <is>
          <t>RMDRIP</t>
        </is>
      </c>
      <c r="E3280" s="96" t="inlineStr">
        <is>
          <t>SME</t>
        </is>
      </c>
    </row>
    <row r="3281" ht="15" customHeight="1" s="109" thickBot="1">
      <c r="B3281" s="96" t="inlineStr">
        <is>
          <t>R P P INFRA PROJECTS LTD</t>
        </is>
      </c>
      <c r="C3281" s="97" t="n">
        <v>533284</v>
      </c>
      <c r="D3281" s="96" t="inlineStr">
        <is>
          <t>RPPINFRA</t>
        </is>
      </c>
      <c r="E3281" s="96" t="inlineStr">
        <is>
          <t>Construction &amp; Engineering</t>
        </is>
      </c>
    </row>
    <row r="3282" ht="15" customHeight="1" s="109" thickBot="1">
      <c r="B3282" s="96" t="inlineStr">
        <is>
          <t>R R SECURITIES LTD</t>
        </is>
      </c>
      <c r="C3282" s="97" t="n">
        <v>530917</v>
      </c>
      <c r="D3282" s="96" t="inlineStr">
        <is>
          <t>Not Listed</t>
        </is>
      </c>
      <c r="E3282" s="96" t="inlineStr">
        <is>
          <t>Misc.Commercial Services</t>
        </is>
      </c>
    </row>
    <row r="3283" ht="15" customHeight="1" s="109" thickBot="1">
      <c r="B3283" s="96" t="inlineStr">
        <is>
          <t>R S SOFTWARE (INDIA) LTD</t>
        </is>
      </c>
      <c r="C3283" s="97" t="n">
        <v>517447</v>
      </c>
      <c r="D3283" s="96" t="inlineStr">
        <is>
          <t>RSSOFTWARE</t>
        </is>
      </c>
      <c r="E3283" s="96" t="inlineStr">
        <is>
          <t>IT Software Products</t>
        </is>
      </c>
    </row>
    <row r="3284" ht="15" customHeight="1" s="109" thickBot="1">
      <c r="B3284" s="96" t="inlineStr">
        <is>
          <t>R S SOFTWARE INDIA LTD</t>
        </is>
      </c>
      <c r="C3284" s="97" t="n">
        <v>517447</v>
      </c>
      <c r="D3284" s="96" t="inlineStr">
        <is>
          <t>RSSOFTWARE</t>
        </is>
      </c>
      <c r="E3284" s="96" t="inlineStr">
        <is>
          <t>IT Software Products</t>
        </is>
      </c>
    </row>
    <row r="3285" ht="15" customHeight="1" s="109" thickBot="1">
      <c r="B3285" s="96" t="inlineStr">
        <is>
          <t>R SYSTEMS INTERNATIONAL LTD</t>
        </is>
      </c>
      <c r="C3285" s="97" t="n">
        <v>532735</v>
      </c>
      <c r="D3285" s="96" t="inlineStr">
        <is>
          <t>RSYSTEMS</t>
        </is>
      </c>
      <c r="E3285" s="96" t="inlineStr">
        <is>
          <t>IT Consulting &amp; Software</t>
        </is>
      </c>
    </row>
    <row r="3286" ht="15" customHeight="1" s="109" thickBot="1">
      <c r="B3286" s="96" t="inlineStr">
        <is>
          <t>R T EXPORTS LTD</t>
        </is>
      </c>
      <c r="C3286" s="97" t="n">
        <v>512565</v>
      </c>
      <c r="D3286" s="96" t="inlineStr">
        <is>
          <t>Not Listed</t>
        </is>
      </c>
      <c r="E3286" s="96" t="inlineStr">
        <is>
          <t>Other Agricultural Products</t>
        </is>
      </c>
    </row>
    <row r="3287" ht="15" customHeight="1" s="109" thickBot="1">
      <c r="B3287" s="96" t="inlineStr">
        <is>
          <t>R&amp;B DENIMS LTD</t>
        </is>
      </c>
      <c r="C3287" s="97" t="n">
        <v>538119</v>
      </c>
      <c r="D3287" s="96" t="inlineStr">
        <is>
          <t>Not Listed</t>
        </is>
      </c>
      <c r="E3287" s="96" t="inlineStr">
        <is>
          <t>Textiles</t>
        </is>
      </c>
    </row>
    <row r="3288" ht="15" customHeight="1" s="109" thickBot="1">
      <c r="B3288" s="96" t="inlineStr">
        <is>
          <t>RAAJ MEDISAFE (INDIA) LTD</t>
        </is>
      </c>
      <c r="C3288" s="97" t="n">
        <v>524502</v>
      </c>
      <c r="D3288" s="96" t="inlineStr">
        <is>
          <t>Not Listed</t>
        </is>
      </c>
      <c r="E3288" s="96" t="inlineStr">
        <is>
          <t>Medical Equipment</t>
        </is>
      </c>
    </row>
    <row r="3289" ht="15" customHeight="1" s="109" thickBot="1">
      <c r="B3289" s="96" t="inlineStr">
        <is>
          <t>RAAJ MEDISAFE INDIA LTD</t>
        </is>
      </c>
      <c r="C3289" s="97" t="n">
        <v>524502</v>
      </c>
      <c r="D3289" s="96" t="inlineStr">
        <is>
          <t>Not Listed</t>
        </is>
      </c>
      <c r="E3289" s="96" t="inlineStr">
        <is>
          <t>Medical Equipment</t>
        </is>
      </c>
    </row>
    <row r="3290" ht="15" customHeight="1" s="109" thickBot="1">
      <c r="B3290" s="96" t="inlineStr">
        <is>
          <t>RAASI REFRACTORIES LTD</t>
        </is>
      </c>
      <c r="C3290" s="97" t="n">
        <v>502271</v>
      </c>
      <c r="D3290" s="96" t="inlineStr">
        <is>
          <t>Not Listed</t>
        </is>
      </c>
      <c r="E3290" s="96" t="inlineStr">
        <is>
          <t>Other Industrial Goods</t>
        </is>
      </c>
    </row>
    <row r="3291" ht="15" customHeight="1" s="109" thickBot="1">
      <c r="B3291" s="96" t="inlineStr">
        <is>
          <t>RACL GEARTECH LTD</t>
        </is>
      </c>
      <c r="C3291" s="97" t="n">
        <v>520073</v>
      </c>
      <c r="D3291" s="96" t="inlineStr">
        <is>
          <t>Not Listed</t>
        </is>
      </c>
      <c r="E3291" s="96" t="inlineStr">
        <is>
          <t>Auto Parts &amp; Equipment</t>
        </is>
      </c>
    </row>
    <row r="3292" ht="15" customHeight="1" s="109" thickBot="1">
      <c r="B3292" s="96" t="inlineStr">
        <is>
          <t>RADAAN MEDIAWORKS (INDIA) LTD</t>
        </is>
      </c>
      <c r="C3292" s="97" t="n">
        <v>590070</v>
      </c>
      <c r="D3292" s="96" t="inlineStr">
        <is>
          <t>RADAAN</t>
        </is>
      </c>
      <c r="E3292" s="96" t="inlineStr">
        <is>
          <t>Movies &amp; Entertainment</t>
        </is>
      </c>
    </row>
    <row r="3293" ht="15" customHeight="1" s="109" thickBot="1">
      <c r="B3293" s="96" t="inlineStr">
        <is>
          <t>RADAAN MEDIAWORKS INDIA LTD</t>
        </is>
      </c>
      <c r="C3293" s="97" t="n">
        <v>590070</v>
      </c>
      <c r="D3293" s="96" t="inlineStr">
        <is>
          <t>RADAAN</t>
        </is>
      </c>
      <c r="E3293" s="96" t="inlineStr">
        <is>
          <t>Movies &amp; Entertainment</t>
        </is>
      </c>
    </row>
    <row r="3294" ht="15" customHeight="1" s="109" thickBot="1">
      <c r="B3294" s="96" t="inlineStr">
        <is>
          <t>RADHA MADHAV CORPORATION LTD</t>
        </is>
      </c>
      <c r="C3294" s="97" t="n">
        <v>532692</v>
      </c>
      <c r="D3294" s="96" t="inlineStr">
        <is>
          <t>RMCL</t>
        </is>
      </c>
      <c r="E3294" s="96" t="inlineStr">
        <is>
          <t>Containers &amp; Packaging</t>
        </is>
      </c>
    </row>
    <row r="3295" ht="15" customHeight="1" s="109" thickBot="1">
      <c r="B3295" s="96" t="inlineStr">
        <is>
          <t>RADHAGOBIND COMMERCIAL LTD</t>
        </is>
      </c>
      <c r="C3295" s="97" t="n">
        <v>539673</v>
      </c>
      <c r="D3295" s="96" t="inlineStr">
        <is>
          <t>Not Listed</t>
        </is>
      </c>
      <c r="E3295" s="96" t="inlineStr">
        <is>
          <t>Distributors</t>
        </is>
      </c>
    </row>
    <row r="3296" ht="15" customHeight="1" s="109" thickBot="1">
      <c r="B3296" s="96" t="inlineStr">
        <is>
          <t>RADHE DEVELOPERS (INDIA) LTD</t>
        </is>
      </c>
      <c r="C3296" s="97" t="n">
        <v>531273</v>
      </c>
      <c r="D3296" s="96" t="inlineStr">
        <is>
          <t>Not Listed</t>
        </is>
      </c>
      <c r="E3296" s="96" t="inlineStr">
        <is>
          <t>Realty</t>
        </is>
      </c>
    </row>
    <row r="3297" ht="15" customHeight="1" s="109" thickBot="1">
      <c r="B3297" s="96" t="inlineStr">
        <is>
          <t>RADHE DEVELOPERS INDIA LTD</t>
        </is>
      </c>
      <c r="C3297" s="97" t="n">
        <v>531273</v>
      </c>
      <c r="D3297" s="96" t="inlineStr">
        <is>
          <t>Not Listed</t>
        </is>
      </c>
      <c r="E3297" s="96" t="inlineStr">
        <is>
          <t>Realty</t>
        </is>
      </c>
    </row>
    <row r="3298" ht="15" customHeight="1" s="109" thickBot="1">
      <c r="B3298" s="96" t="inlineStr">
        <is>
          <t>RADHEY TRADE HOLDING LTD</t>
        </is>
      </c>
      <c r="C3298" s="97" t="n">
        <v>539814</v>
      </c>
      <c r="D3298" s="96" t="inlineStr">
        <is>
          <t>Not Listed</t>
        </is>
      </c>
      <c r="E3298" s="96" t="inlineStr">
        <is>
          <t>Comm.Trading &amp; Distribution</t>
        </is>
      </c>
    </row>
    <row r="3299" ht="15" customHeight="1" s="109" thickBot="1">
      <c r="B3299" s="96" t="inlineStr">
        <is>
          <t>RADHIKA JEWELTECH LTD</t>
        </is>
      </c>
      <c r="C3299" s="97" t="n">
        <v>540125</v>
      </c>
      <c r="D3299" s="96" t="inlineStr">
        <is>
          <t>Not Listed</t>
        </is>
      </c>
      <c r="E3299" s="96" t="inlineStr">
        <is>
          <t>Other Apparels &amp; Accessories</t>
        </is>
      </c>
    </row>
    <row r="3300" ht="15" customHeight="1" s="109" thickBot="1">
      <c r="B3300" s="96" t="inlineStr">
        <is>
          <t>RADICO KHAITAN LTD</t>
        </is>
      </c>
      <c r="C3300" s="97" t="n">
        <v>532497</v>
      </c>
      <c r="D3300" s="96" t="inlineStr">
        <is>
          <t>RADICO</t>
        </is>
      </c>
      <c r="E3300" s="96" t="inlineStr">
        <is>
          <t>Breweries &amp; Distilleries</t>
        </is>
      </c>
    </row>
    <row r="3301" ht="15" customHeight="1" s="109" thickBot="1">
      <c r="B3301" s="96" t="inlineStr">
        <is>
          <t>RADIX INDUSTRIES (INDIA) LTD</t>
        </is>
      </c>
      <c r="C3301" s="97" t="n">
        <v>531412</v>
      </c>
      <c r="D3301" s="96" t="inlineStr">
        <is>
          <t>Not Listed</t>
        </is>
      </c>
      <c r="E3301" s="96" t="inlineStr">
        <is>
          <t>Personal Products</t>
        </is>
      </c>
    </row>
    <row r="3302" ht="15" customHeight="1" s="109" thickBot="1">
      <c r="B3302" s="96" t="inlineStr">
        <is>
          <t>RADIX INDUSTRIES INDIA LTD</t>
        </is>
      </c>
      <c r="C3302" s="97" t="n">
        <v>531412</v>
      </c>
      <c r="D3302" s="96" t="inlineStr">
        <is>
          <t>Not Listed</t>
        </is>
      </c>
      <c r="E3302" s="96" t="inlineStr">
        <is>
          <t>Personal Products</t>
        </is>
      </c>
    </row>
    <row r="3303" ht="15" customHeight="1" s="109" thickBot="1">
      <c r="B3303" s="96" t="inlineStr">
        <is>
          <t>RAGHAV PRODUCTIVITY ENHANCERS LTD</t>
        </is>
      </c>
      <c r="C3303" s="97" t="n">
        <v>539837</v>
      </c>
      <c r="D3303" s="96" t="inlineStr">
        <is>
          <t>Not Listed</t>
        </is>
      </c>
      <c r="E3303" s="96" t="inlineStr">
        <is>
          <t>Other Industrial Goods</t>
        </is>
      </c>
    </row>
    <row r="3304" ht="15" customHeight="1" s="109" thickBot="1">
      <c r="B3304" s="96" t="inlineStr">
        <is>
          <t>RAGHUNATH INTERNATIONAL LTD</t>
        </is>
      </c>
      <c r="C3304" s="97" t="n">
        <v>526813</v>
      </c>
      <c r="D3304" s="96" t="inlineStr">
        <is>
          <t>Not Listed</t>
        </is>
      </c>
      <c r="E3304" s="96" t="inlineStr">
        <is>
          <t>Cigarettes-Tobacco Products</t>
        </is>
      </c>
    </row>
    <row r="3305" ht="15" customHeight="1" s="109" thickBot="1">
      <c r="B3305" s="96" t="inlineStr">
        <is>
          <t>RAGHUNATH TOBACCO CO LTD</t>
        </is>
      </c>
      <c r="C3305" s="97" t="n">
        <v>531552</v>
      </c>
      <c r="D3305" s="96" t="inlineStr">
        <is>
          <t>Not Listed</t>
        </is>
      </c>
      <c r="E3305" s="96" t="inlineStr">
        <is>
          <t>Realty</t>
        </is>
      </c>
    </row>
    <row r="3306" ht="15" customHeight="1" s="109" thickBot="1">
      <c r="B3306" s="96" t="inlineStr">
        <is>
          <t>RAGHUVANSH AGROFARMS LTD</t>
        </is>
      </c>
      <c r="C3306" s="97" t="n">
        <v>538921</v>
      </c>
      <c r="D3306" s="96" t="inlineStr">
        <is>
          <t>Not Listed</t>
        </is>
      </c>
      <c r="E3306" s="96" t="inlineStr">
        <is>
          <t>Other Agricultural Products</t>
        </is>
      </c>
    </row>
    <row r="3307" ht="15" customHeight="1" s="109" thickBot="1">
      <c r="B3307" s="96" t="inlineStr">
        <is>
          <t>RAGHUVIR SYNTHETICS LTD</t>
        </is>
      </c>
      <c r="C3307" s="97" t="n">
        <v>514316</v>
      </c>
      <c r="D3307" s="96" t="inlineStr">
        <is>
          <t>Not Listed</t>
        </is>
      </c>
      <c r="E3307" s="96" t="inlineStr">
        <is>
          <t>Textiles</t>
        </is>
      </c>
    </row>
    <row r="3308" ht="15" customHeight="1" s="109" thickBot="1">
      <c r="B3308" s="96" t="inlineStr">
        <is>
          <t>RAHUL MERCHANDISING LTD</t>
        </is>
      </c>
      <c r="C3308" s="97" t="n">
        <v>531887</v>
      </c>
      <c r="D3308" s="96" t="inlineStr">
        <is>
          <t>Not Listed</t>
        </is>
      </c>
      <c r="E3308" s="96" t="inlineStr">
        <is>
          <t>Other Apparels &amp; Accessories</t>
        </is>
      </c>
    </row>
    <row r="3309" ht="15" customHeight="1" s="109" thickBot="1">
      <c r="B3309" s="96" t="inlineStr">
        <is>
          <t>RAIDEEP INDUSTRIES LTD</t>
        </is>
      </c>
      <c r="C3309" s="97" t="n">
        <v>540270</v>
      </c>
      <c r="D3309" s="96" t="inlineStr">
        <is>
          <t>Not Listed</t>
        </is>
      </c>
      <c r="E3309" s="96" t="inlineStr">
        <is>
          <t>Comm.Trading &amp; Distribution</t>
        </is>
      </c>
    </row>
    <row r="3310" ht="15" customHeight="1" s="109" thickBot="1">
      <c r="B3310" s="96" t="inlineStr">
        <is>
          <t>Rail Vikas Nigam Ltd</t>
        </is>
      </c>
      <c r="C3310" s="97" t="n">
        <v>542649</v>
      </c>
      <c r="D3310" s="96" t="inlineStr">
        <is>
          <t>RVNL</t>
        </is>
      </c>
      <c r="E3310" s="96" t="inlineStr">
        <is>
          <t>Construction &amp;amp; Engineering</t>
        </is>
      </c>
    </row>
    <row r="3311" ht="15" customHeight="1" s="109" thickBot="1">
      <c r="B3311" s="96" t="inlineStr">
        <is>
          <t>RAIN INDUSTRIES LTD</t>
        </is>
      </c>
      <c r="C3311" s="97" t="n">
        <v>500339</v>
      </c>
      <c r="D3311" s="96" t="inlineStr">
        <is>
          <t>RAIN</t>
        </is>
      </c>
      <c r="E3311" s="96" t="inlineStr">
        <is>
          <t>Petrochemicals</t>
        </is>
      </c>
    </row>
    <row r="3312" ht="15" customHeight="1" s="109" thickBot="1">
      <c r="B3312" s="96" t="inlineStr">
        <is>
          <t>RAINBOW DENIM LTD</t>
        </is>
      </c>
      <c r="C3312" s="97" t="n">
        <v>532441</v>
      </c>
      <c r="D3312" s="96" t="inlineStr">
        <is>
          <t>Not Listed</t>
        </is>
      </c>
      <c r="E3312" s="96" t="inlineStr">
        <is>
          <t>Textiles</t>
        </is>
      </c>
    </row>
    <row r="3313" ht="15" customHeight="1" s="109" thickBot="1">
      <c r="B3313" s="96" t="inlineStr">
        <is>
          <t>RAINBOW FOUNDATIONS LTD</t>
        </is>
      </c>
      <c r="C3313" s="97" t="n">
        <v>531694</v>
      </c>
      <c r="D3313" s="96" t="inlineStr">
        <is>
          <t>Not Listed</t>
        </is>
      </c>
      <c r="E3313" s="96" t="inlineStr">
        <is>
          <t>Realty</t>
        </is>
      </c>
    </row>
    <row r="3314" ht="15" customHeight="1" s="109" thickBot="1">
      <c r="B3314" s="96" t="inlineStr">
        <is>
          <t>RAINBOW PAPERS LTD</t>
        </is>
      </c>
      <c r="C3314" s="97" t="n">
        <v>523523</v>
      </c>
      <c r="D3314" s="96" t="inlineStr">
        <is>
          <t>RAINBOWPAP</t>
        </is>
      </c>
      <c r="E3314" s="96" t="inlineStr">
        <is>
          <t>Paper &amp; Paper Products</t>
        </is>
      </c>
    </row>
    <row r="3315" ht="15" customHeight="1" s="109" thickBot="1">
      <c r="B3315" s="96" t="inlineStr">
        <is>
          <t>RAJ PACKAGING INDUSTRIES LTD</t>
        </is>
      </c>
      <c r="C3315" s="97" t="n">
        <v>530111</v>
      </c>
      <c r="D3315" s="96" t="inlineStr">
        <is>
          <t>Not Listed</t>
        </is>
      </c>
      <c r="E3315" s="96" t="inlineStr">
        <is>
          <t>Containers &amp; Packaging</t>
        </is>
      </c>
    </row>
    <row r="3316" ht="15" customHeight="1" s="109" thickBot="1">
      <c r="B3316" s="96" t="inlineStr">
        <is>
          <t>RAJ RAYON INDUSTRIES LTD</t>
        </is>
      </c>
      <c r="C3316" s="97" t="n">
        <v>530699</v>
      </c>
      <c r="D3316" s="96" t="inlineStr">
        <is>
          <t>RAJRAYON</t>
        </is>
      </c>
      <c r="E3316" s="96" t="inlineStr">
        <is>
          <t>Textiles</t>
        </is>
      </c>
    </row>
    <row r="3317" ht="15" customHeight="1" s="109" thickBot="1">
      <c r="B3317" s="96" t="inlineStr">
        <is>
          <t>RAJ TELEVISION NETWORK LTD</t>
        </is>
      </c>
      <c r="C3317" s="97" t="n">
        <v>532826</v>
      </c>
      <c r="D3317" s="96" t="inlineStr">
        <is>
          <t>RAJTV</t>
        </is>
      </c>
      <c r="E3317" s="96" t="inlineStr">
        <is>
          <t>Broadcasting &amp; Cable TV</t>
        </is>
      </c>
    </row>
    <row r="3318" ht="15" customHeight="1" s="109" thickBot="1">
      <c r="B3318" s="96" t="inlineStr">
        <is>
          <t>RAJA BAHADUR INTERNATIONAL LTD</t>
        </is>
      </c>
      <c r="C3318" s="97" t="n">
        <v>503127</v>
      </c>
      <c r="D3318" s="96" t="inlineStr">
        <is>
          <t>Not Listed</t>
        </is>
      </c>
      <c r="E3318" s="96" t="inlineStr">
        <is>
          <t>Diversified</t>
        </is>
      </c>
    </row>
    <row r="3319" ht="15" customHeight="1" s="109" thickBot="1">
      <c r="B3319" s="96" t="inlineStr">
        <is>
          <t>RAJAPALAYAM MILLS LTD</t>
        </is>
      </c>
      <c r="C3319" s="97" t="n">
        <v>532503</v>
      </c>
      <c r="D3319" s="96" t="inlineStr">
        <is>
          <t>Not Listed</t>
        </is>
      </c>
      <c r="E3319" s="96" t="inlineStr">
        <is>
          <t>Textiles</t>
        </is>
      </c>
    </row>
    <row r="3320" ht="15" customHeight="1" s="109" thickBot="1">
      <c r="B3320" s="96" t="inlineStr">
        <is>
          <t>RAJASTHAN CYLINDERS &amp; CONTAINERS LTD</t>
        </is>
      </c>
      <c r="C3320" s="97" t="n">
        <v>538707</v>
      </c>
      <c r="D3320" s="96" t="inlineStr">
        <is>
          <t>Not Listed</t>
        </is>
      </c>
      <c r="E3320" s="96" t="inlineStr">
        <is>
          <t>Containers &amp; Packaging</t>
        </is>
      </c>
    </row>
    <row r="3321" ht="15" customHeight="1" s="109" thickBot="1">
      <c r="B3321" s="96" t="inlineStr">
        <is>
          <t>RAJASTHAN GASES LTD</t>
        </is>
      </c>
      <c r="C3321" s="97" t="n">
        <v>526873</v>
      </c>
      <c r="D3321" s="96" t="inlineStr">
        <is>
          <t>Not Listed</t>
        </is>
      </c>
      <c r="E3321" s="96" t="inlineStr">
        <is>
          <t>Oil Marketing &amp; Distribution</t>
        </is>
      </c>
    </row>
    <row r="3322" ht="15" customHeight="1" s="109" thickBot="1">
      <c r="B3322" s="96" t="inlineStr">
        <is>
          <t>RAJASTHAN TUBE MANUFACTURING CO LTD</t>
        </is>
      </c>
      <c r="C3322" s="97" t="n">
        <v>530253</v>
      </c>
      <c r="D3322" s="96" t="inlineStr">
        <is>
          <t>Not Listed</t>
        </is>
      </c>
      <c r="E3322" s="96" t="inlineStr">
        <is>
          <t>Iron &amp; Steel Products</t>
        </is>
      </c>
    </row>
    <row r="3323" ht="15" customHeight="1" s="109" thickBot="1">
      <c r="B3323" s="96" t="inlineStr">
        <is>
          <t>RAJATH FINANCE LTD</t>
        </is>
      </c>
      <c r="C3323" s="97" t="n">
        <v>507962</v>
      </c>
      <c r="D3323" s="96" t="inlineStr">
        <is>
          <t>Not Listed</t>
        </is>
      </c>
      <c r="E3323" s="96" t="inlineStr">
        <is>
          <t>Finance (including NBFCs)</t>
        </is>
      </c>
    </row>
    <row r="3324" ht="15" customHeight="1" s="109" thickBot="1">
      <c r="B3324" s="96" t="inlineStr">
        <is>
          <t>RAJDARSHAN INDUSTRIES LTD</t>
        </is>
      </c>
      <c r="C3324" s="97" t="n">
        <v>526662</v>
      </c>
      <c r="D3324" s="96" t="inlineStr">
        <is>
          <t>ARENTERP</t>
        </is>
      </c>
      <c r="E3324" s="96" t="inlineStr">
        <is>
          <t>Construction &amp; Engineering</t>
        </is>
      </c>
    </row>
    <row r="3325" ht="15" customHeight="1" s="109" thickBot="1">
      <c r="B3325" s="96" t="inlineStr">
        <is>
          <t>RAJESH EXPORTS LTD</t>
        </is>
      </c>
      <c r="C3325" s="97" t="n">
        <v>531500</v>
      </c>
      <c r="D3325" s="96" t="inlineStr">
        <is>
          <t>RAJESHEXPO</t>
        </is>
      </c>
      <c r="E3325" s="96" t="inlineStr">
        <is>
          <t>Other Apparels &amp; Accessories</t>
        </is>
      </c>
    </row>
    <row r="3326" ht="15" customHeight="1" s="109" thickBot="1">
      <c r="B3326" s="96" t="inlineStr">
        <is>
          <t>RAJESWARI INFRASTRUCTURE LTD</t>
        </is>
      </c>
      <c r="C3326" s="97" t="n">
        <v>526823</v>
      </c>
      <c r="D3326" s="96" t="inlineStr">
        <is>
          <t>Not Listed</t>
        </is>
      </c>
      <c r="E3326" s="96" t="inlineStr">
        <is>
          <t>Realty</t>
        </is>
      </c>
    </row>
    <row r="3327" ht="15" customHeight="1" s="109" thickBot="1">
      <c r="B3327" s="96" t="inlineStr">
        <is>
          <t>RAJKAMAL SYNTHETICS LTD</t>
        </is>
      </c>
      <c r="C3327" s="97" t="n">
        <v>514028</v>
      </c>
      <c r="D3327" s="96" t="inlineStr">
        <is>
          <t>Not Listed</t>
        </is>
      </c>
      <c r="E3327" s="96" t="inlineStr">
        <is>
          <t>Textiles</t>
        </is>
      </c>
    </row>
    <row r="3328" ht="15" customHeight="1" s="109" thickBot="1">
      <c r="B3328" s="96" t="inlineStr">
        <is>
          <t>RAJKOT INVESTMENT TRUST LTD</t>
        </is>
      </c>
      <c r="C3328" s="97" t="n">
        <v>539495</v>
      </c>
      <c r="D3328" s="96" t="inlineStr">
        <is>
          <t>Not Listed</t>
        </is>
      </c>
      <c r="E3328" s="96" t="inlineStr">
        <is>
          <t>Finance (including NBFCs)</t>
        </is>
      </c>
    </row>
    <row r="3329" ht="15" customHeight="1" s="109" thickBot="1">
      <c r="B3329" s="96" t="inlineStr">
        <is>
          <t>RAJKUMAR FORGE LTD</t>
        </is>
      </c>
      <c r="C3329" s="97" t="n">
        <v>513369</v>
      </c>
      <c r="D3329" s="96" t="inlineStr">
        <is>
          <t>Not Listed</t>
        </is>
      </c>
      <c r="E3329" s="96" t="inlineStr">
        <is>
          <t>Other Industrial Products</t>
        </is>
      </c>
    </row>
    <row r="3330" ht="15" customHeight="1" s="109" thickBot="1">
      <c r="B3330" s="96" t="inlineStr">
        <is>
          <t>RAJNANDINI METAL LTD</t>
        </is>
      </c>
      <c r="C3330" s="96" t="inlineStr">
        <is>
          <t>Not Listed</t>
        </is>
      </c>
      <c r="D3330" s="96" t="inlineStr">
        <is>
          <t>RAJMET</t>
        </is>
      </c>
      <c r="E3330" s="96" t="inlineStr">
        <is>
          <t>SME</t>
        </is>
      </c>
    </row>
    <row r="3331" ht="15" customHeight="1" s="109" thickBot="1">
      <c r="B3331" s="96" t="inlineStr">
        <is>
          <t>RAJNISH WELLNESS LTD</t>
        </is>
      </c>
      <c r="C3331" s="97" t="n">
        <v>541601</v>
      </c>
      <c r="D3331" s="96" t="inlineStr">
        <is>
          <t>Not Listed</t>
        </is>
      </c>
      <c r="E3331" s="96" t="inlineStr">
        <is>
          <t>Pharmaceuticals</t>
        </is>
      </c>
    </row>
    <row r="3332" ht="15" customHeight="1" s="109" thickBot="1">
      <c r="B3332" s="96" t="inlineStr">
        <is>
          <t>RAJOO ENGINEERS LTD</t>
        </is>
      </c>
      <c r="C3332" s="97" t="n">
        <v>522257</v>
      </c>
      <c r="D3332" s="96" t="inlineStr">
        <is>
          <t>Not Listed</t>
        </is>
      </c>
      <c r="E3332" s="96" t="inlineStr">
        <is>
          <t>Industrial Machinery</t>
        </is>
      </c>
    </row>
    <row r="3333" ht="15" customHeight="1" s="109" thickBot="1">
      <c r="B3333" s="96" t="inlineStr">
        <is>
          <t>RAJRATAN GLOBAL WIRE LTD</t>
        </is>
      </c>
      <c r="C3333" s="97" t="n">
        <v>517522</v>
      </c>
      <c r="D3333" s="96" t="inlineStr">
        <is>
          <t>Not Listed</t>
        </is>
      </c>
      <c r="E3333" s="96" t="inlineStr">
        <is>
          <t>Auto Parts &amp; Equipment</t>
        </is>
      </c>
    </row>
    <row r="3334" ht="15" customHeight="1" s="109" thickBot="1">
      <c r="B3334" s="96" t="inlineStr">
        <is>
          <t>RAJSANKET REALTY LTD</t>
        </is>
      </c>
      <c r="C3334" s="97" t="n">
        <v>512409</v>
      </c>
      <c r="D3334" s="96" t="inlineStr">
        <is>
          <t>Not Listed</t>
        </is>
      </c>
      <c r="E3334" s="96" t="inlineStr">
        <is>
          <t>Finance (including NBFCs)</t>
        </is>
      </c>
    </row>
    <row r="3335" ht="15" customHeight="1" s="109" thickBot="1">
      <c r="B3335" s="96" t="inlineStr">
        <is>
          <t>RAJSHREE POLYPACK LTD</t>
        </is>
      </c>
      <c r="C3335" s="96" t="inlineStr">
        <is>
          <t>Not Listed</t>
        </is>
      </c>
      <c r="D3335" s="96" t="inlineStr">
        <is>
          <t>RPPL</t>
        </is>
      </c>
      <c r="E3335" s="96" t="inlineStr">
        <is>
          <t>SME</t>
        </is>
      </c>
    </row>
    <row r="3336" ht="15" customHeight="1" s="109" thickBot="1">
      <c r="B3336" s="96" t="inlineStr">
        <is>
          <t>RAJSHREE SUGARS &amp; CHEMICALS LTD</t>
        </is>
      </c>
      <c r="C3336" s="97" t="n">
        <v>500354</v>
      </c>
      <c r="D3336" s="96" t="inlineStr">
        <is>
          <t>RAJSREESUG</t>
        </is>
      </c>
      <c r="E3336" s="96" t="inlineStr">
        <is>
          <t>Sugar</t>
        </is>
      </c>
    </row>
    <row r="3337" ht="15" customHeight="1" s="109" thickBot="1">
      <c r="B3337" s="96" t="inlineStr">
        <is>
          <t>RAJVIR INDUSTRIES LTD</t>
        </is>
      </c>
      <c r="C3337" s="97" t="n">
        <v>532665</v>
      </c>
      <c r="D3337" s="96" t="inlineStr">
        <is>
          <t>RAJVIR</t>
        </is>
      </c>
      <c r="E3337" s="96" t="inlineStr">
        <is>
          <t>Textiles</t>
        </is>
      </c>
    </row>
    <row r="3338" ht="15" customHeight="1" s="109" thickBot="1">
      <c r="B3338" s="96" t="inlineStr">
        <is>
          <t>RALLIS (INDIA) LTD</t>
        </is>
      </c>
      <c r="C3338" s="97" t="n">
        <v>500355</v>
      </c>
      <c r="D3338" s="96" t="inlineStr">
        <is>
          <t>RALLIS</t>
        </is>
      </c>
      <c r="E3338" s="96" t="inlineStr">
        <is>
          <t>Agrochemicals</t>
        </is>
      </c>
    </row>
    <row r="3339" ht="15" customHeight="1" s="109" thickBot="1">
      <c r="B3339" s="96" t="inlineStr">
        <is>
          <t>RALLIS INDIA LTD</t>
        </is>
      </c>
      <c r="C3339" s="97" t="n">
        <v>500355</v>
      </c>
      <c r="D3339" s="96" t="inlineStr">
        <is>
          <t>RALLIS</t>
        </is>
      </c>
      <c r="E3339" s="96" t="inlineStr">
        <is>
          <t>Agrochemicals</t>
        </is>
      </c>
    </row>
    <row r="3340" ht="15" customHeight="1" s="109" thickBot="1">
      <c r="B3340" s="96" t="inlineStr">
        <is>
          <t>RAM MINERALS AND CHEMICALS LTD</t>
        </is>
      </c>
      <c r="C3340" s="97" t="n">
        <v>534734</v>
      </c>
      <c r="D3340" s="96" t="inlineStr">
        <is>
          <t>Not Listed</t>
        </is>
      </c>
      <c r="E3340" s="96" t="inlineStr">
        <is>
          <t>Specialty Chemicals</t>
        </is>
      </c>
    </row>
    <row r="3341" ht="15" customHeight="1" s="109" thickBot="1">
      <c r="B3341" s="96" t="inlineStr">
        <is>
          <t>RAM RATNA WIRES LTD</t>
        </is>
      </c>
      <c r="C3341" s="97" t="n">
        <v>522281</v>
      </c>
      <c r="D3341" s="96" t="inlineStr">
        <is>
          <t>Not Listed</t>
        </is>
      </c>
      <c r="E3341" s="96" t="inlineStr">
        <is>
          <t>Other Elect.Equip./ Prod.</t>
        </is>
      </c>
    </row>
    <row r="3342" ht="15" customHeight="1" s="109" thickBot="1">
      <c r="B3342" s="96" t="inlineStr">
        <is>
          <t>RAMA PAPER MILLS LTD</t>
        </is>
      </c>
      <c r="C3342" s="97" t="n">
        <v>500357</v>
      </c>
      <c r="D3342" s="96" t="inlineStr">
        <is>
          <t>Not Listed</t>
        </is>
      </c>
      <c r="E3342" s="96" t="inlineStr">
        <is>
          <t>Paper &amp; Paper Products</t>
        </is>
      </c>
    </row>
    <row r="3343" ht="15" customHeight="1" s="109" thickBot="1">
      <c r="B3343" s="96" t="inlineStr">
        <is>
          <t>RAMA PETROCHEMICALS LTD</t>
        </is>
      </c>
      <c r="C3343" s="97" t="n">
        <v>500358</v>
      </c>
      <c r="D3343" s="96" t="inlineStr">
        <is>
          <t>Not Listed</t>
        </is>
      </c>
      <c r="E3343" s="96" t="inlineStr">
        <is>
          <t>Finance (including NBFCs)</t>
        </is>
      </c>
    </row>
    <row r="3344" ht="15" customHeight="1" s="109" thickBot="1">
      <c r="B3344" s="96" t="inlineStr">
        <is>
          <t>RAMA PHOSPHATES LTD</t>
        </is>
      </c>
      <c r="C3344" s="97" t="n">
        <v>524037</v>
      </c>
      <c r="D3344" s="96" t="inlineStr">
        <is>
          <t>Not Listed</t>
        </is>
      </c>
      <c r="E3344" s="96" t="inlineStr">
        <is>
          <t>Fertilizers</t>
        </is>
      </c>
    </row>
    <row r="3345" ht="15" customHeight="1" s="109" thickBot="1">
      <c r="B3345" s="96" t="inlineStr">
        <is>
          <t>RAMA PULP &amp; PAPERS LTD</t>
        </is>
      </c>
      <c r="C3345" s="97" t="n">
        <v>502587</v>
      </c>
      <c r="D3345" s="96" t="inlineStr">
        <is>
          <t>Not Listed</t>
        </is>
      </c>
      <c r="E3345" s="96" t="inlineStr">
        <is>
          <t>Paper &amp; Paper Products</t>
        </is>
      </c>
    </row>
    <row r="3346" ht="15" customHeight="1" s="109" thickBot="1">
      <c r="B3346" s="96" t="inlineStr">
        <is>
          <t>RAMA STEEL TUBES LTD</t>
        </is>
      </c>
      <c r="C3346" s="97" t="n">
        <v>539309</v>
      </c>
      <c r="D3346" s="96" t="inlineStr">
        <is>
          <t>RAMASTEEL</t>
        </is>
      </c>
      <c r="E3346" s="96" t="inlineStr">
        <is>
          <t>Iron &amp; Steel Products</t>
        </is>
      </c>
    </row>
    <row r="3347" ht="15" customHeight="1" s="109" thickBot="1">
      <c r="B3347" s="96" t="inlineStr">
        <is>
          <t>RAMA VISION LTD</t>
        </is>
      </c>
      <c r="C3347" s="97" t="n">
        <v>523289</v>
      </c>
      <c r="D3347" s="96" t="inlineStr">
        <is>
          <t>Not Listed</t>
        </is>
      </c>
      <c r="E3347" s="96" t="inlineStr">
        <is>
          <t>Comm.Trading &amp; Distribution</t>
        </is>
      </c>
    </row>
    <row r="3348" ht="15" customHeight="1" s="109" thickBot="1">
      <c r="B3348" s="96" t="inlineStr">
        <is>
          <t>RAMASIGNS INDUSTRIES LTD</t>
        </is>
      </c>
      <c r="C3348" s="97" t="n">
        <v>515127</v>
      </c>
      <c r="D3348" s="96" t="inlineStr">
        <is>
          <t>Not Listed</t>
        </is>
      </c>
      <c r="E3348" s="96" t="inlineStr">
        <is>
          <t>Comm.Trading &amp; Distribution</t>
        </is>
      </c>
    </row>
    <row r="3349" ht="15" customHeight="1" s="109" thickBot="1">
      <c r="B3349" s="96" t="inlineStr">
        <is>
          <t>RAMCHANDRA LEASING &amp; FINANCE LTD</t>
        </is>
      </c>
      <c r="C3349" s="97" t="n">
        <v>538540</v>
      </c>
      <c r="D3349" s="96" t="inlineStr">
        <is>
          <t>Not Listed</t>
        </is>
      </c>
      <c r="E3349" s="96" t="inlineStr">
        <is>
          <t>Finance (including NBFCs)</t>
        </is>
      </c>
    </row>
    <row r="3350" ht="15" customHeight="1" s="109" thickBot="1">
      <c r="B3350" s="96" t="inlineStr">
        <is>
          <t>RAMCO INDUSTRIES LTD</t>
        </is>
      </c>
      <c r="C3350" s="97" t="n">
        <v>532369</v>
      </c>
      <c r="D3350" s="96" t="inlineStr">
        <is>
          <t>RAMCOIND</t>
        </is>
      </c>
      <c r="E3350" s="96" t="inlineStr">
        <is>
          <t>Construction Materials</t>
        </is>
      </c>
    </row>
    <row r="3351" ht="15" customHeight="1" s="109" thickBot="1">
      <c r="B3351" s="96" t="inlineStr">
        <is>
          <t>RAMCO SYSTEMS LTD</t>
        </is>
      </c>
      <c r="C3351" s="97" t="n">
        <v>532370</v>
      </c>
      <c r="D3351" s="96" t="inlineStr">
        <is>
          <t>RAMCOSYS</t>
        </is>
      </c>
      <c r="E3351" s="96" t="inlineStr">
        <is>
          <t>IT Consulting &amp; Software</t>
        </is>
      </c>
    </row>
    <row r="3352" ht="15" customHeight="1" s="109" thickBot="1">
      <c r="B3352" s="96" t="inlineStr">
        <is>
          <t>RAMGOPAL POLYTEX LTD</t>
        </is>
      </c>
      <c r="C3352" s="97" t="n">
        <v>514223</v>
      </c>
      <c r="D3352" s="96" t="inlineStr">
        <is>
          <t>RAMGOPOLY</t>
        </is>
      </c>
      <c r="E3352" s="96" t="inlineStr">
        <is>
          <t>Comm.Trading &amp; Distribution</t>
        </is>
      </c>
    </row>
    <row r="3353" ht="15" customHeight="1" s="109" thickBot="1">
      <c r="B3353" s="96" t="inlineStr">
        <is>
          <t>RAMINFO LTD</t>
        </is>
      </c>
      <c r="C3353" s="97" t="n">
        <v>530951</v>
      </c>
      <c r="D3353" s="96" t="inlineStr">
        <is>
          <t>Not Listed</t>
        </is>
      </c>
      <c r="E3353" s="96" t="inlineStr">
        <is>
          <t>IT Software Products</t>
        </is>
      </c>
    </row>
    <row r="3354" ht="15" customHeight="1" s="109" thickBot="1">
      <c r="B3354" s="96" t="inlineStr">
        <is>
          <t>RAMKRISHNA FORGINGS LTD</t>
        </is>
      </c>
      <c r="C3354" s="97" t="n">
        <v>532527</v>
      </c>
      <c r="D3354" s="96" t="inlineStr">
        <is>
          <t>RKFORGE</t>
        </is>
      </c>
      <c r="E3354" s="96" t="inlineStr">
        <is>
          <t>Other Industrial Products</t>
        </is>
      </c>
    </row>
    <row r="3355" ht="15" customHeight="1" s="109" thickBot="1">
      <c r="B3355" s="96" t="inlineStr">
        <is>
          <t>RAMKY INFRASTRUCTURE LTD</t>
        </is>
      </c>
      <c r="C3355" s="97" t="n">
        <v>533262</v>
      </c>
      <c r="D3355" s="96" t="inlineStr">
        <is>
          <t>RAMKY</t>
        </is>
      </c>
      <c r="E3355" s="96" t="inlineStr">
        <is>
          <t>Construction &amp; Engineering</t>
        </is>
      </c>
    </row>
    <row r="3356" ht="15" customHeight="1" s="109" thickBot="1">
      <c r="B3356" s="96" t="inlineStr">
        <is>
          <t>RAMSARUP INDUSTRIES LTD</t>
        </is>
      </c>
      <c r="C3356" s="97" t="n">
        <v>532690</v>
      </c>
      <c r="D3356" s="96" t="inlineStr">
        <is>
          <t>RAMSARUP</t>
        </is>
      </c>
      <c r="E3356" s="96" t="inlineStr">
        <is>
          <t>Iron &amp; Steel/Interm.Products</t>
        </is>
      </c>
    </row>
    <row r="3357" ht="15" customHeight="1" s="109" thickBot="1">
      <c r="B3357" s="96" t="inlineStr">
        <is>
          <t>RAMSONS PROJECTS LTD</t>
        </is>
      </c>
      <c r="C3357" s="97" t="n">
        <v>530925</v>
      </c>
      <c r="D3357" s="96" t="inlineStr">
        <is>
          <t>Not Listed</t>
        </is>
      </c>
      <c r="E3357" s="96" t="inlineStr">
        <is>
          <t>Finance (including NBFCs)</t>
        </is>
      </c>
    </row>
    <row r="3358" ht="15" customHeight="1" s="109" thickBot="1">
      <c r="B3358" s="96" t="inlineStr">
        <is>
          <t>RANA SUGARS LTD</t>
        </is>
      </c>
      <c r="C3358" s="97" t="n">
        <v>507490</v>
      </c>
      <c r="D3358" s="96" t="inlineStr">
        <is>
          <t>RANASUG</t>
        </is>
      </c>
      <c r="E3358" s="96" t="inlineStr">
        <is>
          <t>Sugar</t>
        </is>
      </c>
    </row>
    <row r="3359" ht="15" customHeight="1" s="109" thickBot="1">
      <c r="B3359" s="96" t="inlineStr">
        <is>
          <t>RANDER CORPORATION LTD</t>
        </is>
      </c>
      <c r="C3359" s="97" t="n">
        <v>531228</v>
      </c>
      <c r="D3359" s="96" t="inlineStr">
        <is>
          <t>Not Listed</t>
        </is>
      </c>
      <c r="E3359" s="96" t="inlineStr">
        <is>
          <t>Finance (including NBFCs)</t>
        </is>
      </c>
    </row>
    <row r="3360" ht="15" customHeight="1" s="109" thickBot="1">
      <c r="B3360" s="96" t="inlineStr">
        <is>
          <t>RANE BRAKE LINING LTD</t>
        </is>
      </c>
      <c r="C3360" s="97" t="n">
        <v>532987</v>
      </c>
      <c r="D3360" s="96" t="inlineStr">
        <is>
          <t>RBL</t>
        </is>
      </c>
      <c r="E3360" s="96" t="inlineStr">
        <is>
          <t>Auto Parts &amp; Equipment</t>
        </is>
      </c>
    </row>
    <row r="3361" ht="15" customHeight="1" s="109" thickBot="1">
      <c r="B3361" s="96" t="inlineStr">
        <is>
          <t>RANE ENGINE VALVE LTD</t>
        </is>
      </c>
      <c r="C3361" s="97" t="n">
        <v>532988</v>
      </c>
      <c r="D3361" s="96" t="inlineStr">
        <is>
          <t>RANEENGINE</t>
        </is>
      </c>
      <c r="E3361" s="96" t="inlineStr">
        <is>
          <t>Auto Parts &amp; Equipment</t>
        </is>
      </c>
    </row>
    <row r="3362" ht="15" customHeight="1" s="109" thickBot="1">
      <c r="B3362" s="96" t="inlineStr">
        <is>
          <t>RANE HOLDINGS LTD</t>
        </is>
      </c>
      <c r="C3362" s="97" t="n">
        <v>505800</v>
      </c>
      <c r="D3362" s="96" t="inlineStr">
        <is>
          <t>RANEHOLDIN</t>
        </is>
      </c>
      <c r="E3362" s="96" t="inlineStr">
        <is>
          <t>Auto Parts &amp; Equipment</t>
        </is>
      </c>
    </row>
    <row r="3363" ht="15" customHeight="1" s="109" thickBot="1">
      <c r="B3363" s="96" t="inlineStr">
        <is>
          <t>RANE MADRAS LTD</t>
        </is>
      </c>
      <c r="C3363" s="97" t="n">
        <v>532661</v>
      </c>
      <c r="D3363" s="96" t="inlineStr">
        <is>
          <t>RML</t>
        </is>
      </c>
      <c r="E3363" s="96" t="inlineStr">
        <is>
          <t>Auto Parts &amp; Equipment</t>
        </is>
      </c>
    </row>
    <row r="3364" ht="15" customHeight="1" s="109" thickBot="1">
      <c r="B3364" s="96" t="inlineStr">
        <is>
          <t>RANJEET MECHATRONICS LTD</t>
        </is>
      </c>
      <c r="C3364" s="97" t="n">
        <v>541945</v>
      </c>
      <c r="D3364" s="96" t="inlineStr">
        <is>
          <t>Not Listed</t>
        </is>
      </c>
      <c r="E3364" s="96" t="inlineStr">
        <is>
          <t>Construction &amp; Engineering</t>
        </is>
      </c>
    </row>
    <row r="3365" ht="15" customHeight="1" s="109" thickBot="1">
      <c r="B3365" s="96" t="inlineStr">
        <is>
          <t>RAP MEDIA LTD</t>
        </is>
      </c>
      <c r="C3365" s="97" t="n">
        <v>531583</v>
      </c>
      <c r="D3365" s="96" t="inlineStr">
        <is>
          <t>Not Listed</t>
        </is>
      </c>
      <c r="E3365" s="96" t="inlineStr">
        <is>
          <t>Finance (including NBFCs)</t>
        </is>
      </c>
    </row>
    <row r="3366" ht="15" customHeight="1" s="109" thickBot="1">
      <c r="B3366" s="96" t="inlineStr">
        <is>
          <t>RAPICUT CARBIDES LTD</t>
        </is>
      </c>
      <c r="C3366" s="97" t="n">
        <v>500360</v>
      </c>
      <c r="D3366" s="96" t="inlineStr">
        <is>
          <t>Not Listed</t>
        </is>
      </c>
      <c r="E3366" s="96" t="inlineStr">
        <is>
          <t>Industrial Machinery</t>
        </is>
      </c>
    </row>
    <row r="3367" ht="15" customHeight="1" s="109" thickBot="1">
      <c r="B3367" s="96" t="inlineStr">
        <is>
          <t>RAPID INVESTMENTS LTD</t>
        </is>
      </c>
      <c r="C3367" s="97" t="n">
        <v>501351</v>
      </c>
      <c r="D3367" s="96" t="inlineStr">
        <is>
          <t>Not Listed</t>
        </is>
      </c>
      <c r="E3367" s="96" t="inlineStr">
        <is>
          <t>Misc.Commercial Services</t>
        </is>
      </c>
    </row>
    <row r="3368" ht="15" customHeight="1" s="109" thickBot="1">
      <c r="B3368" s="96" t="inlineStr">
        <is>
          <t>RAS RESORTS &amp; APART HOTELS LTD</t>
        </is>
      </c>
      <c r="C3368" s="97" t="n">
        <v>507966</v>
      </c>
      <c r="D3368" s="96" t="inlineStr">
        <is>
          <t>Not Listed</t>
        </is>
      </c>
      <c r="E3368" s="96" t="inlineStr">
        <is>
          <t>Hotels</t>
        </is>
      </c>
    </row>
    <row r="3369" ht="15" customHeight="1" s="109" thickBot="1">
      <c r="B3369" s="96" t="inlineStr">
        <is>
          <t>RASANDIK ENGINEERING INDUSTRIES (INDIA) LTD</t>
        </is>
      </c>
      <c r="C3369" s="97" t="n">
        <v>522207</v>
      </c>
      <c r="D3369" s="96" t="inlineStr">
        <is>
          <t>Not Listed</t>
        </is>
      </c>
      <c r="E3369" s="96" t="inlineStr">
        <is>
          <t>Auto Parts &amp; Equipment</t>
        </is>
      </c>
    </row>
    <row r="3370" ht="15" customHeight="1" s="109" thickBot="1">
      <c r="B3370" s="96" t="inlineStr">
        <is>
          <t>RASANDIK ENGINEERING INDUSTRIES INDIA LTD</t>
        </is>
      </c>
      <c r="C3370" s="97" t="n">
        <v>522207</v>
      </c>
      <c r="D3370" s="96" t="inlineStr">
        <is>
          <t>Not Listed</t>
        </is>
      </c>
      <c r="E3370" s="96" t="inlineStr">
        <is>
          <t>Auto Parts &amp; Equipment</t>
        </is>
      </c>
    </row>
    <row r="3371" ht="15" customHeight="1" s="109" thickBot="1">
      <c r="B3371" s="96" t="inlineStr">
        <is>
          <t>RASHTRIYA CHEMICALS AND FERTILIZERS LTD</t>
        </is>
      </c>
      <c r="C3371" s="97" t="n">
        <v>524230</v>
      </c>
      <c r="D3371" s="96" t="inlineStr">
        <is>
          <t>RCF</t>
        </is>
      </c>
      <c r="E3371" s="96" t="inlineStr">
        <is>
          <t>Fertilizers</t>
        </is>
      </c>
    </row>
    <row r="3372" ht="15" customHeight="1" s="109" thickBot="1">
      <c r="B3372" s="96" t="inlineStr">
        <is>
          <t>RASI ELECTRODES LTD</t>
        </is>
      </c>
      <c r="C3372" s="97" t="n">
        <v>531233</v>
      </c>
      <c r="D3372" s="96" t="inlineStr">
        <is>
          <t>Not Listed</t>
        </is>
      </c>
      <c r="E3372" s="96" t="inlineStr">
        <is>
          <t>Other Industrial Goods</t>
        </is>
      </c>
    </row>
    <row r="3373" ht="15" customHeight="1" s="109" thickBot="1">
      <c r="B3373" s="96" t="inlineStr">
        <is>
          <t>RASOI LTD</t>
        </is>
      </c>
      <c r="C3373" s="97" t="n">
        <v>507649</v>
      </c>
      <c r="D3373" s="96" t="inlineStr">
        <is>
          <t>Not Listed</t>
        </is>
      </c>
      <c r="E3373" s="96" t="inlineStr">
        <is>
          <t>Edible Oils</t>
        </is>
      </c>
    </row>
    <row r="3374" ht="15" customHeight="1" s="109" thickBot="1">
      <c r="B3374" s="96" t="inlineStr">
        <is>
          <t>RATHI BARS LTD</t>
        </is>
      </c>
      <c r="C3374" s="97" t="n">
        <v>532918</v>
      </c>
      <c r="D3374" s="96" t="inlineStr">
        <is>
          <t>Not Listed</t>
        </is>
      </c>
      <c r="E3374" s="96" t="inlineStr">
        <is>
          <t>Iron &amp; Steel Products</t>
        </is>
      </c>
    </row>
    <row r="3375" ht="15" customHeight="1" s="109" thickBot="1">
      <c r="B3375" s="96" t="inlineStr">
        <is>
          <t>RATHI GRAPHIC TECHNOLOGIES LTD</t>
        </is>
      </c>
      <c r="C3375" s="97" t="n">
        <v>524610</v>
      </c>
      <c r="D3375" s="96" t="inlineStr">
        <is>
          <t>Not Listed</t>
        </is>
      </c>
      <c r="E3375" s="96" t="inlineStr">
        <is>
          <t>Specialty Chemicals</t>
        </is>
      </c>
    </row>
    <row r="3376" ht="15" customHeight="1" s="109" thickBot="1">
      <c r="B3376" s="96" t="inlineStr">
        <is>
          <t>RATNABHUMI DEVELOPERS LTD</t>
        </is>
      </c>
      <c r="C3376" s="97" t="n">
        <v>540796</v>
      </c>
      <c r="D3376" s="96" t="inlineStr">
        <is>
          <t>Not Listed</t>
        </is>
      </c>
      <c r="E3376" s="96" t="inlineStr">
        <is>
          <t>Realty</t>
        </is>
      </c>
    </row>
    <row r="3377" ht="15" customHeight="1" s="109" thickBot="1">
      <c r="B3377" s="96" t="inlineStr">
        <is>
          <t>RATNAMANI METALS &amp; TUBES LTD</t>
        </is>
      </c>
      <c r="C3377" s="97" t="n">
        <v>520111</v>
      </c>
      <c r="D3377" s="96" t="inlineStr">
        <is>
          <t>RATNAMANI</t>
        </is>
      </c>
      <c r="E3377" s="96" t="inlineStr">
        <is>
          <t>Construction &amp; Engineering</t>
        </is>
      </c>
    </row>
    <row r="3378" ht="15" customHeight="1" s="109" thickBot="1">
      <c r="B3378" s="96" t="inlineStr">
        <is>
          <t>RATTANINDIA INFRASTRUCTURE LTD</t>
        </is>
      </c>
      <c r="C3378" s="97" t="n">
        <v>534597</v>
      </c>
      <c r="D3378" s="96" t="inlineStr">
        <is>
          <t>RTNINFRA</t>
        </is>
      </c>
      <c r="E3378" s="96" t="inlineStr">
        <is>
          <t>Electric Utilities</t>
        </is>
      </c>
    </row>
    <row r="3379" ht="15" customHeight="1" s="109" thickBot="1">
      <c r="B3379" s="96" t="inlineStr">
        <is>
          <t>RATTANINDIA POWER LTD</t>
        </is>
      </c>
      <c r="C3379" s="97" t="n">
        <v>533122</v>
      </c>
      <c r="D3379" s="96" t="inlineStr">
        <is>
          <t>RTNPOWER</t>
        </is>
      </c>
      <c r="E3379" s="96" t="inlineStr">
        <is>
          <t>Electric Utilities</t>
        </is>
      </c>
    </row>
    <row r="3380" ht="15" customHeight="1" s="109" thickBot="1">
      <c r="B3380" s="96" t="inlineStr">
        <is>
          <t>RAUNAQ EPC INTERNATIONAL LTD</t>
        </is>
      </c>
      <c r="C3380" s="97" t="n">
        <v>537840</v>
      </c>
      <c r="D3380" s="96" t="inlineStr">
        <is>
          <t>Not Listed</t>
        </is>
      </c>
      <c r="E3380" s="96" t="inlineStr">
        <is>
          <t>Construction &amp; Engineering</t>
        </is>
      </c>
    </row>
    <row r="3381" ht="15" customHeight="1" s="109" thickBot="1">
      <c r="B3381" s="96" t="inlineStr">
        <is>
          <t>RAVALGAON SUGAR FARM LTD</t>
        </is>
      </c>
      <c r="C3381" s="97" t="n">
        <v>507300</v>
      </c>
      <c r="D3381" s="96" t="inlineStr">
        <is>
          <t>Not Listed</t>
        </is>
      </c>
      <c r="E3381" s="96" t="inlineStr">
        <is>
          <t>Sugar</t>
        </is>
      </c>
    </row>
    <row r="3382" ht="15" customHeight="1" s="109" thickBot="1">
      <c r="B3382" s="96" t="inlineStr">
        <is>
          <t>RAVI KUMAR DISTILLERIES LTD</t>
        </is>
      </c>
      <c r="C3382" s="97" t="n">
        <v>533294</v>
      </c>
      <c r="D3382" s="96" t="inlineStr">
        <is>
          <t>RKDL</t>
        </is>
      </c>
      <c r="E3382" s="96" t="inlineStr">
        <is>
          <t>Breweries &amp; Distilleries</t>
        </is>
      </c>
    </row>
    <row r="3383" ht="15" customHeight="1" s="109" thickBot="1">
      <c r="B3383" s="96" t="inlineStr">
        <is>
          <t>RAVILEELA GRANITES LTD</t>
        </is>
      </c>
      <c r="C3383" s="97" t="n">
        <v>526095</v>
      </c>
      <c r="D3383" s="96" t="inlineStr">
        <is>
          <t>Not Listed</t>
        </is>
      </c>
      <c r="E3383" s="96" t="inlineStr">
        <is>
          <t>Construction Materials</t>
        </is>
      </c>
    </row>
    <row r="3384" ht="15" customHeight="1" s="109" thickBot="1">
      <c r="B3384" s="96" t="inlineStr">
        <is>
          <t>RAVINDRA ENERGY LTD</t>
        </is>
      </c>
      <c r="C3384" s="97" t="n">
        <v>504341</v>
      </c>
      <c r="D3384" s="96" t="inlineStr">
        <is>
          <t>Not Listed</t>
        </is>
      </c>
      <c r="E3384" s="96" t="inlineStr">
        <is>
          <t>Other Financial Services</t>
        </is>
      </c>
    </row>
    <row r="3385" ht="15" customHeight="1" s="109" thickBot="1">
      <c r="B3385" s="96" t="inlineStr">
        <is>
          <t>RAW EDGE INDUSTRIAL SOLUTIONS LTD</t>
        </is>
      </c>
      <c r="C3385" s="97" t="n">
        <v>541634</v>
      </c>
      <c r="D3385" s="96" t="inlineStr">
        <is>
          <t>Not Listed</t>
        </is>
      </c>
      <c r="E3385" s="96" t="inlineStr">
        <is>
          <t>Construction Materials</t>
        </is>
      </c>
    </row>
    <row r="3386" ht="15" customHeight="1" s="109" thickBot="1">
      <c r="B3386" s="96" t="inlineStr">
        <is>
          <t>RAYMED LABS LTD</t>
        </is>
      </c>
      <c r="C3386" s="97" t="n">
        <v>531207</v>
      </c>
      <c r="D3386" s="96" t="inlineStr">
        <is>
          <t>Not Listed</t>
        </is>
      </c>
      <c r="E3386" s="96" t="inlineStr">
        <is>
          <t>Pharmaceuticals</t>
        </is>
      </c>
    </row>
    <row r="3387" ht="15" customHeight="1" s="109" thickBot="1">
      <c r="B3387" s="96" t="inlineStr">
        <is>
          <t>RAYMOND LTD</t>
        </is>
      </c>
      <c r="C3387" s="97" t="n">
        <v>500330</v>
      </c>
      <c r="D3387" s="96" t="inlineStr">
        <is>
          <t>RAYMOND</t>
        </is>
      </c>
      <c r="E3387" s="96" t="inlineStr">
        <is>
          <t>Textiles</t>
        </is>
      </c>
    </row>
    <row r="3388" ht="15" customHeight="1" s="109" thickBot="1">
      <c r="B3388" s="96" t="inlineStr">
        <is>
          <t>RBL BANK LTD</t>
        </is>
      </c>
      <c r="C3388" s="97" t="n">
        <v>540065</v>
      </c>
      <c r="D3388" s="96" t="inlineStr">
        <is>
          <t>RBLBANK</t>
        </is>
      </c>
      <c r="E3388" s="96" t="inlineStr">
        <is>
          <t>Banks</t>
        </is>
      </c>
    </row>
    <row r="3389" ht="15" customHeight="1" s="109" thickBot="1">
      <c r="B3389" s="96" t="inlineStr">
        <is>
          <t>RCC CEMENTS LTD</t>
        </is>
      </c>
      <c r="C3389" s="97" t="n">
        <v>531825</v>
      </c>
      <c r="D3389" s="96" t="inlineStr">
        <is>
          <t>Not Listed</t>
        </is>
      </c>
      <c r="E3389" s="96" t="inlineStr">
        <is>
          <t>IT Consulting &amp; Software</t>
        </is>
      </c>
    </row>
    <row r="3390" ht="15" customHeight="1" s="109" thickBot="1">
      <c r="B3390" s="96" t="inlineStr">
        <is>
          <t>RCI INDUSTRIES &amp; TECHNOLOGIES LTD</t>
        </is>
      </c>
      <c r="C3390" s="97" t="n">
        <v>537254</v>
      </c>
      <c r="D3390" s="96" t="inlineStr">
        <is>
          <t>Not Listed</t>
        </is>
      </c>
      <c r="E3390" s="96" t="inlineStr">
        <is>
          <t>Comm.Trading &amp; Distribution</t>
        </is>
      </c>
    </row>
    <row r="3391" ht="15" customHeight="1" s="109" thickBot="1">
      <c r="B3391" s="96" t="inlineStr">
        <is>
          <t>RCL RETAIL LTD</t>
        </is>
      </c>
      <c r="C3391" s="97" t="n">
        <v>534708</v>
      </c>
      <c r="D3391" s="96" t="inlineStr">
        <is>
          <t>Not Listed</t>
        </is>
      </c>
      <c r="E3391" s="96" t="inlineStr">
        <is>
          <t>Department Stores</t>
        </is>
      </c>
    </row>
    <row r="3392" ht="15" customHeight="1" s="109" thickBot="1">
      <c r="B3392" s="96" t="inlineStr">
        <is>
          <t>RDB RASAYANS LTD</t>
        </is>
      </c>
      <c r="C3392" s="97" t="n">
        <v>533608</v>
      </c>
      <c r="D3392" s="96" t="inlineStr">
        <is>
          <t>Not Listed</t>
        </is>
      </c>
      <c r="E3392" s="96" t="inlineStr">
        <is>
          <t>Plastic Products</t>
        </is>
      </c>
    </row>
    <row r="3393" ht="15" customHeight="1" s="109" thickBot="1">
      <c r="B3393" s="96" t="inlineStr">
        <is>
          <t>RDB REALTY &amp; INFRASTRUCTURE LTD</t>
        </is>
      </c>
      <c r="C3393" s="97" t="n">
        <v>533285</v>
      </c>
      <c r="D3393" s="96" t="inlineStr">
        <is>
          <t>Not Listed</t>
        </is>
      </c>
      <c r="E3393" s="96" t="inlineStr">
        <is>
          <t>Realty</t>
        </is>
      </c>
    </row>
    <row r="3394" ht="15" customHeight="1" s="109" thickBot="1">
      <c r="B3394" s="96" t="inlineStr">
        <is>
          <t>REAL GROWTH COMMERCIAL ENTERPRISES LTD</t>
        </is>
      </c>
      <c r="C3394" s="97" t="n">
        <v>539691</v>
      </c>
      <c r="D3394" s="96" t="inlineStr">
        <is>
          <t>Not Listed</t>
        </is>
      </c>
      <c r="E3394" s="96" t="inlineStr">
        <is>
          <t>Comm.Trading &amp; Distribution</t>
        </is>
      </c>
    </row>
    <row r="3395" ht="15" customHeight="1" s="109" thickBot="1">
      <c r="B3395" s="96" t="inlineStr">
        <is>
          <t>REAL NEWS &amp; VIEWS LTD</t>
        </is>
      </c>
      <c r="C3395" s="97" t="n">
        <v>530053</v>
      </c>
      <c r="D3395" s="96" t="inlineStr">
        <is>
          <t>Not Listed</t>
        </is>
      </c>
      <c r="E3395" s="96" t="inlineStr">
        <is>
          <t>Realty</t>
        </is>
      </c>
    </row>
    <row r="3396" ht="15" customHeight="1" s="109" thickBot="1">
      <c r="B3396" s="96" t="inlineStr">
        <is>
          <t>REAL STRIPS LTD</t>
        </is>
      </c>
      <c r="C3396" s="97" t="n">
        <v>513558</v>
      </c>
      <c r="D3396" s="96" t="inlineStr">
        <is>
          <t>Not Listed</t>
        </is>
      </c>
      <c r="E3396" s="96" t="inlineStr">
        <is>
          <t>Iron &amp; Steel/Interm.Products</t>
        </is>
      </c>
    </row>
    <row r="3397" ht="15" customHeight="1" s="109" thickBot="1">
      <c r="B3397" s="96" t="inlineStr">
        <is>
          <t>REAL TOUCH FINANCE LTD</t>
        </is>
      </c>
      <c r="C3397" s="97" t="n">
        <v>538611</v>
      </c>
      <c r="D3397" s="96" t="inlineStr">
        <is>
          <t>Not Listed</t>
        </is>
      </c>
      <c r="E3397" s="96" t="inlineStr">
        <is>
          <t>Other Financial Services</t>
        </is>
      </c>
    </row>
    <row r="3398" ht="15" customHeight="1" s="109" thickBot="1">
      <c r="B3398" s="96" t="inlineStr">
        <is>
          <t>REC LTD</t>
        </is>
      </c>
      <c r="C3398" s="97" t="n">
        <v>532955</v>
      </c>
      <c r="D3398" s="96" t="inlineStr">
        <is>
          <t>RECLTD</t>
        </is>
      </c>
      <c r="E3398" s="96" t="inlineStr">
        <is>
          <t>Finance (including NBFCs)</t>
        </is>
      </c>
    </row>
    <row r="3399" ht="15" customHeight="1" s="109" thickBot="1">
      <c r="B3399" s="96" t="inlineStr">
        <is>
          <t>REDEX PROTECH LTD</t>
        </is>
      </c>
      <c r="C3399" s="97" t="n">
        <v>523650</v>
      </c>
      <c r="D3399" s="96" t="inlineStr">
        <is>
          <t>Not Listed</t>
        </is>
      </c>
      <c r="E3399" s="96" t="inlineStr">
        <is>
          <t>Industrial Machinery</t>
        </is>
      </c>
    </row>
    <row r="3400" ht="15" customHeight="1" s="109" thickBot="1">
      <c r="B3400" s="96" t="inlineStr">
        <is>
          <t>REDINGTON (INDIA) LTD</t>
        </is>
      </c>
      <c r="C3400" s="97" t="n">
        <v>532805</v>
      </c>
      <c r="D3400" s="96" t="inlineStr">
        <is>
          <t>REDINGTON</t>
        </is>
      </c>
      <c r="E3400" s="96" t="inlineStr">
        <is>
          <t>Comm.Trading &amp; Distribution</t>
        </is>
      </c>
    </row>
    <row r="3401" ht="15" customHeight="1" s="109" thickBot="1">
      <c r="B3401" s="96" t="inlineStr">
        <is>
          <t>REDINGTON INDIA LTD</t>
        </is>
      </c>
      <c r="C3401" s="97" t="n">
        <v>532805</v>
      </c>
      <c r="D3401" s="96" t="inlineStr">
        <is>
          <t>REDINGTON</t>
        </is>
      </c>
      <c r="E3401" s="96" t="inlineStr">
        <is>
          <t>Comm.Trading &amp; Distribution</t>
        </is>
      </c>
    </row>
    <row r="3402" ht="15" customHeight="1" s="109" thickBot="1">
      <c r="B3402" s="96" t="inlineStr">
        <is>
          <t>REFEX INDUSTRIES LTD</t>
        </is>
      </c>
      <c r="C3402" s="97" t="n">
        <v>532884</v>
      </c>
      <c r="D3402" s="96" t="inlineStr">
        <is>
          <t>REFEX</t>
        </is>
      </c>
      <c r="E3402" s="96" t="inlineStr">
        <is>
          <t>Industrial Gases</t>
        </is>
      </c>
    </row>
    <row r="3403" ht="15" customHeight="1" s="109" thickBot="1">
      <c r="B3403" s="96" t="inlineStr">
        <is>
          <t>REFNOL RESINS &amp; CHEMICALS LTD</t>
        </is>
      </c>
      <c r="C3403" s="97" t="n">
        <v>530815</v>
      </c>
      <c r="D3403" s="96" t="inlineStr">
        <is>
          <t>Not Listed</t>
        </is>
      </c>
      <c r="E3403" s="96" t="inlineStr">
        <is>
          <t>Commodity Chemicals</t>
        </is>
      </c>
    </row>
    <row r="3404" ht="15" customHeight="1" s="109" thickBot="1">
      <c r="B3404" s="96" t="inlineStr">
        <is>
          <t>REGAL ENTERTAINMENT &amp; CONSULTANTS LTD</t>
        </is>
      </c>
      <c r="C3404" s="97" t="n">
        <v>531033</v>
      </c>
      <c r="D3404" s="96" t="inlineStr">
        <is>
          <t>Not Listed</t>
        </is>
      </c>
      <c r="E3404" s="96" t="inlineStr">
        <is>
          <t>Finance (including NBFCs)</t>
        </is>
      </c>
    </row>
    <row r="3405" ht="15" customHeight="1" s="109" thickBot="1">
      <c r="B3405" s="96" t="inlineStr">
        <is>
          <t>REGALIAA REALTY LTD</t>
        </is>
      </c>
      <c r="C3405" s="97" t="n">
        <v>530807</v>
      </c>
      <c r="D3405" s="96" t="inlineStr">
        <is>
          <t>Not Listed</t>
        </is>
      </c>
      <c r="E3405" s="96" t="inlineStr">
        <is>
          <t>Realty</t>
        </is>
      </c>
    </row>
    <row r="3406" ht="15" customHeight="1" s="109" thickBot="1">
      <c r="B3406" s="96" t="inlineStr">
        <is>
          <t>REGENCY CERAMICS LTD</t>
        </is>
      </c>
      <c r="C3406" s="97" t="n">
        <v>515018</v>
      </c>
      <c r="D3406" s="96" t="inlineStr">
        <is>
          <t>REGENCERAM</t>
        </is>
      </c>
      <c r="E3406" s="96" t="inlineStr">
        <is>
          <t>Furniture-Furnishing-Paints</t>
        </is>
      </c>
    </row>
    <row r="3407" ht="15" customHeight="1" s="109" thickBot="1">
      <c r="B3407" s="96" t="inlineStr">
        <is>
          <t>REGENCY INVESTMENTS LTD</t>
        </is>
      </c>
      <c r="C3407" s="97" t="n">
        <v>540175</v>
      </c>
      <c r="D3407" s="96" t="inlineStr">
        <is>
          <t>Not Listed</t>
        </is>
      </c>
      <c r="E3407" s="96" t="inlineStr">
        <is>
          <t>Other Financial Services</t>
        </is>
      </c>
    </row>
    <row r="3408" ht="15" customHeight="1" s="109" thickBot="1">
      <c r="B3408" s="96" t="inlineStr">
        <is>
          <t>REGENCY TRUST LTD</t>
        </is>
      </c>
      <c r="C3408" s="97" t="n">
        <v>511585</v>
      </c>
      <c r="D3408" s="96" t="inlineStr">
        <is>
          <t>Not Listed</t>
        </is>
      </c>
      <c r="E3408" s="96" t="inlineStr">
        <is>
          <t>Finance (including NBFCs)</t>
        </is>
      </c>
    </row>
    <row r="3409" ht="15" customHeight="1" s="109" thickBot="1">
      <c r="B3409" s="96" t="inlineStr">
        <is>
          <t>REGENT ENTERPRISES LTD</t>
        </is>
      </c>
      <c r="C3409" s="97" t="n">
        <v>512624</v>
      </c>
      <c r="D3409" s="96" t="inlineStr">
        <is>
          <t>Not Listed</t>
        </is>
      </c>
      <c r="E3409" s="96" t="inlineStr">
        <is>
          <t>Comm.Trading &amp; Distribution</t>
        </is>
      </c>
    </row>
    <row r="3410" ht="15" customHeight="1" s="109" thickBot="1">
      <c r="B3410" s="96" t="inlineStr">
        <is>
          <t>REIL ELECTRICALS (INDIA) LTD</t>
        </is>
      </c>
      <c r="C3410" s="97" t="n">
        <v>505817</v>
      </c>
      <c r="D3410" s="96" t="inlineStr">
        <is>
          <t>Not Listed</t>
        </is>
      </c>
      <c r="E3410" s="96" t="inlineStr">
        <is>
          <t>Auto Parts &amp; Equipment</t>
        </is>
      </c>
    </row>
    <row r="3411" ht="15" customHeight="1" s="109" thickBot="1">
      <c r="B3411" s="96" t="inlineStr">
        <is>
          <t>REIL ELECTRICALS INDIA LTD</t>
        </is>
      </c>
      <c r="C3411" s="97" t="n">
        <v>505817</v>
      </c>
      <c r="D3411" s="96" t="inlineStr">
        <is>
          <t>Not Listed</t>
        </is>
      </c>
      <c r="E3411" s="96" t="inlineStr">
        <is>
          <t>Auto Parts &amp; Equipment</t>
        </is>
      </c>
    </row>
    <row r="3412" ht="15" customHeight="1" s="109" thickBot="1">
      <c r="B3412" s="96" t="inlineStr">
        <is>
          <t>REKVINA LABORATORIES LTD</t>
        </is>
      </c>
      <c r="C3412" s="97" t="n">
        <v>526075</v>
      </c>
      <c r="D3412" s="96" t="inlineStr">
        <is>
          <t>Not Listed</t>
        </is>
      </c>
      <c r="E3412" s="96" t="inlineStr">
        <is>
          <t>Pharmaceuticals</t>
        </is>
      </c>
    </row>
    <row r="3413" ht="15" customHeight="1" s="109" thickBot="1">
      <c r="B3413" s="96" t="inlineStr">
        <is>
          <t>RELAXO FOOTWEARS LTD</t>
        </is>
      </c>
      <c r="C3413" s="97" t="n">
        <v>530517</v>
      </c>
      <c r="D3413" s="96" t="inlineStr">
        <is>
          <t>RELAXO</t>
        </is>
      </c>
      <c r="E3413" s="96" t="inlineStr">
        <is>
          <t>Footwear</t>
        </is>
      </c>
    </row>
    <row r="3414" ht="15" customHeight="1" s="109" thickBot="1">
      <c r="B3414" s="96" t="inlineStr">
        <is>
          <t>RELIABLE DATA SERVICES LTD</t>
        </is>
      </c>
      <c r="C3414" s="96" t="inlineStr">
        <is>
          <t>Not Listed</t>
        </is>
      </c>
      <c r="D3414" s="96" t="inlineStr">
        <is>
          <t>RELIABLE</t>
        </is>
      </c>
      <c r="E3414" s="96" t="inlineStr">
        <is>
          <t>SME</t>
        </is>
      </c>
    </row>
    <row r="3415" ht="15" customHeight="1" s="109" thickBot="1">
      <c r="B3415" s="96" t="inlineStr">
        <is>
          <t>RELIABLE VENTURES (INDIA) LTD</t>
        </is>
      </c>
      <c r="C3415" s="97" t="n">
        <v>532124</v>
      </c>
      <c r="D3415" s="96" t="inlineStr">
        <is>
          <t>Not Listed</t>
        </is>
      </c>
      <c r="E3415" s="96" t="inlineStr">
        <is>
          <t>Hotels</t>
        </is>
      </c>
    </row>
    <row r="3416" ht="15" customHeight="1" s="109" thickBot="1">
      <c r="B3416" s="96" t="inlineStr">
        <is>
          <t>RELIABLE VENTURES INDIA LTD</t>
        </is>
      </c>
      <c r="C3416" s="97" t="n">
        <v>532124</v>
      </c>
      <c r="D3416" s="96" t="inlineStr">
        <is>
          <t>Not Listed</t>
        </is>
      </c>
      <c r="E3416" s="96" t="inlineStr">
        <is>
          <t>Hotels</t>
        </is>
      </c>
    </row>
    <row r="3417" ht="15" customHeight="1" s="109" thickBot="1">
      <c r="B3417" s="96" t="inlineStr">
        <is>
          <t>RELIANCE CAPITAL LTD</t>
        </is>
      </c>
      <c r="C3417" s="97" t="n">
        <v>500111</v>
      </c>
      <c r="D3417" s="96" t="inlineStr">
        <is>
          <t>RELCAPITAL</t>
        </is>
      </c>
      <c r="E3417" s="96" t="inlineStr">
        <is>
          <t>Finance (including NBFCs)</t>
        </is>
      </c>
    </row>
    <row r="3418" ht="15" customHeight="1" s="109" thickBot="1">
      <c r="B3418" s="96" t="inlineStr">
        <is>
          <t>RELIANCE CHEMOTEX INDUSTRIES LTD</t>
        </is>
      </c>
      <c r="C3418" s="97" t="n">
        <v>503162</v>
      </c>
      <c r="D3418" s="96" t="inlineStr">
        <is>
          <t>Not Listed</t>
        </is>
      </c>
      <c r="E3418" s="96" t="inlineStr">
        <is>
          <t>Textiles</t>
        </is>
      </c>
    </row>
    <row r="3419" ht="15" customHeight="1" s="109" thickBot="1">
      <c r="B3419" s="96" t="inlineStr">
        <is>
          <t>RELIANCE COMMUNICATIONS LTD</t>
        </is>
      </c>
      <c r="C3419" s="97" t="n">
        <v>532712</v>
      </c>
      <c r="D3419" s="96" t="inlineStr">
        <is>
          <t>RCOM</t>
        </is>
      </c>
      <c r="E3419" s="96" t="inlineStr">
        <is>
          <t>Telecom Services</t>
        </is>
      </c>
    </row>
    <row r="3420" ht="15" customHeight="1" s="109" thickBot="1">
      <c r="B3420" s="96" t="inlineStr">
        <is>
          <t>Reliance ETF Bank BeES</t>
        </is>
      </c>
      <c r="C3420" s="97" t="n">
        <v>590106</v>
      </c>
      <c r="D3420" s="96" t="inlineStr">
        <is>
          <t>BANKBEES</t>
        </is>
      </c>
      <c r="E3420" s="96" t="inlineStr">
        <is>
          <t>Other Financial Services</t>
        </is>
      </c>
    </row>
    <row r="3421" ht="15" customHeight="1" s="109" thickBot="1">
      <c r="B3421" s="96" t="inlineStr">
        <is>
          <t>Reliance ETF Gold BeES</t>
        </is>
      </c>
      <c r="C3421" s="97" t="n">
        <v>590095</v>
      </c>
      <c r="D3421" s="96" t="inlineStr">
        <is>
          <t>GOLDBEES</t>
        </is>
      </c>
      <c r="E3421" s="96" t="inlineStr">
        <is>
          <t>Other Financial Services</t>
        </is>
      </c>
    </row>
    <row r="3422" ht="15" customHeight="1" s="109" thickBot="1">
      <c r="B3422" s="96" t="inlineStr">
        <is>
          <t>Reliance ETF Hang Seng BeES</t>
        </is>
      </c>
      <c r="C3422" s="97" t="n">
        <v>590113</v>
      </c>
      <c r="D3422" s="96" t="inlineStr">
        <is>
          <t>HNGSNGBEES</t>
        </is>
      </c>
      <c r="E3422" s="96" t="inlineStr">
        <is>
          <t>Other Financial Services</t>
        </is>
      </c>
    </row>
    <row r="3423" ht="15" customHeight="1" s="109" thickBot="1">
      <c r="B3423" s="96" t="inlineStr">
        <is>
          <t>Reliance ETF Junior BeES</t>
        </is>
      </c>
      <c r="C3423" s="97" t="n">
        <v>590104</v>
      </c>
      <c r="D3423" s="96" t="inlineStr">
        <is>
          <t>JUNIORBEES</t>
        </is>
      </c>
      <c r="E3423" s="96" t="inlineStr">
        <is>
          <t>Other Financial Services</t>
        </is>
      </c>
    </row>
    <row r="3424" ht="15" customHeight="1" s="109" thickBot="1">
      <c r="B3424" s="96" t="inlineStr">
        <is>
          <t>Reliance ETF Nifty BeES</t>
        </is>
      </c>
      <c r="C3424" s="97" t="n">
        <v>590103</v>
      </c>
      <c r="D3424" s="96" t="inlineStr">
        <is>
          <t>NIFTYBEES</t>
        </is>
      </c>
      <c r="E3424" s="96" t="inlineStr">
        <is>
          <t>Other Financial Services</t>
        </is>
      </c>
    </row>
    <row r="3425" ht="15" customHeight="1" s="109" thickBot="1">
      <c r="B3425" s="96" t="inlineStr">
        <is>
          <t>Reliance ETF PSU Bank BeES</t>
        </is>
      </c>
      <c r="C3425" s="97" t="n">
        <v>590108</v>
      </c>
      <c r="D3425" s="96" t="inlineStr">
        <is>
          <t>PSUBNKBEES</t>
        </is>
      </c>
      <c r="E3425" s="96" t="inlineStr">
        <is>
          <t>Other Financial Services</t>
        </is>
      </c>
    </row>
    <row r="3426" ht="15" customHeight="1" s="109" thickBot="1">
      <c r="B3426" s="96" t="inlineStr">
        <is>
          <t>Reliance ETF Shariah BeES</t>
        </is>
      </c>
      <c r="C3426" s="97" t="n">
        <v>590109</v>
      </c>
      <c r="D3426" s="96" t="inlineStr">
        <is>
          <t>SHARIABEES</t>
        </is>
      </c>
      <c r="E3426" s="96" t="inlineStr">
        <is>
          <t>Other Financial Services</t>
        </is>
      </c>
    </row>
    <row r="3427" ht="15" customHeight="1" s="109" thickBot="1">
      <c r="B3427" s="96" t="inlineStr">
        <is>
          <t>RELIANCE HOME FINANCE LTD</t>
        </is>
      </c>
      <c r="C3427" s="97" t="n">
        <v>540709</v>
      </c>
      <c r="D3427" s="96" t="inlineStr">
        <is>
          <t>RHFL</t>
        </is>
      </c>
      <c r="E3427" s="96" t="inlineStr">
        <is>
          <t>Housing Finance</t>
        </is>
      </c>
    </row>
    <row r="3428" ht="15" customHeight="1" s="109" thickBot="1">
      <c r="B3428" s="96" t="inlineStr">
        <is>
          <t>RELIANCE INDUSTRIAL INFRASTRUCTURE LTD</t>
        </is>
      </c>
      <c r="C3428" s="97" t="n">
        <v>523445</v>
      </c>
      <c r="D3428" s="96" t="inlineStr">
        <is>
          <t>RIIL</t>
        </is>
      </c>
      <c r="E3428" s="96" t="inlineStr">
        <is>
          <t>Construction &amp; Engineering</t>
        </is>
      </c>
    </row>
    <row r="3429" ht="15" customHeight="1" s="109" thickBot="1">
      <c r="B3429" s="96" t="inlineStr">
        <is>
          <t>RELIANCE INDUSTRIES LTD</t>
        </is>
      </c>
      <c r="C3429" s="97" t="n">
        <v>500325</v>
      </c>
      <c r="D3429" s="96" t="inlineStr">
        <is>
          <t>RELIANCE</t>
        </is>
      </c>
      <c r="E3429" s="96" t="inlineStr">
        <is>
          <t>Integrated Oil &amp; Gas</t>
        </is>
      </c>
    </row>
    <row r="3430" ht="15" customHeight="1" s="109" thickBot="1">
      <c r="B3430" s="96" t="inlineStr">
        <is>
          <t>RELIANCE INFRASTRUCTURE LTD</t>
        </is>
      </c>
      <c r="C3430" s="97" t="n">
        <v>500390</v>
      </c>
      <c r="D3430" s="96" t="inlineStr">
        <is>
          <t>RELINFRA</t>
        </is>
      </c>
      <c r="E3430" s="96" t="inlineStr">
        <is>
          <t>Electric Utilities</t>
        </is>
      </c>
    </row>
    <row r="3431" ht="15" customHeight="1" s="109" thickBot="1">
      <c r="B3431" s="96" t="inlineStr">
        <is>
          <t>RELIANCE NAVAL AND ENGINEERING LTD</t>
        </is>
      </c>
      <c r="C3431" s="97" t="n">
        <v>533107</v>
      </c>
      <c r="D3431" s="96" t="inlineStr">
        <is>
          <t>RNAVAL</t>
        </is>
      </c>
      <c r="E3431" s="96" t="inlineStr">
        <is>
          <t>Defence</t>
        </is>
      </c>
    </row>
    <row r="3432" ht="15" customHeight="1" s="109" thickBot="1">
      <c r="B3432" s="96" t="inlineStr">
        <is>
          <t>RELIANCE NIPPON LIFE ASSET MANAGEMENT LTD</t>
        </is>
      </c>
      <c r="C3432" s="97" t="n">
        <v>540767</v>
      </c>
      <c r="D3432" s="96" t="inlineStr">
        <is>
          <t>RNAM</t>
        </is>
      </c>
      <c r="E3432" s="96" t="inlineStr">
        <is>
          <t>Asset Management Cos.</t>
        </is>
      </c>
    </row>
    <row r="3433" ht="15" customHeight="1" s="109" thickBot="1">
      <c r="B3433" s="96" t="inlineStr">
        <is>
          <t>RELIANCE POWER LTD</t>
        </is>
      </c>
      <c r="C3433" s="97" t="n">
        <v>532939</v>
      </c>
      <c r="D3433" s="96" t="inlineStr">
        <is>
          <t>RPOWER</t>
        </is>
      </c>
      <c r="E3433" s="96" t="inlineStr">
        <is>
          <t>Electric Utilities</t>
        </is>
      </c>
    </row>
    <row r="3434" ht="15" customHeight="1" s="109" thickBot="1">
      <c r="B3434" s="96" t="inlineStr">
        <is>
          <t>RELIC TECHNOLOGIES LTD</t>
        </is>
      </c>
      <c r="C3434" s="97" t="n">
        <v>511712</v>
      </c>
      <c r="D3434" s="96" t="inlineStr">
        <is>
          <t>Not Listed</t>
        </is>
      </c>
      <c r="E3434" s="96" t="inlineStr">
        <is>
          <t>Other Financial Services</t>
        </is>
      </c>
    </row>
    <row r="3435" ht="15" customHeight="1" s="109" thickBot="1">
      <c r="B3435" s="96" t="inlineStr">
        <is>
          <t>RELICAB CABLE MANUFACTURING LTD</t>
        </is>
      </c>
      <c r="C3435" s="97" t="n">
        <v>539760</v>
      </c>
      <c r="D3435" s="96" t="inlineStr">
        <is>
          <t>Not Listed</t>
        </is>
      </c>
      <c r="E3435" s="96" t="inlineStr">
        <is>
          <t>Other Elect.Equip./ Prod.</t>
        </is>
      </c>
    </row>
    <row r="3436" ht="15" customHeight="1" s="109" thickBot="1">
      <c r="B3436" s="96" t="inlineStr">
        <is>
          <t>RELIGARE ENTERPRISES LTD</t>
        </is>
      </c>
      <c r="C3436" s="97" t="n">
        <v>532915</v>
      </c>
      <c r="D3436" s="96" t="inlineStr">
        <is>
          <t>RELIGARE</t>
        </is>
      </c>
      <c r="E3436" s="96" t="inlineStr">
        <is>
          <t>Other Financial Services</t>
        </is>
      </c>
    </row>
    <row r="3437" ht="15" customHeight="1" s="109" thickBot="1">
      <c r="B3437" s="96" t="inlineStr">
        <is>
          <t>RELSTRUCT BUILDCON LTD</t>
        </is>
      </c>
      <c r="C3437" s="97" t="n">
        <v>540426</v>
      </c>
      <c r="D3437" s="96" t="inlineStr">
        <is>
          <t>Not Listed</t>
        </is>
      </c>
      <c r="E3437" s="96" t="inlineStr">
        <is>
          <t>Realty</t>
        </is>
      </c>
    </row>
    <row r="3438" ht="15" customHeight="1" s="109" thickBot="1">
      <c r="B3438" s="96" t="inlineStr">
        <is>
          <t>REMI EDELSTAHL TUBULARS LTD</t>
        </is>
      </c>
      <c r="C3438" s="97" t="n">
        <v>513043</v>
      </c>
      <c r="D3438" s="96" t="inlineStr">
        <is>
          <t>Not Listed</t>
        </is>
      </c>
      <c r="E3438" s="96" t="inlineStr">
        <is>
          <t>Iron &amp; Steel Products</t>
        </is>
      </c>
    </row>
    <row r="3439" ht="15" customHeight="1" s="109" thickBot="1">
      <c r="B3439" s="96" t="inlineStr">
        <is>
          <t>REMI ELEKTROTECHNIK LTD</t>
        </is>
      </c>
      <c r="C3439" s="97" t="n">
        <v>512487</v>
      </c>
      <c r="D3439" s="96" t="inlineStr">
        <is>
          <t>Not Listed</t>
        </is>
      </c>
      <c r="E3439" s="96" t="inlineStr">
        <is>
          <t>Comm.Trading &amp; Distribution</t>
        </is>
      </c>
    </row>
    <row r="3440" ht="15" customHeight="1" s="109" thickBot="1">
      <c r="B3440" s="96" t="inlineStr">
        <is>
          <t>REMI PROCESS PLANT &amp; MACHINERY LTD</t>
        </is>
      </c>
      <c r="C3440" s="97" t="n">
        <v>505658</v>
      </c>
      <c r="D3440" s="96" t="inlineStr">
        <is>
          <t>Not Listed</t>
        </is>
      </c>
      <c r="E3440" s="96" t="inlineStr">
        <is>
          <t>Industrial Machinery</t>
        </is>
      </c>
    </row>
    <row r="3441" ht="15" customHeight="1" s="109" thickBot="1">
      <c r="B3441" s="96" t="inlineStr">
        <is>
          <t>REMI SALES &amp; ENGINEERING LTD</t>
        </is>
      </c>
      <c r="C3441" s="97" t="n">
        <v>504360</v>
      </c>
      <c r="D3441" s="96" t="inlineStr">
        <is>
          <t>Not Listed</t>
        </is>
      </c>
      <c r="E3441" s="96" t="inlineStr">
        <is>
          <t>Comm.Trading &amp; Distribution</t>
        </is>
      </c>
    </row>
    <row r="3442" ht="15" customHeight="1" s="109" thickBot="1">
      <c r="B3442" s="96" t="inlineStr">
        <is>
          <t>REMI SECURITIES LTD</t>
        </is>
      </c>
      <c r="C3442" s="97" t="n">
        <v>511149</v>
      </c>
      <c r="D3442" s="96" t="inlineStr">
        <is>
          <t>Not Listed</t>
        </is>
      </c>
      <c r="E3442" s="96" t="inlineStr">
        <is>
          <t>Misc.Commercial Services</t>
        </is>
      </c>
    </row>
    <row r="3443" ht="15" customHeight="1" s="109" thickBot="1">
      <c r="B3443" s="96" t="inlineStr">
        <is>
          <t>REMSONS INDUSTRIES LTD.</t>
        </is>
      </c>
      <c r="C3443" s="97" t="n">
        <v>530919</v>
      </c>
      <c r="D3443" s="96" t="inlineStr">
        <is>
          <t>REMSONSIND</t>
        </is>
      </c>
      <c r="E3443" s="96" t="inlineStr">
        <is>
          <t>Auto Parts &amp;amp; Equipment</t>
        </is>
      </c>
    </row>
    <row r="3444" ht="15" customHeight="1" s="109" thickBot="1">
      <c r="B3444" s="96" t="inlineStr">
        <is>
          <t>Renaissance Global LTD</t>
        </is>
      </c>
      <c r="C3444" s="96" t="inlineStr">
        <is>
          <t>Not Listed</t>
        </is>
      </c>
      <c r="D3444" s="96" t="inlineStr">
        <is>
          <t>RGL</t>
        </is>
      </c>
      <c r="E3444" s="96" t="inlineStr">
        <is>
          <t>Auto Parts &amp;amp; Equipment</t>
        </is>
      </c>
    </row>
    <row r="3445" ht="15" customHeight="1" s="109" thickBot="1">
      <c r="B3445" s="96" t="inlineStr">
        <is>
          <t>RENAISSANCE JEWELLERY LTD</t>
        </is>
      </c>
      <c r="C3445" s="97" t="n">
        <v>532923</v>
      </c>
      <c r="D3445" s="96" t="inlineStr">
        <is>
          <t>RJL</t>
        </is>
      </c>
      <c r="E3445" s="96" t="inlineStr">
        <is>
          <t>Other Apparels &amp; Accessories</t>
        </is>
      </c>
    </row>
    <row r="3446" ht="15" customHeight="1" s="109" thickBot="1">
      <c r="B3446" s="96" t="inlineStr">
        <is>
          <t>REPCO HOME FINANCE LTD</t>
        </is>
      </c>
      <c r="C3446" s="97" t="n">
        <v>535322</v>
      </c>
      <c r="D3446" s="96" t="inlineStr">
        <is>
          <t>REPCOHOME</t>
        </is>
      </c>
      <c r="E3446" s="96" t="inlineStr">
        <is>
          <t>Housing Finance</t>
        </is>
      </c>
    </row>
    <row r="3447" ht="15" customHeight="1" s="109" thickBot="1">
      <c r="B3447" s="96" t="inlineStr">
        <is>
          <t>REPRO (INDIA) LTD</t>
        </is>
      </c>
      <c r="C3447" s="97" t="n">
        <v>532687</v>
      </c>
      <c r="D3447" s="96" t="inlineStr">
        <is>
          <t>REPRO</t>
        </is>
      </c>
      <c r="E3447" s="96" t="inlineStr">
        <is>
          <t>Comm.Printing/Stationery</t>
        </is>
      </c>
    </row>
    <row r="3448" ht="15" customHeight="1" s="109" thickBot="1">
      <c r="B3448" s="96" t="inlineStr">
        <is>
          <t>REPRO INDIA LTD</t>
        </is>
      </c>
      <c r="C3448" s="97" t="n">
        <v>532687</v>
      </c>
      <c r="D3448" s="96" t="inlineStr">
        <is>
          <t>REPRO</t>
        </is>
      </c>
      <c r="E3448" s="96" t="inlineStr">
        <is>
          <t>Comm.Printing/Stationery</t>
        </is>
      </c>
    </row>
    <row r="3449" ht="15" customHeight="1" s="109" thickBot="1">
      <c r="B3449" s="96" t="inlineStr">
        <is>
          <t>RESONANCE SPECIALTIES LTD</t>
        </is>
      </c>
      <c r="C3449" s="97" t="n">
        <v>524218</v>
      </c>
      <c r="D3449" s="96" t="inlineStr">
        <is>
          <t>Not Listed</t>
        </is>
      </c>
      <c r="E3449" s="96" t="inlineStr">
        <is>
          <t>Pharmaceuticals</t>
        </is>
      </c>
    </row>
    <row r="3450" ht="15" customHeight="1" s="109" thickBot="1">
      <c r="B3450" s="96" t="inlineStr">
        <is>
          <t>RESPONSIVE INDUSTRIES LTD</t>
        </is>
      </c>
      <c r="C3450" s="97" t="n">
        <v>505509</v>
      </c>
      <c r="D3450" s="96" t="inlineStr">
        <is>
          <t>RESPONIND</t>
        </is>
      </c>
      <c r="E3450" s="96" t="inlineStr">
        <is>
          <t>Plastic Products</t>
        </is>
      </c>
    </row>
    <row r="3451" ht="15" customHeight="1" s="109" thickBot="1">
      <c r="B3451" s="96" t="inlineStr">
        <is>
          <t>RESTILE CERAMICS LTD</t>
        </is>
      </c>
      <c r="C3451" s="97" t="n">
        <v>515085</v>
      </c>
      <c r="D3451" s="96" t="inlineStr">
        <is>
          <t>Not Listed</t>
        </is>
      </c>
      <c r="E3451" s="96" t="inlineStr">
        <is>
          <t>Furniture-Furnishing-Paints</t>
        </is>
      </c>
    </row>
    <row r="3452" ht="15" customHeight="1" s="109" thickBot="1">
      <c r="B3452" s="96" t="inlineStr">
        <is>
          <t>Retro Green Revolution Ltd</t>
        </is>
      </c>
      <c r="C3452" s="97" t="n">
        <v>519191</v>
      </c>
      <c r="D3452" s="96" t="inlineStr">
        <is>
          <t>RGRL</t>
        </is>
      </c>
      <c r="E3452" s="96" t="inlineStr">
        <is>
          <t>Tea &amp;amp; Coffee</t>
        </is>
      </c>
    </row>
    <row r="3453" ht="15" customHeight="1" s="109" thickBot="1">
      <c r="B3453" s="96" t="inlineStr">
        <is>
          <t>REVATHI EQUIPMENT LTD</t>
        </is>
      </c>
      <c r="C3453" s="97" t="n">
        <v>505368</v>
      </c>
      <c r="D3453" s="96" t="inlineStr">
        <is>
          <t>REVATHI</t>
        </is>
      </c>
      <c r="E3453" s="96" t="inlineStr">
        <is>
          <t>Industrial Machinery</t>
        </is>
      </c>
    </row>
    <row r="3454" ht="15" customHeight="1" s="109" thickBot="1">
      <c r="B3454" s="96" t="inlineStr">
        <is>
          <t>REXNORD ELECTRONICS &amp; CONTROLS LTD</t>
        </is>
      </c>
      <c r="C3454" s="97" t="n">
        <v>531888</v>
      </c>
      <c r="D3454" s="96" t="inlineStr">
        <is>
          <t>Not Listed</t>
        </is>
      </c>
      <c r="E3454" s="96" t="inlineStr">
        <is>
          <t>Industrial Machinery</t>
        </is>
      </c>
    </row>
    <row r="3455" ht="15" customHeight="1" s="109" thickBot="1">
      <c r="B3455" s="96" t="inlineStr">
        <is>
          <t>RGF CAPITAL MARKETS LTD</t>
        </is>
      </c>
      <c r="C3455" s="97" t="n">
        <v>539669</v>
      </c>
      <c r="D3455" s="96" t="inlineStr">
        <is>
          <t>Not Listed</t>
        </is>
      </c>
      <c r="E3455" s="96" t="inlineStr">
        <is>
          <t>Finance (including NBFCs)</t>
        </is>
      </c>
    </row>
    <row r="3456" ht="15" customHeight="1" s="109" thickBot="1">
      <c r="B3456" s="96" t="inlineStr">
        <is>
          <t>RIBA TEXTILES LTD</t>
        </is>
      </c>
      <c r="C3456" s="97" t="n">
        <v>531952</v>
      </c>
      <c r="D3456" s="96" t="inlineStr">
        <is>
          <t>Not Listed</t>
        </is>
      </c>
      <c r="E3456" s="96" t="inlineStr">
        <is>
          <t>Textiles</t>
        </is>
      </c>
    </row>
    <row r="3457" ht="15" customHeight="1" s="109" thickBot="1">
      <c r="B3457" s="96" t="inlineStr">
        <is>
          <t>RICH UNIVERSE NETWORK LTD</t>
        </is>
      </c>
      <c r="C3457" s="97" t="n">
        <v>530271</v>
      </c>
      <c r="D3457" s="96" t="inlineStr">
        <is>
          <t>Not Listed</t>
        </is>
      </c>
      <c r="E3457" s="96" t="inlineStr">
        <is>
          <t>Finance (including NBFCs)</t>
        </is>
      </c>
    </row>
    <row r="3458" ht="15" customHeight="1" s="109" thickBot="1">
      <c r="B3458" s="96" t="inlineStr">
        <is>
          <t>RICHA INDUSTRIES LTD</t>
        </is>
      </c>
      <c r="C3458" s="97" t="n">
        <v>532766</v>
      </c>
      <c r="D3458" s="96" t="inlineStr">
        <is>
          <t>Not Listed</t>
        </is>
      </c>
      <c r="E3458" s="96" t="inlineStr">
        <is>
          <t>Construction &amp; Engineering</t>
        </is>
      </c>
    </row>
    <row r="3459" ht="15" customHeight="1" s="109" thickBot="1">
      <c r="B3459" s="96" t="inlineStr">
        <is>
          <t>RICHFIELD FINANCIAL SERVICES LTD</t>
        </is>
      </c>
      <c r="C3459" s="97" t="n">
        <v>539435</v>
      </c>
      <c r="D3459" s="96" t="inlineStr">
        <is>
          <t>Not Listed</t>
        </is>
      </c>
      <c r="E3459" s="96" t="inlineStr">
        <is>
          <t>Other Financial Services</t>
        </is>
      </c>
    </row>
    <row r="3460" ht="15" customHeight="1" s="109" thickBot="1">
      <c r="B3460" s="96" t="inlineStr">
        <is>
          <t>RICHIRICH INVENTURES LTD</t>
        </is>
      </c>
      <c r="C3460" s="97" t="n">
        <v>519230</v>
      </c>
      <c r="D3460" s="96" t="inlineStr">
        <is>
          <t>Not Listed</t>
        </is>
      </c>
      <c r="E3460" s="96" t="inlineStr">
        <is>
          <t>Comm.Trading &amp; Distribution</t>
        </is>
      </c>
    </row>
    <row r="3461" ht="15" customHeight="1" s="109" thickBot="1">
      <c r="B3461" s="96" t="inlineStr">
        <is>
          <t>RICO AUTO INDUSTRIES LTD</t>
        </is>
      </c>
      <c r="C3461" s="97" t="n">
        <v>520008</v>
      </c>
      <c r="D3461" s="96" t="inlineStr">
        <is>
          <t>RICOAUTO</t>
        </is>
      </c>
      <c r="E3461" s="96" t="inlineStr">
        <is>
          <t>Auto Parts &amp; Equipment</t>
        </is>
      </c>
    </row>
    <row r="3462" ht="15" customHeight="1" s="109" thickBot="1">
      <c r="B3462" s="96" t="inlineStr">
        <is>
          <t>RIDDHI CORPORATE SERVICES LTD</t>
        </is>
      </c>
      <c r="C3462" s="97" t="n">
        <v>540590</v>
      </c>
      <c r="D3462" s="96" t="inlineStr">
        <is>
          <t>Not Listed</t>
        </is>
      </c>
      <c r="E3462" s="96" t="inlineStr">
        <is>
          <t>BPO/KPO</t>
        </is>
      </c>
    </row>
    <row r="3463" ht="15" customHeight="1" s="109" thickBot="1">
      <c r="B3463" s="96" t="inlineStr">
        <is>
          <t>RIDDHI SIDDHI GLUCO BIOLS LTD</t>
        </is>
      </c>
      <c r="C3463" s="97" t="n">
        <v>524480</v>
      </c>
      <c r="D3463" s="96" t="inlineStr">
        <is>
          <t>Not Listed</t>
        </is>
      </c>
      <c r="E3463" s="96" t="inlineStr">
        <is>
          <t>Commodity Chemicals</t>
        </is>
      </c>
    </row>
    <row r="3464" ht="15" customHeight="1" s="109" thickBot="1">
      <c r="B3464" s="96" t="inlineStr">
        <is>
          <t>RIDDHI STEEL AND TUBE LTD</t>
        </is>
      </c>
      <c r="C3464" s="97" t="n">
        <v>540082</v>
      </c>
      <c r="D3464" s="96" t="inlineStr">
        <is>
          <t>Not Listed</t>
        </is>
      </c>
      <c r="E3464" s="96" t="inlineStr">
        <is>
          <t>Iron &amp; Steel Products</t>
        </is>
      </c>
    </row>
    <row r="3465" ht="15" customHeight="1" s="109" thickBot="1">
      <c r="B3465" s="96" t="inlineStr">
        <is>
          <t>RIDHI SYNTHETICS LTD</t>
        </is>
      </c>
      <c r="C3465" s="97" t="n">
        <v>504365</v>
      </c>
      <c r="D3465" s="96" t="inlineStr">
        <is>
          <t>Not Listed</t>
        </is>
      </c>
      <c r="E3465" s="96" t="inlineStr">
        <is>
          <t>Other Financial Services</t>
        </is>
      </c>
    </row>
    <row r="3466" ht="15" customHeight="1" s="109" thickBot="1">
      <c r="B3466" s="96" t="inlineStr">
        <is>
          <t>RIDINGS CONSULTING ENGINEERS (INDIA) LTD</t>
        </is>
      </c>
      <c r="C3466" s="97" t="n">
        <v>541151</v>
      </c>
      <c r="D3466" s="96" t="inlineStr">
        <is>
          <t>Not Listed</t>
        </is>
      </c>
      <c r="E3466" s="96" t="inlineStr">
        <is>
          <t>Consulting Services</t>
        </is>
      </c>
    </row>
    <row r="3467" ht="15" customHeight="1" s="109" thickBot="1">
      <c r="B3467" s="96" t="inlineStr">
        <is>
          <t>RIDINGS CONSULTING ENGINEERS INDIA LTD</t>
        </is>
      </c>
      <c r="C3467" s="97" t="n">
        <v>541151</v>
      </c>
      <c r="D3467" s="96" t="inlineStr">
        <is>
          <t>Not Listed</t>
        </is>
      </c>
      <c r="E3467" s="96" t="inlineStr">
        <is>
          <t>Consulting Services</t>
        </is>
      </c>
    </row>
    <row r="3468" ht="15" customHeight="1" s="109" thickBot="1">
      <c r="B3468" s="96" t="inlineStr">
        <is>
          <t>RIGA SUGAR COMPANY LTD</t>
        </is>
      </c>
      <c r="C3468" s="97" t="n">
        <v>507508</v>
      </c>
      <c r="D3468" s="96" t="inlineStr">
        <is>
          <t>Not Listed</t>
        </is>
      </c>
      <c r="E3468" s="96" t="inlineStr">
        <is>
          <t>Sugar</t>
        </is>
      </c>
    </row>
    <row r="3469" ht="15" customHeight="1" s="109" thickBot="1">
      <c r="B3469" s="96" t="inlineStr">
        <is>
          <t>RISA INTERNATIONAL LTD</t>
        </is>
      </c>
      <c r="C3469" s="97" t="n">
        <v>530251</v>
      </c>
      <c r="D3469" s="96" t="inlineStr">
        <is>
          <t>Not Listed</t>
        </is>
      </c>
      <c r="E3469" s="96" t="inlineStr">
        <is>
          <t>Comm.Trading &amp; Distribution</t>
        </is>
      </c>
    </row>
    <row r="3470" ht="15" customHeight="1" s="109" thickBot="1">
      <c r="B3470" s="96" t="inlineStr">
        <is>
          <t>RISHAB SPECIAL YARNS LTD</t>
        </is>
      </c>
      <c r="C3470" s="97" t="n">
        <v>514177</v>
      </c>
      <c r="D3470" s="96" t="inlineStr">
        <is>
          <t>Not Listed</t>
        </is>
      </c>
      <c r="E3470" s="96" t="inlineStr">
        <is>
          <t>Textiles</t>
        </is>
      </c>
    </row>
    <row r="3471" ht="15" customHeight="1" s="109" thickBot="1">
      <c r="B3471" s="96" t="inlineStr">
        <is>
          <t>RISHABH DIGHA STEEL &amp; ALLIED PRODUCTS LTD</t>
        </is>
      </c>
      <c r="C3471" s="97" t="n">
        <v>531539</v>
      </c>
      <c r="D3471" s="96" t="inlineStr">
        <is>
          <t>Not Listed</t>
        </is>
      </c>
      <c r="E3471" s="96" t="inlineStr">
        <is>
          <t>Iron &amp; Steel/Interm.Products</t>
        </is>
      </c>
    </row>
    <row r="3472" ht="15" customHeight="1" s="109" thickBot="1">
      <c r="B3472" s="96" t="inlineStr">
        <is>
          <t>RISHI LASER LTD</t>
        </is>
      </c>
      <c r="C3472" s="97" t="n">
        <v>526861</v>
      </c>
      <c r="D3472" s="96" t="inlineStr">
        <is>
          <t>Not Listed</t>
        </is>
      </c>
      <c r="E3472" s="96" t="inlineStr">
        <is>
          <t>Industrial Machinery</t>
        </is>
      </c>
    </row>
    <row r="3473" ht="15" customHeight="1" s="109" thickBot="1">
      <c r="B3473" s="96" t="inlineStr">
        <is>
          <t>RISHI TECHTEX LTD</t>
        </is>
      </c>
      <c r="C3473" s="97" t="n">
        <v>523021</v>
      </c>
      <c r="D3473" s="96" t="inlineStr">
        <is>
          <t>Not Listed</t>
        </is>
      </c>
      <c r="E3473" s="96" t="inlineStr">
        <is>
          <t>Containers &amp; Packaging</t>
        </is>
      </c>
    </row>
    <row r="3474" ht="15" customHeight="1" s="109" thickBot="1">
      <c r="B3474" s="96" t="inlineStr">
        <is>
          <t>RISHIROOP LTD</t>
        </is>
      </c>
      <c r="C3474" s="97" t="n">
        <v>526492</v>
      </c>
      <c r="D3474" s="96" t="inlineStr">
        <is>
          <t>Not Listed</t>
        </is>
      </c>
      <c r="E3474" s="96" t="inlineStr">
        <is>
          <t>Other Industrial Products</t>
        </is>
      </c>
    </row>
    <row r="3475" ht="15" customHeight="1" s="109" thickBot="1">
      <c r="B3475" s="96" t="inlineStr">
        <is>
          <t>Ritco Logistics Ltd</t>
        </is>
      </c>
      <c r="C3475" s="97" t="n">
        <v>542383</v>
      </c>
      <c r="D3475" s="96" t="inlineStr">
        <is>
          <t>RITCO</t>
        </is>
      </c>
      <c r="E3475" s="96" t="inlineStr">
        <is>
          <t>Transportation - Logistics</t>
        </is>
      </c>
    </row>
    <row r="3476" ht="15" customHeight="1" s="109" thickBot="1">
      <c r="B3476" s="96" t="inlineStr">
        <is>
          <t>RITES LTD</t>
        </is>
      </c>
      <c r="C3476" s="97" t="n">
        <v>541556</v>
      </c>
      <c r="D3476" s="96" t="inlineStr">
        <is>
          <t>RITES</t>
        </is>
      </c>
      <c r="E3476" s="96" t="inlineStr">
        <is>
          <t>Construction &amp; Engineering</t>
        </is>
      </c>
    </row>
    <row r="3477" ht="15" customHeight="1" s="109" thickBot="1">
      <c r="B3477" s="96" t="inlineStr">
        <is>
          <t>RITESH INTERNATIONAL LTD</t>
        </is>
      </c>
      <c r="C3477" s="97" t="n">
        <v>519097</v>
      </c>
      <c r="D3477" s="96" t="inlineStr">
        <is>
          <t>Not Listed</t>
        </is>
      </c>
      <c r="E3477" s="96" t="inlineStr">
        <is>
          <t>Commodity Chemicals</t>
        </is>
      </c>
    </row>
    <row r="3478" ht="15" customHeight="1" s="109" thickBot="1">
      <c r="B3478" s="96" t="inlineStr">
        <is>
          <t>RITESH PROPERTIES &amp; INDUSTRIES LTD</t>
        </is>
      </c>
      <c r="C3478" s="97" t="n">
        <v>526407</v>
      </c>
      <c r="D3478" s="96" t="inlineStr">
        <is>
          <t>Not Listed</t>
        </is>
      </c>
      <c r="E3478" s="96" t="inlineStr">
        <is>
          <t>Other Apparels &amp; Accessories</t>
        </is>
      </c>
    </row>
    <row r="3479" ht="15" customHeight="1" s="109" thickBot="1">
      <c r="B3479" s="96" t="inlineStr">
        <is>
          <t>RITHWIK FACILITY MANAGEMENT SERVICES LTD</t>
        </is>
      </c>
      <c r="C3479" s="97" t="n">
        <v>540843</v>
      </c>
      <c r="D3479" s="96" t="inlineStr">
        <is>
          <t>Not Listed</t>
        </is>
      </c>
      <c r="E3479" s="96" t="inlineStr">
        <is>
          <t>Sp.Consumer Services</t>
        </is>
      </c>
    </row>
    <row r="3480" ht="15" customHeight="1" s="109" thickBot="1">
      <c r="B3480" s="96" t="inlineStr">
        <is>
          <t>RKEC PROJECTS LTD</t>
        </is>
      </c>
      <c r="C3480" s="96" t="inlineStr">
        <is>
          <t>Not Listed</t>
        </is>
      </c>
      <c r="D3480" s="96" t="inlineStr">
        <is>
          <t>RKEC</t>
        </is>
      </c>
      <c r="E3480" s="96" t="inlineStr">
        <is>
          <t>SME</t>
        </is>
      </c>
    </row>
    <row r="3481" ht="15" customHeight="1" s="109" thickBot="1">
      <c r="B3481" s="96" t="inlineStr">
        <is>
          <t>RLF LTD</t>
        </is>
      </c>
      <c r="C3481" s="97" t="n">
        <v>512618</v>
      </c>
      <c r="D3481" s="96" t="inlineStr">
        <is>
          <t>Not Listed</t>
        </is>
      </c>
      <c r="E3481" s="96" t="inlineStr">
        <is>
          <t>Textiles</t>
        </is>
      </c>
    </row>
    <row r="3482" ht="15" customHeight="1" s="109" thickBot="1">
      <c r="B3482" s="96" t="inlineStr">
        <is>
          <t>RMC SWITCHGEARS LTD</t>
        </is>
      </c>
      <c r="C3482" s="97" t="n">
        <v>540358</v>
      </c>
      <c r="D3482" s="96" t="inlineStr">
        <is>
          <t>Not Listed</t>
        </is>
      </c>
      <c r="E3482" s="96" t="inlineStr">
        <is>
          <t>Other Elect.Equip./ Prod.</t>
        </is>
      </c>
    </row>
    <row r="3483" ht="15" customHeight="1" s="109" thickBot="1">
      <c r="B3483" s="96" t="inlineStr">
        <is>
          <t>RMG ALLOY STEEL LTD</t>
        </is>
      </c>
      <c r="C3483" s="97" t="n">
        <v>500365</v>
      </c>
      <c r="D3483" s="96" t="inlineStr">
        <is>
          <t>Not Listed</t>
        </is>
      </c>
      <c r="E3483" s="96" t="inlineStr">
        <is>
          <t>Iron &amp; Steel/Interm.Products</t>
        </is>
      </c>
    </row>
    <row r="3484" ht="15" customHeight="1" s="109" thickBot="1">
      <c r="B3484" s="96" t="inlineStr">
        <is>
          <t>ROCKON ENTERPRISES LTD</t>
        </is>
      </c>
      <c r="C3484" s="97" t="n">
        <v>531447</v>
      </c>
      <c r="D3484" s="96" t="inlineStr">
        <is>
          <t>Not Listed</t>
        </is>
      </c>
      <c r="E3484" s="96" t="inlineStr">
        <is>
          <t>Comm.Trading &amp; Distribution</t>
        </is>
      </c>
    </row>
    <row r="3485" ht="15" customHeight="1" s="109" thickBot="1">
      <c r="B3485" s="96" t="inlineStr">
        <is>
          <t>RODIUM REALTY LTD</t>
        </is>
      </c>
      <c r="C3485" s="97" t="n">
        <v>531822</v>
      </c>
      <c r="D3485" s="96" t="inlineStr">
        <is>
          <t>Not Listed</t>
        </is>
      </c>
      <c r="E3485" s="96" t="inlineStr">
        <is>
          <t>Realty</t>
        </is>
      </c>
    </row>
    <row r="3486" ht="15" customHeight="1" s="109" thickBot="1">
      <c r="B3486" s="96" t="inlineStr">
        <is>
          <t>ROHIT FERRO-TECH LTD</t>
        </is>
      </c>
      <c r="C3486" s="97" t="n">
        <v>532731</v>
      </c>
      <c r="D3486" s="96" t="inlineStr">
        <is>
          <t>ROHITFERRO</t>
        </is>
      </c>
      <c r="E3486" s="96" t="inlineStr">
        <is>
          <t>Iron &amp; Steel/Interm.Products</t>
        </is>
      </c>
    </row>
    <row r="3487" ht="15" customHeight="1" s="109" thickBot="1">
      <c r="B3487" s="96" t="inlineStr">
        <is>
          <t>ROLCON ENGINEERING CO LTD</t>
        </is>
      </c>
      <c r="C3487" s="97" t="n">
        <v>505807</v>
      </c>
      <c r="D3487" s="96" t="inlineStr">
        <is>
          <t>Not Listed</t>
        </is>
      </c>
      <c r="E3487" s="96" t="inlineStr">
        <is>
          <t>Other Industrial Products</t>
        </is>
      </c>
    </row>
    <row r="3488" ht="15" customHeight="1" s="109" thickBot="1">
      <c r="B3488" s="96" t="inlineStr">
        <is>
          <t>ROLLATAINERS LTD</t>
        </is>
      </c>
      <c r="C3488" s="97" t="n">
        <v>502448</v>
      </c>
      <c r="D3488" s="96" t="inlineStr">
        <is>
          <t>ROLLT</t>
        </is>
      </c>
      <c r="E3488" s="96" t="inlineStr">
        <is>
          <t>Containers &amp; Packaging</t>
        </is>
      </c>
    </row>
    <row r="3489" ht="15" customHeight="1" s="109" thickBot="1">
      <c r="B3489" s="96" t="inlineStr">
        <is>
          <t>ROLTA (INDIA) LTD</t>
        </is>
      </c>
      <c r="C3489" s="97" t="n">
        <v>500366</v>
      </c>
      <c r="D3489" s="96" t="inlineStr">
        <is>
          <t>ROLTA</t>
        </is>
      </c>
      <c r="E3489" s="96" t="inlineStr">
        <is>
          <t>Internet Software &amp; Services</t>
        </is>
      </c>
    </row>
    <row r="3490" ht="15" customHeight="1" s="109" thickBot="1">
      <c r="B3490" s="96" t="inlineStr">
        <is>
          <t>ROLTA INDIA LTD</t>
        </is>
      </c>
      <c r="C3490" s="97" t="n">
        <v>500366</v>
      </c>
      <c r="D3490" s="96" t="inlineStr">
        <is>
          <t>ROLTA</t>
        </is>
      </c>
      <c r="E3490" s="96" t="inlineStr">
        <is>
          <t>Internet Software &amp; Services</t>
        </is>
      </c>
    </row>
    <row r="3491" ht="15" customHeight="1" s="109" thickBot="1">
      <c r="B3491" s="96" t="inlineStr">
        <is>
          <t>RONI HOUSEHOLDS LTD</t>
        </is>
      </c>
      <c r="C3491" s="97" t="n">
        <v>542145</v>
      </c>
      <c r="D3491" s="96" t="inlineStr">
        <is>
          <t>Not Listed</t>
        </is>
      </c>
      <c r="E3491" s="96" t="inlineStr">
        <is>
          <t>Comm.Trading &amp; Distribution</t>
        </is>
      </c>
    </row>
    <row r="3492" ht="15" customHeight="1" s="109" thickBot="1">
      <c r="B3492" s="96" t="inlineStr">
        <is>
          <t>ROOPA INDUSTRIES LTD</t>
        </is>
      </c>
      <c r="C3492" s="97" t="n">
        <v>530991</v>
      </c>
      <c r="D3492" s="96" t="inlineStr">
        <is>
          <t>Not Listed</t>
        </is>
      </c>
      <c r="E3492" s="96" t="inlineStr">
        <is>
          <t>Pharmaceuticals</t>
        </is>
      </c>
    </row>
    <row r="3493" ht="15" customHeight="1" s="109" thickBot="1">
      <c r="B3493" s="96" t="inlineStr">
        <is>
          <t>Roopshri Resorts Ltd</t>
        </is>
      </c>
      <c r="C3493" s="97" t="n">
        <v>542599</v>
      </c>
      <c r="D3493" s="96" t="inlineStr">
        <is>
          <t>ROOPSHRI</t>
        </is>
      </c>
      <c r="E3493" s="96" t="inlineStr">
        <is>
          <t>Hotels</t>
        </is>
      </c>
    </row>
    <row r="3494" ht="15" customHeight="1" s="109" thickBot="1">
      <c r="B3494" s="96" t="inlineStr">
        <is>
          <t>ROSELABS FINANCE LTD</t>
        </is>
      </c>
      <c r="C3494" s="97" t="n">
        <v>531324</v>
      </c>
      <c r="D3494" s="96" t="inlineStr">
        <is>
          <t>Not Listed</t>
        </is>
      </c>
      <c r="E3494" s="96" t="inlineStr">
        <is>
          <t>Other Financial Services</t>
        </is>
      </c>
    </row>
    <row r="3495" ht="15" customHeight="1" s="109" thickBot="1">
      <c r="B3495" s="96" t="inlineStr">
        <is>
          <t>ROSSELL (INDIA) LTD</t>
        </is>
      </c>
      <c r="C3495" s="97" t="n">
        <v>533168</v>
      </c>
      <c r="D3495" s="96" t="inlineStr">
        <is>
          <t>ROSSELLIND</t>
        </is>
      </c>
      <c r="E3495" s="96" t="inlineStr">
        <is>
          <t>Tea &amp; Coffee</t>
        </is>
      </c>
    </row>
    <row r="3496" ht="15" customHeight="1" s="109" thickBot="1">
      <c r="B3496" s="96" t="inlineStr">
        <is>
          <t>ROSSELL INDIA LTD</t>
        </is>
      </c>
      <c r="C3496" s="97" t="n">
        <v>533168</v>
      </c>
      <c r="D3496" s="96" t="inlineStr">
        <is>
          <t>ROSSELLIND</t>
        </is>
      </c>
      <c r="E3496" s="96" t="inlineStr">
        <is>
          <t>Tea &amp; Coffee</t>
        </is>
      </c>
    </row>
    <row r="3497" ht="15" customHeight="1" s="109" thickBot="1">
      <c r="B3497" s="96" t="inlineStr">
        <is>
          <t>ROTO PUMPS LTD</t>
        </is>
      </c>
      <c r="C3497" s="97" t="n">
        <v>517500</v>
      </c>
      <c r="D3497" s="96" t="inlineStr">
        <is>
          <t>Not Listed</t>
        </is>
      </c>
      <c r="E3497" s="96" t="inlineStr">
        <is>
          <t>Industrial Machinery</t>
        </is>
      </c>
    </row>
    <row r="3498" ht="15" customHeight="1" s="109" thickBot="1">
      <c r="B3498" s="96" t="inlineStr">
        <is>
          <t>ROTOGRAPHICS (INDIA) LTD</t>
        </is>
      </c>
      <c r="C3498" s="97" t="n">
        <v>539922</v>
      </c>
      <c r="D3498" s="96" t="inlineStr">
        <is>
          <t>Not Listed</t>
        </is>
      </c>
      <c r="E3498" s="96" t="inlineStr">
        <is>
          <t>Comm.Trading &amp; Distribution</t>
        </is>
      </c>
    </row>
    <row r="3499" ht="15" customHeight="1" s="109" thickBot="1">
      <c r="B3499" s="96" t="inlineStr">
        <is>
          <t>ROTOGRAPHICS INDIA LTD</t>
        </is>
      </c>
      <c r="C3499" s="97" t="n">
        <v>539922</v>
      </c>
      <c r="D3499" s="96" t="inlineStr">
        <is>
          <t>Not Listed</t>
        </is>
      </c>
      <c r="E3499" s="96" t="inlineStr">
        <is>
          <t>Comm.Trading &amp; Distribution</t>
        </is>
      </c>
    </row>
    <row r="3500" ht="15" customHeight="1" s="109" thickBot="1">
      <c r="B3500" s="96" t="inlineStr">
        <is>
          <t>ROYAL CUSHION VINYL PRODUCTS LTD</t>
        </is>
      </c>
      <c r="C3500" s="97" t="n">
        <v>526193</v>
      </c>
      <c r="D3500" s="96" t="inlineStr">
        <is>
          <t>Not Listed</t>
        </is>
      </c>
      <c r="E3500" s="96" t="inlineStr">
        <is>
          <t>Furniture-Furnishing-Paints</t>
        </is>
      </c>
    </row>
    <row r="3501" ht="15" customHeight="1" s="109" thickBot="1">
      <c r="B3501" s="96" t="inlineStr">
        <is>
          <t>ROYAL INDIA CORPORATION LTD</t>
        </is>
      </c>
      <c r="C3501" s="97" t="n">
        <v>512047</v>
      </c>
      <c r="D3501" s="96" t="inlineStr">
        <is>
          <t>Not Listed</t>
        </is>
      </c>
      <c r="E3501" s="96" t="inlineStr">
        <is>
          <t>Other Apparels &amp; Accessories</t>
        </is>
      </c>
    </row>
    <row r="3502" ht="15" customHeight="1" s="109" thickBot="1">
      <c r="B3502" s="96" t="inlineStr">
        <is>
          <t>ROYAL ORCHID HOTELS LTD</t>
        </is>
      </c>
      <c r="C3502" s="97" t="n">
        <v>532699</v>
      </c>
      <c r="D3502" s="96" t="inlineStr">
        <is>
          <t>ROHLTD</t>
        </is>
      </c>
      <c r="E3502" s="96" t="inlineStr">
        <is>
          <t>Hotels</t>
        </is>
      </c>
    </row>
    <row r="3503" ht="15" customHeight="1" s="109" thickBot="1">
      <c r="B3503" s="96" t="inlineStr">
        <is>
          <t>ROYALE MANOR HOTELS &amp; INDUSTRIES LTD</t>
        </is>
      </c>
      <c r="C3503" s="97" t="n">
        <v>526640</v>
      </c>
      <c r="D3503" s="96" t="inlineStr">
        <is>
          <t>Not Listed</t>
        </is>
      </c>
      <c r="E3503" s="96" t="inlineStr">
        <is>
          <t>Hotels</t>
        </is>
      </c>
    </row>
    <row r="3504" ht="15" customHeight="1" s="109" thickBot="1">
      <c r="B3504" s="96" t="inlineStr">
        <is>
          <t>RPG LIFE SCIENCES LTD</t>
        </is>
      </c>
      <c r="C3504" s="97" t="n">
        <v>532983</v>
      </c>
      <c r="D3504" s="96" t="inlineStr">
        <is>
          <t>RPGLIFE</t>
        </is>
      </c>
      <c r="E3504" s="96" t="inlineStr">
        <is>
          <t>Pharmaceuticals</t>
        </is>
      </c>
    </row>
    <row r="3505" ht="15" customHeight="1" s="109" thickBot="1">
      <c r="B3505" s="96" t="inlineStr">
        <is>
          <t>RR FINANCIAL CONSULTANTS LTD</t>
        </is>
      </c>
      <c r="C3505" s="97" t="n">
        <v>511626</v>
      </c>
      <c r="D3505" s="96" t="inlineStr">
        <is>
          <t>Not Listed</t>
        </is>
      </c>
      <c r="E3505" s="96" t="inlineStr">
        <is>
          <t>Finance (including NBFCs)</t>
        </is>
      </c>
    </row>
    <row r="3506" ht="15" customHeight="1" s="109" thickBot="1">
      <c r="B3506" s="96" t="inlineStr">
        <is>
          <t>RSC INTERNATIONAL LTD</t>
        </is>
      </c>
      <c r="C3506" s="97" t="n">
        <v>530179</v>
      </c>
      <c r="D3506" s="96" t="inlineStr">
        <is>
          <t>Not Listed</t>
        </is>
      </c>
      <c r="E3506" s="96" t="inlineStr">
        <is>
          <t>Textiles</t>
        </is>
      </c>
    </row>
    <row r="3507" ht="15" customHeight="1" s="109" thickBot="1">
      <c r="B3507" s="96" t="inlineStr">
        <is>
          <t>RSD FINANCE LTD</t>
        </is>
      </c>
      <c r="C3507" s="97" t="n">
        <v>539875</v>
      </c>
      <c r="D3507" s="96" t="inlineStr">
        <is>
          <t>Not Listed</t>
        </is>
      </c>
      <c r="E3507" s="96" t="inlineStr">
        <is>
          <t>Investment Companies</t>
        </is>
      </c>
    </row>
    <row r="3508" ht="15" customHeight="1" s="109" thickBot="1">
      <c r="B3508" s="96" t="inlineStr">
        <is>
          <t>RSWM LTD</t>
        </is>
      </c>
      <c r="C3508" s="97" t="n">
        <v>500350</v>
      </c>
      <c r="D3508" s="96" t="inlineStr">
        <is>
          <t>RSWM</t>
        </is>
      </c>
      <c r="E3508" s="96" t="inlineStr">
        <is>
          <t>Textiles</t>
        </is>
      </c>
    </row>
    <row r="3509" ht="15" customHeight="1" s="109" thickBot="1">
      <c r="B3509" s="96" t="inlineStr">
        <is>
          <t>RTS POWER CORPORATION LTD</t>
        </is>
      </c>
      <c r="C3509" s="97" t="n">
        <v>531215</v>
      </c>
      <c r="D3509" s="96" t="inlineStr">
        <is>
          <t>Not Listed</t>
        </is>
      </c>
      <c r="E3509" s="96" t="inlineStr">
        <is>
          <t>Other Elect.Equip./ Prod.</t>
        </is>
      </c>
    </row>
    <row r="3510" ht="15" customHeight="1" s="109" thickBot="1">
      <c r="B3510" s="96" t="inlineStr">
        <is>
          <t>RUBFILA INTERNATIONAL LTD</t>
        </is>
      </c>
      <c r="C3510" s="97" t="n">
        <v>500367</v>
      </c>
      <c r="D3510" s="96" t="inlineStr">
        <is>
          <t>Not Listed</t>
        </is>
      </c>
      <c r="E3510" s="96" t="inlineStr">
        <is>
          <t>Auto Tyres &amp; Rubber Products</t>
        </is>
      </c>
    </row>
    <row r="3511" ht="15" customHeight="1" s="109" thickBot="1">
      <c r="B3511" s="96" t="inlineStr">
        <is>
          <t>RUBRA MEDICAMENTS LTD</t>
        </is>
      </c>
      <c r="C3511" s="97" t="n">
        <v>531099</v>
      </c>
      <c r="D3511" s="96" t="inlineStr">
        <is>
          <t>Not Listed</t>
        </is>
      </c>
      <c r="E3511" s="96" t="inlineStr">
        <is>
          <t>Pharmaceuticals</t>
        </is>
      </c>
    </row>
    <row r="3512" ht="15" customHeight="1" s="109" thickBot="1">
      <c r="B3512" s="96" t="inlineStr">
        <is>
          <t>RUCHI INFRASTRUCTURE LTD</t>
        </is>
      </c>
      <c r="C3512" s="97" t="n">
        <v>509020</v>
      </c>
      <c r="D3512" s="96" t="inlineStr">
        <is>
          <t>RUCHINFRA</t>
        </is>
      </c>
      <c r="E3512" s="96" t="inlineStr">
        <is>
          <t>Edible Oils</t>
        </is>
      </c>
    </row>
    <row r="3513" ht="15" customHeight="1" s="109" thickBot="1">
      <c r="B3513" s="96" t="inlineStr">
        <is>
          <t>RUCHI SOYA INDUSTRIES LTD</t>
        </is>
      </c>
      <c r="C3513" s="97" t="n">
        <v>500368</v>
      </c>
      <c r="D3513" s="96" t="inlineStr">
        <is>
          <t>RUCHISOYA</t>
        </is>
      </c>
      <c r="E3513" s="96" t="inlineStr">
        <is>
          <t>Edible Oils</t>
        </is>
      </c>
    </row>
    <row r="3514" ht="15" customHeight="1" s="109" thickBot="1">
      <c r="B3514" s="96" t="inlineStr">
        <is>
          <t>RUCHIKA INDUSTRIES (INDIA) LTD</t>
        </is>
      </c>
      <c r="C3514" s="97" t="n">
        <v>540696</v>
      </c>
      <c r="D3514" s="96" t="inlineStr">
        <is>
          <t>Not Listed</t>
        </is>
      </c>
      <c r="E3514" s="96" t="inlineStr">
        <is>
          <t>Comm.Trading &amp; Distribution</t>
        </is>
      </c>
    </row>
    <row r="3515" ht="15" customHeight="1" s="109" thickBot="1">
      <c r="B3515" s="96" t="inlineStr">
        <is>
          <t>RUCHIKA INDUSTRIES INDIA LTD</t>
        </is>
      </c>
      <c r="C3515" s="97" t="n">
        <v>540696</v>
      </c>
      <c r="D3515" s="96" t="inlineStr">
        <is>
          <t>Not Listed</t>
        </is>
      </c>
      <c r="E3515" s="96" t="inlineStr">
        <is>
          <t>Comm.Trading &amp; Distribution</t>
        </is>
      </c>
    </row>
    <row r="3516" ht="15" customHeight="1" s="109" thickBot="1">
      <c r="B3516" s="96" t="inlineStr">
        <is>
          <t>RUCHIRA PAPERS LTD</t>
        </is>
      </c>
      <c r="C3516" s="97" t="n">
        <v>532785</v>
      </c>
      <c r="D3516" s="96" t="inlineStr">
        <is>
          <t>RUCHIRA</t>
        </is>
      </c>
      <c r="E3516" s="96" t="inlineStr">
        <is>
          <t>Paper &amp; Paper Products</t>
        </is>
      </c>
    </row>
    <row r="3517" ht="15" customHeight="1" s="109" thickBot="1">
      <c r="B3517" s="96" t="inlineStr">
        <is>
          <t>RUDRA GLOBAL INFRA PRODUCTS LTD</t>
        </is>
      </c>
      <c r="C3517" s="97" t="n">
        <v>539226</v>
      </c>
      <c r="D3517" s="96" t="inlineStr">
        <is>
          <t>Not Listed</t>
        </is>
      </c>
      <c r="E3517" s="96" t="inlineStr">
        <is>
          <t>Iron &amp; Steel/Interm.Products</t>
        </is>
      </c>
    </row>
    <row r="3518" ht="15" customHeight="1" s="109" thickBot="1">
      <c r="B3518" s="96" t="inlineStr">
        <is>
          <t>RUDRABHISHEK ENTERPRISES LTD</t>
        </is>
      </c>
      <c r="C3518" s="96" t="inlineStr">
        <is>
          <t>Not Listed</t>
        </is>
      </c>
      <c r="D3518" s="96" t="inlineStr">
        <is>
          <t>REPL</t>
        </is>
      </c>
      <c r="E3518" s="96" t="inlineStr">
        <is>
          <t>SME</t>
        </is>
      </c>
    </row>
    <row r="3519" ht="15" customHeight="1" s="109" thickBot="1">
      <c r="B3519" s="96" t="inlineStr">
        <is>
          <t>RUIA AQUACULTURE FARMS LTD</t>
        </is>
      </c>
      <c r="C3519" s="97" t="n">
        <v>519413</v>
      </c>
      <c r="D3519" s="96" t="inlineStr">
        <is>
          <t>Not Listed</t>
        </is>
      </c>
      <c r="E3519" s="96" t="inlineStr">
        <is>
          <t>Comm.Trading &amp; Distribution</t>
        </is>
      </c>
    </row>
    <row r="3520" ht="15" customHeight="1" s="109" thickBot="1">
      <c r="B3520" s="96" t="inlineStr">
        <is>
          <t>RUNGTA IRRIGATION LTD</t>
        </is>
      </c>
      <c r="C3520" s="97" t="n">
        <v>530449</v>
      </c>
      <c r="D3520" s="96" t="inlineStr">
        <is>
          <t>Not Listed</t>
        </is>
      </c>
      <c r="E3520" s="96" t="inlineStr">
        <is>
          <t>Plastic Products</t>
        </is>
      </c>
    </row>
    <row r="3521" ht="15" customHeight="1" s="109" thickBot="1">
      <c r="B3521" s="96" t="inlineStr">
        <is>
          <t>RUPA &amp; COMPANY LTD</t>
        </is>
      </c>
      <c r="C3521" s="97" t="n">
        <v>533552</v>
      </c>
      <c r="D3521" s="96" t="inlineStr">
        <is>
          <t>RUPA</t>
        </is>
      </c>
      <c r="E3521" s="96" t="inlineStr">
        <is>
          <t>Other Apparels &amp; Accessories</t>
        </is>
      </c>
    </row>
    <row r="3522" ht="15" customHeight="1" s="109" thickBot="1">
      <c r="B3522" s="96" t="inlineStr">
        <is>
          <t>RUSHIL DECOR LTD</t>
        </is>
      </c>
      <c r="C3522" s="97" t="n">
        <v>533470</v>
      </c>
      <c r="D3522" s="96" t="inlineStr">
        <is>
          <t>RUSHIL</t>
        </is>
      </c>
      <c r="E3522" s="96" t="inlineStr">
        <is>
          <t>Forest Products</t>
        </is>
      </c>
    </row>
    <row r="3523" ht="15" customHeight="1" s="109" thickBot="1">
      <c r="B3523" s="96" t="inlineStr">
        <is>
          <t>RUTRON INTERNATIONAL LTD</t>
        </is>
      </c>
      <c r="C3523" s="97" t="n">
        <v>504335</v>
      </c>
      <c r="D3523" s="96" t="inlineStr">
        <is>
          <t>Not Listed</t>
        </is>
      </c>
      <c r="E3523" s="96" t="inlineStr">
        <is>
          <t>Comm.Trading &amp; Distribution</t>
        </is>
      </c>
    </row>
    <row r="3524" ht="15" customHeight="1" s="109" thickBot="1">
      <c r="B3524" s="96" t="inlineStr">
        <is>
          <t>RUTTONSHA INTERNATIONAL RECTIFIER LTD</t>
        </is>
      </c>
      <c r="C3524" s="97" t="n">
        <v>517035</v>
      </c>
      <c r="D3524" s="96" t="inlineStr">
        <is>
          <t>Not Listed</t>
        </is>
      </c>
      <c r="E3524" s="96" t="inlineStr">
        <is>
          <t>Electronic Components</t>
        </is>
      </c>
    </row>
    <row r="3525" ht="15" customHeight="1" s="109" thickBot="1">
      <c r="B3525" s="96" t="inlineStr">
        <is>
          <t>S M GOLD LTD</t>
        </is>
      </c>
      <c r="C3525" s="97" t="n">
        <v>542034</v>
      </c>
      <c r="D3525" s="96" t="inlineStr">
        <is>
          <t>Not Listed</t>
        </is>
      </c>
      <c r="E3525" s="96" t="inlineStr">
        <is>
          <t>Other Apparels &amp; Accessories</t>
        </is>
      </c>
    </row>
    <row r="3526" ht="15" customHeight="1" s="109" thickBot="1">
      <c r="B3526" s="96" t="inlineStr">
        <is>
          <t>S A L STEEL LTD</t>
        </is>
      </c>
      <c r="C3526" s="97" t="n">
        <v>532604</v>
      </c>
      <c r="D3526" s="96" t="inlineStr">
        <is>
          <t>SALSTEEL</t>
        </is>
      </c>
      <c r="E3526" s="96" t="inlineStr">
        <is>
          <t>Iron &amp; Steel/Interm.Products</t>
        </is>
      </c>
    </row>
    <row r="3527" ht="15" customHeight="1" s="109" thickBot="1">
      <c r="B3527" s="96" t="inlineStr">
        <is>
          <t>S CHAND AND COMPANY LTD</t>
        </is>
      </c>
      <c r="C3527" s="97" t="n">
        <v>540497</v>
      </c>
      <c r="D3527" s="96" t="inlineStr">
        <is>
          <t>SCHAND</t>
        </is>
      </c>
      <c r="E3527" s="96" t="inlineStr">
        <is>
          <t>Publishing</t>
        </is>
      </c>
    </row>
    <row r="3528" ht="15" customHeight="1" s="109" thickBot="1">
      <c r="B3528" s="96" t="inlineStr">
        <is>
          <t>S E POWER LTD</t>
        </is>
      </c>
      <c r="C3528" s="97" t="n">
        <v>534598</v>
      </c>
      <c r="D3528" s="96" t="inlineStr">
        <is>
          <t>SEPOWER</t>
        </is>
      </c>
      <c r="E3528" s="96" t="inlineStr">
        <is>
          <t>Electric Utilities</t>
        </is>
      </c>
    </row>
    <row r="3529" ht="15" customHeight="1" s="109" thickBot="1">
      <c r="B3529" s="96" t="inlineStr">
        <is>
          <t>S H KELKAR AND COMPANY LTD</t>
        </is>
      </c>
      <c r="C3529" s="97" t="n">
        <v>539450</v>
      </c>
      <c r="D3529" s="96" t="inlineStr">
        <is>
          <t>SHK</t>
        </is>
      </c>
      <c r="E3529" s="96" t="inlineStr">
        <is>
          <t>Personal Products</t>
        </is>
      </c>
    </row>
    <row r="3530" ht="15" customHeight="1" s="109" thickBot="1">
      <c r="B3530" s="96" t="inlineStr">
        <is>
          <t>S KUMARS.COM LTD.</t>
        </is>
      </c>
      <c r="C3530" s="97" t="n">
        <v>532316</v>
      </c>
      <c r="D3530" s="96" t="inlineStr">
        <is>
          <t>SKUMAR</t>
        </is>
      </c>
      <c r="E3530" s="96" t="inlineStr">
        <is>
          <t>Internet Software &amp;amp; Services</t>
        </is>
      </c>
    </row>
    <row r="3531" ht="15" customHeight="1" s="109" thickBot="1">
      <c r="B3531" s="96" t="inlineStr">
        <is>
          <t>S P APPARELS LTD</t>
        </is>
      </c>
      <c r="C3531" s="97" t="n">
        <v>540048</v>
      </c>
      <c r="D3531" s="96" t="inlineStr">
        <is>
          <t>SPAL</t>
        </is>
      </c>
      <c r="E3531" s="96" t="inlineStr">
        <is>
          <t>Other Apparels &amp; Accessories</t>
        </is>
      </c>
    </row>
    <row r="3532" ht="15" customHeight="1" s="109" thickBot="1">
      <c r="B3532" s="96" t="inlineStr">
        <is>
          <t>S R G SECURITIES FINANCE LTD</t>
        </is>
      </c>
      <c r="C3532" s="97" t="n">
        <v>536710</v>
      </c>
      <c r="D3532" s="96" t="inlineStr">
        <is>
          <t>Not Listed</t>
        </is>
      </c>
      <c r="E3532" s="96" t="inlineStr">
        <is>
          <t>Finance (including NBFCs)</t>
        </is>
      </c>
    </row>
    <row r="3533" ht="15" customHeight="1" s="109" thickBot="1">
      <c r="B3533" s="96" t="inlineStr">
        <is>
          <t>S R INDUSTRIES LTD</t>
        </is>
      </c>
      <c r="C3533" s="97" t="n">
        <v>513515</v>
      </c>
      <c r="D3533" s="96" t="inlineStr">
        <is>
          <t>Not Listed</t>
        </is>
      </c>
      <c r="E3533" s="96" t="inlineStr">
        <is>
          <t>Textiles</t>
        </is>
      </c>
    </row>
    <row r="3534" ht="15" customHeight="1" s="109" thickBot="1">
      <c r="B3534" s="96" t="inlineStr">
        <is>
          <t>S R K INDUSTRIES LTD</t>
        </is>
      </c>
      <c r="C3534" s="97" t="n">
        <v>531307</v>
      </c>
      <c r="D3534" s="96" t="inlineStr">
        <is>
          <t>Not Listed</t>
        </is>
      </c>
      <c r="E3534" s="96" t="inlineStr">
        <is>
          <t>Textiles</t>
        </is>
      </c>
    </row>
    <row r="3535" ht="15" customHeight="1" s="109" thickBot="1">
      <c r="B3535" s="96" t="inlineStr">
        <is>
          <t>S S INFRASTRUCTURE DEVELOPMENT CONSULTANTS LTD</t>
        </is>
      </c>
      <c r="C3535" s="96" t="inlineStr">
        <is>
          <t>Not Listed</t>
        </is>
      </c>
      <c r="D3535" s="96" t="inlineStr">
        <is>
          <t>SSINFRA</t>
        </is>
      </c>
      <c r="E3535" s="96" t="inlineStr">
        <is>
          <t>SME</t>
        </is>
      </c>
    </row>
    <row r="3536" ht="15" customHeight="1" s="109" thickBot="1">
      <c r="B3536" s="96" t="inlineStr">
        <is>
          <t>S T SERVICES LTD</t>
        </is>
      </c>
      <c r="C3536" s="97" t="n">
        <v>538876</v>
      </c>
      <c r="D3536" s="96" t="inlineStr">
        <is>
          <t>Not Listed</t>
        </is>
      </c>
      <c r="E3536" s="96" t="inlineStr">
        <is>
          <t>Finance (including NBFCs)</t>
        </is>
      </c>
    </row>
    <row r="3537" ht="15" customHeight="1" s="109" thickBot="1">
      <c r="B3537" s="96" t="inlineStr">
        <is>
          <t>S V GLOBAL MILL LTD</t>
        </is>
      </c>
      <c r="C3537" s="97" t="n">
        <v>535621</v>
      </c>
      <c r="D3537" s="96" t="inlineStr">
        <is>
          <t>Not Listed</t>
        </is>
      </c>
      <c r="E3537" s="96" t="inlineStr">
        <is>
          <t>Realty</t>
        </is>
      </c>
    </row>
    <row r="3538" ht="15" customHeight="1" s="109" thickBot="1">
      <c r="B3538" s="96" t="inlineStr">
        <is>
          <t>S V TRADING &amp; AGENCIES LTD</t>
        </is>
      </c>
      <c r="C3538" s="97" t="n">
        <v>503622</v>
      </c>
      <c r="D3538" s="96" t="inlineStr">
        <is>
          <t>Not Listed</t>
        </is>
      </c>
      <c r="E3538" s="96" t="inlineStr">
        <is>
          <t>Other Financial Services</t>
        </is>
      </c>
    </row>
    <row r="3539" ht="15" customHeight="1" s="109" thickBot="1">
      <c r="B3539" s="96" t="inlineStr">
        <is>
          <t>S&amp;T CORPORATION LTD</t>
        </is>
      </c>
      <c r="C3539" s="97" t="n">
        <v>514197</v>
      </c>
      <c r="D3539" s="96" t="inlineStr">
        <is>
          <t>Not Listed</t>
        </is>
      </c>
      <c r="E3539" s="96" t="inlineStr">
        <is>
          <t>Textiles</t>
        </is>
      </c>
    </row>
    <row r="3540" ht="15" customHeight="1" s="109" thickBot="1">
      <c r="B3540" s="96" t="inlineStr">
        <is>
          <t>SAB EVENTS &amp; GOVERNANCE NOW MEDIA LTD</t>
        </is>
      </c>
      <c r="C3540" s="97" t="n">
        <v>540081</v>
      </c>
      <c r="D3540" s="96" t="inlineStr">
        <is>
          <t>SABEVENTS</t>
        </is>
      </c>
      <c r="E3540" s="96" t="inlineStr">
        <is>
          <t>Publishing</t>
        </is>
      </c>
    </row>
    <row r="3541" ht="15" customHeight="1" s="109" thickBot="1">
      <c r="B3541" s="96" t="inlineStr">
        <is>
          <t>SAB INDUSTRIES LTD</t>
        </is>
      </c>
      <c r="C3541" s="97" t="n">
        <v>539112</v>
      </c>
      <c r="D3541" s="96" t="inlineStr">
        <is>
          <t>Not Listed</t>
        </is>
      </c>
      <c r="E3541" s="96" t="inlineStr">
        <is>
          <t>Realty</t>
        </is>
      </c>
    </row>
    <row r="3542" ht="15" customHeight="1" s="109" thickBot="1">
      <c r="B3542" s="96" t="inlineStr">
        <is>
          <t>SABOO BROTHERS LTD</t>
        </is>
      </c>
      <c r="C3542" s="97" t="n">
        <v>530267</v>
      </c>
      <c r="D3542" s="96" t="inlineStr">
        <is>
          <t>Not Listed</t>
        </is>
      </c>
      <c r="E3542" s="96" t="inlineStr">
        <is>
          <t>Industrial Machinery</t>
        </is>
      </c>
    </row>
    <row r="3543" ht="15" customHeight="1" s="109" thickBot="1">
      <c r="B3543" s="96" t="inlineStr">
        <is>
          <t>SABOO SODIUM CHLORO LTD</t>
        </is>
      </c>
      <c r="C3543" s="97" t="n">
        <v>530461</v>
      </c>
      <c r="D3543" s="96" t="inlineStr">
        <is>
          <t>Not Listed</t>
        </is>
      </c>
      <c r="E3543" s="96" t="inlineStr">
        <is>
          <t>Other Food Products</t>
        </is>
      </c>
    </row>
    <row r="3544" ht="15" customHeight="1" s="109" thickBot="1">
      <c r="B3544" s="96" t="inlineStr">
        <is>
          <t>SABRIMALA INDUSTRIES (INDIA) LTD</t>
        </is>
      </c>
      <c r="C3544" s="97" t="n">
        <v>540132</v>
      </c>
      <c r="D3544" s="96" t="inlineStr">
        <is>
          <t>Not Listed</t>
        </is>
      </c>
      <c r="E3544" s="96" t="inlineStr">
        <is>
          <t>Comm.Trading &amp; Distribution</t>
        </is>
      </c>
    </row>
    <row r="3545" ht="15" customHeight="1" s="109" thickBot="1">
      <c r="B3545" s="96" t="inlineStr">
        <is>
          <t>SABRIMALA INDUSTRIES INDIA LTD</t>
        </is>
      </c>
      <c r="C3545" s="97" t="n">
        <v>540132</v>
      </c>
      <c r="D3545" s="96" t="inlineStr">
        <is>
          <t>Not Listed</t>
        </is>
      </c>
      <c r="E3545" s="96" t="inlineStr">
        <is>
          <t>Comm.Trading &amp; Distribution</t>
        </is>
      </c>
    </row>
    <row r="3546" ht="15" customHeight="1" s="109" thickBot="1">
      <c r="B3546" s="96" t="inlineStr">
        <is>
          <t>SACHETA METALS LTD</t>
        </is>
      </c>
      <c r="C3546" s="97" t="n">
        <v>531869</v>
      </c>
      <c r="D3546" s="96" t="inlineStr">
        <is>
          <t>Not Listed</t>
        </is>
      </c>
      <c r="E3546" s="96" t="inlineStr">
        <is>
          <t>Aluminium</t>
        </is>
      </c>
    </row>
    <row r="3547" ht="15" customHeight="1" s="109" thickBot="1">
      <c r="B3547" s="96" t="inlineStr">
        <is>
          <t>SADBHAV ENGINEERING LTD</t>
        </is>
      </c>
      <c r="C3547" s="97" t="n">
        <v>532710</v>
      </c>
      <c r="D3547" s="96" t="inlineStr">
        <is>
          <t>SADBHAV</t>
        </is>
      </c>
      <c r="E3547" s="96" t="inlineStr">
        <is>
          <t>Construction &amp; Engineering</t>
        </is>
      </c>
    </row>
    <row r="3548" ht="15" customHeight="1" s="109" thickBot="1">
      <c r="B3548" s="96" t="inlineStr">
        <is>
          <t>SADBHAV INFRASTRUCTURE PROJECT LTD</t>
        </is>
      </c>
      <c r="C3548" s="97" t="n">
        <v>539346</v>
      </c>
      <c r="D3548" s="96" t="inlineStr">
        <is>
          <t>SADBHIN</t>
        </is>
      </c>
      <c r="E3548" s="96" t="inlineStr">
        <is>
          <t>Roads &amp; Highways</t>
        </is>
      </c>
    </row>
    <row r="3549" ht="15" customHeight="1" s="109" thickBot="1">
      <c r="B3549" s="96" t="inlineStr">
        <is>
          <t>SADHANA NITROCHEM LTD</t>
        </is>
      </c>
      <c r="C3549" s="97" t="n">
        <v>506642</v>
      </c>
      <c r="D3549" s="96" t="inlineStr">
        <is>
          <t>Not Listed</t>
        </is>
      </c>
      <c r="E3549" s="96" t="inlineStr">
        <is>
          <t>Commodity Chemicals</t>
        </is>
      </c>
    </row>
    <row r="3550" ht="15" customHeight="1" s="109" thickBot="1">
      <c r="B3550" s="96" t="inlineStr">
        <is>
          <t>SADHNA BROADCAST LTD</t>
        </is>
      </c>
      <c r="C3550" s="97" t="n">
        <v>540821</v>
      </c>
      <c r="D3550" s="96" t="inlineStr">
        <is>
          <t>Not Listed</t>
        </is>
      </c>
      <c r="E3550" s="96" t="inlineStr">
        <is>
          <t>Broadcasting &amp; Cable TV</t>
        </is>
      </c>
    </row>
    <row r="3551" ht="15" customHeight="1" s="109" thickBot="1">
      <c r="B3551" s="96" t="inlineStr">
        <is>
          <t>SAFAL HERBS LTD</t>
        </is>
      </c>
      <c r="C3551" s="97" t="n">
        <v>532034</v>
      </c>
      <c r="D3551" s="96" t="inlineStr">
        <is>
          <t>Not Listed</t>
        </is>
      </c>
      <c r="E3551" s="96" t="inlineStr">
        <is>
          <t>Personal Products</t>
        </is>
      </c>
    </row>
    <row r="3552" ht="15" customHeight="1" s="109" thickBot="1">
      <c r="B3552" s="96" t="inlineStr">
        <is>
          <t>SAFAL SECURITIES LTD</t>
        </is>
      </c>
      <c r="C3552" s="97" t="n">
        <v>531448</v>
      </c>
      <c r="D3552" s="96" t="inlineStr">
        <is>
          <t>Not Listed</t>
        </is>
      </c>
      <c r="E3552" s="96" t="inlineStr">
        <is>
          <t>Misc.Commercial Services</t>
        </is>
      </c>
    </row>
    <row r="3553" ht="15" customHeight="1" s="109" thickBot="1">
      <c r="B3553" s="96" t="inlineStr">
        <is>
          <t>SAFARI INDUSTRIES (INDIA) LTD</t>
        </is>
      </c>
      <c r="C3553" s="97" t="n">
        <v>523025</v>
      </c>
      <c r="D3553" s="96" t="inlineStr">
        <is>
          <t>Not Listed</t>
        </is>
      </c>
      <c r="E3553" s="96" t="inlineStr">
        <is>
          <t>Other Apparels &amp; Accessories</t>
        </is>
      </c>
    </row>
    <row r="3554" ht="15" customHeight="1" s="109" thickBot="1">
      <c r="B3554" s="96" t="inlineStr">
        <is>
          <t>SAFARI INDUSTRIES INDIA LTD</t>
        </is>
      </c>
      <c r="C3554" s="97" t="n">
        <v>523025</v>
      </c>
      <c r="D3554" s="96" t="inlineStr">
        <is>
          <t>Not Listed</t>
        </is>
      </c>
      <c r="E3554" s="96" t="inlineStr">
        <is>
          <t>Other Apparels &amp; Accessories</t>
        </is>
      </c>
    </row>
    <row r="3555" ht="15" customHeight="1" s="109" thickBot="1">
      <c r="B3555" s="96" t="inlineStr">
        <is>
          <t>SAGAR CEMENTS LTD</t>
        </is>
      </c>
      <c r="C3555" s="97" t="n">
        <v>502090</v>
      </c>
      <c r="D3555" s="96" t="inlineStr">
        <is>
          <t>SAGCEM</t>
        </is>
      </c>
      <c r="E3555" s="96" t="inlineStr">
        <is>
          <t>Cement &amp; Cement Products</t>
        </is>
      </c>
    </row>
    <row r="3556" ht="15" customHeight="1" s="109" thickBot="1">
      <c r="B3556" s="96" t="inlineStr">
        <is>
          <t>SAGAR DIAMONDS LTD</t>
        </is>
      </c>
      <c r="C3556" s="97" t="n">
        <v>540715</v>
      </c>
      <c r="D3556" s="96" t="inlineStr">
        <is>
          <t>Not Listed</t>
        </is>
      </c>
      <c r="E3556" s="96" t="inlineStr">
        <is>
          <t>Other Apparels &amp; Accessories</t>
        </is>
      </c>
    </row>
    <row r="3557" ht="15" customHeight="1" s="109" thickBot="1">
      <c r="B3557" s="96" t="inlineStr">
        <is>
          <t>SAGAR PRODUCTIONS LTD</t>
        </is>
      </c>
      <c r="C3557" s="97" t="n">
        <v>532092</v>
      </c>
      <c r="D3557" s="96" t="inlineStr">
        <is>
          <t>Not Listed</t>
        </is>
      </c>
      <c r="E3557" s="96" t="inlineStr">
        <is>
          <t>Finance (including NBFCs)</t>
        </is>
      </c>
    </row>
    <row r="3558" ht="15" customHeight="1" s="109" thickBot="1">
      <c r="B3558" s="96" t="inlineStr">
        <is>
          <t>SAGAR SOYA PRODUCTS LTD</t>
        </is>
      </c>
      <c r="C3558" s="97" t="n">
        <v>507663</v>
      </c>
      <c r="D3558" s="96" t="inlineStr">
        <is>
          <t>Not Listed</t>
        </is>
      </c>
      <c r="E3558" s="96" t="inlineStr">
        <is>
          <t>Edible Oils</t>
        </is>
      </c>
    </row>
    <row r="3559" ht="15" customHeight="1" s="109" thickBot="1">
      <c r="B3559" s="96" t="inlineStr">
        <is>
          <t>SAGAR SYSTECH LTD</t>
        </is>
      </c>
      <c r="C3559" s="97" t="n">
        <v>511254</v>
      </c>
      <c r="D3559" s="96" t="inlineStr">
        <is>
          <t>Not Listed</t>
        </is>
      </c>
      <c r="E3559" s="96" t="inlineStr">
        <is>
          <t>Finance (including NBFCs)</t>
        </is>
      </c>
    </row>
    <row r="3560" ht="15" customHeight="1" s="109" thickBot="1">
      <c r="B3560" s="96" t="inlineStr">
        <is>
          <t>SAGAR TOURIST RESORTS LTD</t>
        </is>
      </c>
      <c r="C3560" s="97" t="n">
        <v>526085</v>
      </c>
      <c r="D3560" s="96" t="inlineStr">
        <is>
          <t>Not Listed</t>
        </is>
      </c>
      <c r="E3560" s="96" t="inlineStr">
        <is>
          <t>Hotels</t>
        </is>
      </c>
    </row>
    <row r="3561" ht="15" customHeight="1" s="109" thickBot="1">
      <c r="B3561" s="96" t="inlineStr">
        <is>
          <t>SAGARDEEP ALLOYS LTD</t>
        </is>
      </c>
      <c r="C3561" s="96" t="inlineStr">
        <is>
          <t>Not Listed</t>
        </is>
      </c>
      <c r="D3561" s="96" t="inlineStr">
        <is>
          <t>SAGARDEEP</t>
        </is>
      </c>
      <c r="E3561" s="96" t="inlineStr">
        <is>
          <t>SME</t>
        </is>
      </c>
    </row>
    <row r="3562" ht="15" customHeight="1" s="109" thickBot="1">
      <c r="B3562" s="96" t="inlineStr">
        <is>
          <t>SAGARSOFT (INDIA) LTD</t>
        </is>
      </c>
      <c r="C3562" s="97" t="n">
        <v>540143</v>
      </c>
      <c r="D3562" s="96" t="inlineStr">
        <is>
          <t>Not Listed</t>
        </is>
      </c>
      <c r="E3562" s="96" t="inlineStr">
        <is>
          <t>IT Consulting &amp; Software</t>
        </is>
      </c>
    </row>
    <row r="3563" ht="15" customHeight="1" s="109" thickBot="1">
      <c r="B3563" s="96" t="inlineStr">
        <is>
          <t>SAGARSOFT INDIA LTD</t>
        </is>
      </c>
      <c r="C3563" s="97" t="n">
        <v>540143</v>
      </c>
      <c r="D3563" s="96" t="inlineStr">
        <is>
          <t>Not Listed</t>
        </is>
      </c>
      <c r="E3563" s="96" t="inlineStr">
        <is>
          <t>IT Consulting &amp; Software</t>
        </is>
      </c>
    </row>
    <row r="3564" ht="15" customHeight="1" s="109" thickBot="1">
      <c r="B3564" s="96" t="inlineStr">
        <is>
          <t>SAHARA HOUSINGFINA CORPORATION LTD</t>
        </is>
      </c>
      <c r="C3564" s="97" t="n">
        <v>511533</v>
      </c>
      <c r="D3564" s="96" t="inlineStr">
        <is>
          <t>Not Listed</t>
        </is>
      </c>
      <c r="E3564" s="96" t="inlineStr">
        <is>
          <t>Housing Finance</t>
        </is>
      </c>
    </row>
    <row r="3565" ht="15" customHeight="1" s="109" thickBot="1">
      <c r="B3565" s="96" t="inlineStr">
        <is>
          <t>SAHARA ONE MEDIA &amp; ENTERTAINMENT LTD</t>
        </is>
      </c>
      <c r="C3565" s="97" t="n">
        <v>503691</v>
      </c>
      <c r="D3565" s="96" t="inlineStr">
        <is>
          <t>Not Listed</t>
        </is>
      </c>
      <c r="E3565" s="96" t="inlineStr">
        <is>
          <t>Broadcasting &amp; Cable TV</t>
        </is>
      </c>
    </row>
    <row r="3566" ht="15" customHeight="1" s="109" thickBot="1">
      <c r="B3566" s="96" t="inlineStr">
        <is>
          <t>SAHYADRI INDUSTRIES LTD</t>
        </is>
      </c>
      <c r="C3566" s="97" t="n">
        <v>532841</v>
      </c>
      <c r="D3566" s="96" t="inlineStr">
        <is>
          <t>Not Listed</t>
        </is>
      </c>
      <c r="E3566" s="96" t="inlineStr">
        <is>
          <t>Cement &amp; Cement Products</t>
        </is>
      </c>
    </row>
    <row r="3567" ht="15" customHeight="1" s="109" thickBot="1">
      <c r="B3567" s="96" t="inlineStr">
        <is>
          <t>SAHYOG MULTIBASE LTD</t>
        </is>
      </c>
      <c r="C3567" s="97" t="n">
        <v>539660</v>
      </c>
      <c r="D3567" s="96" t="inlineStr">
        <is>
          <t>Not Listed</t>
        </is>
      </c>
      <c r="E3567" s="96" t="inlineStr">
        <is>
          <t>Other Financial Services</t>
        </is>
      </c>
    </row>
    <row r="3568" ht="15" customHeight="1" s="109" thickBot="1">
      <c r="B3568" s="96" t="inlineStr">
        <is>
          <t>SAI BABA INVESTMENT AND COMMERCIAL ENTERPRISES LTD</t>
        </is>
      </c>
      <c r="C3568" s="97" t="n">
        <v>538557</v>
      </c>
      <c r="D3568" s="96" t="inlineStr">
        <is>
          <t>Not Listed</t>
        </is>
      </c>
      <c r="E3568" s="96" t="inlineStr">
        <is>
          <t>Comm.Trading &amp; Distribution</t>
        </is>
      </c>
    </row>
    <row r="3569" ht="15" customHeight="1" s="109" thickBot="1">
      <c r="B3569" s="96" t="inlineStr">
        <is>
          <t>SAI CAPITAL LTD</t>
        </is>
      </c>
      <c r="C3569" s="97" t="n">
        <v>531931</v>
      </c>
      <c r="D3569" s="96" t="inlineStr">
        <is>
          <t>Not Listed</t>
        </is>
      </c>
      <c r="E3569" s="96" t="inlineStr">
        <is>
          <t>Misc.Commercial Services</t>
        </is>
      </c>
    </row>
    <row r="3570" ht="15" customHeight="1" s="109" thickBot="1">
      <c r="B3570" s="96" t="inlineStr">
        <is>
          <t>SAI INDUSTRIES LTD</t>
        </is>
      </c>
      <c r="C3570" s="97" t="n">
        <v>530905</v>
      </c>
      <c r="D3570" s="96" t="inlineStr">
        <is>
          <t>Not Listed</t>
        </is>
      </c>
      <c r="E3570" s="96" t="inlineStr">
        <is>
          <t>Finance (including NBFCs)</t>
        </is>
      </c>
    </row>
    <row r="3571" ht="15" customHeight="1" s="109" thickBot="1">
      <c r="B3571" s="96" t="inlineStr">
        <is>
          <t>SAI MOH AUTO LINKS LTD</t>
        </is>
      </c>
      <c r="C3571" s="97" t="n">
        <v>540066</v>
      </c>
      <c r="D3571" s="96" t="inlineStr">
        <is>
          <t>Not Listed</t>
        </is>
      </c>
      <c r="E3571" s="96" t="inlineStr">
        <is>
          <t>Auto Parts &amp; Equipment</t>
        </is>
      </c>
    </row>
    <row r="3572" ht="15" customHeight="1" s="109" thickBot="1">
      <c r="B3572" s="96" t="inlineStr">
        <is>
          <t>SAINIK FINANCE &amp; INDUSTRIES LTD</t>
        </is>
      </c>
      <c r="C3572" s="97" t="n">
        <v>530265</v>
      </c>
      <c r="D3572" s="96" t="inlineStr">
        <is>
          <t>Not Listed</t>
        </is>
      </c>
      <c r="E3572" s="96" t="inlineStr">
        <is>
          <t>Cement &amp; Cement Products</t>
        </is>
      </c>
    </row>
    <row r="3573" ht="15" customHeight="1" s="109" thickBot="1">
      <c r="B3573" s="96" t="inlineStr">
        <is>
          <t>SAINT-GOBAIN SEKURIT (INDIA) LTD</t>
        </is>
      </c>
      <c r="C3573" s="97" t="n">
        <v>515043</v>
      </c>
      <c r="D3573" s="96" t="inlineStr">
        <is>
          <t>Not Listed</t>
        </is>
      </c>
      <c r="E3573" s="96" t="inlineStr">
        <is>
          <t>Furniture-Furnishing-Paints</t>
        </is>
      </c>
    </row>
    <row r="3574" ht="15" customHeight="1" s="109" thickBot="1">
      <c r="B3574" s="96" t="inlineStr">
        <is>
          <t>SAINT-GOBAIN SEKURIT INDIA LTD</t>
        </is>
      </c>
      <c r="C3574" s="97" t="n">
        <v>515043</v>
      </c>
      <c r="D3574" s="96" t="inlineStr">
        <is>
          <t>Not Listed</t>
        </is>
      </c>
      <c r="E3574" s="96" t="inlineStr">
        <is>
          <t>Furniture-Furnishing-Paints</t>
        </is>
      </c>
    </row>
    <row r="3575" ht="15" customHeight="1" s="109" thickBot="1">
      <c r="B3575" s="96" t="inlineStr">
        <is>
          <t>SAKAR HEALTHCARE LTD</t>
        </is>
      </c>
      <c r="C3575" s="96" t="inlineStr">
        <is>
          <t>Not Listed</t>
        </is>
      </c>
      <c r="D3575" s="96" t="inlineStr">
        <is>
          <t>SAKAR</t>
        </is>
      </c>
      <c r="E3575" s="96" t="inlineStr">
        <is>
          <t>SME</t>
        </is>
      </c>
    </row>
    <row r="3576" ht="15" customHeight="1" s="109" thickBot="1">
      <c r="B3576" s="96" t="inlineStr">
        <is>
          <t>SAKETH EXIM LTD</t>
        </is>
      </c>
      <c r="C3576" s="96" t="inlineStr">
        <is>
          <t>Not Listed</t>
        </is>
      </c>
      <c r="D3576" s="96" t="inlineStr">
        <is>
          <t>SAKETH</t>
        </is>
      </c>
      <c r="E3576" s="96" t="inlineStr">
        <is>
          <t>SME</t>
        </is>
      </c>
    </row>
    <row r="3577" ht="15" customHeight="1" s="109" thickBot="1">
      <c r="B3577" s="96" t="inlineStr">
        <is>
          <t>SAKSOFT LTD</t>
        </is>
      </c>
      <c r="C3577" s="97" t="n">
        <v>590051</v>
      </c>
      <c r="D3577" s="96" t="inlineStr">
        <is>
          <t>SAKSOFT</t>
        </is>
      </c>
      <c r="E3577" s="96" t="inlineStr">
        <is>
          <t>IT Software Products</t>
        </is>
      </c>
    </row>
    <row r="3578" ht="15" customHeight="1" s="109" thickBot="1">
      <c r="B3578" s="96" t="inlineStr">
        <is>
          <t>SAKTHI FINANCE LTD</t>
        </is>
      </c>
      <c r="C3578" s="97" t="n">
        <v>511066</v>
      </c>
      <c r="D3578" s="96" t="inlineStr">
        <is>
          <t>Not Listed</t>
        </is>
      </c>
      <c r="E3578" s="96" t="inlineStr">
        <is>
          <t>Finance (including NBFCs)</t>
        </is>
      </c>
    </row>
    <row r="3579" ht="15" customHeight="1" s="109" thickBot="1">
      <c r="B3579" s="96" t="inlineStr">
        <is>
          <t>SAKTHI SUGARS LTD</t>
        </is>
      </c>
      <c r="C3579" s="97" t="n">
        <v>507315</v>
      </c>
      <c r="D3579" s="96" t="inlineStr">
        <is>
          <t>SAKHTISUG</t>
        </is>
      </c>
      <c r="E3579" s="96" t="inlineStr">
        <is>
          <t>Sugar</t>
        </is>
      </c>
    </row>
    <row r="3580" ht="15" customHeight="1" s="109" thickBot="1">
      <c r="B3580" s="96" t="inlineStr">
        <is>
          <t>SAKUMA EXPORTS LTD</t>
        </is>
      </c>
      <c r="C3580" s="97" t="n">
        <v>532713</v>
      </c>
      <c r="D3580" s="96" t="inlineStr">
        <is>
          <t>SAKUMA</t>
        </is>
      </c>
      <c r="E3580" s="96" t="inlineStr">
        <is>
          <t>Comm.Trading &amp; Distribution</t>
        </is>
      </c>
    </row>
    <row r="3581" ht="15" customHeight="1" s="109" thickBot="1">
      <c r="B3581" s="96" t="inlineStr">
        <is>
          <t>SALASAR TECHNO ENGINEERING LTD</t>
        </is>
      </c>
      <c r="C3581" s="97" t="n">
        <v>540642</v>
      </c>
      <c r="D3581" s="96" t="inlineStr">
        <is>
          <t>SALASAR</t>
        </is>
      </c>
      <c r="E3581" s="96" t="inlineStr">
        <is>
          <t>Construction &amp; Engineering</t>
        </is>
      </c>
    </row>
    <row r="3582" ht="15" customHeight="1" s="109" thickBot="1">
      <c r="B3582" s="96" t="inlineStr">
        <is>
          <t>SALEM ERODE INVESTMENTS LTD</t>
        </is>
      </c>
      <c r="C3582" s="97" t="n">
        <v>540181</v>
      </c>
      <c r="D3582" s="96" t="inlineStr">
        <is>
          <t>Not Listed</t>
        </is>
      </c>
      <c r="E3582" s="96" t="inlineStr">
        <is>
          <t>Finance (including NBFCs)</t>
        </is>
      </c>
    </row>
    <row r="3583" ht="15" customHeight="1" s="109" thickBot="1">
      <c r="B3583" s="96" t="inlineStr">
        <is>
          <t>SALGUTI INDUSTRIES LTD</t>
        </is>
      </c>
      <c r="C3583" s="97" t="n">
        <v>526554</v>
      </c>
      <c r="D3583" s="96" t="inlineStr">
        <is>
          <t>Not Listed</t>
        </is>
      </c>
      <c r="E3583" s="96" t="inlineStr">
        <is>
          <t>Containers &amp; Packaging</t>
        </is>
      </c>
    </row>
    <row r="3584" ht="15" customHeight="1" s="109" thickBot="1">
      <c r="B3584" s="96" t="inlineStr">
        <is>
          <t>SALONA COTSPIN LTD</t>
        </is>
      </c>
      <c r="C3584" s="97" t="n">
        <v>590056</v>
      </c>
      <c r="D3584" s="96" t="inlineStr">
        <is>
          <t>SALONA</t>
        </is>
      </c>
      <c r="E3584" s="96" t="inlineStr">
        <is>
          <t>Textiles</t>
        </is>
      </c>
    </row>
    <row r="3585" ht="15" customHeight="1" s="109" thickBot="1">
      <c r="B3585" s="96" t="inlineStr">
        <is>
          <t>SALORA INTERNATIONAL LTD</t>
        </is>
      </c>
      <c r="C3585" s="97" t="n">
        <v>500370</v>
      </c>
      <c r="D3585" s="96" t="inlineStr">
        <is>
          <t>SALORAINTL</t>
        </is>
      </c>
      <c r="E3585" s="96" t="inlineStr">
        <is>
          <t>Comm.Trading &amp; Distribution</t>
        </is>
      </c>
    </row>
    <row r="3586" ht="15" customHeight="1" s="109" thickBot="1">
      <c r="B3586" s="96" t="inlineStr">
        <is>
          <t>SALZER ELECTRONICS LTD</t>
        </is>
      </c>
      <c r="C3586" s="97" t="n">
        <v>517059</v>
      </c>
      <c r="D3586" s="96" t="inlineStr">
        <is>
          <t>SALZERELEC</t>
        </is>
      </c>
      <c r="E3586" s="96" t="inlineStr">
        <is>
          <t>Other Elect.Equip./ Prod.</t>
        </is>
      </c>
    </row>
    <row r="3587" ht="15" customHeight="1" s="109" thickBot="1">
      <c r="B3587" s="96" t="inlineStr">
        <is>
          <t>SAM INDUSTRIES LTD</t>
        </is>
      </c>
      <c r="C3587" s="97" t="n">
        <v>532005</v>
      </c>
      <c r="D3587" s="96" t="inlineStr">
        <is>
          <t>Not Listed</t>
        </is>
      </c>
      <c r="E3587" s="96" t="inlineStr">
        <is>
          <t>Other Industrial Goods</t>
        </is>
      </c>
    </row>
    <row r="3588" ht="15" customHeight="1" s="109" thickBot="1">
      <c r="B3588" s="96" t="inlineStr">
        <is>
          <t>SAMBANDAM SPINNING MILLS LTD</t>
        </is>
      </c>
      <c r="C3588" s="97" t="n">
        <v>521240</v>
      </c>
      <c r="D3588" s="96" t="inlineStr">
        <is>
          <t>Not Listed</t>
        </is>
      </c>
      <c r="E3588" s="96" t="inlineStr">
        <is>
          <t>Textiles</t>
        </is>
      </c>
    </row>
    <row r="3589" ht="15" customHeight="1" s="109" thickBot="1">
      <c r="B3589" s="96" t="inlineStr">
        <is>
          <t>SAMBHAAV MEDIA LTD</t>
        </is>
      </c>
      <c r="C3589" s="97" t="n">
        <v>511630</v>
      </c>
      <c r="D3589" s="96" t="inlineStr">
        <is>
          <t>SAMBHAAV</t>
        </is>
      </c>
      <c r="E3589" s="96" t="inlineStr">
        <is>
          <t>Publishing</t>
        </is>
      </c>
    </row>
    <row r="3590" ht="15" customHeight="1" s="109" thickBot="1">
      <c r="B3590" s="96" t="inlineStr">
        <is>
          <t>SAMKRG PISTONS &amp; RINGS LTD</t>
        </is>
      </c>
      <c r="C3590" s="97" t="n">
        <v>520075</v>
      </c>
      <c r="D3590" s="96" t="inlineStr">
        <is>
          <t>Not Listed</t>
        </is>
      </c>
      <c r="E3590" s="96" t="inlineStr">
        <is>
          <t>Auto Parts &amp; Equipment</t>
        </is>
      </c>
    </row>
    <row r="3591" ht="15" customHeight="1" s="109" thickBot="1">
      <c r="B3591" s="96" t="inlineStr">
        <is>
          <t>SAMPRE NUTRITIONS LTD</t>
        </is>
      </c>
      <c r="C3591" s="97" t="n">
        <v>530617</v>
      </c>
      <c r="D3591" s="96" t="inlineStr">
        <is>
          <t>Not Listed</t>
        </is>
      </c>
      <c r="E3591" s="96" t="inlineStr">
        <is>
          <t>Packaged Foods</t>
        </is>
      </c>
    </row>
    <row r="3592" ht="15" customHeight="1" s="109" thickBot="1">
      <c r="B3592" s="96" t="inlineStr">
        <is>
          <t>SAMRAT PHARMACHEM LTD</t>
        </is>
      </c>
      <c r="C3592" s="97" t="n">
        <v>530125</v>
      </c>
      <c r="D3592" s="96" t="inlineStr">
        <is>
          <t>Not Listed</t>
        </is>
      </c>
      <c r="E3592" s="96" t="inlineStr">
        <is>
          <t>Pharmaceuticals</t>
        </is>
      </c>
    </row>
    <row r="3593" ht="15" customHeight="1" s="109" thickBot="1">
      <c r="B3593" s="96" t="inlineStr">
        <is>
          <t>SAMTEL (INDIA) LTD</t>
        </is>
      </c>
      <c r="C3593" s="97" t="n">
        <v>500371</v>
      </c>
      <c r="D3593" s="96" t="inlineStr">
        <is>
          <t>Not Listed</t>
        </is>
      </c>
      <c r="E3593" s="96" t="inlineStr">
        <is>
          <t>Consumer Electronics</t>
        </is>
      </c>
    </row>
    <row r="3594" ht="15" customHeight="1" s="109" thickBot="1">
      <c r="B3594" s="96" t="inlineStr">
        <is>
          <t>SAMTEL INDIA LTD</t>
        </is>
      </c>
      <c r="C3594" s="97" t="n">
        <v>500371</v>
      </c>
      <c r="D3594" s="96" t="inlineStr">
        <is>
          <t>Not Listed</t>
        </is>
      </c>
      <c r="E3594" s="96" t="inlineStr">
        <is>
          <t>Consumer Electronics</t>
        </is>
      </c>
    </row>
    <row r="3595" ht="15" customHeight="1" s="109" thickBot="1">
      <c r="B3595" s="96" t="inlineStr">
        <is>
          <t>SAMTEX FASHIONS LTD</t>
        </is>
      </c>
      <c r="C3595" s="97" t="n">
        <v>521206</v>
      </c>
      <c r="D3595" s="96" t="inlineStr">
        <is>
          <t>Not Listed</t>
        </is>
      </c>
      <c r="E3595" s="96" t="inlineStr">
        <is>
          <t>Other Apparels &amp; Accessories</t>
        </is>
      </c>
    </row>
    <row r="3596" ht="15" customHeight="1" s="109" thickBot="1">
      <c r="B3596" s="96" t="inlineStr">
        <is>
          <t>SAMYAK INTERNATIONAL LTD</t>
        </is>
      </c>
      <c r="C3596" s="97" t="n">
        <v>530025</v>
      </c>
      <c r="D3596" s="96" t="inlineStr">
        <is>
          <t>Not Listed</t>
        </is>
      </c>
      <c r="E3596" s="96" t="inlineStr">
        <is>
          <t>Misc.Commercial Services</t>
        </is>
      </c>
    </row>
    <row r="3597" ht="15" customHeight="1" s="109" thickBot="1">
      <c r="B3597" s="96" t="inlineStr">
        <is>
          <t>SANASA TECH FEB LTD</t>
        </is>
      </c>
      <c r="C3597" s="97" t="n">
        <v>780015</v>
      </c>
      <c r="D3597" s="96" t="inlineStr">
        <is>
          <t>Not Listed</t>
        </is>
      </c>
      <c r="E3597" s="96" t="inlineStr">
        <is>
          <t>Others</t>
        </is>
      </c>
    </row>
    <row r="3598" ht="15" customHeight="1" s="109" thickBot="1">
      <c r="B3598" s="96" t="inlineStr">
        <is>
          <t>SANATHNAGAR ENTERPRISES LTD</t>
        </is>
      </c>
      <c r="C3598" s="97" t="n">
        <v>509423</v>
      </c>
      <c r="D3598" s="96" t="inlineStr">
        <is>
          <t>Not Listed</t>
        </is>
      </c>
      <c r="E3598" s="96" t="inlineStr">
        <is>
          <t>Commodity Chemicals</t>
        </is>
      </c>
    </row>
    <row r="3599" ht="15" customHeight="1" s="109" thickBot="1">
      <c r="B3599" s="96" t="inlineStr">
        <is>
          <t>SANBLUE CORPORATION LTD</t>
        </is>
      </c>
      <c r="C3599" s="97" t="n">
        <v>521222</v>
      </c>
      <c r="D3599" s="96" t="inlineStr">
        <is>
          <t>Not Listed</t>
        </is>
      </c>
      <c r="E3599" s="96" t="inlineStr">
        <is>
          <t>Other Apparels &amp; Accessories</t>
        </is>
      </c>
    </row>
    <row r="3600" ht="15" customHeight="1" s="109" thickBot="1">
      <c r="B3600" s="96" t="inlineStr">
        <is>
          <t>SANCO INDUSTRIES LTD</t>
        </is>
      </c>
      <c r="C3600" s="96" t="inlineStr">
        <is>
          <t>Not Listed</t>
        </is>
      </c>
      <c r="D3600" s="96" t="inlineStr">
        <is>
          <t>SANCO</t>
        </is>
      </c>
      <c r="E3600" s="96" t="inlineStr">
        <is>
          <t>Others</t>
        </is>
      </c>
    </row>
    <row r="3601" ht="15" customHeight="1" s="109" thickBot="1">
      <c r="B3601" s="96" t="inlineStr">
        <is>
          <t>SANCO TRANS LTD</t>
        </is>
      </c>
      <c r="C3601" s="97" t="n">
        <v>523116</v>
      </c>
      <c r="D3601" s="96" t="inlineStr">
        <is>
          <t>Not Listed</t>
        </is>
      </c>
      <c r="E3601" s="96" t="inlineStr">
        <is>
          <t>Transport Related Services</t>
        </is>
      </c>
    </row>
    <row r="3602" ht="15" customHeight="1" s="109" thickBot="1">
      <c r="B3602" s="96" t="inlineStr">
        <is>
          <t>SANDHAR TECHNOLOGIES LTD</t>
        </is>
      </c>
      <c r="C3602" s="97" t="n">
        <v>541163</v>
      </c>
      <c r="D3602" s="96" t="inlineStr">
        <is>
          <t>SANDHAR</t>
        </is>
      </c>
      <c r="E3602" s="96" t="inlineStr">
        <is>
          <t>Auto Parts &amp; Equipment</t>
        </is>
      </c>
    </row>
    <row r="3603" ht="15" customHeight="1" s="109" thickBot="1">
      <c r="B3603" s="96" t="inlineStr">
        <is>
          <t>SANDU PHARMACEUTICALS LTD</t>
        </is>
      </c>
      <c r="C3603" s="97" t="n">
        <v>524703</v>
      </c>
      <c r="D3603" s="96" t="inlineStr">
        <is>
          <t>Not Listed</t>
        </is>
      </c>
      <c r="E3603" s="96" t="inlineStr">
        <is>
          <t>Pharmaceuticals</t>
        </is>
      </c>
    </row>
    <row r="3604" ht="15" customHeight="1" s="109" thickBot="1">
      <c r="B3604" s="96" t="inlineStr">
        <is>
          <t>SANDUR MANGANESE &amp; IRON ORES LTD</t>
        </is>
      </c>
      <c r="C3604" s="97" t="n">
        <v>504918</v>
      </c>
      <c r="D3604" s="96" t="inlineStr">
        <is>
          <t>Not Listed</t>
        </is>
      </c>
      <c r="E3604" s="96" t="inlineStr">
        <is>
          <t>Mining</t>
        </is>
      </c>
    </row>
    <row r="3605" ht="15" customHeight="1" s="109" thickBot="1">
      <c r="B3605" s="96" t="inlineStr">
        <is>
          <t>SANG FROID LABS (INDIA) LTD</t>
        </is>
      </c>
      <c r="C3605" s="97" t="n">
        <v>539392</v>
      </c>
      <c r="D3605" s="96" t="inlineStr">
        <is>
          <t>Not Listed</t>
        </is>
      </c>
      <c r="E3605" s="96" t="inlineStr">
        <is>
          <t>Comm.Trading &amp; Distribution</t>
        </is>
      </c>
    </row>
    <row r="3606" ht="15" customHeight="1" s="109" thickBot="1">
      <c r="B3606" s="96" t="inlineStr">
        <is>
          <t>SANG FROID LABS INDIA LTD</t>
        </is>
      </c>
      <c r="C3606" s="97" t="n">
        <v>539392</v>
      </c>
      <c r="D3606" s="96" t="inlineStr">
        <is>
          <t>Not Listed</t>
        </is>
      </c>
      <c r="E3606" s="96" t="inlineStr">
        <is>
          <t>Comm.Trading &amp; Distribution</t>
        </is>
      </c>
    </row>
    <row r="3607" ht="15" customHeight="1" s="109" thickBot="1">
      <c r="B3607" s="96" t="inlineStr">
        <is>
          <t>SANGAL PAPERS LTD</t>
        </is>
      </c>
      <c r="C3607" s="97" t="n">
        <v>516096</v>
      </c>
      <c r="D3607" s="96" t="inlineStr">
        <is>
          <t>Not Listed</t>
        </is>
      </c>
      <c r="E3607" s="96" t="inlineStr">
        <is>
          <t>Paper &amp; Paper Products</t>
        </is>
      </c>
    </row>
    <row r="3608" ht="15" customHeight="1" s="109" thickBot="1">
      <c r="B3608" s="96" t="inlineStr">
        <is>
          <t>SANGAM (INDIA) LTD</t>
        </is>
      </c>
      <c r="C3608" s="97" t="n">
        <v>514234</v>
      </c>
      <c r="D3608" s="96" t="inlineStr">
        <is>
          <t>SANGAMIND</t>
        </is>
      </c>
      <c r="E3608" s="96" t="inlineStr">
        <is>
          <t>Textiles</t>
        </is>
      </c>
    </row>
    <row r="3609" ht="15" customHeight="1" s="109" thickBot="1">
      <c r="B3609" s="96" t="inlineStr">
        <is>
          <t>SANGAM INDIA LTD</t>
        </is>
      </c>
      <c r="C3609" s="97" t="n">
        <v>514234</v>
      </c>
      <c r="D3609" s="96" t="inlineStr">
        <is>
          <t>SANGAMIND</t>
        </is>
      </c>
      <c r="E3609" s="96" t="inlineStr">
        <is>
          <t>Textiles</t>
        </is>
      </c>
    </row>
    <row r="3610" ht="15" customHeight="1" s="109" thickBot="1">
      <c r="B3610" s="96" t="inlineStr">
        <is>
          <t>SANGAM RENEWABLES LTD</t>
        </is>
      </c>
      <c r="C3610" s="97" t="n">
        <v>534618</v>
      </c>
      <c r="D3610" s="96" t="inlineStr">
        <is>
          <t>Not Listed</t>
        </is>
      </c>
      <c r="E3610" s="96" t="inlineStr">
        <is>
          <t>Electric Utilities</t>
        </is>
      </c>
    </row>
    <row r="3611" ht="15" customHeight="1" s="109" thickBot="1">
      <c r="B3611" s="96" t="inlineStr">
        <is>
          <t>SANGHI CORPORATE SERVICES LTD</t>
        </is>
      </c>
      <c r="C3611" s="97" t="n">
        <v>511640</v>
      </c>
      <c r="D3611" s="96" t="inlineStr">
        <is>
          <t>Not Listed</t>
        </is>
      </c>
      <c r="E3611" s="96" t="inlineStr">
        <is>
          <t>Finance (including NBFCs)</t>
        </is>
      </c>
    </row>
    <row r="3612" ht="15" customHeight="1" s="109" thickBot="1">
      <c r="B3612" s="96" t="inlineStr">
        <is>
          <t>SANGHI INDUSTRIES LTD</t>
        </is>
      </c>
      <c r="C3612" s="97" t="n">
        <v>526521</v>
      </c>
      <c r="D3612" s="96" t="inlineStr">
        <is>
          <t>SANGHIIND</t>
        </is>
      </c>
      <c r="E3612" s="96" t="inlineStr">
        <is>
          <t>Cement &amp; Cement Products</t>
        </is>
      </c>
    </row>
    <row r="3613" ht="15" customHeight="1" s="109" thickBot="1">
      <c r="B3613" s="96" t="inlineStr">
        <is>
          <t>SANGHVI BRANDS LTD</t>
        </is>
      </c>
      <c r="C3613" s="97" t="n">
        <v>540782</v>
      </c>
      <c r="D3613" s="96" t="inlineStr">
        <is>
          <t>Not Listed</t>
        </is>
      </c>
      <c r="E3613" s="96" t="inlineStr">
        <is>
          <t>Hotels</t>
        </is>
      </c>
    </row>
    <row r="3614" ht="15" customHeight="1" s="109" thickBot="1">
      <c r="B3614" s="96" t="inlineStr">
        <is>
          <t>SANGHVI FORGING AND ENGINEERING LTD</t>
        </is>
      </c>
      <c r="C3614" s="97" t="n">
        <v>533411</v>
      </c>
      <c r="D3614" s="96" t="inlineStr">
        <is>
          <t>SANGHVIFOR</t>
        </is>
      </c>
      <c r="E3614" s="96" t="inlineStr">
        <is>
          <t>Other Industrial Products</t>
        </is>
      </c>
    </row>
    <row r="3615" ht="15" customHeight="1" s="109" thickBot="1">
      <c r="B3615" s="96" t="inlineStr">
        <is>
          <t>SANGHVI MOVERS LTD</t>
        </is>
      </c>
      <c r="C3615" s="97" t="n">
        <v>530073</v>
      </c>
      <c r="D3615" s="96" t="inlineStr">
        <is>
          <t>SANGHVIMOV</t>
        </is>
      </c>
      <c r="E3615" s="96" t="inlineStr">
        <is>
          <t>Transport Related Services</t>
        </is>
      </c>
    </row>
    <row r="3616" ht="15" customHeight="1" s="109" thickBot="1">
      <c r="B3616" s="96" t="inlineStr">
        <is>
          <t>SANGINITA CHEMICALS LTD</t>
        </is>
      </c>
      <c r="C3616" s="96" t="inlineStr">
        <is>
          <t>Not Listed</t>
        </is>
      </c>
      <c r="D3616" s="96" t="inlineStr">
        <is>
          <t>SANGINITA</t>
        </is>
      </c>
      <c r="E3616" s="96" t="inlineStr">
        <is>
          <t>SME</t>
        </is>
      </c>
    </row>
    <row r="3617" ht="15" customHeight="1" s="109" thickBot="1">
      <c r="B3617" s="96" t="inlineStr">
        <is>
          <t>SANGUINE MEDIA LTD</t>
        </is>
      </c>
      <c r="C3617" s="97" t="n">
        <v>531898</v>
      </c>
      <c r="D3617" s="96" t="inlineStr">
        <is>
          <t>Not Listed</t>
        </is>
      </c>
      <c r="E3617" s="96" t="inlineStr">
        <is>
          <t>Movies &amp; Entertainment</t>
        </is>
      </c>
    </row>
    <row r="3618" ht="15" customHeight="1" s="109" thickBot="1">
      <c r="B3618" s="96" t="inlineStr">
        <is>
          <t>SANJIVANI PARANTERAL LTD</t>
        </is>
      </c>
      <c r="C3618" s="97" t="n">
        <v>531569</v>
      </c>
      <c r="D3618" s="96" t="inlineStr">
        <is>
          <t>Not Listed</t>
        </is>
      </c>
      <c r="E3618" s="96" t="inlineStr">
        <is>
          <t>Pharmaceuticals</t>
        </is>
      </c>
    </row>
    <row r="3619" ht="15" customHeight="1" s="109" thickBot="1">
      <c r="B3619" s="96" t="inlineStr">
        <is>
          <t>SANKHYA INFOTECH LTD</t>
        </is>
      </c>
      <c r="C3619" s="97" t="n">
        <v>532972</v>
      </c>
      <c r="D3619" s="96" t="inlineStr">
        <is>
          <t>Not Listed</t>
        </is>
      </c>
      <c r="E3619" s="96" t="inlineStr">
        <is>
          <t>IT Software Products</t>
        </is>
      </c>
    </row>
    <row r="3620" ht="15" customHeight="1" s="109" thickBot="1">
      <c r="B3620" s="96" t="inlineStr">
        <is>
          <t>SANMIT INFRA LTD</t>
        </is>
      </c>
      <c r="C3620" s="97" t="n">
        <v>532435</v>
      </c>
      <c r="D3620" s="96" t="inlineStr">
        <is>
          <t>Not Listed</t>
        </is>
      </c>
      <c r="E3620" s="96" t="inlineStr">
        <is>
          <t>Realty</t>
        </is>
      </c>
    </row>
    <row r="3621" ht="15" customHeight="1" s="109" thickBot="1">
      <c r="B3621" s="96" t="inlineStr">
        <is>
          <t>SANMITRA COMMERCIAL LTD</t>
        </is>
      </c>
      <c r="C3621" s="97" t="n">
        <v>512062</v>
      </c>
      <c r="D3621" s="96" t="inlineStr">
        <is>
          <t>Not Listed</t>
        </is>
      </c>
      <c r="E3621" s="96" t="inlineStr">
        <is>
          <t>Misc.Commercial Services</t>
        </is>
      </c>
    </row>
    <row r="3622" ht="15" customHeight="1" s="109" thickBot="1">
      <c r="B3622" s="96" t="inlineStr">
        <is>
          <t>SANOFI (INDIA) LTD</t>
        </is>
      </c>
      <c r="C3622" s="97" t="n">
        <v>500674</v>
      </c>
      <c r="D3622" s="96" t="inlineStr">
        <is>
          <t>SANOFI</t>
        </is>
      </c>
      <c r="E3622" s="96" t="inlineStr">
        <is>
          <t>Pharmaceuticals</t>
        </is>
      </c>
    </row>
    <row r="3623" ht="15" customHeight="1" s="109" thickBot="1">
      <c r="B3623" s="96" t="inlineStr">
        <is>
          <t>SANOFI INDIA LTD</t>
        </is>
      </c>
      <c r="C3623" s="97" t="n">
        <v>500674</v>
      </c>
      <c r="D3623" s="96" t="inlineStr">
        <is>
          <t>SANOFI</t>
        </is>
      </c>
      <c r="E3623" s="96" t="inlineStr">
        <is>
          <t>Pharmaceuticals</t>
        </is>
      </c>
    </row>
    <row r="3624" ht="15" customHeight="1" s="109" thickBot="1">
      <c r="B3624" s="96" t="inlineStr">
        <is>
          <t>SANRHEA TECHNICAL TEXTILES LTD</t>
        </is>
      </c>
      <c r="C3624" s="97" t="n">
        <v>514280</v>
      </c>
      <c r="D3624" s="96" t="inlineStr">
        <is>
          <t>Not Listed</t>
        </is>
      </c>
      <c r="E3624" s="96" t="inlineStr">
        <is>
          <t>Textiles</t>
        </is>
      </c>
    </row>
    <row r="3625" ht="15" customHeight="1" s="109" thickBot="1">
      <c r="B3625" s="96" t="inlineStr">
        <is>
          <t>SANTOSH FINE-FAB LTD</t>
        </is>
      </c>
      <c r="C3625" s="97" t="n">
        <v>530035</v>
      </c>
      <c r="D3625" s="96" t="inlineStr">
        <is>
          <t>Not Listed</t>
        </is>
      </c>
      <c r="E3625" s="96" t="inlineStr">
        <is>
          <t>Textiles</t>
        </is>
      </c>
    </row>
    <row r="3626" ht="15" customHeight="1" s="109" thickBot="1">
      <c r="B3626" s="96" t="inlineStr">
        <is>
          <t>SANTOSH INDUSTRIES LTD</t>
        </is>
      </c>
      <c r="C3626" s="97" t="n">
        <v>540822</v>
      </c>
      <c r="D3626" s="96" t="inlineStr">
        <is>
          <t>Not Listed</t>
        </is>
      </c>
      <c r="E3626" s="96" t="inlineStr">
        <is>
          <t>Finance (including NBFCs)</t>
        </is>
      </c>
    </row>
    <row r="3627" ht="15" customHeight="1" s="109" thickBot="1">
      <c r="B3627" s="96" t="inlineStr">
        <is>
          <t>SANWARIA CONSUMER LTD</t>
        </is>
      </c>
      <c r="C3627" s="97" t="n">
        <v>519260</v>
      </c>
      <c r="D3627" s="96" t="inlineStr">
        <is>
          <t>SANWARIA</t>
        </is>
      </c>
      <c r="E3627" s="96" t="inlineStr">
        <is>
          <t>Edible Oils</t>
        </is>
      </c>
    </row>
    <row r="3628" ht="15" customHeight="1" s="109" thickBot="1">
      <c r="B3628" s="96" t="inlineStr">
        <is>
          <t>SAPTAK CHEM AND BUSINESS LTD</t>
        </is>
      </c>
      <c r="C3628" s="97" t="n">
        <v>506906</v>
      </c>
      <c r="D3628" s="96" t="inlineStr">
        <is>
          <t>Not Listed</t>
        </is>
      </c>
      <c r="E3628" s="96" t="inlineStr">
        <is>
          <t>Comm.Trading &amp; Distribution</t>
        </is>
      </c>
    </row>
    <row r="3629" ht="15" customHeight="1" s="109" thickBot="1">
      <c r="B3629" s="96" t="inlineStr">
        <is>
          <t>SAPTARISHI AGRO INDUSTRIES LTD</t>
        </is>
      </c>
      <c r="C3629" s="97" t="n">
        <v>519238</v>
      </c>
      <c r="D3629" s="96" t="inlineStr">
        <is>
          <t>Not Listed</t>
        </is>
      </c>
      <c r="E3629" s="96" t="inlineStr">
        <is>
          <t>Other Agricultural Products</t>
        </is>
      </c>
    </row>
    <row r="3630" ht="15" customHeight="1" s="109" thickBot="1">
      <c r="B3630" s="96" t="inlineStr">
        <is>
          <t>SAR AUTO PRODUCTS LTD</t>
        </is>
      </c>
      <c r="C3630" s="97" t="n">
        <v>538992</v>
      </c>
      <c r="D3630" s="96" t="inlineStr">
        <is>
          <t>Not Listed</t>
        </is>
      </c>
      <c r="E3630" s="96" t="inlineStr">
        <is>
          <t>Auto Parts &amp; Equipment</t>
        </is>
      </c>
    </row>
    <row r="3631" ht="15" customHeight="1" s="109" thickBot="1">
      <c r="B3631" s="96" t="inlineStr">
        <is>
          <t>SARASWATI COMMERCIAL (INDIA) LTD</t>
        </is>
      </c>
      <c r="C3631" s="97" t="n">
        <v>512020</v>
      </c>
      <c r="D3631" s="96" t="inlineStr">
        <is>
          <t>Not Listed</t>
        </is>
      </c>
      <c r="E3631" s="96" t="inlineStr">
        <is>
          <t>Finance (including NBFCs)</t>
        </is>
      </c>
    </row>
    <row r="3632" ht="15" customHeight="1" s="109" thickBot="1">
      <c r="B3632" s="96" t="inlineStr">
        <is>
          <t>SARASWATI COMMERCIAL INDIA LTD</t>
        </is>
      </c>
      <c r="C3632" s="97" t="n">
        <v>512020</v>
      </c>
      <c r="D3632" s="96" t="inlineStr">
        <is>
          <t>Not Listed</t>
        </is>
      </c>
      <c r="E3632" s="96" t="inlineStr">
        <is>
          <t>Finance (including NBFCs)</t>
        </is>
      </c>
    </row>
    <row r="3633" ht="15" customHeight="1" s="109" thickBot="1">
      <c r="B3633" s="96" t="inlineStr">
        <is>
          <t>SARDA ENERGY &amp; MINERALS LTD</t>
        </is>
      </c>
      <c r="C3633" s="97" t="n">
        <v>504614</v>
      </c>
      <c r="D3633" s="96" t="inlineStr">
        <is>
          <t>SARDAEN</t>
        </is>
      </c>
      <c r="E3633" s="96" t="inlineStr">
        <is>
          <t>Iron &amp; Steel/Interm.Products</t>
        </is>
      </c>
    </row>
    <row r="3634" ht="15" customHeight="1" s="109" thickBot="1">
      <c r="B3634" s="96" t="inlineStr">
        <is>
          <t>SARDA PAPERS LTD</t>
        </is>
      </c>
      <c r="C3634" s="97" t="n">
        <v>516032</v>
      </c>
      <c r="D3634" s="96" t="inlineStr">
        <is>
          <t>Not Listed</t>
        </is>
      </c>
      <c r="E3634" s="96" t="inlineStr">
        <is>
          <t>Paper &amp; Paper Products</t>
        </is>
      </c>
    </row>
    <row r="3635" ht="15" customHeight="1" s="109" thickBot="1">
      <c r="B3635" s="96" t="inlineStr">
        <is>
          <t>SARDA PLYWOOD INDUSTRIES LTD</t>
        </is>
      </c>
      <c r="C3635" s="97" t="n">
        <v>516003</v>
      </c>
      <c r="D3635" s="96" t="inlineStr">
        <is>
          <t>Not Listed</t>
        </is>
      </c>
      <c r="E3635" s="96" t="inlineStr">
        <is>
          <t>Forest Products</t>
        </is>
      </c>
    </row>
    <row r="3636" ht="15" customHeight="1" s="109" thickBot="1">
      <c r="B3636" s="96" t="inlineStr">
        <is>
          <t>SARDA PROTEINS LTD</t>
        </is>
      </c>
      <c r="C3636" s="97" t="n">
        <v>519242</v>
      </c>
      <c r="D3636" s="96" t="inlineStr">
        <is>
          <t>Not Listed</t>
        </is>
      </c>
      <c r="E3636" s="96" t="inlineStr">
        <is>
          <t>Edible Oils</t>
        </is>
      </c>
    </row>
    <row r="3637" ht="15" customHeight="1" s="109" thickBot="1">
      <c r="B3637" s="96" t="inlineStr">
        <is>
          <t>SAREGAMA (INDIA) LTD</t>
        </is>
      </c>
      <c r="C3637" s="97" t="n">
        <v>532163</v>
      </c>
      <c r="D3637" s="96" t="inlineStr">
        <is>
          <t>SAREGAMA</t>
        </is>
      </c>
      <c r="E3637" s="96" t="inlineStr">
        <is>
          <t>Movies &amp; Entertainment</t>
        </is>
      </c>
    </row>
    <row r="3638" ht="15" customHeight="1" s="109" thickBot="1">
      <c r="B3638" s="96" t="inlineStr">
        <is>
          <t>SAREGAMA INDIA LTD</t>
        </is>
      </c>
      <c r="C3638" s="97" t="n">
        <v>532163</v>
      </c>
      <c r="D3638" s="96" t="inlineStr">
        <is>
          <t>SAREGAMA</t>
        </is>
      </c>
      <c r="E3638" s="96" t="inlineStr">
        <is>
          <t>Movies &amp; Entertainment</t>
        </is>
      </c>
    </row>
    <row r="3639" ht="15" customHeight="1" s="109" thickBot="1">
      <c r="B3639" s="96" t="inlineStr">
        <is>
          <t>SARLA PERFORMANCE FIBERS LTD</t>
        </is>
      </c>
      <c r="C3639" s="97" t="n">
        <v>526885</v>
      </c>
      <c r="D3639" s="96" t="inlineStr">
        <is>
          <t>SARLAPOLY</t>
        </is>
      </c>
      <c r="E3639" s="96" t="inlineStr">
        <is>
          <t>Textiles</t>
        </is>
      </c>
    </row>
    <row r="3640" ht="15" customHeight="1" s="109" thickBot="1">
      <c r="B3640" s="96" t="inlineStr">
        <is>
          <t>SARTHAK GLOBAL LTD</t>
        </is>
      </c>
      <c r="C3640" s="97" t="n">
        <v>530993</v>
      </c>
      <c r="D3640" s="96" t="inlineStr">
        <is>
          <t>Not Listed</t>
        </is>
      </c>
      <c r="E3640" s="96" t="inlineStr">
        <is>
          <t>Comm.Trading &amp; Distribution</t>
        </is>
      </c>
    </row>
    <row r="3641" ht="15" customHeight="1" s="109" thickBot="1">
      <c r="B3641" s="96" t="inlineStr">
        <is>
          <t>SARTHAK INDUSTRIES LTD</t>
        </is>
      </c>
      <c r="C3641" s="97" t="n">
        <v>531930</v>
      </c>
      <c r="D3641" s="96" t="inlineStr">
        <is>
          <t>Not Listed</t>
        </is>
      </c>
      <c r="E3641" s="96" t="inlineStr">
        <is>
          <t>Other Industrial Products</t>
        </is>
      </c>
    </row>
    <row r="3642" ht="15" customHeight="1" s="109" thickBot="1">
      <c r="B3642" s="96" t="inlineStr">
        <is>
          <t>SARTHAK METALS LTD</t>
        </is>
      </c>
      <c r="C3642" s="97" t="n">
        <v>540393</v>
      </c>
      <c r="D3642" s="96" t="inlineStr">
        <is>
          <t>Not Listed</t>
        </is>
      </c>
      <c r="E3642" s="96" t="inlineStr">
        <is>
          <t>Iron &amp; Steel Products</t>
        </is>
      </c>
    </row>
    <row r="3643" ht="15" customHeight="1" s="109" thickBot="1">
      <c r="B3643" s="96" t="inlineStr">
        <is>
          <t>SARUP INDUSTRIES LTD</t>
        </is>
      </c>
      <c r="C3643" s="97" t="n">
        <v>514412</v>
      </c>
      <c r="D3643" s="96" t="inlineStr">
        <is>
          <t>Not Listed</t>
        </is>
      </c>
      <c r="E3643" s="96" t="inlineStr">
        <is>
          <t>Other Apparels &amp; Accessories</t>
        </is>
      </c>
    </row>
    <row r="3644" ht="15" customHeight="1" s="109" thickBot="1">
      <c r="B3644" s="96" t="inlineStr">
        <is>
          <t>SARVAMANGAL MERCANTILE CO LTD</t>
        </is>
      </c>
      <c r="C3644" s="97" t="n">
        <v>506190</v>
      </c>
      <c r="D3644" s="96" t="inlineStr">
        <is>
          <t>Not Listed</t>
        </is>
      </c>
      <c r="E3644" s="96" t="inlineStr">
        <is>
          <t>Misc.Commercial Services</t>
        </is>
      </c>
    </row>
    <row r="3645" ht="15" customHeight="1" s="109" thickBot="1">
      <c r="B3645" s="96" t="inlineStr">
        <is>
          <t>SARVESHWAR FOODS LTD</t>
        </is>
      </c>
      <c r="C3645" s="96" t="inlineStr">
        <is>
          <t>Not Listed</t>
        </is>
      </c>
      <c r="D3645" s="96" t="inlineStr">
        <is>
          <t>SARVESHWAR</t>
        </is>
      </c>
      <c r="E3645" s="96" t="inlineStr">
        <is>
          <t>SME</t>
        </is>
      </c>
    </row>
    <row r="3646" ht="15" customHeight="1" s="109" thickBot="1">
      <c r="B3646" s="96" t="inlineStr">
        <is>
          <t>SARVOTTAM FINVEST LTD</t>
        </is>
      </c>
      <c r="C3646" s="97" t="n">
        <v>539124</v>
      </c>
      <c r="D3646" s="96" t="inlineStr">
        <is>
          <t>Not Listed</t>
        </is>
      </c>
      <c r="E3646" s="96" t="inlineStr">
        <is>
          <t>Finance (including NBFCs)</t>
        </is>
      </c>
    </row>
    <row r="3647" ht="15" customHeight="1" s="109" thickBot="1">
      <c r="B3647" s="96" t="inlineStr">
        <is>
          <t>SASHWAT TECHNOCRATS LTD</t>
        </is>
      </c>
      <c r="C3647" s="97" t="n">
        <v>506313</v>
      </c>
      <c r="D3647" s="96" t="inlineStr">
        <is>
          <t>Not Listed</t>
        </is>
      </c>
      <c r="E3647" s="96" t="inlineStr">
        <is>
          <t>Construction Materials</t>
        </is>
      </c>
    </row>
    <row r="3648" ht="15" customHeight="1" s="109" thickBot="1">
      <c r="B3648" s="96" t="inlineStr">
        <is>
          <t>SASKEN TECHNOLOGIES LTD</t>
        </is>
      </c>
      <c r="C3648" s="97" t="n">
        <v>532663</v>
      </c>
      <c r="D3648" s="96" t="inlineStr">
        <is>
          <t>SASKEN</t>
        </is>
      </c>
      <c r="E3648" s="96" t="inlineStr">
        <is>
          <t>IT Consulting &amp; Software</t>
        </is>
      </c>
    </row>
    <row r="3649" ht="15" customHeight="1" s="109" thickBot="1">
      <c r="B3649" s="96" t="inlineStr">
        <is>
          <t>SASTASUNDAR VENTURES LTD</t>
        </is>
      </c>
      <c r="C3649" s="97" t="n">
        <v>533259</v>
      </c>
      <c r="D3649" s="96" t="inlineStr">
        <is>
          <t>SASTASUNDR</t>
        </is>
      </c>
      <c r="E3649" s="96" t="inlineStr">
        <is>
          <t>Healthcare Services</t>
        </is>
      </c>
    </row>
    <row r="3650" ht="15" customHeight="1" s="109" thickBot="1">
      <c r="B3650" s="96" t="inlineStr">
        <is>
          <t>SAT INDUSTRIES LTD</t>
        </is>
      </c>
      <c r="C3650" s="97" t="n">
        <v>511076</v>
      </c>
      <c r="D3650" s="96" t="inlineStr">
        <is>
          <t>Not Listed</t>
        </is>
      </c>
      <c r="E3650" s="96" t="inlineStr">
        <is>
          <t>Comm.Trading &amp; Distribution</t>
        </is>
      </c>
    </row>
    <row r="3651" ht="15" customHeight="1" s="109" thickBot="1">
      <c r="B3651" s="96" t="inlineStr">
        <is>
          <t>SATHAVAHANA ISPAT LTD</t>
        </is>
      </c>
      <c r="C3651" s="97" t="n">
        <v>526093</v>
      </c>
      <c r="D3651" s="96" t="inlineStr">
        <is>
          <t>SATHAISPAT</t>
        </is>
      </c>
      <c r="E3651" s="96" t="inlineStr">
        <is>
          <t>Iron &amp; Steel/Interm.Products</t>
        </is>
      </c>
    </row>
    <row r="3652" ht="15" customHeight="1" s="109" thickBot="1">
      <c r="B3652" s="96" t="inlineStr">
        <is>
          <t>SATIA INDUSTRIES LTD</t>
        </is>
      </c>
      <c r="C3652" s="97" t="n">
        <v>539201</v>
      </c>
      <c r="D3652" s="96" t="inlineStr">
        <is>
          <t>Not Listed</t>
        </is>
      </c>
      <c r="E3652" s="96" t="inlineStr">
        <is>
          <t>Paper &amp; Paper Products</t>
        </is>
      </c>
    </row>
    <row r="3653" ht="15" customHeight="1" s="109" thickBot="1">
      <c r="B3653" s="96" t="inlineStr">
        <is>
          <t>SATIN CREDITCARE NETWORK LTD</t>
        </is>
      </c>
      <c r="C3653" s="97" t="n">
        <v>539404</v>
      </c>
      <c r="D3653" s="96" t="inlineStr">
        <is>
          <t>SATIN</t>
        </is>
      </c>
      <c r="E3653" s="96" t="inlineStr">
        <is>
          <t>Finance (including NBFCs)</t>
        </is>
      </c>
    </row>
    <row r="3654" ht="15" customHeight="1" s="109" thickBot="1">
      <c r="B3654" s="96" t="inlineStr">
        <is>
          <t>SATKAR FINLEASE LTD</t>
        </is>
      </c>
      <c r="C3654" s="97" t="n">
        <v>536592</v>
      </c>
      <c r="D3654" s="96" t="inlineStr">
        <is>
          <t>Not Listed</t>
        </is>
      </c>
      <c r="E3654" s="96" t="inlineStr">
        <is>
          <t>Finance (including NBFCs)</t>
        </is>
      </c>
    </row>
    <row r="3655" ht="15" customHeight="1" s="109" thickBot="1">
      <c r="B3655" s="96" t="inlineStr">
        <is>
          <t>SATRA PROPERTIES (INDIA) LTD.</t>
        </is>
      </c>
      <c r="C3655" s="97" t="n">
        <v>508996</v>
      </c>
      <c r="D3655" s="96" t="inlineStr">
        <is>
          <t>SATRAPROP</t>
        </is>
      </c>
      <c r="E3655" s="96" t="inlineStr">
        <is>
          <t>Realty</t>
        </is>
      </c>
    </row>
    <row r="3656" ht="15" customHeight="1" s="109" thickBot="1">
      <c r="B3656" s="96" t="inlineStr">
        <is>
          <t>SATYAM SILK MILLS LTD</t>
        </is>
      </c>
      <c r="C3656" s="97" t="n">
        <v>503893</v>
      </c>
      <c r="D3656" s="96" t="inlineStr">
        <is>
          <t>Not Listed</t>
        </is>
      </c>
      <c r="E3656" s="96" t="inlineStr">
        <is>
          <t>Other Financial Services</t>
        </is>
      </c>
    </row>
    <row r="3657" ht="15" customHeight="1" s="109" thickBot="1">
      <c r="B3657" s="96" t="inlineStr">
        <is>
          <t>SAUMYA CONSULTANTS LTD</t>
        </is>
      </c>
      <c r="C3657" s="97" t="n">
        <v>539218</v>
      </c>
      <c r="D3657" s="96" t="inlineStr">
        <is>
          <t>Not Listed</t>
        </is>
      </c>
      <c r="E3657" s="96" t="inlineStr">
        <is>
          <t>Finance (including NBFCs)</t>
        </is>
      </c>
    </row>
    <row r="3658" ht="15" customHeight="1" s="109" thickBot="1">
      <c r="B3658" s="96" t="inlineStr">
        <is>
          <t>SAURASHTRA CEMENT LTD</t>
        </is>
      </c>
      <c r="C3658" s="97" t="n">
        <v>502175</v>
      </c>
      <c r="D3658" s="96" t="inlineStr">
        <is>
          <t>Not Listed</t>
        </is>
      </c>
      <c r="E3658" s="96" t="inlineStr">
        <is>
          <t>Cement &amp; Cement Products</t>
        </is>
      </c>
    </row>
    <row r="3659" ht="15" customHeight="1" s="109" thickBot="1">
      <c r="B3659" s="96" t="inlineStr">
        <is>
          <t>SAVANI FINANCIALS LTD</t>
        </is>
      </c>
      <c r="C3659" s="97" t="n">
        <v>511577</v>
      </c>
      <c r="D3659" s="96" t="inlineStr">
        <is>
          <t>Not Listed</t>
        </is>
      </c>
      <c r="E3659" s="96" t="inlineStr">
        <is>
          <t>Finance (including NBFCs)</t>
        </is>
      </c>
    </row>
    <row r="3660" ht="15" customHeight="1" s="109" thickBot="1">
      <c r="B3660" s="96" t="inlineStr">
        <is>
          <t>SAVANT INFOCOMM LTD</t>
        </is>
      </c>
      <c r="C3660" s="97" t="n">
        <v>517320</v>
      </c>
      <c r="D3660" s="96" t="inlineStr">
        <is>
          <t>Not Listed</t>
        </is>
      </c>
      <c r="E3660" s="96" t="inlineStr">
        <is>
          <t>Other Elect.Equip./ Prod.</t>
        </is>
      </c>
    </row>
    <row r="3661" ht="15" customHeight="1" s="109" thickBot="1">
      <c r="B3661" s="96" t="inlineStr">
        <is>
          <t>SAVEN TECHNOLOGIES LTD</t>
        </is>
      </c>
      <c r="C3661" s="97" t="n">
        <v>532404</v>
      </c>
      <c r="D3661" s="96" t="inlineStr">
        <is>
          <t>Not Listed</t>
        </is>
      </c>
      <c r="E3661" s="96" t="inlineStr">
        <is>
          <t>IT Software Products</t>
        </is>
      </c>
    </row>
    <row r="3662" ht="15" customHeight="1" s="109" thickBot="1">
      <c r="B3662" s="96" t="inlineStr">
        <is>
          <t>SAVERA INDUSTRIES LTD</t>
        </is>
      </c>
      <c r="C3662" s="97" t="n">
        <v>512634</v>
      </c>
      <c r="D3662" s="96" t="inlineStr">
        <is>
          <t>Not Listed</t>
        </is>
      </c>
      <c r="E3662" s="96" t="inlineStr">
        <is>
          <t>Hotels</t>
        </is>
      </c>
    </row>
    <row r="3663" ht="15" customHeight="1" s="109" thickBot="1">
      <c r="B3663" s="96" t="inlineStr">
        <is>
          <t>SAVITA OIL TECHNOLOGIES LTD</t>
        </is>
      </c>
      <c r="C3663" s="97" t="n">
        <v>524667</v>
      </c>
      <c r="D3663" s="96" t="inlineStr">
        <is>
          <t>SOTL</t>
        </is>
      </c>
      <c r="E3663" s="96" t="inlineStr">
        <is>
          <t>Refineries/ Petro-Products</t>
        </is>
      </c>
    </row>
    <row r="3664" ht="15" customHeight="1" s="109" thickBot="1">
      <c r="B3664" s="96" t="inlineStr">
        <is>
          <t>SAWACA BUSINESS MACHINES LTD</t>
        </is>
      </c>
      <c r="C3664" s="97" t="n">
        <v>531893</v>
      </c>
      <c r="D3664" s="96" t="inlineStr">
        <is>
          <t>Not Listed</t>
        </is>
      </c>
      <c r="E3664" s="96" t="inlineStr">
        <is>
          <t>Misc.Commercial Services</t>
        </is>
      </c>
    </row>
    <row r="3665" ht="15" customHeight="1" s="109" thickBot="1">
      <c r="B3665" s="96" t="inlineStr">
        <is>
          <t>SAYAJI HOTELS LTD</t>
        </is>
      </c>
      <c r="C3665" s="97" t="n">
        <v>523710</v>
      </c>
      <c r="D3665" s="96" t="inlineStr">
        <is>
          <t>Not Listed</t>
        </is>
      </c>
      <c r="E3665" s="96" t="inlineStr">
        <is>
          <t>Hotels</t>
        </is>
      </c>
    </row>
    <row r="3666" ht="15" customHeight="1" s="109" thickBot="1">
      <c r="B3666" s="96" t="inlineStr">
        <is>
          <t>SAYAJI INDUSTRIES LTD</t>
        </is>
      </c>
      <c r="C3666" s="97" t="n">
        <v>540728</v>
      </c>
      <c r="D3666" s="96" t="inlineStr">
        <is>
          <t>Not Listed</t>
        </is>
      </c>
      <c r="E3666" s="96" t="inlineStr">
        <is>
          <t>Diversified</t>
        </is>
      </c>
    </row>
    <row r="3667" ht="15" customHeight="1" s="109" thickBot="1">
      <c r="B3667" s="96" t="inlineStr">
        <is>
          <t>SBEC SUGAR LTD</t>
        </is>
      </c>
      <c r="C3667" s="97" t="n">
        <v>532102</v>
      </c>
      <c r="D3667" s="96" t="inlineStr">
        <is>
          <t>Not Listed</t>
        </is>
      </c>
      <c r="E3667" s="96" t="inlineStr">
        <is>
          <t>Sugar</t>
        </is>
      </c>
    </row>
    <row r="3668" ht="15" customHeight="1" s="109" thickBot="1">
      <c r="B3668" s="96" t="inlineStr">
        <is>
          <t>SBI LIFE INSURANCE COMPANY LTD</t>
        </is>
      </c>
      <c r="C3668" s="97" t="n">
        <v>540719</v>
      </c>
      <c r="D3668" s="96" t="inlineStr">
        <is>
          <t>SBILIFE</t>
        </is>
      </c>
      <c r="E3668" s="96" t="inlineStr">
        <is>
          <t>Life Insurance</t>
        </is>
      </c>
    </row>
    <row r="3669" ht="15" customHeight="1" s="109" thickBot="1">
      <c r="B3669" s="96" t="inlineStr">
        <is>
          <t>SBI MUTUAL FUND - SBI GOLD EXCHANGE TRADED SCHEME - GROWTH OPTION</t>
        </is>
      </c>
      <c r="C3669" s="97" t="n">
        <v>590098</v>
      </c>
      <c r="D3669" s="96" t="inlineStr">
        <is>
          <t>SBIGETS</t>
        </is>
      </c>
      <c r="E3669" s="96" t="inlineStr">
        <is>
          <t>Other Financial Services</t>
        </is>
      </c>
    </row>
    <row r="3670" ht="15" customHeight="1" s="109" thickBot="1">
      <c r="B3670" s="96" t="inlineStr">
        <is>
          <t>SC Agrotech Ltd</t>
        </is>
      </c>
      <c r="C3670" s="97" t="n">
        <v>526081</v>
      </c>
      <c r="D3670" s="96" t="inlineStr">
        <is>
          <t>SCAGRO</t>
        </is>
      </c>
      <c r="E3670" s="96" t="inlineStr">
        <is>
          <t>Packaged Foods</t>
        </is>
      </c>
    </row>
    <row r="3671" ht="15" customHeight="1" s="109" thickBot="1">
      <c r="B3671" s="96" t="inlineStr">
        <is>
          <t>SCAN PROJECTS LTD</t>
        </is>
      </c>
      <c r="C3671" s="97" t="n">
        <v>531797</v>
      </c>
      <c r="D3671" s="96" t="inlineStr">
        <is>
          <t>Not Listed</t>
        </is>
      </c>
      <c r="E3671" s="96" t="inlineStr">
        <is>
          <t>Cement &amp; Cement Products</t>
        </is>
      </c>
    </row>
    <row r="3672" ht="15" customHeight="1" s="109" thickBot="1">
      <c r="B3672" s="96" t="inlineStr">
        <is>
          <t>SCAN STEELS LTD</t>
        </is>
      </c>
      <c r="C3672" s="97" t="n">
        <v>511672</v>
      </c>
      <c r="D3672" s="96" t="inlineStr">
        <is>
          <t>Not Listed</t>
        </is>
      </c>
      <c r="E3672" s="96" t="inlineStr">
        <is>
          <t>Iron &amp; Steel/Interm.Products</t>
        </is>
      </c>
    </row>
    <row r="3673" ht="15" customHeight="1" s="109" thickBot="1">
      <c r="B3673" s="96" t="inlineStr">
        <is>
          <t>Scandent Imaging LTD</t>
        </is>
      </c>
      <c r="C3673" s="97" t="n">
        <v>516110</v>
      </c>
      <c r="D3673" s="96" t="inlineStr">
        <is>
          <t>SCANDENT</t>
        </is>
      </c>
      <c r="E3673" s="96" t="inlineStr">
        <is>
          <t>Healthcare Services</t>
        </is>
      </c>
    </row>
    <row r="3674" ht="15" customHeight="1" s="109" thickBot="1">
      <c r="B3674" s="96" t="inlineStr">
        <is>
          <t>SCANPOINT GEOMATICS LTD</t>
        </is>
      </c>
      <c r="C3674" s="97" t="n">
        <v>526544</v>
      </c>
      <c r="D3674" s="96" t="inlineStr">
        <is>
          <t>Not Listed</t>
        </is>
      </c>
      <c r="E3674" s="96" t="inlineStr">
        <is>
          <t>Internet Software &amp; Services</t>
        </is>
      </c>
    </row>
    <row r="3675" ht="15" customHeight="1" s="109" thickBot="1">
      <c r="B3675" s="96" t="inlineStr">
        <is>
          <t>SCHABLONA (INDIA) LTD</t>
        </is>
      </c>
      <c r="C3675" s="97" t="n">
        <v>507894</v>
      </c>
      <c r="D3675" s="96" t="inlineStr">
        <is>
          <t>Not Listed</t>
        </is>
      </c>
      <c r="E3675" s="96" t="inlineStr">
        <is>
          <t>Furniture-Furnishing-Paints</t>
        </is>
      </c>
    </row>
    <row r="3676" ht="15" customHeight="1" s="109" thickBot="1">
      <c r="B3676" s="96" t="inlineStr">
        <is>
          <t>SCHABLONA INDIA LTD</t>
        </is>
      </c>
      <c r="C3676" s="97" t="n">
        <v>507894</v>
      </c>
      <c r="D3676" s="96" t="inlineStr">
        <is>
          <t>Not Listed</t>
        </is>
      </c>
      <c r="E3676" s="96" t="inlineStr">
        <is>
          <t>Furniture-Furnishing-Paints</t>
        </is>
      </c>
    </row>
    <row r="3677" ht="15" customHeight="1" s="109" thickBot="1">
      <c r="B3677" s="96" t="inlineStr">
        <is>
          <t>SCHAEFFLER (INDIA) LTD</t>
        </is>
      </c>
      <c r="C3677" s="97" t="n">
        <v>505790</v>
      </c>
      <c r="D3677" s="96" t="inlineStr">
        <is>
          <t>SCHAEFFLER</t>
        </is>
      </c>
      <c r="E3677" s="96" t="inlineStr">
        <is>
          <t>Industrial Machinery</t>
        </is>
      </c>
    </row>
    <row r="3678" ht="15" customHeight="1" s="109" thickBot="1">
      <c r="B3678" s="96" t="inlineStr">
        <is>
          <t>SCHAEFFLER INDIA LTD</t>
        </is>
      </c>
      <c r="C3678" s="97" t="n">
        <v>505790</v>
      </c>
      <c r="D3678" s="96" t="inlineStr">
        <is>
          <t>SCHAEFFLER</t>
        </is>
      </c>
      <c r="E3678" s="96" t="inlineStr">
        <is>
          <t>Industrial Machinery</t>
        </is>
      </c>
    </row>
    <row r="3679" ht="15" customHeight="1" s="109" thickBot="1">
      <c r="B3679" s="96" t="inlineStr">
        <is>
          <t>SCHNEIDER ELECTRIC INFRASTRUCTURE LTD</t>
        </is>
      </c>
      <c r="C3679" s="97" t="n">
        <v>534139</v>
      </c>
      <c r="D3679" s="96" t="inlineStr">
        <is>
          <t>SCHNEIDER</t>
        </is>
      </c>
      <c r="E3679" s="96" t="inlineStr">
        <is>
          <t>Heavy Electrical Equipment</t>
        </is>
      </c>
    </row>
    <row r="3680" ht="15" customHeight="1" s="109" thickBot="1">
      <c r="B3680" s="96" t="inlineStr">
        <is>
          <t>SCINTILLA COMMERCIAL &amp; CREDIT LTD</t>
        </is>
      </c>
      <c r="C3680" s="97" t="n">
        <v>538857</v>
      </c>
      <c r="D3680" s="96" t="inlineStr">
        <is>
          <t>Not Listed</t>
        </is>
      </c>
      <c r="E3680" s="96" t="inlineStr">
        <is>
          <t>Finance (including NBFCs)</t>
        </is>
      </c>
    </row>
    <row r="3681" ht="15" customHeight="1" s="109" thickBot="1">
      <c r="B3681" s="96" t="inlineStr">
        <is>
          <t>SCOOTERS (INDIA) LTD</t>
        </is>
      </c>
      <c r="C3681" s="97" t="n">
        <v>505141</v>
      </c>
      <c r="D3681" s="96" t="inlineStr">
        <is>
          <t>Not Listed</t>
        </is>
      </c>
      <c r="E3681" s="96" t="inlineStr">
        <is>
          <t>2/3 Wheelers</t>
        </is>
      </c>
    </row>
    <row r="3682" ht="15" customHeight="1" s="109" thickBot="1">
      <c r="B3682" s="96" t="inlineStr">
        <is>
          <t>SCOOTERS INDIA LTD</t>
        </is>
      </c>
      <c r="C3682" s="97" t="n">
        <v>505141</v>
      </c>
      <c r="D3682" s="96" t="inlineStr">
        <is>
          <t>Not Listed</t>
        </is>
      </c>
      <c r="E3682" s="96" t="inlineStr">
        <is>
          <t>2/3 Wheelers</t>
        </is>
      </c>
    </row>
    <row r="3683" ht="15" customHeight="1" s="109" thickBot="1">
      <c r="B3683" s="96" t="inlineStr">
        <is>
          <t>SEA GOLD AQUA FARMS LTD</t>
        </is>
      </c>
      <c r="C3683" s="97" t="n">
        <v>530361</v>
      </c>
      <c r="D3683" s="96" t="inlineStr">
        <is>
          <t>Not Listed</t>
        </is>
      </c>
      <c r="E3683" s="96" t="inlineStr">
        <is>
          <t>Packaged Foods</t>
        </is>
      </c>
    </row>
    <row r="3684" ht="15" customHeight="1" s="109" thickBot="1">
      <c r="B3684" s="96" t="inlineStr">
        <is>
          <t>SEA TV NETWORK LTD</t>
        </is>
      </c>
      <c r="C3684" s="97" t="n">
        <v>533268</v>
      </c>
      <c r="D3684" s="96" t="inlineStr">
        <is>
          <t>Not Listed</t>
        </is>
      </c>
      <c r="E3684" s="96" t="inlineStr">
        <is>
          <t>Broadcasting &amp; Cable TV</t>
        </is>
      </c>
    </row>
    <row r="3685" ht="15" customHeight="1" s="109" thickBot="1">
      <c r="B3685" s="96" t="inlineStr">
        <is>
          <t>SEAMEC LTD</t>
        </is>
      </c>
      <c r="C3685" s="97" t="n">
        <v>526807</v>
      </c>
      <c r="D3685" s="96" t="inlineStr">
        <is>
          <t>SEAMECLTD</t>
        </is>
      </c>
      <c r="E3685" s="96" t="inlineStr">
        <is>
          <t>Shipping</t>
        </is>
      </c>
    </row>
    <row r="3686" ht="15" customHeight="1" s="109" thickBot="1">
      <c r="B3686" s="96" t="inlineStr">
        <is>
          <t>SEASONS FURNISHINGS LTD</t>
        </is>
      </c>
      <c r="C3686" s="97" t="n">
        <v>521182</v>
      </c>
      <c r="D3686" s="96" t="inlineStr">
        <is>
          <t>Not Listed</t>
        </is>
      </c>
      <c r="E3686" s="96" t="inlineStr">
        <is>
          <t>Comm.Trading &amp; Distribution</t>
        </is>
      </c>
    </row>
    <row r="3687" ht="15" customHeight="1" s="109" thickBot="1">
      <c r="B3687" s="96" t="inlineStr">
        <is>
          <t>SEASONS TEXTILES LTD</t>
        </is>
      </c>
      <c r="C3687" s="97" t="n">
        <v>514264</v>
      </c>
      <c r="D3687" s="96" t="inlineStr">
        <is>
          <t>Not Listed</t>
        </is>
      </c>
      <c r="E3687" s="96" t="inlineStr">
        <is>
          <t>Textiles</t>
        </is>
      </c>
    </row>
    <row r="3688" ht="15" customHeight="1" s="109" thickBot="1">
      <c r="B3688" s="96" t="inlineStr">
        <is>
          <t>SECUR CREDENTIALS LTD</t>
        </is>
      </c>
      <c r="C3688" s="96" t="inlineStr">
        <is>
          <t>Not Listed</t>
        </is>
      </c>
      <c r="D3688" s="96" t="inlineStr">
        <is>
          <t>SECURCRED</t>
        </is>
      </c>
      <c r="E3688" s="96" t="inlineStr">
        <is>
          <t>SME</t>
        </is>
      </c>
    </row>
    <row r="3689" ht="15" customHeight="1" s="109" thickBot="1">
      <c r="B3689" s="96" t="inlineStr">
        <is>
          <t>SECURITY AND INTELLIGENCE SERVICES (INDIA) LTD</t>
        </is>
      </c>
      <c r="C3689" s="97" t="n">
        <v>540673</v>
      </c>
      <c r="D3689" s="96" t="inlineStr">
        <is>
          <t>SIS</t>
        </is>
      </c>
      <c r="E3689" s="96" t="inlineStr">
        <is>
          <t>Sp.Consumer Services</t>
        </is>
      </c>
    </row>
    <row r="3690" ht="15" customHeight="1" s="109" thickBot="1">
      <c r="B3690" s="96" t="inlineStr">
        <is>
          <t>SECURITY AND INTELLIGENCE SERVICES INDIA LTD</t>
        </is>
      </c>
      <c r="C3690" s="97" t="n">
        <v>540673</v>
      </c>
      <c r="D3690" s="96" t="inlineStr">
        <is>
          <t>SIS</t>
        </is>
      </c>
      <c r="E3690" s="96" t="inlineStr">
        <is>
          <t>Sp.Consumer Services</t>
        </is>
      </c>
    </row>
    <row r="3691" ht="15" customHeight="1" s="109" thickBot="1">
      <c r="B3691" s="96" t="inlineStr">
        <is>
          <t>SEL MANUFACTURING COMPANY LTD</t>
        </is>
      </c>
      <c r="C3691" s="97" t="n">
        <v>532886</v>
      </c>
      <c r="D3691" s="96" t="inlineStr">
        <is>
          <t>SELMCL</t>
        </is>
      </c>
      <c r="E3691" s="96" t="inlineStr">
        <is>
          <t>Textiles</t>
        </is>
      </c>
    </row>
    <row r="3692" ht="15" customHeight="1" s="109" thickBot="1">
      <c r="B3692" s="96" t="inlineStr">
        <is>
          <t>SELAN EXPLORATION TECHNOLOGY LTD</t>
        </is>
      </c>
      <c r="C3692" s="97" t="n">
        <v>530075</v>
      </c>
      <c r="D3692" s="96" t="inlineStr">
        <is>
          <t>SELAN</t>
        </is>
      </c>
      <c r="E3692" s="96" t="inlineStr">
        <is>
          <t>Exploration &amp; Production</t>
        </is>
      </c>
    </row>
    <row r="3693" ht="15" customHeight="1" s="109" thickBot="1">
      <c r="B3693" s="96" t="inlineStr">
        <is>
          <t>SELLWIN TRADERS LTD</t>
        </is>
      </c>
      <c r="C3693" s="97" t="n">
        <v>538875</v>
      </c>
      <c r="D3693" s="96" t="inlineStr">
        <is>
          <t>Not Listed</t>
        </is>
      </c>
      <c r="E3693" s="96" t="inlineStr">
        <is>
          <t>Misc.Commercial Services</t>
        </is>
      </c>
    </row>
    <row r="3694" ht="15" customHeight="1" s="109" thickBot="1">
      <c r="B3694" s="96" t="inlineStr">
        <is>
          <t>SENBO INDUSTRIES LTD</t>
        </is>
      </c>
      <c r="C3694" s="97" t="n">
        <v>532021</v>
      </c>
      <c r="D3694" s="96" t="inlineStr">
        <is>
          <t>Not Listed</t>
        </is>
      </c>
      <c r="E3694" s="96" t="inlineStr">
        <is>
          <t>Pharmaceuticals</t>
        </is>
      </c>
    </row>
    <row r="3695" ht="15" customHeight="1" s="109" thickBot="1">
      <c r="B3695" s="96" t="inlineStr">
        <is>
          <t>SENTHIL INFOTEK LTD</t>
        </is>
      </c>
      <c r="C3695" s="97" t="n">
        <v>531980</v>
      </c>
      <c r="D3695" s="96" t="inlineStr">
        <is>
          <t>Not Listed</t>
        </is>
      </c>
      <c r="E3695" s="96" t="inlineStr">
        <is>
          <t>IT Consulting &amp; Software</t>
        </is>
      </c>
    </row>
    <row r="3696" ht="15" customHeight="1" s="109" thickBot="1">
      <c r="B3696" s="96" t="inlineStr">
        <is>
          <t>SEQUENT SCIENTIFIC LTD</t>
        </is>
      </c>
      <c r="C3696" s="97" t="n">
        <v>512529</v>
      </c>
      <c r="D3696" s="96" t="inlineStr">
        <is>
          <t>SEQUENT</t>
        </is>
      </c>
      <c r="E3696" s="96" t="inlineStr">
        <is>
          <t>Pharmaceuticals</t>
        </is>
      </c>
    </row>
    <row r="3697" ht="15" customHeight="1" s="109" thickBot="1">
      <c r="B3697" s="96" t="inlineStr">
        <is>
          <t>SERVOTECH POWER SYSTEMS LTD</t>
        </is>
      </c>
      <c r="C3697" s="96" t="inlineStr">
        <is>
          <t>Not Listed</t>
        </is>
      </c>
      <c r="D3697" s="96" t="inlineStr">
        <is>
          <t>SERVOTECH</t>
        </is>
      </c>
      <c r="E3697" s="96" t="inlineStr">
        <is>
          <t>SME</t>
        </is>
      </c>
    </row>
    <row r="3698" ht="15" customHeight="1" s="109" thickBot="1">
      <c r="B3698" s="96" t="inlineStr">
        <is>
          <t>SESHASAYEE PAPER AND BOARDS LTD</t>
        </is>
      </c>
      <c r="C3698" s="97" t="n">
        <v>502450</v>
      </c>
      <c r="D3698" s="96" t="inlineStr">
        <is>
          <t>SESHAPAPER</t>
        </is>
      </c>
      <c r="E3698" s="96" t="inlineStr">
        <is>
          <t>Paper &amp; Paper Products</t>
        </is>
      </c>
    </row>
    <row r="3699" ht="15" customHeight="1" s="109" thickBot="1">
      <c r="B3699" s="96" t="inlineStr">
        <is>
          <t>SETCO AUTOMOTIVE LTD</t>
        </is>
      </c>
      <c r="C3699" s="97" t="n">
        <v>505075</v>
      </c>
      <c r="D3699" s="96" t="inlineStr">
        <is>
          <t>SETCO</t>
        </is>
      </c>
      <c r="E3699" s="96" t="inlineStr">
        <is>
          <t>Auto Parts &amp; Equipment</t>
        </is>
      </c>
    </row>
    <row r="3700" ht="15" customHeight="1" s="109" thickBot="1">
      <c r="B3700" s="96" t="inlineStr">
        <is>
          <t>SEVEN HILL INDUSTRIES LTD</t>
        </is>
      </c>
      <c r="C3700" s="97" t="n">
        <v>511760</v>
      </c>
      <c r="D3700" s="96" t="inlineStr">
        <is>
          <t>Not Listed</t>
        </is>
      </c>
      <c r="E3700" s="96" t="inlineStr">
        <is>
          <t>Finance (including NBFCs)</t>
        </is>
      </c>
    </row>
    <row r="3701" ht="15" customHeight="1" s="109" thickBot="1">
      <c r="B3701" s="96" t="inlineStr">
        <is>
          <t>SEYA INDUSTRIES LTD</t>
        </is>
      </c>
      <c r="C3701" s="97" t="n">
        <v>524324</v>
      </c>
      <c r="D3701" s="96" t="inlineStr">
        <is>
          <t>Not Listed</t>
        </is>
      </c>
      <c r="E3701" s="96" t="inlineStr">
        <is>
          <t>Specialty Chemicals</t>
        </is>
      </c>
    </row>
    <row r="3702" ht="15" customHeight="1" s="109" thickBot="1">
      <c r="B3702" s="96" t="inlineStr">
        <is>
          <t>SEZAL GLASS LTD</t>
        </is>
      </c>
      <c r="C3702" s="97" t="n">
        <v>532993</v>
      </c>
      <c r="D3702" s="96" t="inlineStr">
        <is>
          <t>SEZAL</t>
        </is>
      </c>
      <c r="E3702" s="96" t="inlineStr">
        <is>
          <t>Construction Materials</t>
        </is>
      </c>
    </row>
    <row r="3703" ht="15" customHeight="1" s="109" thickBot="1">
      <c r="B3703" s="96" t="inlineStr">
        <is>
          <t>SFL INTERNATIONAL LTD</t>
        </is>
      </c>
      <c r="C3703" s="97" t="n">
        <v>530867</v>
      </c>
      <c r="D3703" s="96" t="inlineStr">
        <is>
          <t>Not Listed</t>
        </is>
      </c>
      <c r="E3703" s="96" t="inlineStr">
        <is>
          <t>Other Financial Services</t>
        </is>
      </c>
    </row>
    <row r="3704" ht="15" customHeight="1" s="109" thickBot="1">
      <c r="B3704" s="96" t="inlineStr">
        <is>
          <t>SHABA CHEMICALS LTD</t>
        </is>
      </c>
      <c r="C3704" s="97" t="n">
        <v>524546</v>
      </c>
      <c r="D3704" s="96" t="inlineStr">
        <is>
          <t>Not Listed</t>
        </is>
      </c>
      <c r="E3704" s="96" t="inlineStr">
        <is>
          <t>Pharmaceuticals</t>
        </is>
      </c>
    </row>
    <row r="3705" ht="15" customHeight="1" s="109" thickBot="1">
      <c r="B3705" s="96" t="inlineStr">
        <is>
          <t>SHAH ALLOYS LTD</t>
        </is>
      </c>
      <c r="C3705" s="97" t="n">
        <v>513436</v>
      </c>
      <c r="D3705" s="96" t="inlineStr">
        <is>
          <t>SHAHALLOYS</t>
        </is>
      </c>
      <c r="E3705" s="96" t="inlineStr">
        <is>
          <t>Iron &amp; Steel/Interm.Products</t>
        </is>
      </c>
    </row>
    <row r="3706" ht="15" customHeight="1" s="109" thickBot="1">
      <c r="B3706" s="96" t="inlineStr">
        <is>
          <t>SHAH CONSTRUCTION CO LTD</t>
        </is>
      </c>
      <c r="C3706" s="97" t="n">
        <v>509870</v>
      </c>
      <c r="D3706" s="96" t="inlineStr">
        <is>
          <t>Not Listed</t>
        </is>
      </c>
      <c r="E3706" s="96" t="inlineStr">
        <is>
          <t>Realty</t>
        </is>
      </c>
    </row>
    <row r="3707" ht="15" customHeight="1" s="109" thickBot="1">
      <c r="B3707" s="96" t="inlineStr">
        <is>
          <t>SHAH FOODS LTD</t>
        </is>
      </c>
      <c r="C3707" s="97" t="n">
        <v>519031</v>
      </c>
      <c r="D3707" s="96" t="inlineStr">
        <is>
          <t>Not Listed</t>
        </is>
      </c>
      <c r="E3707" s="96" t="inlineStr">
        <is>
          <t>Packaged Foods</t>
        </is>
      </c>
    </row>
    <row r="3708" ht="15" customHeight="1" s="109" thickBot="1">
      <c r="B3708" s="96" t="inlineStr">
        <is>
          <t>SHAHI SHIPPING LTD</t>
        </is>
      </c>
      <c r="C3708" s="97" t="n">
        <v>526508</v>
      </c>
      <c r="D3708" s="96" t="inlineStr">
        <is>
          <t>Not Listed</t>
        </is>
      </c>
      <c r="E3708" s="96" t="inlineStr">
        <is>
          <t>Shipping</t>
        </is>
      </c>
    </row>
    <row r="3709" ht="15" customHeight="1" s="109" thickBot="1">
      <c r="B3709" s="96" t="inlineStr">
        <is>
          <t>SHAILJA COMMERCIAL TRADE FRENZY LTD</t>
        </is>
      </c>
      <c r="C3709" s="97" t="n">
        <v>539520</v>
      </c>
      <c r="D3709" s="96" t="inlineStr">
        <is>
          <t>Not Listed</t>
        </is>
      </c>
      <c r="E3709" s="96" t="inlineStr">
        <is>
          <t>Comm.Trading &amp; Distribution</t>
        </is>
      </c>
    </row>
    <row r="3710" ht="15" customHeight="1" s="109" thickBot="1">
      <c r="B3710" s="96" t="inlineStr">
        <is>
          <t>SHAILY ENGINEERING PLASTICS LTD</t>
        </is>
      </c>
      <c r="C3710" s="97" t="n">
        <v>501423</v>
      </c>
      <c r="D3710" s="96" t="inlineStr">
        <is>
          <t>Not Listed</t>
        </is>
      </c>
      <c r="E3710" s="96" t="inlineStr">
        <is>
          <t>Plastic Products</t>
        </is>
      </c>
    </row>
    <row r="3711" ht="15" customHeight="1" s="109" thickBot="1">
      <c r="B3711" s="96" t="inlineStr">
        <is>
          <t>SHAIVAL REALITY LTD</t>
        </is>
      </c>
      <c r="C3711" s="96" t="inlineStr">
        <is>
          <t>Not Listed</t>
        </is>
      </c>
      <c r="D3711" s="96" t="inlineStr">
        <is>
          <t>SHAIVAL</t>
        </is>
      </c>
      <c r="E3711" s="96" t="inlineStr">
        <is>
          <t>SME</t>
        </is>
      </c>
    </row>
    <row r="3712" ht="15" customHeight="1" s="109" thickBot="1">
      <c r="B3712" s="96" t="inlineStr">
        <is>
          <t>SHAKTI PUMPS (INDIA) LTD</t>
        </is>
      </c>
      <c r="C3712" s="97" t="n">
        <v>531431</v>
      </c>
      <c r="D3712" s="96" t="inlineStr">
        <is>
          <t>SHAKTIPUMP</t>
        </is>
      </c>
      <c r="E3712" s="96" t="inlineStr">
        <is>
          <t>Industrial Machinery</t>
        </is>
      </c>
    </row>
    <row r="3713" ht="15" customHeight="1" s="109" thickBot="1">
      <c r="B3713" s="96" t="inlineStr">
        <is>
          <t>SHAKTI PUMPS INDIA LTD</t>
        </is>
      </c>
      <c r="C3713" s="97" t="n">
        <v>531431</v>
      </c>
      <c r="D3713" s="96" t="inlineStr">
        <is>
          <t>SHAKTIPUMP</t>
        </is>
      </c>
      <c r="E3713" s="96" t="inlineStr">
        <is>
          <t>Industrial Machinery</t>
        </is>
      </c>
    </row>
    <row r="3714" ht="15" customHeight="1" s="109" thickBot="1">
      <c r="B3714" s="96" t="inlineStr">
        <is>
          <t>SHALBY LTD</t>
        </is>
      </c>
      <c r="C3714" s="97" t="n">
        <v>540797</v>
      </c>
      <c r="D3714" s="96" t="inlineStr">
        <is>
          <t>SHALBY</t>
        </is>
      </c>
      <c r="E3714" s="96" t="inlineStr">
        <is>
          <t>Healthcare Facilities</t>
        </is>
      </c>
    </row>
    <row r="3715" ht="15" customHeight="1" s="109" thickBot="1">
      <c r="B3715" s="96" t="inlineStr">
        <is>
          <t>SHALIBHADRA FINANCE LTD</t>
        </is>
      </c>
      <c r="C3715" s="97" t="n">
        <v>511754</v>
      </c>
      <c r="D3715" s="96" t="inlineStr">
        <is>
          <t>Not Listed</t>
        </is>
      </c>
      <c r="E3715" s="96" t="inlineStr">
        <is>
          <t>Finance (including NBFCs)</t>
        </is>
      </c>
    </row>
    <row r="3716" ht="15" customHeight="1" s="109" thickBot="1">
      <c r="B3716" s="96" t="inlineStr">
        <is>
          <t>SHALIMAR AGENCIES LTD</t>
        </is>
      </c>
      <c r="C3716" s="97" t="n">
        <v>539895</v>
      </c>
      <c r="D3716" s="96" t="inlineStr">
        <is>
          <t>Not Listed</t>
        </is>
      </c>
      <c r="E3716" s="96" t="inlineStr">
        <is>
          <t>Other Financial Services</t>
        </is>
      </c>
    </row>
    <row r="3717" ht="15" customHeight="1" s="109" thickBot="1">
      <c r="B3717" s="96" t="inlineStr">
        <is>
          <t>SHALIMAR PAINTS LTD</t>
        </is>
      </c>
      <c r="C3717" s="97" t="n">
        <v>509874</v>
      </c>
      <c r="D3717" s="96" t="inlineStr">
        <is>
          <t>SHALPAINTS</t>
        </is>
      </c>
      <c r="E3717" s="96" t="inlineStr">
        <is>
          <t>Furniture-Furnishing-Paints</t>
        </is>
      </c>
    </row>
    <row r="3718" ht="15" customHeight="1" s="109" thickBot="1">
      <c r="B3718" s="96" t="inlineStr">
        <is>
          <t>SHALIMAR PRODUCTIONS LTD</t>
        </is>
      </c>
      <c r="C3718" s="97" t="n">
        <v>512499</v>
      </c>
      <c r="D3718" s="96" t="inlineStr">
        <is>
          <t>Not Listed</t>
        </is>
      </c>
      <c r="E3718" s="96" t="inlineStr">
        <is>
          <t>Other Financial Services</t>
        </is>
      </c>
    </row>
    <row r="3719" ht="15" customHeight="1" s="109" thickBot="1">
      <c r="B3719" s="96" t="inlineStr">
        <is>
          <t>SHALIMAR WIRES INDUSTRIES LTD</t>
        </is>
      </c>
      <c r="C3719" s="97" t="n">
        <v>532455</v>
      </c>
      <c r="D3719" s="96" t="inlineStr">
        <is>
          <t>Not Listed</t>
        </is>
      </c>
      <c r="E3719" s="96" t="inlineStr">
        <is>
          <t>Copper</t>
        </is>
      </c>
    </row>
    <row r="3720" ht="15" customHeight="1" s="109" thickBot="1">
      <c r="B3720" s="96" t="inlineStr">
        <is>
          <t>SHANGAR DECOR LTD</t>
        </is>
      </c>
      <c r="C3720" s="97" t="n">
        <v>540259</v>
      </c>
      <c r="D3720" s="96" t="inlineStr">
        <is>
          <t>Not Listed</t>
        </is>
      </c>
      <c r="E3720" s="96" t="inlineStr">
        <is>
          <t>Sp.Consumer Services</t>
        </is>
      </c>
    </row>
    <row r="3721" ht="15" customHeight="1" s="109" thickBot="1">
      <c r="B3721" s="96" t="inlineStr">
        <is>
          <t>Shankar Lal Rampal Dye-Chem Ltd</t>
        </is>
      </c>
      <c r="C3721" s="97" t="n">
        <v>542232</v>
      </c>
      <c r="D3721" s="96" t="inlineStr">
        <is>
          <t>SRD</t>
        </is>
      </c>
      <c r="E3721" s="96" t="inlineStr">
        <is>
          <t>Comm.Trading &amp;amp; Distribution</t>
        </is>
      </c>
    </row>
    <row r="3722" ht="15" customHeight="1" s="109" thickBot="1">
      <c r="B3722" s="96" t="inlineStr">
        <is>
          <t>SHANKARA BUILDING PRODUCTS LTD</t>
        </is>
      </c>
      <c r="C3722" s="97" t="n">
        <v>540425</v>
      </c>
      <c r="D3722" s="96" t="inlineStr">
        <is>
          <t>SHANKARA</t>
        </is>
      </c>
      <c r="E3722" s="96" t="inlineStr">
        <is>
          <t>Iron &amp; Steel Products</t>
        </is>
      </c>
    </row>
    <row r="3723" ht="15" customHeight="1" s="109" thickBot="1">
      <c r="B3723" s="96" t="inlineStr">
        <is>
          <t>SHANTAI INDUSTRIES LTD</t>
        </is>
      </c>
      <c r="C3723" s="97" t="n">
        <v>512297</v>
      </c>
      <c r="D3723" s="96" t="inlineStr">
        <is>
          <t>Not Listed</t>
        </is>
      </c>
      <c r="E3723" s="96" t="inlineStr">
        <is>
          <t>Industrial Machinery</t>
        </is>
      </c>
    </row>
    <row r="3724" ht="15" customHeight="1" s="109" thickBot="1">
      <c r="B3724" s="96" t="inlineStr">
        <is>
          <t>SHANTANU SHEOREY AQUAKULT LTD</t>
        </is>
      </c>
      <c r="C3724" s="97" t="n">
        <v>531925</v>
      </c>
      <c r="D3724" s="96" t="inlineStr">
        <is>
          <t>Not Listed</t>
        </is>
      </c>
      <c r="E3724" s="96" t="inlineStr">
        <is>
          <t>Packaged Foods</t>
        </is>
      </c>
    </row>
    <row r="3725" ht="15" customHeight="1" s="109" thickBot="1">
      <c r="B3725" s="96" t="inlineStr">
        <is>
          <t>SHANTHI GEARS LTD</t>
        </is>
      </c>
      <c r="C3725" s="97" t="n">
        <v>522034</v>
      </c>
      <c r="D3725" s="96" t="inlineStr">
        <is>
          <t>SHANTIGEAR</t>
        </is>
      </c>
      <c r="E3725" s="96" t="inlineStr">
        <is>
          <t>Auto Parts &amp; Equipment</t>
        </is>
      </c>
    </row>
    <row r="3726" ht="15" customHeight="1" s="109" thickBot="1">
      <c r="B3726" s="96" t="inlineStr">
        <is>
          <t>SHANTI EDUCATIONAL INITIATIVES LTD</t>
        </is>
      </c>
      <c r="C3726" s="97" t="n">
        <v>539921</v>
      </c>
      <c r="D3726" s="96" t="inlineStr">
        <is>
          <t>Not Listed</t>
        </is>
      </c>
      <c r="E3726" s="96" t="inlineStr">
        <is>
          <t>Education</t>
        </is>
      </c>
    </row>
    <row r="3727" ht="15" customHeight="1" s="109" thickBot="1">
      <c r="B3727" s="96" t="inlineStr">
        <is>
          <t>SHANTI OVERSEAS (INDIA) LTD</t>
        </is>
      </c>
      <c r="C3727" s="96" t="inlineStr">
        <is>
          <t>Not Listed</t>
        </is>
      </c>
      <c r="D3727" s="96" t="inlineStr">
        <is>
          <t>SHANTI</t>
        </is>
      </c>
      <c r="E3727" s="96" t="inlineStr">
        <is>
          <t>SME</t>
        </is>
      </c>
    </row>
    <row r="3728" ht="15" customHeight="1" s="109" thickBot="1">
      <c r="B3728" s="96" t="inlineStr">
        <is>
          <t>SHANTI OVERSEAS INDIA LTD</t>
        </is>
      </c>
      <c r="C3728" s="96" t="inlineStr">
        <is>
          <t>Not Listed</t>
        </is>
      </c>
      <c r="D3728" s="96" t="inlineStr">
        <is>
          <t>SHANTI</t>
        </is>
      </c>
      <c r="E3728" s="96" t="inlineStr">
        <is>
          <t>SME</t>
        </is>
      </c>
    </row>
    <row r="3729" ht="15" customHeight="1" s="109" thickBot="1">
      <c r="B3729" s="96" t="inlineStr">
        <is>
          <t>SHARAD FIBRES &amp; YARN PROCESSORS LTD</t>
        </is>
      </c>
      <c r="C3729" s="97" t="n">
        <v>514402</v>
      </c>
      <c r="D3729" s="96" t="inlineStr">
        <is>
          <t>Not Listed</t>
        </is>
      </c>
      <c r="E3729" s="96" t="inlineStr">
        <is>
          <t>Textiles</t>
        </is>
      </c>
    </row>
    <row r="3730" ht="15" customHeight="1" s="109" thickBot="1">
      <c r="B3730" s="96" t="inlineStr">
        <is>
          <t>SHARANAM INFRAPROJECT AND TRADING LTD</t>
        </is>
      </c>
      <c r="C3730" s="97" t="n">
        <v>539584</v>
      </c>
      <c r="D3730" s="96" t="inlineStr">
        <is>
          <t>Not Listed</t>
        </is>
      </c>
      <c r="E3730" s="96" t="inlineStr">
        <is>
          <t>Comm.Trading &amp; Distribution</t>
        </is>
      </c>
    </row>
    <row r="3731" ht="15" customHeight="1" s="109" thickBot="1">
      <c r="B3731" s="96" t="inlineStr">
        <is>
          <t>SHARDA CROPCHEM LTD</t>
        </is>
      </c>
      <c r="C3731" s="97" t="n">
        <v>538666</v>
      </c>
      <c r="D3731" s="96" t="inlineStr">
        <is>
          <t>SHARDACROP</t>
        </is>
      </c>
      <c r="E3731" s="96" t="inlineStr">
        <is>
          <t>Agrochemicals</t>
        </is>
      </c>
    </row>
    <row r="3732" ht="15" customHeight="1" s="109" thickBot="1">
      <c r="B3732" s="96" t="inlineStr">
        <is>
          <t>SHARDA ISPAT LTD</t>
        </is>
      </c>
      <c r="C3732" s="97" t="n">
        <v>513548</v>
      </c>
      <c r="D3732" s="96" t="inlineStr">
        <is>
          <t>Not Listed</t>
        </is>
      </c>
      <c r="E3732" s="96" t="inlineStr">
        <is>
          <t>Iron &amp; Steel/Interm.Products</t>
        </is>
      </c>
    </row>
    <row r="3733" ht="15" customHeight="1" s="109" thickBot="1">
      <c r="B3733" s="96" t="inlineStr">
        <is>
          <t>SHARDA MOTOR INDUSTRIES LTD</t>
        </is>
      </c>
      <c r="C3733" s="97" t="n">
        <v>535602</v>
      </c>
      <c r="D3733" s="96" t="inlineStr">
        <is>
          <t>SHARDAMOTR</t>
        </is>
      </c>
      <c r="E3733" s="96" t="inlineStr">
        <is>
          <t>Auto Parts &amp; Equipment</t>
        </is>
      </c>
    </row>
    <row r="3734" ht="15" customHeight="1" s="109" thickBot="1">
      <c r="B3734" s="96" t="inlineStr">
        <is>
          <t>SHARDUL SECURITIES LTD</t>
        </is>
      </c>
      <c r="C3734" s="97" t="n">
        <v>512393</v>
      </c>
      <c r="D3734" s="96" t="inlineStr">
        <is>
          <t>Not Listed</t>
        </is>
      </c>
      <c r="E3734" s="96" t="inlineStr">
        <is>
          <t>Other Financial Services</t>
        </is>
      </c>
    </row>
    <row r="3735" ht="15" customHeight="1" s="109" thickBot="1">
      <c r="B3735" s="96" t="inlineStr">
        <is>
          <t>SHARE INDIA SECURITIES LTD</t>
        </is>
      </c>
      <c r="C3735" s="97" t="n">
        <v>540725</v>
      </c>
      <c r="D3735" s="96" t="inlineStr">
        <is>
          <t>Not Listed</t>
        </is>
      </c>
      <c r="E3735" s="96" t="inlineStr">
        <is>
          <t>Other Financial Services</t>
        </is>
      </c>
    </row>
    <row r="3736" ht="15" customHeight="1" s="109" thickBot="1">
      <c r="B3736" s="96" t="inlineStr">
        <is>
          <t>SHARIKA ENTERPRISES LTD</t>
        </is>
      </c>
      <c r="C3736" s="97" t="n">
        <v>540786</v>
      </c>
      <c r="D3736" s="96" t="inlineStr">
        <is>
          <t>Not Listed</t>
        </is>
      </c>
      <c r="E3736" s="96" t="inlineStr">
        <is>
          <t>Other Elect.Equip./ Prod.</t>
        </is>
      </c>
    </row>
    <row r="3737" ht="15" customHeight="1" s="109" thickBot="1">
      <c r="B3737" s="96" t="inlineStr">
        <is>
          <t>SHARON BIO-MEDICINE LTD</t>
        </is>
      </c>
      <c r="C3737" s="97" t="n">
        <v>532908</v>
      </c>
      <c r="D3737" s="96" t="inlineStr">
        <is>
          <t>SHARONBIO</t>
        </is>
      </c>
      <c r="E3737" s="96" t="inlineStr">
        <is>
          <t>Pharmaceuticals</t>
        </is>
      </c>
    </row>
    <row r="3738" ht="15" customHeight="1" s="109" thickBot="1">
      <c r="B3738" s="96" t="inlineStr">
        <is>
          <t>SHARP (INDIA) LTD</t>
        </is>
      </c>
      <c r="C3738" s="97" t="n">
        <v>523449</v>
      </c>
      <c r="D3738" s="96" t="inlineStr">
        <is>
          <t>Not Listed</t>
        </is>
      </c>
      <c r="E3738" s="96" t="inlineStr">
        <is>
          <t>Consumer Electronics</t>
        </is>
      </c>
    </row>
    <row r="3739" ht="15" customHeight="1" s="109" thickBot="1">
      <c r="B3739" s="96" t="inlineStr">
        <is>
          <t>SHARP INDIA LTD</t>
        </is>
      </c>
      <c r="C3739" s="97" t="n">
        <v>523449</v>
      </c>
      <c r="D3739" s="96" t="inlineStr">
        <is>
          <t>Not Listed</t>
        </is>
      </c>
      <c r="E3739" s="96" t="inlineStr">
        <is>
          <t>Consumer Electronics</t>
        </is>
      </c>
    </row>
    <row r="3740" ht="15" customHeight="1" s="109" thickBot="1">
      <c r="B3740" s="96" t="inlineStr">
        <is>
          <t>SHARP INVESTMENTS LTD</t>
        </is>
      </c>
      <c r="C3740" s="97" t="n">
        <v>538212</v>
      </c>
      <c r="D3740" s="96" t="inlineStr">
        <is>
          <t>Not Listed</t>
        </is>
      </c>
      <c r="E3740" s="96" t="inlineStr">
        <is>
          <t>Finance (including NBFCs)</t>
        </is>
      </c>
    </row>
    <row r="3741" ht="15" customHeight="1" s="109" thickBot="1">
      <c r="B3741" s="96" t="inlineStr">
        <is>
          <t>SHASHANK TRADERS LTD</t>
        </is>
      </c>
      <c r="C3741" s="97" t="n">
        <v>540221</v>
      </c>
      <c r="D3741" s="96" t="inlineStr">
        <is>
          <t>Not Listed</t>
        </is>
      </c>
      <c r="E3741" s="96" t="inlineStr">
        <is>
          <t>Comm.Trading &amp; Distribution</t>
        </is>
      </c>
    </row>
    <row r="3742" ht="15" customHeight="1" s="109" thickBot="1">
      <c r="B3742" s="96" t="inlineStr">
        <is>
          <t>SHASHIJIT INFRAPROJECTS LTD</t>
        </is>
      </c>
      <c r="C3742" s="97" t="n">
        <v>540147</v>
      </c>
      <c r="D3742" s="96" t="inlineStr">
        <is>
          <t>Not Listed</t>
        </is>
      </c>
      <c r="E3742" s="96" t="inlineStr">
        <is>
          <t>Construction &amp; Engineering</t>
        </is>
      </c>
    </row>
    <row r="3743" ht="15" customHeight="1" s="109" thickBot="1">
      <c r="B3743" s="96" t="inlineStr">
        <is>
          <t>SHEELA FOAM LTD</t>
        </is>
      </c>
      <c r="C3743" s="97" t="n">
        <v>540203</v>
      </c>
      <c r="D3743" s="96" t="inlineStr">
        <is>
          <t>SFL</t>
        </is>
      </c>
      <c r="E3743" s="96" t="inlineStr">
        <is>
          <t>Furniture-Furnishing-Paints</t>
        </is>
      </c>
    </row>
    <row r="3744" ht="15" customHeight="1" s="109" thickBot="1">
      <c r="B3744" s="96" t="inlineStr">
        <is>
          <t>SHEETAL COOL PRODUCTS LTD</t>
        </is>
      </c>
      <c r="C3744" s="97" t="n">
        <v>540757</v>
      </c>
      <c r="D3744" s="96" t="inlineStr">
        <is>
          <t>Not Listed</t>
        </is>
      </c>
      <c r="E3744" s="96" t="inlineStr">
        <is>
          <t>Packaged Foods</t>
        </is>
      </c>
    </row>
    <row r="3745" ht="15" customHeight="1" s="109" thickBot="1">
      <c r="B3745" s="96" t="inlineStr">
        <is>
          <t>SHEETAL DIAMONDS LTD</t>
        </is>
      </c>
      <c r="C3745" s="97" t="n">
        <v>530525</v>
      </c>
      <c r="D3745" s="96" t="inlineStr">
        <is>
          <t>Not Listed</t>
        </is>
      </c>
      <c r="E3745" s="96" t="inlineStr">
        <is>
          <t>Other Apparels &amp; Accessories</t>
        </is>
      </c>
    </row>
    <row r="3746" ht="15" customHeight="1" s="109" thickBot="1">
      <c r="B3746" s="96" t="inlineStr">
        <is>
          <t>SHEKHAWATI POLY-YARN LTD</t>
        </is>
      </c>
      <c r="C3746" s="97" t="n">
        <v>533301</v>
      </c>
      <c r="D3746" s="96" t="inlineStr">
        <is>
          <t>SPYL</t>
        </is>
      </c>
      <c r="E3746" s="96" t="inlineStr">
        <is>
          <t>Textiles</t>
        </is>
      </c>
    </row>
    <row r="3747" ht="15" customHeight="1" s="109" thickBot="1">
      <c r="B3747" s="96" t="inlineStr">
        <is>
          <t>SHELTER INFRA PROJECTS LTD</t>
        </is>
      </c>
      <c r="C3747" s="97" t="n">
        <v>526839</v>
      </c>
      <c r="D3747" s="96" t="inlineStr">
        <is>
          <t>Not Listed</t>
        </is>
      </c>
      <c r="E3747" s="96" t="inlineStr">
        <is>
          <t>Construction &amp; Engineering</t>
        </is>
      </c>
    </row>
    <row r="3748" ht="15" customHeight="1" s="109" thickBot="1">
      <c r="B3748" s="96" t="inlineStr">
        <is>
          <t>SHEMAROO ENTERTAINMENT LTD</t>
        </is>
      </c>
      <c r="C3748" s="97" t="n">
        <v>538685</v>
      </c>
      <c r="D3748" s="96" t="inlineStr">
        <is>
          <t>SHEMAROO</t>
        </is>
      </c>
      <c r="E3748" s="96" t="inlineStr">
        <is>
          <t>Movies &amp; Entertainment</t>
        </is>
      </c>
    </row>
    <row r="3749" ht="15" customHeight="1" s="109" thickBot="1">
      <c r="B3749" s="96" t="inlineStr">
        <is>
          <t>SHERATON PROPERTIES &amp; FINANCE LTD</t>
        </is>
      </c>
      <c r="C3749" s="97" t="n">
        <v>512367</v>
      </c>
      <c r="D3749" s="96" t="inlineStr">
        <is>
          <t>Not Listed</t>
        </is>
      </c>
      <c r="E3749" s="96" t="inlineStr">
        <is>
          <t>Other Financial Services</t>
        </is>
      </c>
    </row>
    <row r="3750" ht="15" customHeight="1" s="109" thickBot="1">
      <c r="B3750" s="96" t="inlineStr">
        <is>
          <t>SHERVANI INDUSTRIAL SYNDICATE LTD</t>
        </is>
      </c>
      <c r="C3750" s="97" t="n">
        <v>526117</v>
      </c>
      <c r="D3750" s="96" t="inlineStr">
        <is>
          <t>Not Listed</t>
        </is>
      </c>
      <c r="E3750" s="96" t="inlineStr">
        <is>
          <t>Non-Durable Household Prod.</t>
        </is>
      </c>
    </row>
    <row r="3751" ht="15" customHeight="1" s="109" thickBot="1">
      <c r="B3751" s="96" t="inlineStr">
        <is>
          <t>SHESHADRI INDUSTRIES LTD</t>
        </is>
      </c>
      <c r="C3751" s="97" t="n">
        <v>539111</v>
      </c>
      <c r="D3751" s="96" t="inlineStr">
        <is>
          <t>Not Listed</t>
        </is>
      </c>
      <c r="E3751" s="96" t="inlineStr">
        <is>
          <t>Textiles</t>
        </is>
      </c>
    </row>
    <row r="3752" ht="15" customHeight="1" s="109" thickBot="1">
      <c r="B3752" s="96" t="inlineStr">
        <is>
          <t>SHETRON LTD</t>
        </is>
      </c>
      <c r="C3752" s="97" t="n">
        <v>526137</v>
      </c>
      <c r="D3752" s="96" t="inlineStr">
        <is>
          <t>Not Listed</t>
        </is>
      </c>
      <c r="E3752" s="96" t="inlineStr">
        <is>
          <t>Containers &amp; Packaging</t>
        </is>
      </c>
    </row>
    <row r="3753" ht="15" customHeight="1" s="109" thickBot="1">
      <c r="B3753" s="96" t="inlineStr">
        <is>
          <t>SHIKHAR LEASING &amp; TRADING LTD</t>
        </is>
      </c>
      <c r="C3753" s="97" t="n">
        <v>507952</v>
      </c>
      <c r="D3753" s="96" t="inlineStr">
        <is>
          <t>Not Listed</t>
        </is>
      </c>
      <c r="E3753" s="96" t="inlineStr">
        <is>
          <t>Finance (including NBFCs)</t>
        </is>
      </c>
    </row>
    <row r="3754" ht="15" customHeight="1" s="109" thickBot="1">
      <c r="B3754" s="96" t="inlineStr">
        <is>
          <t>SHILCHAR TECHNOLOGIES LTD</t>
        </is>
      </c>
      <c r="C3754" s="97" t="n">
        <v>531201</v>
      </c>
      <c r="D3754" s="96" t="inlineStr">
        <is>
          <t>Not Listed</t>
        </is>
      </c>
      <c r="E3754" s="96" t="inlineStr">
        <is>
          <t>Other Elect.Equip./ Prod.</t>
        </is>
      </c>
    </row>
    <row r="3755" ht="15" customHeight="1" s="109" thickBot="1">
      <c r="B3755" s="96" t="inlineStr">
        <is>
          <t>SHILP GRAVURES LTD</t>
        </is>
      </c>
      <c r="C3755" s="97" t="n">
        <v>513709</v>
      </c>
      <c r="D3755" s="96" t="inlineStr">
        <is>
          <t>Not Listed</t>
        </is>
      </c>
      <c r="E3755" s="96" t="inlineStr">
        <is>
          <t>Industrial Machinery</t>
        </is>
      </c>
    </row>
    <row r="3756" ht="15" customHeight="1" s="109" thickBot="1">
      <c r="B3756" s="96" t="inlineStr">
        <is>
          <t>SHILPA MEDICARE LTD</t>
        </is>
      </c>
      <c r="C3756" s="97" t="n">
        <v>530549</v>
      </c>
      <c r="D3756" s="96" t="inlineStr">
        <is>
          <t>SHILPAMED</t>
        </is>
      </c>
      <c r="E3756" s="96" t="inlineStr">
        <is>
          <t>Pharmaceuticals</t>
        </is>
      </c>
    </row>
    <row r="3757" ht="15" customHeight="1" s="109" thickBot="1">
      <c r="B3757" s="96" t="inlineStr">
        <is>
          <t>SHILPI CABLE TECHNOLOGIES LTD</t>
        </is>
      </c>
      <c r="C3757" s="97" t="n">
        <v>533389</v>
      </c>
      <c r="D3757" s="96" t="inlineStr">
        <is>
          <t>SHILPI</t>
        </is>
      </c>
      <c r="E3757" s="96" t="inlineStr">
        <is>
          <t>Other Elect.Equip./ Prod.</t>
        </is>
      </c>
    </row>
    <row r="3758" ht="15" customHeight="1" s="109" thickBot="1">
      <c r="B3758" s="96" t="inlineStr">
        <is>
          <t>SHIPPING CORPORATION OF (INDIA) LTD</t>
        </is>
      </c>
      <c r="C3758" s="97" t="n">
        <v>523598</v>
      </c>
      <c r="D3758" s="96" t="inlineStr">
        <is>
          <t>SCI</t>
        </is>
      </c>
      <c r="E3758" s="96" t="inlineStr">
        <is>
          <t>Shipping</t>
        </is>
      </c>
    </row>
    <row r="3759" ht="15" customHeight="1" s="109" thickBot="1">
      <c r="B3759" s="96" t="inlineStr">
        <is>
          <t>SHIPPING CORPORATION OF INDIA LTD</t>
        </is>
      </c>
      <c r="C3759" s="97" t="n">
        <v>523598</v>
      </c>
      <c r="D3759" s="96" t="inlineStr">
        <is>
          <t>SCI</t>
        </is>
      </c>
      <c r="E3759" s="96" t="inlineStr">
        <is>
          <t>Shipping</t>
        </is>
      </c>
    </row>
    <row r="3760" ht="15" customHeight="1" s="109" thickBot="1">
      <c r="B3760" s="96" t="inlineStr">
        <is>
          <t>SHIRPUR GOLD REFINERY LTD</t>
        </is>
      </c>
      <c r="C3760" s="97" t="n">
        <v>512289</v>
      </c>
      <c r="D3760" s="96" t="inlineStr">
        <is>
          <t>SHIRPUR-G</t>
        </is>
      </c>
      <c r="E3760" s="96" t="inlineStr">
        <is>
          <t>Other Non-Ferrous Metals</t>
        </is>
      </c>
    </row>
    <row r="3761" ht="15" customHeight="1" s="109" thickBot="1">
      <c r="B3761" s="96" t="inlineStr">
        <is>
          <t>SHISH INDUSTRIES LTD</t>
        </is>
      </c>
      <c r="C3761" s="97" t="n">
        <v>540693</v>
      </c>
      <c r="D3761" s="96" t="inlineStr">
        <is>
          <t>Not Listed</t>
        </is>
      </c>
      <c r="E3761" s="96" t="inlineStr">
        <is>
          <t>Plastic Products</t>
        </is>
      </c>
    </row>
    <row r="3762" ht="15" customHeight="1" s="109" thickBot="1">
      <c r="B3762" s="96" t="inlineStr">
        <is>
          <t>SHIVA CEMENT LTD</t>
        </is>
      </c>
      <c r="C3762" s="97" t="n">
        <v>532323</v>
      </c>
      <c r="D3762" s="96" t="inlineStr">
        <is>
          <t>Not Listed</t>
        </is>
      </c>
      <c r="E3762" s="96" t="inlineStr">
        <is>
          <t>Cement &amp; Cement Products</t>
        </is>
      </c>
    </row>
    <row r="3763" ht="15" customHeight="1" s="109" thickBot="1">
      <c r="B3763" s="96" t="inlineStr">
        <is>
          <t>SHIVA GLOBAL AGRO INDUSTRIES LTD</t>
        </is>
      </c>
      <c r="C3763" s="97" t="n">
        <v>530433</v>
      </c>
      <c r="D3763" s="96" t="inlineStr">
        <is>
          <t>Not Listed</t>
        </is>
      </c>
      <c r="E3763" s="96" t="inlineStr">
        <is>
          <t>Fertilizers</t>
        </is>
      </c>
    </row>
    <row r="3764" ht="15" customHeight="1" s="109" thickBot="1">
      <c r="B3764" s="96" t="inlineStr">
        <is>
          <t>SHIVA GRANITO EXPORT LTD</t>
        </is>
      </c>
      <c r="C3764" s="97" t="n">
        <v>540072</v>
      </c>
      <c r="D3764" s="96" t="inlineStr">
        <is>
          <t>Not Listed</t>
        </is>
      </c>
      <c r="E3764" s="96" t="inlineStr">
        <is>
          <t>Construction Materials</t>
        </is>
      </c>
    </row>
    <row r="3765" ht="15" customHeight="1" s="109" thickBot="1">
      <c r="B3765" s="96" t="inlineStr">
        <is>
          <t>SHIVA MEDICARE LTD.</t>
        </is>
      </c>
      <c r="C3765" s="97" t="n">
        <v>524602</v>
      </c>
      <c r="D3765" s="96" t="inlineStr">
        <is>
          <t>SHIVMED</t>
        </is>
      </c>
      <c r="E3765" s="96" t="inlineStr">
        <is>
          <t>Healthcare Services</t>
        </is>
      </c>
    </row>
    <row r="3766" ht="15" customHeight="1" s="109" thickBot="1">
      <c r="B3766" s="96" t="inlineStr">
        <is>
          <t>SHIVA MILLS LTD</t>
        </is>
      </c>
      <c r="C3766" s="97" t="n">
        <v>540961</v>
      </c>
      <c r="D3766" s="96" t="inlineStr">
        <is>
          <t>SHIVAMILLS</t>
        </is>
      </c>
      <c r="E3766" s="96" t="inlineStr">
        <is>
          <t>Textiles</t>
        </is>
      </c>
    </row>
    <row r="3767" ht="15" customHeight="1" s="109" thickBot="1">
      <c r="B3767" s="96" t="inlineStr">
        <is>
          <t>SHIVA SUITINGS LTD</t>
        </is>
      </c>
      <c r="C3767" s="97" t="n">
        <v>521003</v>
      </c>
      <c r="D3767" s="96" t="inlineStr">
        <is>
          <t>Not Listed</t>
        </is>
      </c>
      <c r="E3767" s="96" t="inlineStr">
        <is>
          <t>Comm.Trading &amp; Distribution</t>
        </is>
      </c>
    </row>
    <row r="3768" ht="15" customHeight="1" s="109" thickBot="1">
      <c r="B3768" s="96" t="inlineStr">
        <is>
          <t>SHIVA TEXYARN LTD</t>
        </is>
      </c>
      <c r="C3768" s="97" t="n">
        <v>511108</v>
      </c>
      <c r="D3768" s="96" t="inlineStr">
        <is>
          <t>SHIVATEX</t>
        </is>
      </c>
      <c r="E3768" s="96" t="inlineStr">
        <is>
          <t>Textiles</t>
        </is>
      </c>
    </row>
    <row r="3769" ht="15" customHeight="1" s="109" thickBot="1">
      <c r="B3769" s="96" t="inlineStr">
        <is>
          <t>SHIVAGRICO IMPLEMENTS LTD</t>
        </is>
      </c>
      <c r="C3769" s="97" t="n">
        <v>522237</v>
      </c>
      <c r="D3769" s="96" t="inlineStr">
        <is>
          <t>Not Listed</t>
        </is>
      </c>
      <c r="E3769" s="96" t="inlineStr">
        <is>
          <t>Industrial Machinery</t>
        </is>
      </c>
    </row>
    <row r="3770" ht="15" customHeight="1" s="109" thickBot="1">
      <c r="B3770" s="96" t="inlineStr">
        <is>
          <t>SHIVALIK BIMETAL CONTROLS LTD</t>
        </is>
      </c>
      <c r="C3770" s="97" t="n">
        <v>513097</v>
      </c>
      <c r="D3770" s="96" t="inlineStr">
        <is>
          <t>Not Listed</t>
        </is>
      </c>
      <c r="E3770" s="96" t="inlineStr">
        <is>
          <t>Electronic Components</t>
        </is>
      </c>
    </row>
    <row r="3771" ht="15" customHeight="1" s="109" thickBot="1">
      <c r="B3771" s="96" t="inlineStr">
        <is>
          <t>SHIVALIK RASAYAN LTD</t>
        </is>
      </c>
      <c r="C3771" s="97" t="n">
        <v>539148</v>
      </c>
      <c r="D3771" s="96" t="inlineStr">
        <is>
          <t>Not Listed</t>
        </is>
      </c>
      <c r="E3771" s="96" t="inlineStr">
        <is>
          <t>Agrochemicals</t>
        </is>
      </c>
    </row>
    <row r="3772" ht="15" customHeight="1" s="109" thickBot="1">
      <c r="B3772" s="96" t="inlineStr">
        <is>
          <t>SHIVAM AUTOTECH LTD</t>
        </is>
      </c>
      <c r="C3772" s="97" t="n">
        <v>532776</v>
      </c>
      <c r="D3772" s="96" t="inlineStr">
        <is>
          <t>SHIVAMAUTO</t>
        </is>
      </c>
      <c r="E3772" s="96" t="inlineStr">
        <is>
          <t>Auto Parts &amp; Equipment</t>
        </is>
      </c>
    </row>
    <row r="3773" ht="15" customHeight="1" s="109" thickBot="1">
      <c r="B3773" s="96" t="inlineStr">
        <is>
          <t>SHIVANSH FINSERVE LTD</t>
        </is>
      </c>
      <c r="C3773" s="97" t="n">
        <v>539593</v>
      </c>
      <c r="D3773" s="96" t="inlineStr">
        <is>
          <t>Not Listed</t>
        </is>
      </c>
      <c r="E3773" s="96" t="inlineStr">
        <is>
          <t>Other Financial Services</t>
        </is>
      </c>
    </row>
    <row r="3774" ht="15" customHeight="1" s="109" thickBot="1">
      <c r="B3774" s="96" t="inlineStr">
        <is>
          <t>SHIVKAMAL IMPEX LTD</t>
        </is>
      </c>
      <c r="C3774" s="97" t="n">
        <v>539683</v>
      </c>
      <c r="D3774" s="96" t="inlineStr">
        <is>
          <t>Not Listed</t>
        </is>
      </c>
      <c r="E3774" s="96" t="inlineStr">
        <is>
          <t>Finance (including NBFCs)</t>
        </is>
      </c>
    </row>
    <row r="3775" ht="15" customHeight="1" s="109" thickBot="1">
      <c r="B3775" s="96" t="inlineStr">
        <is>
          <t>SHIVOM INVESTMENT &amp; CONSULTANCY LTD</t>
        </is>
      </c>
      <c r="C3775" s="97" t="n">
        <v>539833</v>
      </c>
      <c r="D3775" s="96" t="inlineStr">
        <is>
          <t>Not Listed</t>
        </is>
      </c>
      <c r="E3775" s="96" t="inlineStr">
        <is>
          <t>Finance (including NBFCs)</t>
        </is>
      </c>
    </row>
    <row r="3776" ht="15" customHeight="1" s="109" thickBot="1">
      <c r="B3776" s="96" t="inlineStr">
        <is>
          <t>SHOPPERS STOP LTD</t>
        </is>
      </c>
      <c r="C3776" s="97" t="n">
        <v>532638</v>
      </c>
      <c r="D3776" s="96" t="inlineStr">
        <is>
          <t>SHOPERSTOP</t>
        </is>
      </c>
      <c r="E3776" s="96" t="inlineStr">
        <is>
          <t>Department Stores</t>
        </is>
      </c>
    </row>
    <row r="3777" ht="15" customHeight="1" s="109" thickBot="1">
      <c r="B3777" s="96" t="inlineStr">
        <is>
          <t>SHRADHA INFRAPROJECTS NAGPUR LTD</t>
        </is>
      </c>
      <c r="C3777" s="96" t="inlineStr">
        <is>
          <t>Not Listed</t>
        </is>
      </c>
      <c r="D3777" s="96" t="inlineStr">
        <is>
          <t>SHRADHA</t>
        </is>
      </c>
      <c r="E3777" s="96" t="inlineStr">
        <is>
          <t>SME</t>
        </is>
      </c>
    </row>
    <row r="3778" ht="15" customHeight="1" s="109" thickBot="1">
      <c r="B3778" s="96" t="inlineStr">
        <is>
          <t>SHREE AJIT PULP AND PAPER LTD</t>
        </is>
      </c>
      <c r="C3778" s="97" t="n">
        <v>538795</v>
      </c>
      <c r="D3778" s="96" t="inlineStr">
        <is>
          <t>Not Listed</t>
        </is>
      </c>
      <c r="E3778" s="96" t="inlineStr">
        <is>
          <t>Paper &amp; Paper Products</t>
        </is>
      </c>
    </row>
    <row r="3779" ht="15" customHeight="1" s="109" thickBot="1">
      <c r="B3779" s="96" t="inlineStr">
        <is>
          <t>SHREE BHAVYA FABRICS LTD</t>
        </is>
      </c>
      <c r="C3779" s="97" t="n">
        <v>521131</v>
      </c>
      <c r="D3779" s="96" t="inlineStr">
        <is>
          <t>Not Listed</t>
        </is>
      </c>
      <c r="E3779" s="96" t="inlineStr">
        <is>
          <t>Textiles</t>
        </is>
      </c>
    </row>
    <row r="3780" ht="15" customHeight="1" s="109" thickBot="1">
      <c r="B3780" s="96" t="inlineStr">
        <is>
          <t>SHREE BHAWANI PAPER MILLS LTD</t>
        </is>
      </c>
      <c r="C3780" s="97" t="n">
        <v>502563</v>
      </c>
      <c r="D3780" s="96" t="inlineStr">
        <is>
          <t>Not Listed</t>
        </is>
      </c>
      <c r="E3780" s="96" t="inlineStr">
        <is>
          <t>Paper &amp; Paper Products</t>
        </is>
      </c>
    </row>
    <row r="3781" ht="15" customHeight="1" s="109" thickBot="1">
      <c r="B3781" s="96" t="inlineStr">
        <is>
          <t>SHREE CEMENT LTD</t>
        </is>
      </c>
      <c r="C3781" s="97" t="n">
        <v>500387</v>
      </c>
      <c r="D3781" s="96" t="inlineStr">
        <is>
          <t>SHREECEM</t>
        </is>
      </c>
      <c r="E3781" s="96" t="inlineStr">
        <is>
          <t>Cement &amp; Cement Products</t>
        </is>
      </c>
    </row>
    <row r="3782" ht="15" customHeight="1" s="109" thickBot="1">
      <c r="B3782" s="96" t="inlineStr">
        <is>
          <t>SHREE DIGVIJAY CEMENT CO LTD</t>
        </is>
      </c>
      <c r="C3782" s="97" t="n">
        <v>502180</v>
      </c>
      <c r="D3782" s="96" t="inlineStr">
        <is>
          <t>Not Listed</t>
        </is>
      </c>
      <c r="E3782" s="96" t="inlineStr">
        <is>
          <t>Cement &amp; Cement Products</t>
        </is>
      </c>
    </row>
    <row r="3783" ht="15" customHeight="1" s="109" thickBot="1">
      <c r="B3783" s="96" t="inlineStr">
        <is>
          <t>SHREE GANESH BIOTECH (INDIA) LTD</t>
        </is>
      </c>
      <c r="C3783" s="97" t="n">
        <v>539470</v>
      </c>
      <c r="D3783" s="96" t="inlineStr">
        <is>
          <t>Not Listed</t>
        </is>
      </c>
      <c r="E3783" s="96" t="inlineStr">
        <is>
          <t>Biotechnology</t>
        </is>
      </c>
    </row>
    <row r="3784" ht="15" customHeight="1" s="109" thickBot="1">
      <c r="B3784" s="96" t="inlineStr">
        <is>
          <t>SHREE GANESH BIOTECH INDIA LTD</t>
        </is>
      </c>
      <c r="C3784" s="97" t="n">
        <v>539470</v>
      </c>
      <c r="D3784" s="96" t="inlineStr">
        <is>
          <t>Not Listed</t>
        </is>
      </c>
      <c r="E3784" s="96" t="inlineStr">
        <is>
          <t>Biotechnology</t>
        </is>
      </c>
    </row>
    <row r="3785" ht="15" customHeight="1" s="109" thickBot="1">
      <c r="B3785" s="96" t="inlineStr">
        <is>
          <t>SHREE GANESH ELASTOPLAST LTD</t>
        </is>
      </c>
      <c r="C3785" s="97" t="n">
        <v>530797</v>
      </c>
      <c r="D3785" s="96" t="inlineStr">
        <is>
          <t>Not Listed</t>
        </is>
      </c>
      <c r="E3785" s="96" t="inlineStr">
        <is>
          <t>Comm.Trading &amp; Distribution</t>
        </is>
      </c>
    </row>
    <row r="3786" ht="15" customHeight="1" s="109" thickBot="1">
      <c r="B3786" s="96" t="inlineStr">
        <is>
          <t>SHREE GANESH FORGINGS LTD</t>
        </is>
      </c>
      <c r="C3786" s="97" t="n">
        <v>532643</v>
      </c>
      <c r="D3786" s="96" t="inlineStr">
        <is>
          <t>SGFL</t>
        </is>
      </c>
      <c r="E3786" s="96" t="inlineStr">
        <is>
          <t>Other Industrial Products</t>
        </is>
      </c>
    </row>
    <row r="3787" ht="15" customHeight="1" s="109" thickBot="1">
      <c r="B3787" s="96" t="inlineStr">
        <is>
          <t>SHREE GANESH REMEDIES LTD</t>
        </is>
      </c>
      <c r="C3787" s="97" t="n">
        <v>540737</v>
      </c>
      <c r="D3787" s="96" t="inlineStr">
        <is>
          <t>Not Listed</t>
        </is>
      </c>
      <c r="E3787" s="96" t="inlineStr">
        <is>
          <t>Pharmaceuticals</t>
        </is>
      </c>
    </row>
    <row r="3788" ht="15" customHeight="1" s="109" thickBot="1">
      <c r="B3788" s="96" t="inlineStr">
        <is>
          <t>SHREE GLOBAL TRADEFIN LTD</t>
        </is>
      </c>
      <c r="C3788" s="97" t="n">
        <v>512463</v>
      </c>
      <c r="D3788" s="96" t="inlineStr">
        <is>
          <t>Not Listed</t>
        </is>
      </c>
      <c r="E3788" s="96" t="inlineStr">
        <is>
          <t>Finance (including NBFCs)</t>
        </is>
      </c>
    </row>
    <row r="3789" ht="15" customHeight="1" s="109" thickBot="1">
      <c r="B3789" s="96" t="inlineStr">
        <is>
          <t>SHREE HARI CHEMICALS EXPORT LTD</t>
        </is>
      </c>
      <c r="C3789" s="97" t="n">
        <v>524336</v>
      </c>
      <c r="D3789" s="96" t="inlineStr">
        <is>
          <t>Not Listed</t>
        </is>
      </c>
      <c r="E3789" s="96" t="inlineStr">
        <is>
          <t>Commodity Chemicals</t>
        </is>
      </c>
    </row>
    <row r="3790" ht="15" customHeight="1" s="109" thickBot="1">
      <c r="B3790" s="96" t="inlineStr">
        <is>
          <t>SHREE KARTHIK PAPERS LTD</t>
        </is>
      </c>
      <c r="C3790" s="97" t="n">
        <v>516106</v>
      </c>
      <c r="D3790" s="96" t="inlineStr">
        <is>
          <t>Not Listed</t>
        </is>
      </c>
      <c r="E3790" s="96" t="inlineStr">
        <is>
          <t>Paper &amp; Paper Products</t>
        </is>
      </c>
    </row>
    <row r="3791" ht="15" customHeight="1" s="109" thickBot="1">
      <c r="B3791" s="96" t="inlineStr">
        <is>
          <t>SHREE KRISHNA INFRASTRUCTURE LTD</t>
        </is>
      </c>
      <c r="C3791" s="97" t="n">
        <v>542146</v>
      </c>
      <c r="D3791" s="96" t="inlineStr">
        <is>
          <t>Not Listed</t>
        </is>
      </c>
      <c r="E3791" s="96" t="inlineStr">
        <is>
          <t>Realty</t>
        </is>
      </c>
    </row>
    <row r="3792" ht="15" customHeight="1" s="109" thickBot="1">
      <c r="B3792" s="96" t="inlineStr">
        <is>
          <t>SHREE KRISHNA PAPER MILLS &amp; INDUSTRIES LTD</t>
        </is>
      </c>
      <c r="C3792" s="97" t="n">
        <v>500388</v>
      </c>
      <c r="D3792" s="96" t="inlineStr">
        <is>
          <t>Not Listed</t>
        </is>
      </c>
      <c r="E3792" s="96" t="inlineStr">
        <is>
          <t>Paper &amp; Paper Products</t>
        </is>
      </c>
    </row>
    <row r="3793" ht="15" customHeight="1" s="109" thickBot="1">
      <c r="B3793" s="96" t="inlineStr">
        <is>
          <t>SHREE MANUFACTURING CO LTD</t>
        </is>
      </c>
      <c r="C3793" s="97" t="n">
        <v>503863</v>
      </c>
      <c r="D3793" s="96" t="inlineStr">
        <is>
          <t>Not Listed</t>
        </is>
      </c>
      <c r="E3793" s="96" t="inlineStr">
        <is>
          <t>Textiles</t>
        </is>
      </c>
    </row>
    <row r="3794" ht="15" customHeight="1" s="109" thickBot="1">
      <c r="B3794" s="96" t="inlineStr">
        <is>
          <t>SHREE METALLOYS LTD</t>
        </is>
      </c>
      <c r="C3794" s="97" t="n">
        <v>531962</v>
      </c>
      <c r="D3794" s="96" t="inlineStr">
        <is>
          <t>Not Listed</t>
        </is>
      </c>
      <c r="E3794" s="96" t="inlineStr">
        <is>
          <t>Finance (including NBFCs)</t>
        </is>
      </c>
    </row>
    <row r="3795" ht="15" customHeight="1" s="109" thickBot="1">
      <c r="B3795" s="96" t="inlineStr">
        <is>
          <t>SHREE NIDHI TRADING CO LTD</t>
        </is>
      </c>
      <c r="C3795" s="97" t="n">
        <v>540253</v>
      </c>
      <c r="D3795" s="96" t="inlineStr">
        <is>
          <t>Not Listed</t>
        </is>
      </c>
      <c r="E3795" s="96" t="inlineStr">
        <is>
          <t>Other Financial Services</t>
        </is>
      </c>
    </row>
    <row r="3796" ht="15" customHeight="1" s="109" thickBot="1">
      <c r="B3796" s="96" t="inlineStr">
        <is>
          <t>SHREE OM TRADES LTD</t>
        </is>
      </c>
      <c r="C3796" s="97" t="n">
        <v>506180</v>
      </c>
      <c r="D3796" s="96" t="inlineStr">
        <is>
          <t>Not Listed</t>
        </is>
      </c>
      <c r="E3796" s="96" t="inlineStr">
        <is>
          <t>Comm.Trading &amp; Distribution</t>
        </is>
      </c>
    </row>
    <row r="3797" ht="15" customHeight="1" s="109" thickBot="1">
      <c r="B3797" s="96" t="inlineStr">
        <is>
          <t>SHREE PACETRONIX LTD</t>
        </is>
      </c>
      <c r="C3797" s="97" t="n">
        <v>527005</v>
      </c>
      <c r="D3797" s="96" t="inlineStr">
        <is>
          <t>Not Listed</t>
        </is>
      </c>
      <c r="E3797" s="96" t="inlineStr">
        <is>
          <t>Healthcare Supplies</t>
        </is>
      </c>
    </row>
    <row r="3798" ht="15" customHeight="1" s="109" thickBot="1">
      <c r="B3798" s="96" t="inlineStr">
        <is>
          <t>SHREE PRECOATED STEELS LTD</t>
        </is>
      </c>
      <c r="C3798" s="97" t="n">
        <v>533110</v>
      </c>
      <c r="D3798" s="96" t="inlineStr">
        <is>
          <t>Not Listed</t>
        </is>
      </c>
      <c r="E3798" s="96" t="inlineStr">
        <is>
          <t>Iron &amp; Steel Products</t>
        </is>
      </c>
    </row>
    <row r="3799" ht="15" customHeight="1" s="109" thickBot="1">
      <c r="B3799" s="96" t="inlineStr">
        <is>
          <t>SHREE PUSHKAR CHEMICALS &amp; FERTILISERS LTD</t>
        </is>
      </c>
      <c r="C3799" s="97" t="n">
        <v>539334</v>
      </c>
      <c r="D3799" s="96" t="inlineStr">
        <is>
          <t>SHREEPUSHK</t>
        </is>
      </c>
      <c r="E3799" s="96" t="inlineStr">
        <is>
          <t>Specialty Chemicals</t>
        </is>
      </c>
    </row>
    <row r="3800" ht="15" customHeight="1" s="109" thickBot="1">
      <c r="B3800" s="96" t="inlineStr">
        <is>
          <t>SHREE RAJASTHAN SYNTEX LTD</t>
        </is>
      </c>
      <c r="C3800" s="97" t="n">
        <v>503837</v>
      </c>
      <c r="D3800" s="96" t="inlineStr">
        <is>
          <t>Not Listed</t>
        </is>
      </c>
      <c r="E3800" s="96" t="inlineStr">
        <is>
          <t>Textiles</t>
        </is>
      </c>
    </row>
    <row r="3801" ht="15" customHeight="1" s="109" thickBot="1">
      <c r="B3801" s="96" t="inlineStr">
        <is>
          <t>SHREE RAJESHWARANAND PAPER MILLS LTD</t>
        </is>
      </c>
      <c r="C3801" s="97" t="n">
        <v>516086</v>
      </c>
      <c r="D3801" s="96" t="inlineStr">
        <is>
          <t>Not Listed</t>
        </is>
      </c>
      <c r="E3801" s="96" t="inlineStr">
        <is>
          <t>Paper &amp; Paper Products</t>
        </is>
      </c>
    </row>
    <row r="3802" ht="15" customHeight="1" s="109" thickBot="1">
      <c r="B3802" s="96" t="inlineStr">
        <is>
          <t>SHREE RAM PROTEINS LTD</t>
        </is>
      </c>
      <c r="C3802" s="96" t="inlineStr">
        <is>
          <t>Not Listed</t>
        </is>
      </c>
      <c r="D3802" s="96" t="inlineStr">
        <is>
          <t>SRPL</t>
        </is>
      </c>
      <c r="E3802" s="96" t="inlineStr">
        <is>
          <t>SME</t>
        </is>
      </c>
    </row>
    <row r="3803" ht="15" customHeight="1" s="109" thickBot="1">
      <c r="B3803" s="96" t="inlineStr">
        <is>
          <t>SHREE RAMA MULTI-TECH LTD</t>
        </is>
      </c>
      <c r="C3803" s="97" t="n">
        <v>532310</v>
      </c>
      <c r="D3803" s="96" t="inlineStr">
        <is>
          <t>SHREERAMA</t>
        </is>
      </c>
      <c r="E3803" s="96" t="inlineStr">
        <is>
          <t>Containers &amp; Packaging</t>
        </is>
      </c>
    </row>
    <row r="3804" ht="15" customHeight="1" s="109" thickBot="1">
      <c r="B3804" s="96" t="inlineStr">
        <is>
          <t>SHREE RAMA NEWSPRINT LTD</t>
        </is>
      </c>
      <c r="C3804" s="97" t="n">
        <v>500356</v>
      </c>
      <c r="D3804" s="96" t="inlineStr">
        <is>
          <t>RAMANEWS</t>
        </is>
      </c>
      <c r="E3804" s="96" t="inlineStr">
        <is>
          <t>Paper &amp; Paper Products</t>
        </is>
      </c>
    </row>
    <row r="3805" ht="15" customHeight="1" s="109" thickBot="1">
      <c r="B3805" s="96" t="inlineStr">
        <is>
          <t>SHREE RENUKA SUGARS LTD</t>
        </is>
      </c>
      <c r="C3805" s="97" t="n">
        <v>532670</v>
      </c>
      <c r="D3805" s="96" t="inlineStr">
        <is>
          <t>RENUKA</t>
        </is>
      </c>
      <c r="E3805" s="96" t="inlineStr">
        <is>
          <t>Sugar</t>
        </is>
      </c>
    </row>
    <row r="3806" ht="15" customHeight="1" s="109" thickBot="1">
      <c r="B3806" s="96" t="inlineStr">
        <is>
          <t>SHREE SALASAR INVESTMENT LTD</t>
        </is>
      </c>
      <c r="C3806" s="97" t="n">
        <v>503635</v>
      </c>
      <c r="D3806" s="96" t="inlineStr">
        <is>
          <t>Not Listed</t>
        </is>
      </c>
      <c r="E3806" s="96" t="inlineStr">
        <is>
          <t>Other Financial Services</t>
        </is>
      </c>
    </row>
    <row r="3807" ht="15" customHeight="1" s="109" thickBot="1">
      <c r="B3807" s="96" t="inlineStr">
        <is>
          <t>SHREE SECURITIES LTD</t>
        </is>
      </c>
      <c r="C3807" s="97" t="n">
        <v>538975</v>
      </c>
      <c r="D3807" s="96" t="inlineStr">
        <is>
          <t>Not Listed</t>
        </is>
      </c>
      <c r="E3807" s="96" t="inlineStr">
        <is>
          <t>Finance (including NBFCs)</t>
        </is>
      </c>
    </row>
    <row r="3808" ht="15" customHeight="1" s="109" thickBot="1">
      <c r="B3808" s="96" t="inlineStr">
        <is>
          <t>SHREE STEEL WIRE ROPES LTD</t>
        </is>
      </c>
      <c r="C3808" s="97" t="n">
        <v>513488</v>
      </c>
      <c r="D3808" s="96" t="inlineStr">
        <is>
          <t>Not Listed</t>
        </is>
      </c>
      <c r="E3808" s="96" t="inlineStr">
        <is>
          <t>Iron &amp; Steel Products</t>
        </is>
      </c>
    </row>
    <row r="3809" ht="15" customHeight="1" s="109" thickBot="1">
      <c r="B3809" s="96" t="inlineStr">
        <is>
          <t>SHREE SURGOVIND TRADELINK LTD</t>
        </is>
      </c>
      <c r="C3809" s="97" t="n">
        <v>531667</v>
      </c>
      <c r="D3809" s="96" t="inlineStr">
        <is>
          <t>Not Listed</t>
        </is>
      </c>
      <c r="E3809" s="96" t="inlineStr">
        <is>
          <t>Comm.Trading &amp; Distribution</t>
        </is>
      </c>
    </row>
    <row r="3810" ht="15" customHeight="1" s="109" thickBot="1">
      <c r="B3810" s="96" t="inlineStr">
        <is>
          <t>SHREE TIRUPATI BALAJEE FIBC LTD</t>
        </is>
      </c>
      <c r="C3810" s="96" t="inlineStr">
        <is>
          <t>Not Listed</t>
        </is>
      </c>
      <c r="D3810" s="96" t="inlineStr">
        <is>
          <t>TIRUPATI</t>
        </is>
      </c>
      <c r="E3810" s="96" t="inlineStr">
        <is>
          <t>SME</t>
        </is>
      </c>
    </row>
    <row r="3811" ht="15" customHeight="1" s="109" thickBot="1">
      <c r="B3811" s="96" t="inlineStr">
        <is>
          <t>SHREE TULSI ONLINE COM LTD</t>
        </is>
      </c>
      <c r="C3811" s="97" t="n">
        <v>590128</v>
      </c>
      <c r="D3811" s="96" t="inlineStr">
        <is>
          <t>Not Listed</t>
        </is>
      </c>
      <c r="E3811" s="96" t="inlineStr">
        <is>
          <t>IT Consulting &amp; Software</t>
        </is>
      </c>
    </row>
    <row r="3812" ht="15" customHeight="1" s="109" thickBot="1">
      <c r="B3812" s="96" t="inlineStr">
        <is>
          <t>SHREE VASU LOGISTICS LTD</t>
        </is>
      </c>
      <c r="C3812" s="96" t="inlineStr">
        <is>
          <t>Not Listed</t>
        </is>
      </c>
      <c r="D3812" s="96" t="inlineStr">
        <is>
          <t>SVLL</t>
        </is>
      </c>
      <c r="E3812" s="96" t="inlineStr">
        <is>
          <t>SME</t>
        </is>
      </c>
    </row>
    <row r="3813" ht="15" customHeight="1" s="109" thickBot="1">
      <c r="B3813" s="96" t="inlineStr">
        <is>
          <t>SHREE WORSTEX LTD</t>
        </is>
      </c>
      <c r="C3813" s="97" t="n">
        <v>541358</v>
      </c>
      <c r="D3813" s="96" t="inlineStr">
        <is>
          <t>Not Listed</t>
        </is>
      </c>
      <c r="E3813" s="96" t="inlineStr">
        <is>
          <t>Finance (including NBFCs)</t>
        </is>
      </c>
    </row>
    <row r="3814" ht="15" customHeight="1" s="109" thickBot="1">
      <c r="B3814" s="96" t="inlineStr">
        <is>
          <t>SHREEJI TRANSLOGISTICS LTD</t>
        </is>
      </c>
      <c r="C3814" s="97" t="n">
        <v>540738</v>
      </c>
      <c r="D3814" s="96" t="inlineStr">
        <is>
          <t>Not Listed</t>
        </is>
      </c>
      <c r="E3814" s="96" t="inlineStr">
        <is>
          <t>Transportation - Logistics</t>
        </is>
      </c>
    </row>
    <row r="3815" ht="15" customHeight="1" s="109" thickBot="1">
      <c r="B3815" s="96" t="inlineStr">
        <is>
          <t>SHREENATH INVESTMENTS CO LTD</t>
        </is>
      </c>
      <c r="C3815" s="97" t="n">
        <v>503696</v>
      </c>
      <c r="D3815" s="96" t="inlineStr">
        <is>
          <t>Not Listed</t>
        </is>
      </c>
      <c r="E3815" s="96" t="inlineStr">
        <is>
          <t>Misc.Commercial Services</t>
        </is>
      </c>
    </row>
    <row r="3816" ht="15" customHeight="1" s="109" thickBot="1">
      <c r="B3816" s="96" t="inlineStr">
        <is>
          <t>SHREEOSWAL SEEDS AND CHEMICALS LTD</t>
        </is>
      </c>
      <c r="C3816" s="96" t="inlineStr">
        <is>
          <t>Not Listed</t>
        </is>
      </c>
      <c r="D3816" s="96" t="inlineStr">
        <is>
          <t>OSWALSEEDS</t>
        </is>
      </c>
      <c r="E3816" s="96" t="inlineStr">
        <is>
          <t>SME</t>
        </is>
      </c>
    </row>
    <row r="3817" ht="15" customHeight="1" s="109" thickBot="1">
      <c r="B3817" s="96" t="inlineStr">
        <is>
          <t>SHREESHAY ENGINEERS LTD</t>
        </is>
      </c>
      <c r="C3817" s="97" t="n">
        <v>541112</v>
      </c>
      <c r="D3817" s="96" t="inlineStr">
        <is>
          <t>Not Listed</t>
        </is>
      </c>
      <c r="E3817" s="96" t="inlineStr">
        <is>
          <t>Construction &amp; Engineering</t>
        </is>
      </c>
    </row>
    <row r="3818" ht="15" customHeight="1" s="109" thickBot="1">
      <c r="B3818" s="96" t="inlineStr">
        <is>
          <t>SHREEVATSAA FINANCE &amp; LEASING LTD</t>
        </is>
      </c>
      <c r="C3818" s="97" t="n">
        <v>532007</v>
      </c>
      <c r="D3818" s="96" t="inlineStr">
        <is>
          <t>Not Listed</t>
        </is>
      </c>
      <c r="E3818" s="96" t="inlineStr">
        <is>
          <t>Misc.Commercial Services</t>
        </is>
      </c>
    </row>
    <row r="3819" ht="15" customHeight="1" s="109" thickBot="1">
      <c r="B3819" s="96" t="inlineStr">
        <is>
          <t>SHRENIK LTD</t>
        </is>
      </c>
      <c r="C3819" s="96" t="inlineStr">
        <is>
          <t>Not Listed</t>
        </is>
      </c>
      <c r="D3819" s="96" t="inlineStr">
        <is>
          <t>SHRENIK</t>
        </is>
      </c>
      <c r="E3819" s="96" t="inlineStr">
        <is>
          <t>SME</t>
        </is>
      </c>
    </row>
    <row r="3820" ht="15" customHeight="1" s="109" thickBot="1">
      <c r="B3820" s="96" t="inlineStr">
        <is>
          <t>SHREYANS INDUSTRIES LTD</t>
        </is>
      </c>
      <c r="C3820" s="97" t="n">
        <v>516016</v>
      </c>
      <c r="D3820" s="96" t="inlineStr">
        <is>
          <t>SHREYANIND</t>
        </is>
      </c>
      <c r="E3820" s="96" t="inlineStr">
        <is>
          <t>Paper &amp; Paper Products</t>
        </is>
      </c>
    </row>
    <row r="3821" ht="15" customHeight="1" s="109" thickBot="1">
      <c r="B3821" s="96" t="inlineStr">
        <is>
          <t>SHREYAS INTERMEDIATES LTD</t>
        </is>
      </c>
      <c r="C3821" s="97" t="n">
        <v>526335</v>
      </c>
      <c r="D3821" s="96" t="inlineStr">
        <is>
          <t>Not Listed</t>
        </is>
      </c>
      <c r="E3821" s="96" t="inlineStr">
        <is>
          <t>Commodity Chemicals</t>
        </is>
      </c>
    </row>
    <row r="3822" ht="15" customHeight="1" s="109" thickBot="1">
      <c r="B3822" s="96" t="inlineStr">
        <is>
          <t>SHREYAS SHIPPING &amp; LOGISTICS LTD</t>
        </is>
      </c>
      <c r="C3822" s="97" t="n">
        <v>520151</v>
      </c>
      <c r="D3822" s="96" t="inlineStr">
        <is>
          <t>SHREYAS</t>
        </is>
      </c>
      <c r="E3822" s="96" t="inlineStr">
        <is>
          <t>Shipping</t>
        </is>
      </c>
    </row>
    <row r="3823" ht="15" customHeight="1" s="109" thickBot="1">
      <c r="B3823" s="96" t="inlineStr">
        <is>
          <t>SHRI BAJRANG ALLOYS LTD</t>
        </is>
      </c>
      <c r="C3823" s="97" t="n">
        <v>526981</v>
      </c>
      <c r="D3823" s="96" t="inlineStr">
        <is>
          <t>Not Listed</t>
        </is>
      </c>
      <c r="E3823" s="96" t="inlineStr">
        <is>
          <t>Iron &amp; Steel Products</t>
        </is>
      </c>
    </row>
    <row r="3824" ht="15" customHeight="1" s="109" thickBot="1">
      <c r="B3824" s="96" t="inlineStr">
        <is>
          <t>SHRI BHOLANATH CARPETS LTD</t>
        </is>
      </c>
      <c r="C3824" s="97" t="n">
        <v>530841</v>
      </c>
      <c r="D3824" s="96" t="inlineStr">
        <is>
          <t>Not Listed</t>
        </is>
      </c>
      <c r="E3824" s="96" t="inlineStr">
        <is>
          <t>Furniture-Furnishing-Paints</t>
        </is>
      </c>
    </row>
    <row r="3825" ht="15" customHeight="1" s="109" thickBot="1">
      <c r="B3825" s="96" t="inlineStr">
        <is>
          <t>SHRI DINESH MILLS LTD</t>
        </is>
      </c>
      <c r="C3825" s="97" t="n">
        <v>503804</v>
      </c>
      <c r="D3825" s="96" t="inlineStr">
        <is>
          <t>Not Listed</t>
        </is>
      </c>
      <c r="E3825" s="96" t="inlineStr">
        <is>
          <t>Textiles</t>
        </is>
      </c>
    </row>
    <row r="3826" ht="15" customHeight="1" s="109" thickBot="1">
      <c r="B3826" s="96" t="inlineStr">
        <is>
          <t>SHRI JAGDAMBA POLYMERS LTD</t>
        </is>
      </c>
      <c r="C3826" s="97" t="n">
        <v>512453</v>
      </c>
      <c r="D3826" s="96" t="inlineStr">
        <is>
          <t>Not Listed</t>
        </is>
      </c>
      <c r="E3826" s="96" t="inlineStr">
        <is>
          <t>Containers &amp; Packaging</t>
        </is>
      </c>
    </row>
    <row r="3827" ht="15" customHeight="1" s="109" thickBot="1">
      <c r="B3827" s="96" t="inlineStr">
        <is>
          <t>SHRI KALYAN HOLDINGS LTD</t>
        </is>
      </c>
      <c r="C3827" s="97" t="n">
        <v>532083</v>
      </c>
      <c r="D3827" s="96" t="inlineStr">
        <is>
          <t>Not Listed</t>
        </is>
      </c>
      <c r="E3827" s="96" t="inlineStr">
        <is>
          <t>Misc.Commercial Services</t>
        </is>
      </c>
    </row>
    <row r="3828" ht="15" customHeight="1" s="109" thickBot="1">
      <c r="B3828" s="96" t="inlineStr">
        <is>
          <t>SHRI KESHAV CEMENTS AND INFRA LTD</t>
        </is>
      </c>
      <c r="C3828" s="97" t="n">
        <v>530977</v>
      </c>
      <c r="D3828" s="96" t="inlineStr">
        <is>
          <t>Not Listed</t>
        </is>
      </c>
      <c r="E3828" s="96" t="inlineStr">
        <is>
          <t>Cement &amp; Cement Products</t>
        </is>
      </c>
    </row>
    <row r="3829" ht="15" customHeight="1" s="109" thickBot="1">
      <c r="B3829" s="96" t="inlineStr">
        <is>
          <t>SHRI KRISHNA DEVCON LTD</t>
        </is>
      </c>
      <c r="C3829" s="97" t="n">
        <v>531080</v>
      </c>
      <c r="D3829" s="96" t="inlineStr">
        <is>
          <t>Not Listed</t>
        </is>
      </c>
      <c r="E3829" s="96" t="inlineStr">
        <is>
          <t>Realty</t>
        </is>
      </c>
    </row>
    <row r="3830" ht="15" customHeight="1" s="109" thickBot="1">
      <c r="B3830" s="96" t="inlineStr">
        <is>
          <t>SHRI NIWAS LEASING AND FINANCE LTD</t>
        </is>
      </c>
      <c r="C3830" s="97" t="n">
        <v>538897</v>
      </c>
      <c r="D3830" s="96" t="inlineStr">
        <is>
          <t>Not Listed</t>
        </is>
      </c>
      <c r="E3830" s="96" t="inlineStr">
        <is>
          <t>Finance (including NBFCs)</t>
        </is>
      </c>
    </row>
    <row r="3831" ht="15" customHeight="1" s="109" thickBot="1">
      <c r="B3831" s="96" t="inlineStr">
        <is>
          <t>SHRI RAM SWITCHGEARS LTD</t>
        </is>
      </c>
      <c r="C3831" s="96" t="inlineStr">
        <is>
          <t>Not Listed</t>
        </is>
      </c>
      <c r="D3831" s="96" t="inlineStr">
        <is>
          <t>SRIRAM</t>
        </is>
      </c>
      <c r="E3831" s="96" t="inlineStr">
        <is>
          <t>SME</t>
        </is>
      </c>
    </row>
    <row r="3832" ht="15" customHeight="1" s="109" thickBot="1">
      <c r="B3832" s="96" t="inlineStr">
        <is>
          <t>SHRICON INDUSTRIES LTD</t>
        </is>
      </c>
      <c r="C3832" s="97" t="n">
        <v>508961</v>
      </c>
      <c r="D3832" s="96" t="inlineStr">
        <is>
          <t>Not Listed</t>
        </is>
      </c>
      <c r="E3832" s="96" t="inlineStr">
        <is>
          <t>Finance (including NBFCs)</t>
        </is>
      </c>
    </row>
    <row r="3833" ht="15" customHeight="1" s="109" thickBot="1">
      <c r="B3833" s="96" t="inlineStr">
        <is>
          <t>SHRIRAM ASSET MANAGEMENT CO LTD</t>
        </is>
      </c>
      <c r="C3833" s="97" t="n">
        <v>531359</v>
      </c>
      <c r="D3833" s="96" t="inlineStr">
        <is>
          <t>Not Listed</t>
        </is>
      </c>
      <c r="E3833" s="96" t="inlineStr">
        <is>
          <t>Asset Management Cos.</t>
        </is>
      </c>
    </row>
    <row r="3834" ht="15" customHeight="1" s="109" thickBot="1">
      <c r="B3834" s="96" t="inlineStr">
        <is>
          <t>SHRIRAM CITY UNION FINANCE LTD</t>
        </is>
      </c>
      <c r="C3834" s="97" t="n">
        <v>532498</v>
      </c>
      <c r="D3834" s="96" t="inlineStr">
        <is>
          <t>SHRIRAMCIT</t>
        </is>
      </c>
      <c r="E3834" s="96" t="inlineStr">
        <is>
          <t>Finance (including NBFCs)</t>
        </is>
      </c>
    </row>
    <row r="3835" ht="15" customHeight="1" s="109" thickBot="1">
      <c r="B3835" s="96" t="inlineStr">
        <is>
          <t>SHRIRAM EPC LTD</t>
        </is>
      </c>
      <c r="C3835" s="97" t="n">
        <v>532945</v>
      </c>
      <c r="D3835" s="96" t="inlineStr">
        <is>
          <t>SHRIRAMEPC</t>
        </is>
      </c>
      <c r="E3835" s="96" t="inlineStr">
        <is>
          <t>Construction &amp; Engineering</t>
        </is>
      </c>
    </row>
    <row r="3836" ht="15" customHeight="1" s="109" thickBot="1">
      <c r="B3836" s="96" t="inlineStr">
        <is>
          <t>SHRIRAM PISTONS &amp; RINGS LTD</t>
        </is>
      </c>
      <c r="C3836" s="96" t="inlineStr">
        <is>
          <t>Not Listed</t>
        </is>
      </c>
      <c r="D3836" s="96" t="inlineStr">
        <is>
          <t>SHRIPISTON</t>
        </is>
      </c>
      <c r="E3836" s="96" t="inlineStr">
        <is>
          <t>Others</t>
        </is>
      </c>
    </row>
    <row r="3837" ht="15" customHeight="1" s="109" thickBot="1">
      <c r="B3837" s="96" t="inlineStr">
        <is>
          <t>SHRIRAM TRANSPORT FINANCE COMPANY LTD</t>
        </is>
      </c>
      <c r="C3837" s="97" t="n">
        <v>511218</v>
      </c>
      <c r="D3837" s="96" t="inlineStr">
        <is>
          <t>SRTRANSFIN</t>
        </is>
      </c>
      <c r="E3837" s="96" t="inlineStr">
        <is>
          <t>Finance (including NBFCs)</t>
        </is>
      </c>
    </row>
    <row r="3838" ht="15" customHeight="1" s="109" thickBot="1">
      <c r="B3838" s="96" t="inlineStr">
        <is>
          <t>SHRISTI INFRASTRUCTURE DEVELOPMENT CORPORATION LTD</t>
        </is>
      </c>
      <c r="C3838" s="97" t="n">
        <v>511411</v>
      </c>
      <c r="D3838" s="96" t="inlineStr">
        <is>
          <t>Not Listed</t>
        </is>
      </c>
      <c r="E3838" s="96" t="inlineStr">
        <is>
          <t>Construction &amp; Engineering</t>
        </is>
      </c>
    </row>
    <row r="3839" ht="15" customHeight="1" s="109" thickBot="1">
      <c r="B3839" s="96" t="inlineStr">
        <is>
          <t>SHUBHAM POLYSPIN LTD</t>
        </is>
      </c>
      <c r="C3839" s="97" t="n">
        <v>542019</v>
      </c>
      <c r="D3839" s="96" t="inlineStr">
        <is>
          <t>Not Listed</t>
        </is>
      </c>
      <c r="E3839" s="96" t="inlineStr">
        <is>
          <t>Textiles</t>
        </is>
      </c>
    </row>
    <row r="3840" ht="15" customHeight="1" s="109" thickBot="1">
      <c r="B3840" s="96" t="inlineStr">
        <is>
          <t>SHUBHLAXMI JEWEL ART LTD</t>
        </is>
      </c>
      <c r="C3840" s="96" t="inlineStr">
        <is>
          <t>Not Listed</t>
        </is>
      </c>
      <c r="D3840" s="96" t="inlineStr">
        <is>
          <t>SHUBHLAXMI</t>
        </is>
      </c>
      <c r="E3840" s="96" t="inlineStr">
        <is>
          <t>SME</t>
        </is>
      </c>
    </row>
    <row r="3841" ht="15" customHeight="1" s="109" thickBot="1">
      <c r="B3841" s="96" t="inlineStr">
        <is>
          <t>SHUKRA BULLIONS LTD.</t>
        </is>
      </c>
      <c r="C3841" s="97" t="n">
        <v>531506</v>
      </c>
      <c r="D3841" s="96" t="inlineStr">
        <is>
          <t>SKRABUL</t>
        </is>
      </c>
      <c r="E3841" s="96" t="inlineStr">
        <is>
          <t>Misc.Commercial Services</t>
        </is>
      </c>
    </row>
    <row r="3842" ht="15" customHeight="1" s="109" thickBot="1">
      <c r="B3842" s="96" t="inlineStr">
        <is>
          <t>SHUKRA JEWELLERS LTD</t>
        </is>
      </c>
      <c r="C3842" s="97" t="n">
        <v>523790</v>
      </c>
      <c r="D3842" s="96" t="inlineStr">
        <is>
          <t>Not Listed</t>
        </is>
      </c>
      <c r="E3842" s="96" t="inlineStr">
        <is>
          <t>Other Apparels &amp; Accessories</t>
        </is>
      </c>
    </row>
    <row r="3843" ht="15" customHeight="1" s="109" thickBot="1">
      <c r="B3843" s="96" t="inlineStr">
        <is>
          <t>SHUKRA PHARMACEUTICALS LTD</t>
        </is>
      </c>
      <c r="C3843" s="97" t="n">
        <v>524632</v>
      </c>
      <c r="D3843" s="96" t="inlineStr">
        <is>
          <t>Not Listed</t>
        </is>
      </c>
      <c r="E3843" s="96" t="inlineStr">
        <is>
          <t>Pharmaceuticals</t>
        </is>
      </c>
    </row>
    <row r="3844" ht="15" customHeight="1" s="109" thickBot="1">
      <c r="B3844" s="96" t="inlineStr">
        <is>
          <t>SHYAM CENTURY FERROUS LTD</t>
        </is>
      </c>
      <c r="C3844" s="97" t="n">
        <v>539252</v>
      </c>
      <c r="D3844" s="96" t="inlineStr">
        <is>
          <t>SHYAMCENT</t>
        </is>
      </c>
      <c r="E3844" s="96" t="inlineStr">
        <is>
          <t>Iron &amp; Steel/Interm.Products</t>
        </is>
      </c>
    </row>
    <row r="3845" ht="15" customHeight="1" s="109" thickBot="1">
      <c r="B3845" s="96" t="inlineStr">
        <is>
          <t>SHYAM TELECOM LTD</t>
        </is>
      </c>
      <c r="C3845" s="97" t="n">
        <v>517411</v>
      </c>
      <c r="D3845" s="96" t="inlineStr">
        <is>
          <t>SHYAMTEL</t>
        </is>
      </c>
      <c r="E3845" s="96" t="inlineStr">
        <is>
          <t>Telecom Equipment</t>
        </is>
      </c>
    </row>
    <row r="3846" ht="15" customHeight="1" s="109" thickBot="1">
      <c r="B3846" s="96" t="inlineStr">
        <is>
          <t>SHYAMA INFOSYS LTD</t>
        </is>
      </c>
      <c r="C3846" s="97" t="n">
        <v>531219</v>
      </c>
      <c r="D3846" s="96" t="inlineStr">
        <is>
          <t>Not Listed</t>
        </is>
      </c>
      <c r="E3846" s="96" t="inlineStr">
        <is>
          <t>Pharmaceuticals</t>
        </is>
      </c>
    </row>
    <row r="3847" ht="15" customHeight="1" s="109" thickBot="1">
      <c r="B3847" s="96" t="inlineStr">
        <is>
          <t>SHYAMKAMAL INVESTMENTS LTD</t>
        </is>
      </c>
      <c r="C3847" s="97" t="n">
        <v>505515</v>
      </c>
      <c r="D3847" s="96" t="inlineStr">
        <is>
          <t>Not Listed</t>
        </is>
      </c>
      <c r="E3847" s="96" t="inlineStr">
        <is>
          <t>Other Financial Services</t>
        </is>
      </c>
    </row>
    <row r="3848" ht="15" customHeight="1" s="109" thickBot="1">
      <c r="B3848" s="96" t="inlineStr">
        <is>
          <t>SI CAPITAL &amp; FINANCIAL SERVICES LTD</t>
        </is>
      </c>
      <c r="C3848" s="97" t="n">
        <v>530907</v>
      </c>
      <c r="D3848" s="96" t="inlineStr">
        <is>
          <t>Not Listed</t>
        </is>
      </c>
      <c r="E3848" s="96" t="inlineStr">
        <is>
          <t>Misc.Commercial Services</t>
        </is>
      </c>
    </row>
    <row r="3849" ht="15" customHeight="1" s="109" thickBot="1">
      <c r="B3849" s="96" t="inlineStr">
        <is>
          <t>SIBAR AUTO PARTS LTD</t>
        </is>
      </c>
      <c r="C3849" s="97" t="n">
        <v>520141</v>
      </c>
      <c r="D3849" s="96" t="inlineStr">
        <is>
          <t>Not Listed</t>
        </is>
      </c>
      <c r="E3849" s="96" t="inlineStr">
        <is>
          <t>Auto Parts &amp; Equipment</t>
        </is>
      </c>
    </row>
    <row r="3850" ht="15" customHeight="1" s="109" thickBot="1">
      <c r="B3850" s="96" t="inlineStr">
        <is>
          <t>SICAGEN (INDIA) LTD</t>
        </is>
      </c>
      <c r="C3850" s="97" t="n">
        <v>533014</v>
      </c>
      <c r="D3850" s="96" t="inlineStr">
        <is>
          <t>SICAGEN</t>
        </is>
      </c>
      <c r="E3850" s="96" t="inlineStr">
        <is>
          <t>Comm.Trading &amp; Distribution</t>
        </is>
      </c>
    </row>
    <row r="3851" ht="15" customHeight="1" s="109" thickBot="1">
      <c r="B3851" s="96" t="inlineStr">
        <is>
          <t>SICAGEN INDIA LTD</t>
        </is>
      </c>
      <c r="C3851" s="97" t="n">
        <v>533014</v>
      </c>
      <c r="D3851" s="96" t="inlineStr">
        <is>
          <t>SICAGEN</t>
        </is>
      </c>
      <c r="E3851" s="96" t="inlineStr">
        <is>
          <t>Comm.Trading &amp; Distribution</t>
        </is>
      </c>
    </row>
    <row r="3852" ht="15" customHeight="1" s="109" thickBot="1">
      <c r="B3852" s="96" t="inlineStr">
        <is>
          <t>SICAL LOGISTICS LTD</t>
        </is>
      </c>
      <c r="C3852" s="97" t="n">
        <v>520086</v>
      </c>
      <c r="D3852" s="96" t="inlineStr">
        <is>
          <t>SICAL</t>
        </is>
      </c>
      <c r="E3852" s="96" t="inlineStr">
        <is>
          <t>Transportation - Logistics</t>
        </is>
      </c>
    </row>
    <row r="3853" ht="15" customHeight="1" s="109" thickBot="1">
      <c r="B3853" s="96" t="inlineStr">
        <is>
          <t>SIDDHARTH EDUCATION SERVICES LTD</t>
        </is>
      </c>
      <c r="C3853" s="97" t="n">
        <v>540736</v>
      </c>
      <c r="D3853" s="96" t="inlineStr">
        <is>
          <t>Not Listed</t>
        </is>
      </c>
      <c r="E3853" s="96" t="inlineStr">
        <is>
          <t>Education</t>
        </is>
      </c>
    </row>
    <row r="3854" ht="15" customHeight="1" s="109" thickBot="1">
      <c r="B3854" s="96" t="inlineStr">
        <is>
          <t>SIDH AUTOMOBILES LTD</t>
        </is>
      </c>
      <c r="C3854" s="97" t="n">
        <v>539983</v>
      </c>
      <c r="D3854" s="96" t="inlineStr">
        <is>
          <t>Not Listed</t>
        </is>
      </c>
      <c r="E3854" s="96" t="inlineStr">
        <is>
          <t>Other Financial Services</t>
        </is>
      </c>
    </row>
    <row r="3855" ht="15" customHeight="1" s="109" thickBot="1">
      <c r="B3855" s="96" t="inlineStr">
        <is>
          <t>SIEL FINANCIAL SERVICES LTD</t>
        </is>
      </c>
      <c r="C3855" s="97" t="n">
        <v>532217</v>
      </c>
      <c r="D3855" s="96" t="inlineStr">
        <is>
          <t>Not Listed</t>
        </is>
      </c>
      <c r="E3855" s="96" t="inlineStr">
        <is>
          <t>Other Financial Services</t>
        </is>
      </c>
    </row>
    <row r="3856" ht="15" customHeight="1" s="109" thickBot="1">
      <c r="B3856" s="96" t="inlineStr">
        <is>
          <t>SIEMENS LTD</t>
        </is>
      </c>
      <c r="C3856" s="97" t="n">
        <v>500550</v>
      </c>
      <c r="D3856" s="96" t="inlineStr">
        <is>
          <t>SIEMENS</t>
        </is>
      </c>
      <c r="E3856" s="96" t="inlineStr">
        <is>
          <t>Heavy Electrical Equipment</t>
        </is>
      </c>
    </row>
    <row r="3857" ht="15" customHeight="1" s="109" thickBot="1">
      <c r="B3857" s="96" t="inlineStr">
        <is>
          <t>SIGNET INDUSTRIES LTD</t>
        </is>
      </c>
      <c r="C3857" s="97" t="n">
        <v>512131</v>
      </c>
      <c r="D3857" s="96" t="inlineStr">
        <is>
          <t>SIGIND</t>
        </is>
      </c>
      <c r="E3857" s="96" t="inlineStr">
        <is>
          <t>Plastic Products</t>
        </is>
      </c>
    </row>
    <row r="3858" ht="15" customHeight="1" s="109" thickBot="1">
      <c r="B3858" s="96" t="inlineStr">
        <is>
          <t>SIKA INTERPLANT SYSTEMS LTD</t>
        </is>
      </c>
      <c r="C3858" s="97" t="n">
        <v>523606</v>
      </c>
      <c r="D3858" s="96" t="inlineStr">
        <is>
          <t>Not Listed</t>
        </is>
      </c>
      <c r="E3858" s="96" t="inlineStr">
        <is>
          <t>Defence</t>
        </is>
      </c>
    </row>
    <row r="3859" ht="15" customHeight="1" s="109" thickBot="1">
      <c r="B3859" s="96" t="inlineStr">
        <is>
          <t>SIKKO INDUSTRIES LTD</t>
        </is>
      </c>
      <c r="C3859" s="96" t="inlineStr">
        <is>
          <t>Not Listed</t>
        </is>
      </c>
      <c r="D3859" s="96" t="inlineStr">
        <is>
          <t>SIKKO</t>
        </is>
      </c>
      <c r="E3859" s="96" t="inlineStr">
        <is>
          <t>SME</t>
        </is>
      </c>
    </row>
    <row r="3860" ht="15" customHeight="1" s="109" thickBot="1">
      <c r="B3860" s="96" t="inlineStr">
        <is>
          <t>SIKOZY REALTORS LTD</t>
        </is>
      </c>
      <c r="C3860" s="97" t="n">
        <v>524642</v>
      </c>
      <c r="D3860" s="96" t="inlineStr">
        <is>
          <t>Not Listed</t>
        </is>
      </c>
      <c r="E3860" s="96" t="inlineStr">
        <is>
          <t>Realty</t>
        </is>
      </c>
    </row>
    <row r="3861" ht="15" customHeight="1" s="109" thickBot="1">
      <c r="B3861" s="96" t="inlineStr">
        <is>
          <t>SIL INVESTMENTS LTD</t>
        </is>
      </c>
      <c r="C3861" s="97" t="n">
        <v>521194</v>
      </c>
      <c r="D3861" s="96" t="inlineStr">
        <is>
          <t>SILINV</t>
        </is>
      </c>
      <c r="E3861" s="96" t="inlineStr">
        <is>
          <t>Other Financial Services</t>
        </is>
      </c>
    </row>
    <row r="3862" ht="15" customHeight="1" s="109" thickBot="1">
      <c r="B3862" s="96" t="inlineStr">
        <is>
          <t>SILGO RETAIL LTD</t>
        </is>
      </c>
      <c r="C3862" s="96" t="inlineStr">
        <is>
          <t>Not Listed</t>
        </is>
      </c>
      <c r="D3862" s="96" t="inlineStr">
        <is>
          <t>SILGO</t>
        </is>
      </c>
      <c r="E3862" s="96" t="inlineStr">
        <is>
          <t>SME</t>
        </is>
      </c>
    </row>
    <row r="3863" ht="15" customHeight="1" s="109" thickBot="1">
      <c r="B3863" s="96" t="inlineStr">
        <is>
          <t>SILLY MONKS ENTERTAINMENT LTD</t>
        </is>
      </c>
      <c r="C3863" s="96" t="inlineStr">
        <is>
          <t>Not Listed</t>
        </is>
      </c>
      <c r="D3863" s="96" t="inlineStr">
        <is>
          <t>SILLYMONKS</t>
        </is>
      </c>
      <c r="E3863" s="96" t="inlineStr">
        <is>
          <t>SME</t>
        </is>
      </c>
    </row>
    <row r="3864" ht="15" customHeight="1" s="109" thickBot="1">
      <c r="B3864" s="96" t="inlineStr">
        <is>
          <t>SILVER OAK (INDIA) LTD</t>
        </is>
      </c>
      <c r="C3864" s="97" t="n">
        <v>531635</v>
      </c>
      <c r="D3864" s="96" t="inlineStr">
        <is>
          <t>Not Listed</t>
        </is>
      </c>
      <c r="E3864" s="96" t="inlineStr">
        <is>
          <t>Breweries &amp; Distilleries</t>
        </is>
      </c>
    </row>
    <row r="3865" ht="15" customHeight="1" s="109" thickBot="1">
      <c r="B3865" s="96" t="inlineStr">
        <is>
          <t>SILVER OAK COMMERCIAL LTD</t>
        </is>
      </c>
      <c r="C3865" s="97" t="n">
        <v>512197</v>
      </c>
      <c r="D3865" s="96" t="inlineStr">
        <is>
          <t>Not Listed</t>
        </is>
      </c>
      <c r="E3865" s="96" t="inlineStr">
        <is>
          <t>Finance (including NBFCs)</t>
        </is>
      </c>
    </row>
    <row r="3866" ht="15" customHeight="1" s="109" thickBot="1">
      <c r="B3866" s="96" t="inlineStr">
        <is>
          <t>SILVER OAK INDIA LTD</t>
        </is>
      </c>
      <c r="C3866" s="97" t="n">
        <v>531635</v>
      </c>
      <c r="D3866" s="96" t="inlineStr">
        <is>
          <t>Not Listed</t>
        </is>
      </c>
      <c r="E3866" s="96" t="inlineStr">
        <is>
          <t>Breweries &amp; Distilleries</t>
        </is>
      </c>
    </row>
    <row r="3867" ht="15" customHeight="1" s="109" thickBot="1">
      <c r="B3867" s="96" t="inlineStr">
        <is>
          <t>SILVER TOUCH TECHNOLOGIES LTD</t>
        </is>
      </c>
      <c r="C3867" s="96" t="inlineStr">
        <is>
          <t>Not Listed</t>
        </is>
      </c>
      <c r="D3867" s="96" t="inlineStr">
        <is>
          <t>SILVERTUC</t>
        </is>
      </c>
      <c r="E3867" s="96" t="inlineStr">
        <is>
          <t>SME</t>
        </is>
      </c>
    </row>
    <row r="3868" ht="15" customHeight="1" s="109" thickBot="1">
      <c r="B3868" s="96" t="inlineStr">
        <is>
          <t>SILVERPOINT INFRATECH LTD</t>
        </is>
      </c>
      <c r="C3868" s="97" t="n">
        <v>536073</v>
      </c>
      <c r="D3868" s="96" t="inlineStr">
        <is>
          <t>Not Listed</t>
        </is>
      </c>
      <c r="E3868" s="96" t="inlineStr">
        <is>
          <t>Construction &amp; Engineering</t>
        </is>
      </c>
    </row>
    <row r="3869" ht="15" customHeight="1" s="109" thickBot="1">
      <c r="B3869" s="96" t="inlineStr">
        <is>
          <t>SIMBHAOLI SUGARS LTD</t>
        </is>
      </c>
      <c r="C3869" s="97" t="n">
        <v>539742</v>
      </c>
      <c r="D3869" s="96" t="inlineStr">
        <is>
          <t>SIMBHALS</t>
        </is>
      </c>
      <c r="E3869" s="96" t="inlineStr">
        <is>
          <t>Sugar</t>
        </is>
      </c>
    </row>
    <row r="3870" ht="15" customHeight="1" s="109" thickBot="1">
      <c r="B3870" s="96" t="inlineStr">
        <is>
          <t>SIMMONDS MARSHALL LTD</t>
        </is>
      </c>
      <c r="C3870" s="97" t="n">
        <v>507998</v>
      </c>
      <c r="D3870" s="96" t="inlineStr">
        <is>
          <t>Not Listed</t>
        </is>
      </c>
      <c r="E3870" s="96" t="inlineStr">
        <is>
          <t>Auto Parts &amp; Equipment</t>
        </is>
      </c>
    </row>
    <row r="3871" ht="15" customHeight="1" s="109" thickBot="1">
      <c r="B3871" s="96" t="inlineStr">
        <is>
          <t>SIMPLEX CASTINGS LTD</t>
        </is>
      </c>
      <c r="C3871" s="97" t="n">
        <v>513472</v>
      </c>
      <c r="D3871" s="96" t="inlineStr">
        <is>
          <t>Not Listed</t>
        </is>
      </c>
      <c r="E3871" s="96" t="inlineStr">
        <is>
          <t>Other Industrial Products</t>
        </is>
      </c>
    </row>
    <row r="3872" ht="15" customHeight="1" s="109" thickBot="1">
      <c r="B3872" s="96" t="inlineStr">
        <is>
          <t>SIMPLEX INFRASTRUCTURES LTD</t>
        </is>
      </c>
      <c r="C3872" s="97" t="n">
        <v>523838</v>
      </c>
      <c r="D3872" s="96" t="inlineStr">
        <is>
          <t>SIMPLEXINF</t>
        </is>
      </c>
      <c r="E3872" s="96" t="inlineStr">
        <is>
          <t>Construction &amp; Engineering</t>
        </is>
      </c>
    </row>
    <row r="3873" ht="15" customHeight="1" s="109" thickBot="1">
      <c r="B3873" s="96" t="inlineStr">
        <is>
          <t>SIMPLEX MILLS COMPANY LTD</t>
        </is>
      </c>
      <c r="C3873" s="97" t="n">
        <v>533018</v>
      </c>
      <c r="D3873" s="96" t="inlineStr">
        <is>
          <t>Not Listed</t>
        </is>
      </c>
      <c r="E3873" s="96" t="inlineStr">
        <is>
          <t>Textiles</t>
        </is>
      </c>
    </row>
    <row r="3874" ht="15" customHeight="1" s="109" thickBot="1">
      <c r="B3874" s="96" t="inlineStr">
        <is>
          <t>SIMPLEX PAPERS LTD</t>
        </is>
      </c>
      <c r="C3874" s="97" t="n">
        <v>533019</v>
      </c>
      <c r="D3874" s="96" t="inlineStr">
        <is>
          <t>Not Listed</t>
        </is>
      </c>
      <c r="E3874" s="96" t="inlineStr">
        <is>
          <t>Paper &amp; Paper Products</t>
        </is>
      </c>
    </row>
    <row r="3875" ht="15" customHeight="1" s="109" thickBot="1">
      <c r="B3875" s="96" t="inlineStr">
        <is>
          <t>SIMPLEX REALTY LTD</t>
        </is>
      </c>
      <c r="C3875" s="97" t="n">
        <v>503229</v>
      </c>
      <c r="D3875" s="96" t="inlineStr">
        <is>
          <t>Not Listed</t>
        </is>
      </c>
      <c r="E3875" s="96" t="inlineStr">
        <is>
          <t>Realty</t>
        </is>
      </c>
    </row>
    <row r="3876" ht="15" customHeight="1" s="109" thickBot="1">
      <c r="B3876" s="96" t="inlineStr">
        <is>
          <t>SIMRAN FARMS LTD</t>
        </is>
      </c>
      <c r="C3876" s="97" t="n">
        <v>519566</v>
      </c>
      <c r="D3876" s="96" t="inlineStr">
        <is>
          <t>Not Listed</t>
        </is>
      </c>
      <c r="E3876" s="96" t="inlineStr">
        <is>
          <t>Packaged Foods</t>
        </is>
      </c>
    </row>
    <row r="3877" ht="15" customHeight="1" s="109" thickBot="1">
      <c r="B3877" s="96" t="inlineStr">
        <is>
          <t>SINCLAIRS HOTELS LTD</t>
        </is>
      </c>
      <c r="C3877" s="97" t="n">
        <v>523023</v>
      </c>
      <c r="D3877" s="96" t="inlineStr">
        <is>
          <t>Not Listed</t>
        </is>
      </c>
      <c r="E3877" s="96" t="inlineStr">
        <is>
          <t>Hotels</t>
        </is>
      </c>
    </row>
    <row r="3878" ht="15" customHeight="1" s="109" thickBot="1">
      <c r="B3878" s="96" t="inlineStr">
        <is>
          <t>SINDHU TRADE LINKS LTD</t>
        </is>
      </c>
      <c r="C3878" s="97" t="n">
        <v>532029</v>
      </c>
      <c r="D3878" s="96" t="inlineStr">
        <is>
          <t>Not Listed</t>
        </is>
      </c>
      <c r="E3878" s="96" t="inlineStr">
        <is>
          <t>Misc.Commercial Services</t>
        </is>
      </c>
    </row>
    <row r="3879" ht="15" customHeight="1" s="109" thickBot="1">
      <c r="B3879" s="96" t="inlineStr">
        <is>
          <t>SINDU VALLEY TECHNOLOGIES LTD</t>
        </is>
      </c>
      <c r="C3879" s="97" t="n">
        <v>505504</v>
      </c>
      <c r="D3879" s="96" t="inlineStr">
        <is>
          <t>Not Listed</t>
        </is>
      </c>
      <c r="E3879" s="96" t="inlineStr">
        <is>
          <t>IT Consulting &amp; Software</t>
        </is>
      </c>
    </row>
    <row r="3880" ht="15" customHeight="1" s="109" thickBot="1">
      <c r="B3880" s="96" t="inlineStr">
        <is>
          <t>SINGER (INDIA) LTD</t>
        </is>
      </c>
      <c r="C3880" s="97" t="n">
        <v>505729</v>
      </c>
      <c r="D3880" s="96" t="inlineStr">
        <is>
          <t>Not Listed</t>
        </is>
      </c>
      <c r="E3880" s="96" t="inlineStr">
        <is>
          <t>Industrial Machinery</t>
        </is>
      </c>
    </row>
    <row r="3881" ht="15" customHeight="1" s="109" thickBot="1">
      <c r="B3881" s="96" t="inlineStr">
        <is>
          <t>SINGER INDIA LTD</t>
        </is>
      </c>
      <c r="C3881" s="97" t="n">
        <v>505729</v>
      </c>
      <c r="D3881" s="96" t="inlineStr">
        <is>
          <t>Not Listed</t>
        </is>
      </c>
      <c r="E3881" s="96" t="inlineStr">
        <is>
          <t>Industrial Machinery</t>
        </is>
      </c>
    </row>
    <row r="3882" ht="15" customHeight="1" s="109" thickBot="1">
      <c r="B3882" s="96" t="inlineStr">
        <is>
          <t>SINNAR BIDI UDYOG LTD</t>
        </is>
      </c>
      <c r="C3882" s="97" t="n">
        <v>509887</v>
      </c>
      <c r="D3882" s="96" t="inlineStr">
        <is>
          <t>Not Listed</t>
        </is>
      </c>
      <c r="E3882" s="96" t="inlineStr">
        <is>
          <t>Cigarettes-Tobacco Products</t>
        </is>
      </c>
    </row>
    <row r="3883" ht="15" customHeight="1" s="109" thickBot="1">
      <c r="B3883" s="96" t="inlineStr">
        <is>
          <t>SINNER ENERGY (INDIA) LTD</t>
        </is>
      </c>
      <c r="C3883" s="97" t="n">
        <v>539410</v>
      </c>
      <c r="D3883" s="96" t="inlineStr">
        <is>
          <t>Not Listed</t>
        </is>
      </c>
      <c r="E3883" s="96" t="inlineStr">
        <is>
          <t>Comm.Trading &amp; Distribution</t>
        </is>
      </c>
    </row>
    <row r="3884" ht="15" customHeight="1" s="109" thickBot="1">
      <c r="B3884" s="96" t="inlineStr">
        <is>
          <t>SINNER ENERGY INDIA LTD</t>
        </is>
      </c>
      <c r="C3884" s="97" t="n">
        <v>539410</v>
      </c>
      <c r="D3884" s="96" t="inlineStr">
        <is>
          <t>Not Listed</t>
        </is>
      </c>
      <c r="E3884" s="96" t="inlineStr">
        <is>
          <t>Comm.Trading &amp; Distribution</t>
        </is>
      </c>
    </row>
    <row r="3885" ht="15" customHeight="1" s="109" thickBot="1">
      <c r="B3885" s="96" t="inlineStr">
        <is>
          <t>SINTERCOM (INDIA) LTD</t>
        </is>
      </c>
      <c r="C3885" s="96" t="inlineStr">
        <is>
          <t>Not Listed</t>
        </is>
      </c>
      <c r="D3885" s="96" t="inlineStr">
        <is>
          <t>SINTERCOM</t>
        </is>
      </c>
      <c r="E3885" s="96" t="inlineStr">
        <is>
          <t>SME</t>
        </is>
      </c>
    </row>
    <row r="3886" ht="15" customHeight="1" s="109" thickBot="1">
      <c r="B3886" s="96" t="inlineStr">
        <is>
          <t>SINTERCOM INDIA LTD</t>
        </is>
      </c>
      <c r="C3886" s="96" t="inlineStr">
        <is>
          <t>Not Listed</t>
        </is>
      </c>
      <c r="D3886" s="96" t="inlineStr">
        <is>
          <t>SINTERCOM</t>
        </is>
      </c>
      <c r="E3886" s="96" t="inlineStr">
        <is>
          <t>SME</t>
        </is>
      </c>
    </row>
    <row r="3887" ht="15" customHeight="1" s="109" thickBot="1">
      <c r="B3887" s="96" t="inlineStr">
        <is>
          <t>SINTEX INDUSTRIES LTD</t>
        </is>
      </c>
      <c r="C3887" s="97" t="n">
        <v>502742</v>
      </c>
      <c r="D3887" s="96" t="inlineStr">
        <is>
          <t>SINTEX</t>
        </is>
      </c>
      <c r="E3887" s="96" t="inlineStr">
        <is>
          <t>Textiles</t>
        </is>
      </c>
    </row>
    <row r="3888" ht="15" customHeight="1" s="109" thickBot="1">
      <c r="B3888" s="96" t="inlineStr">
        <is>
          <t>SINTEX PLASTICS TECHNOLOGY LTD</t>
        </is>
      </c>
      <c r="C3888" s="97" t="n">
        <v>540653</v>
      </c>
      <c r="D3888" s="96" t="inlineStr">
        <is>
          <t>SPTL</t>
        </is>
      </c>
      <c r="E3888" s="96" t="inlineStr">
        <is>
          <t>Plastic Products</t>
        </is>
      </c>
    </row>
    <row r="3889" ht="15" customHeight="1" s="109" thickBot="1">
      <c r="B3889" s="96" t="inlineStr">
        <is>
          <t>SIP INDUSTRIES LTD</t>
        </is>
      </c>
      <c r="C3889" s="97" t="n">
        <v>523164</v>
      </c>
      <c r="D3889" s="96" t="inlineStr">
        <is>
          <t>Not Listed</t>
        </is>
      </c>
      <c r="E3889" s="96" t="inlineStr">
        <is>
          <t>Other Agricultural Products</t>
        </is>
      </c>
    </row>
    <row r="3890" ht="15" customHeight="1" s="109" thickBot="1">
      <c r="B3890" s="96" t="inlineStr">
        <is>
          <t>SIR SHADI LAL ENTERPRISES LTD</t>
        </is>
      </c>
      <c r="C3890" s="97" t="n">
        <v>532879</v>
      </c>
      <c r="D3890" s="96" t="inlineStr">
        <is>
          <t>Not Listed</t>
        </is>
      </c>
      <c r="E3890" s="96" t="inlineStr">
        <is>
          <t>Sugar</t>
        </is>
      </c>
    </row>
    <row r="3891" ht="15" customHeight="1" s="109" thickBot="1">
      <c r="B3891" s="96" t="inlineStr">
        <is>
          <t>SIRCA PAINTS (INDIA) LTD</t>
        </is>
      </c>
      <c r="C3891" s="96" t="inlineStr">
        <is>
          <t>Not Listed</t>
        </is>
      </c>
      <c r="D3891" s="96" t="inlineStr">
        <is>
          <t>SIRCA</t>
        </is>
      </c>
      <c r="E3891" s="96" t="inlineStr">
        <is>
          <t>SME</t>
        </is>
      </c>
    </row>
    <row r="3892" ht="15" customHeight="1" s="109" thickBot="1">
      <c r="B3892" s="96" t="inlineStr">
        <is>
          <t>SIRCA PAINTS INDIA LTD</t>
        </is>
      </c>
      <c r="C3892" s="96" t="inlineStr">
        <is>
          <t>Not Listed</t>
        </is>
      </c>
      <c r="D3892" s="96" t="inlineStr">
        <is>
          <t>SIRCA</t>
        </is>
      </c>
      <c r="E3892" s="96" t="inlineStr">
        <is>
          <t>SME</t>
        </is>
      </c>
    </row>
    <row r="3893" ht="15" customHeight="1" s="109" thickBot="1">
      <c r="B3893" s="96" t="inlineStr">
        <is>
          <t>SIROHIA &amp; SONS LTD</t>
        </is>
      </c>
      <c r="C3893" s="97" t="n">
        <v>538667</v>
      </c>
      <c r="D3893" s="96" t="inlineStr">
        <is>
          <t>Not Listed</t>
        </is>
      </c>
      <c r="E3893" s="96" t="inlineStr">
        <is>
          <t>Comm.Trading &amp; Distribution</t>
        </is>
      </c>
    </row>
    <row r="3894" ht="15" customHeight="1" s="109" thickBot="1">
      <c r="B3894" s="96" t="inlineStr">
        <is>
          <t>SITA ENTERPRISES LTD</t>
        </is>
      </c>
      <c r="C3894" s="97" t="n">
        <v>512589</v>
      </c>
      <c r="D3894" s="96" t="inlineStr">
        <is>
          <t>Not Listed</t>
        </is>
      </c>
      <c r="E3894" s="96" t="inlineStr">
        <is>
          <t>Comm.Trading &amp; Distribution</t>
        </is>
      </c>
    </row>
    <row r="3895" ht="15" customHeight="1" s="109" thickBot="1">
      <c r="B3895" s="96" t="inlineStr">
        <is>
          <t>SITA SHREE FOOD PRODUCTS LTD</t>
        </is>
      </c>
      <c r="C3895" s="97" t="n">
        <v>532961</v>
      </c>
      <c r="D3895" s="96" t="inlineStr">
        <is>
          <t>SITASHREE</t>
        </is>
      </c>
      <c r="E3895" s="96" t="inlineStr">
        <is>
          <t>Other Food Products</t>
        </is>
      </c>
    </row>
    <row r="3896" ht="15" customHeight="1" s="109" thickBot="1">
      <c r="B3896" s="96" t="inlineStr">
        <is>
          <t>SITI NETWORKS LTD</t>
        </is>
      </c>
      <c r="C3896" s="97" t="n">
        <v>532795</v>
      </c>
      <c r="D3896" s="96" t="inlineStr">
        <is>
          <t>SITINET</t>
        </is>
      </c>
      <c r="E3896" s="96" t="inlineStr">
        <is>
          <t>Broadcasting &amp; Cable TV</t>
        </is>
      </c>
    </row>
    <row r="3897" ht="15" customHeight="1" s="109" thickBot="1">
      <c r="B3897" s="96" t="inlineStr">
        <is>
          <t>SIYARAM SILK MILLS LTD</t>
        </is>
      </c>
      <c r="C3897" s="97" t="n">
        <v>503811</v>
      </c>
      <c r="D3897" s="96" t="inlineStr">
        <is>
          <t>SIYSIL</t>
        </is>
      </c>
      <c r="E3897" s="96" t="inlineStr">
        <is>
          <t>Textiles</t>
        </is>
      </c>
    </row>
    <row r="3898" ht="15" customHeight="1" s="109" thickBot="1">
      <c r="B3898" s="96" t="inlineStr">
        <is>
          <t>SJ CORPORATION LTD</t>
        </is>
      </c>
      <c r="C3898" s="97" t="n">
        <v>504398</v>
      </c>
      <c r="D3898" s="96" t="inlineStr">
        <is>
          <t>Not Listed</t>
        </is>
      </c>
      <c r="E3898" s="96" t="inlineStr">
        <is>
          <t>Other Apparels &amp; Accessories</t>
        </is>
      </c>
    </row>
    <row r="3899" ht="15" customHeight="1" s="109" thickBot="1">
      <c r="B3899" s="96" t="inlineStr">
        <is>
          <t>SJVN LTD</t>
        </is>
      </c>
      <c r="C3899" s="97" t="n">
        <v>533206</v>
      </c>
      <c r="D3899" s="96" t="inlineStr">
        <is>
          <t>SJVN</t>
        </is>
      </c>
      <c r="E3899" s="96" t="inlineStr">
        <is>
          <t>Electric Utilities</t>
        </is>
      </c>
    </row>
    <row r="3900" ht="15" customHeight="1" s="109" thickBot="1">
      <c r="B3900" s="96" t="inlineStr">
        <is>
          <t>SKF (INDIA) LTD</t>
        </is>
      </c>
      <c r="C3900" s="97" t="n">
        <v>500472</v>
      </c>
      <c r="D3900" s="96" t="inlineStr">
        <is>
          <t>SKF(INDIA)</t>
        </is>
      </c>
      <c r="E3900" s="96" t="inlineStr">
        <is>
          <t>Other Industrial Goods</t>
        </is>
      </c>
    </row>
    <row r="3901" ht="15" customHeight="1" s="109" thickBot="1">
      <c r="B3901" s="96" t="inlineStr">
        <is>
          <t>SKF INDIA LTD</t>
        </is>
      </c>
      <c r="C3901" s="97" t="n">
        <v>500472</v>
      </c>
      <c r="D3901" s="96" t="inlineStr">
        <is>
          <t>SKFINDIA</t>
        </is>
      </c>
      <c r="E3901" s="96" t="inlineStr">
        <is>
          <t>Other Industrial Goods</t>
        </is>
      </c>
    </row>
    <row r="3902" ht="15" customHeight="1" s="109" thickBot="1">
      <c r="B3902" s="96" t="inlineStr">
        <is>
          <t>SKIL INFRASTRUCTURE LTD</t>
        </is>
      </c>
      <c r="C3902" s="97" t="n">
        <v>539861</v>
      </c>
      <c r="D3902" s="96" t="inlineStr">
        <is>
          <t>SKIL</t>
        </is>
      </c>
      <c r="E3902" s="96" t="inlineStr">
        <is>
          <t>Construction &amp; Engineering</t>
        </is>
      </c>
    </row>
    <row r="3903" ht="15" customHeight="1" s="109" thickBot="1">
      <c r="B3903" s="96" t="inlineStr">
        <is>
          <t>SKIPPER LTD</t>
        </is>
      </c>
      <c r="C3903" s="97" t="n">
        <v>538562</v>
      </c>
      <c r="D3903" s="96" t="inlineStr">
        <is>
          <t>SKIPPER</t>
        </is>
      </c>
      <c r="E3903" s="96" t="inlineStr">
        <is>
          <t>Construction &amp; Engineering</t>
        </is>
      </c>
    </row>
    <row r="3904" ht="15" customHeight="1" s="109" thickBot="1">
      <c r="B3904" s="96" t="inlineStr">
        <is>
          <t>SKM EGG PRODUCTS EXPORT (INDIA) LTD</t>
        </is>
      </c>
      <c r="C3904" s="97" t="n">
        <v>532143</v>
      </c>
      <c r="D3904" s="96" t="inlineStr">
        <is>
          <t>SKMEGGPROD</t>
        </is>
      </c>
      <c r="E3904" s="96" t="inlineStr">
        <is>
          <t>Other Food Products</t>
        </is>
      </c>
    </row>
    <row r="3905" ht="15" customHeight="1" s="109" thickBot="1">
      <c r="B3905" s="96" t="inlineStr">
        <is>
          <t>SKM EGG PRODUCTS EXPORT INDIA LTD</t>
        </is>
      </c>
      <c r="C3905" s="97" t="n">
        <v>532143</v>
      </c>
      <c r="D3905" s="96" t="inlineStr">
        <is>
          <t>SKMEGGPROD</t>
        </is>
      </c>
      <c r="E3905" s="96" t="inlineStr">
        <is>
          <t>Other Food Products</t>
        </is>
      </c>
    </row>
    <row r="3906" ht="15" customHeight="1" s="109" thickBot="1">
      <c r="B3906" s="96" t="inlineStr">
        <is>
          <t>SKP SECURITIES LTD</t>
        </is>
      </c>
      <c r="C3906" s="97" t="n">
        <v>531169</v>
      </c>
      <c r="D3906" s="96" t="inlineStr">
        <is>
          <t>Not Listed</t>
        </is>
      </c>
      <c r="E3906" s="96" t="inlineStr">
        <is>
          <t>Finance (including NBFCs)</t>
        </is>
      </c>
    </row>
    <row r="3907" ht="15" customHeight="1" s="109" thickBot="1">
      <c r="B3907" s="96" t="inlineStr">
        <is>
          <t>SKS TEXTILES LTD</t>
        </is>
      </c>
      <c r="C3907" s="96" t="inlineStr">
        <is>
          <t>Not Listed</t>
        </is>
      </c>
      <c r="D3907" s="96" t="inlineStr">
        <is>
          <t>SKSTEXTILE</t>
        </is>
      </c>
      <c r="E3907" s="96" t="inlineStr">
        <is>
          <t>SME</t>
        </is>
      </c>
    </row>
    <row r="3908" ht="15" customHeight="1" s="109" thickBot="1">
      <c r="B3908" s="96" t="inlineStr">
        <is>
          <t>SKY GOLD LTD</t>
        </is>
      </c>
      <c r="C3908" s="97" t="n">
        <v>541967</v>
      </c>
      <c r="D3908" s="96" t="inlineStr">
        <is>
          <t>Not Listed</t>
        </is>
      </c>
      <c r="E3908" s="96" t="inlineStr">
        <is>
          <t>Other Apparels &amp; Accessories</t>
        </is>
      </c>
    </row>
    <row r="3909" ht="15" customHeight="1" s="109" thickBot="1">
      <c r="B3909" s="96" t="inlineStr">
        <is>
          <t>SKY INDUSTRIES LTD</t>
        </is>
      </c>
      <c r="C3909" s="97" t="n">
        <v>526479</v>
      </c>
      <c r="D3909" s="96" t="inlineStr">
        <is>
          <t>Not Listed</t>
        </is>
      </c>
      <c r="E3909" s="96" t="inlineStr">
        <is>
          <t>Textiles</t>
        </is>
      </c>
    </row>
    <row r="3910" ht="15" customHeight="1" s="109" thickBot="1">
      <c r="B3910" s="96" t="inlineStr">
        <is>
          <t>SKYLINE MILLARS LTD</t>
        </is>
      </c>
      <c r="C3910" s="97" t="n">
        <v>505650</v>
      </c>
      <c r="D3910" s="96" t="inlineStr">
        <is>
          <t>Not Listed</t>
        </is>
      </c>
      <c r="E3910" s="96" t="inlineStr">
        <is>
          <t>Commercial Vehicles</t>
        </is>
      </c>
    </row>
    <row r="3911" ht="15" customHeight="1" s="109" thickBot="1">
      <c r="B3911" s="96" t="inlineStr">
        <is>
          <t>SKYLINE VENTURES (INDIA) LTD</t>
        </is>
      </c>
      <c r="C3911" s="97" t="n">
        <v>538919</v>
      </c>
      <c r="D3911" s="96" t="inlineStr">
        <is>
          <t>Not Listed</t>
        </is>
      </c>
      <c r="E3911" s="96" t="inlineStr">
        <is>
          <t>Realty</t>
        </is>
      </c>
    </row>
    <row r="3912" ht="15" customHeight="1" s="109" thickBot="1">
      <c r="B3912" s="96" t="inlineStr">
        <is>
          <t>SKYLINE VENTURES INDIA LTD</t>
        </is>
      </c>
      <c r="C3912" s="97" t="n">
        <v>538919</v>
      </c>
      <c r="D3912" s="96" t="inlineStr">
        <is>
          <t>Not Listed</t>
        </is>
      </c>
      <c r="E3912" s="96" t="inlineStr">
        <is>
          <t>Realty</t>
        </is>
      </c>
    </row>
    <row r="3913" ht="15" customHeight="1" s="109" thickBot="1">
      <c r="B3913" s="96" t="inlineStr">
        <is>
          <t>SMART FINSEC LTD</t>
        </is>
      </c>
      <c r="C3913" s="97" t="n">
        <v>539494</v>
      </c>
      <c r="D3913" s="96" t="inlineStr">
        <is>
          <t>Not Listed</t>
        </is>
      </c>
      <c r="E3913" s="96" t="inlineStr">
        <is>
          <t>Finance (including NBFCs)</t>
        </is>
      </c>
    </row>
    <row r="3914" ht="15" customHeight="1" s="109" thickBot="1">
      <c r="B3914" s="96" t="inlineStr">
        <is>
          <t>SMARTLINK HOLDINGS LTD</t>
        </is>
      </c>
      <c r="C3914" s="97" t="n">
        <v>532419</v>
      </c>
      <c r="D3914" s="96" t="inlineStr">
        <is>
          <t>SMARTLINK</t>
        </is>
      </c>
      <c r="E3914" s="96" t="inlineStr">
        <is>
          <t>IT Networking Equipment</t>
        </is>
      </c>
    </row>
    <row r="3915" ht="15" customHeight="1" s="109" thickBot="1">
      <c r="B3915" s="96" t="inlineStr">
        <is>
          <t>SMIFS CAPITAL MARKETS LTD</t>
        </is>
      </c>
      <c r="C3915" s="97" t="n">
        <v>508905</v>
      </c>
      <c r="D3915" s="96" t="inlineStr">
        <is>
          <t>Not Listed</t>
        </is>
      </c>
      <c r="E3915" s="96" t="inlineStr">
        <is>
          <t>Other Financial Services</t>
        </is>
      </c>
    </row>
    <row r="3916" ht="15" customHeight="1" s="109" thickBot="1">
      <c r="B3916" s="96" t="inlineStr">
        <is>
          <t>SML ISUZU LTD</t>
        </is>
      </c>
      <c r="C3916" s="97" t="n">
        <v>505192</v>
      </c>
      <c r="D3916" s="96" t="inlineStr">
        <is>
          <t>SMLISUZU</t>
        </is>
      </c>
      <c r="E3916" s="96" t="inlineStr">
        <is>
          <t>Commercial Vehicles</t>
        </is>
      </c>
    </row>
    <row r="3917" ht="15" customHeight="1" s="109" thickBot="1">
      <c r="B3917" s="96" t="inlineStr">
        <is>
          <t>SMRUTHI ORGANICS LTD</t>
        </is>
      </c>
      <c r="C3917" s="97" t="n">
        <v>540686</v>
      </c>
      <c r="D3917" s="96" t="inlineStr">
        <is>
          <t>Not Listed</t>
        </is>
      </c>
      <c r="E3917" s="96" t="inlineStr">
        <is>
          <t>Pharmaceuticals</t>
        </is>
      </c>
    </row>
    <row r="3918" ht="15" customHeight="1" s="109" thickBot="1">
      <c r="B3918" s="96" t="inlineStr">
        <is>
          <t>SMS LIFESCIENCES (INDIA) LTD</t>
        </is>
      </c>
      <c r="C3918" s="97" t="n">
        <v>540679</v>
      </c>
      <c r="D3918" s="96" t="inlineStr">
        <is>
          <t>SMSLIFE</t>
        </is>
      </c>
      <c r="E3918" s="96" t="inlineStr">
        <is>
          <t>Pharmaceuticals</t>
        </is>
      </c>
    </row>
    <row r="3919" ht="15" customHeight="1" s="109" thickBot="1">
      <c r="B3919" s="96" t="inlineStr">
        <is>
          <t>SMS LIFESCIENCES INDIA LTD</t>
        </is>
      </c>
      <c r="C3919" s="97" t="n">
        <v>540679</v>
      </c>
      <c r="D3919" s="96" t="inlineStr">
        <is>
          <t>SMSLIFE</t>
        </is>
      </c>
      <c r="E3919" s="96" t="inlineStr">
        <is>
          <t>Pharmaceuticals</t>
        </is>
      </c>
    </row>
    <row r="3920" ht="15" customHeight="1" s="109" thickBot="1">
      <c r="B3920" s="96" t="inlineStr">
        <is>
          <t>SMS PHARMACEUTICALS LTD</t>
        </is>
      </c>
      <c r="C3920" s="97" t="n">
        <v>532815</v>
      </c>
      <c r="D3920" s="96" t="inlineStr">
        <is>
          <t>SMSPHARMA</t>
        </is>
      </c>
      <c r="E3920" s="96" t="inlineStr">
        <is>
          <t>Pharmaceuticals</t>
        </is>
      </c>
    </row>
    <row r="3921" ht="15" customHeight="1" s="109" thickBot="1">
      <c r="B3921" s="96" t="inlineStr">
        <is>
          <t>SMVD POLY PACK LTD</t>
        </is>
      </c>
      <c r="C3921" s="96" t="inlineStr">
        <is>
          <t>Not Listed</t>
        </is>
      </c>
      <c r="D3921" s="96" t="inlineStr">
        <is>
          <t>SMVD</t>
        </is>
      </c>
      <c r="E3921" s="96" t="inlineStr">
        <is>
          <t>SME</t>
        </is>
      </c>
    </row>
    <row r="3922" ht="15" customHeight="1" s="109" thickBot="1">
      <c r="B3922" s="96" t="inlineStr">
        <is>
          <t>SNL BEARINGS LTD</t>
        </is>
      </c>
      <c r="C3922" s="97" t="n">
        <v>505827</v>
      </c>
      <c r="D3922" s="96" t="inlineStr">
        <is>
          <t>Not Listed</t>
        </is>
      </c>
      <c r="E3922" s="96" t="inlineStr">
        <is>
          <t>Other Industrial Goods</t>
        </is>
      </c>
    </row>
    <row r="3923" ht="15" customHeight="1" s="109" thickBot="1">
      <c r="B3923" s="96" t="inlineStr">
        <is>
          <t>SNOWMAN LOGISTICS LTD</t>
        </is>
      </c>
      <c r="C3923" s="97" t="n">
        <v>538635</v>
      </c>
      <c r="D3923" s="96" t="inlineStr">
        <is>
          <t>SNOWMAN</t>
        </is>
      </c>
      <c r="E3923" s="96" t="inlineStr">
        <is>
          <t>Transportation - Logistics</t>
        </is>
      </c>
    </row>
    <row r="3924" ht="15" customHeight="1" s="109" thickBot="1">
      <c r="B3924" s="96" t="inlineStr">
        <is>
          <t>SOBHA LTD</t>
        </is>
      </c>
      <c r="C3924" s="97" t="n">
        <v>532784</v>
      </c>
      <c r="D3924" s="96" t="inlineStr">
        <is>
          <t>SOBHA</t>
        </is>
      </c>
      <c r="E3924" s="96" t="inlineStr">
        <is>
          <t>Realty</t>
        </is>
      </c>
    </row>
    <row r="3925" ht="15" customHeight="1" s="109" thickBot="1">
      <c r="B3925" s="96" t="inlineStr">
        <is>
          <t>SOBHAGYA MERCHANTILE LTD</t>
        </is>
      </c>
      <c r="C3925" s="97" t="n">
        <v>512014</v>
      </c>
      <c r="D3925" s="96" t="inlineStr">
        <is>
          <t>Not Listed</t>
        </is>
      </c>
      <c r="E3925" s="96" t="inlineStr">
        <is>
          <t>Misc.Commercial Services</t>
        </is>
      </c>
    </row>
    <row r="3926" ht="15" customHeight="1" s="109" thickBot="1">
      <c r="B3926" s="96" t="inlineStr">
        <is>
          <t>SOFCOM SYSTEMS LTD</t>
        </is>
      </c>
      <c r="C3926" s="97" t="n">
        <v>538923</v>
      </c>
      <c r="D3926" s="96" t="inlineStr">
        <is>
          <t>Not Listed</t>
        </is>
      </c>
      <c r="E3926" s="96" t="inlineStr">
        <is>
          <t>IT Consulting &amp; Software</t>
        </is>
      </c>
    </row>
    <row r="3927" ht="15" customHeight="1" s="109" thickBot="1">
      <c r="B3927" s="96" t="inlineStr">
        <is>
          <t>SOFTBPO GLOBAL SERVICES LTD</t>
        </is>
      </c>
      <c r="C3927" s="97" t="n">
        <v>504375</v>
      </c>
      <c r="D3927" s="96" t="inlineStr">
        <is>
          <t>Not Listed</t>
        </is>
      </c>
      <c r="E3927" s="96" t="inlineStr">
        <is>
          <t>IT Consulting &amp; Software</t>
        </is>
      </c>
    </row>
    <row r="3928" ht="15" customHeight="1" s="109" thickBot="1">
      <c r="B3928" s="96" t="inlineStr">
        <is>
          <t>SOFTSOL (INDIA) LTD</t>
        </is>
      </c>
      <c r="C3928" s="97" t="n">
        <v>532344</v>
      </c>
      <c r="D3928" s="96" t="inlineStr">
        <is>
          <t>Not Listed</t>
        </is>
      </c>
      <c r="E3928" s="96" t="inlineStr">
        <is>
          <t>IT Software Products</t>
        </is>
      </c>
    </row>
    <row r="3929" ht="15" customHeight="1" s="109" thickBot="1">
      <c r="B3929" s="96" t="inlineStr">
        <is>
          <t>SOFTSOL INDIA LTD</t>
        </is>
      </c>
      <c r="C3929" s="97" t="n">
        <v>532344</v>
      </c>
      <c r="D3929" s="96" t="inlineStr">
        <is>
          <t>Not Listed</t>
        </is>
      </c>
      <c r="E3929" s="96" t="inlineStr">
        <is>
          <t>IT Software Products</t>
        </is>
      </c>
    </row>
    <row r="3930" ht="15" customHeight="1" s="109" thickBot="1">
      <c r="B3930" s="96" t="inlineStr">
        <is>
          <t>SOFTTECH ENGINEERS LTD</t>
        </is>
      </c>
      <c r="C3930" s="96" t="inlineStr">
        <is>
          <t>Not Listed</t>
        </is>
      </c>
      <c r="D3930" s="96" t="inlineStr">
        <is>
          <t>SOFTTECH</t>
        </is>
      </c>
      <c r="E3930" s="96" t="inlineStr">
        <is>
          <t>SME</t>
        </is>
      </c>
    </row>
    <row r="3931" ht="15" customHeight="1" s="109" thickBot="1">
      <c r="B3931" s="96" t="inlineStr">
        <is>
          <t>SOLAR INDUSTRIES (INDIA) LTD</t>
        </is>
      </c>
      <c r="C3931" s="97" t="n">
        <v>532725</v>
      </c>
      <c r="D3931" s="96" t="inlineStr">
        <is>
          <t>SOLARINDS</t>
        </is>
      </c>
      <c r="E3931" s="96" t="inlineStr">
        <is>
          <t>Specialty Chemicals</t>
        </is>
      </c>
    </row>
    <row r="3932" ht="15" customHeight="1" s="109" thickBot="1">
      <c r="B3932" s="96" t="inlineStr">
        <is>
          <t>SOLAR INDUSTRIES INDIA LTD</t>
        </is>
      </c>
      <c r="C3932" s="97" t="n">
        <v>532725</v>
      </c>
      <c r="D3932" s="96" t="inlineStr">
        <is>
          <t>SOLARINDS</t>
        </is>
      </c>
      <c r="E3932" s="96" t="inlineStr">
        <is>
          <t>Specialty Chemicals</t>
        </is>
      </c>
    </row>
    <row r="3933" ht="15" customHeight="1" s="109" thickBot="1">
      <c r="B3933" s="96" t="inlineStr">
        <is>
          <t>SOLARA ACTIVE PHARMA SCIENCES LTD</t>
        </is>
      </c>
      <c r="C3933" s="97" t="n">
        <v>541540</v>
      </c>
      <c r="D3933" s="96" t="inlineStr">
        <is>
          <t>SOLARA</t>
        </is>
      </c>
      <c r="E3933" s="96" t="inlineStr">
        <is>
          <t>Pharmaceuticals</t>
        </is>
      </c>
    </row>
    <row r="3934" ht="15" customHeight="1" s="109" thickBot="1">
      <c r="B3934" s="96" t="inlineStr">
        <is>
          <t>SOLEX ENERGY LTD</t>
        </is>
      </c>
      <c r="C3934" s="96" t="inlineStr">
        <is>
          <t>Not Listed</t>
        </is>
      </c>
      <c r="D3934" s="96" t="inlineStr">
        <is>
          <t>SOLEX</t>
        </is>
      </c>
      <c r="E3934" s="96" t="inlineStr">
        <is>
          <t>SME</t>
        </is>
      </c>
    </row>
    <row r="3935" ht="15" customHeight="1" s="109" thickBot="1">
      <c r="B3935" s="96" t="inlineStr">
        <is>
          <t>SOLID CARBIDE TOOLS LTD</t>
        </is>
      </c>
      <c r="C3935" s="97" t="n">
        <v>500394</v>
      </c>
      <c r="D3935" s="96" t="inlineStr">
        <is>
          <t>Not Listed</t>
        </is>
      </c>
      <c r="E3935" s="96" t="inlineStr">
        <is>
          <t>Other Industrial Goods</t>
        </is>
      </c>
    </row>
    <row r="3936" ht="15" customHeight="1" s="109" thickBot="1">
      <c r="B3936" s="96" t="inlineStr">
        <is>
          <t>SOLID CONTAINERS LTD</t>
        </is>
      </c>
      <c r="C3936" s="97" t="n">
        <v>502460</v>
      </c>
      <c r="D3936" s="96" t="inlineStr">
        <is>
          <t>Not Listed</t>
        </is>
      </c>
      <c r="E3936" s="96" t="inlineStr">
        <is>
          <t>Paper &amp; Paper Products</t>
        </is>
      </c>
    </row>
    <row r="3937" ht="15" customHeight="1" s="109" thickBot="1">
      <c r="B3937" s="96" t="inlineStr">
        <is>
          <t>SOLID STONE COMPANY LTD</t>
        </is>
      </c>
      <c r="C3937" s="97" t="n">
        <v>513699</v>
      </c>
      <c r="D3937" s="96" t="inlineStr">
        <is>
          <t>Not Listed</t>
        </is>
      </c>
      <c r="E3937" s="96" t="inlineStr">
        <is>
          <t>Construction Materials</t>
        </is>
      </c>
    </row>
    <row r="3938" ht="15" customHeight="1" s="109" thickBot="1">
      <c r="B3938" s="96" t="inlineStr">
        <is>
          <t>SOLIS MARKETING LTD</t>
        </is>
      </c>
      <c r="C3938" s="97" t="n">
        <v>538575</v>
      </c>
      <c r="D3938" s="96" t="inlineStr">
        <is>
          <t>Not Listed</t>
        </is>
      </c>
      <c r="E3938" s="96" t="inlineStr">
        <is>
          <t>Comm.Trading &amp; Distribution</t>
        </is>
      </c>
    </row>
    <row r="3939" ht="15" customHeight="1" s="109" thickBot="1">
      <c r="B3939" s="96" t="inlineStr">
        <is>
          <t>SOLITAIRE MACHINE TOOLS LTD</t>
        </is>
      </c>
      <c r="C3939" s="97" t="n">
        <v>522152</v>
      </c>
      <c r="D3939" s="96" t="inlineStr">
        <is>
          <t>Not Listed</t>
        </is>
      </c>
      <c r="E3939" s="96" t="inlineStr">
        <is>
          <t>Industrial Machinery</t>
        </is>
      </c>
    </row>
    <row r="3940" ht="15" customHeight="1" s="109" thickBot="1">
      <c r="B3940" s="96" t="inlineStr">
        <is>
          <t>SOM DATT FINANCE CORPORATION LTD</t>
        </is>
      </c>
      <c r="C3940" s="97" t="n">
        <v>511571</v>
      </c>
      <c r="D3940" s="96" t="inlineStr">
        <is>
          <t>Not Listed</t>
        </is>
      </c>
      <c r="E3940" s="96" t="inlineStr">
        <is>
          <t>Finance (including NBFCs)</t>
        </is>
      </c>
    </row>
    <row r="3941" ht="15" customHeight="1" s="109" thickBot="1">
      <c r="B3941" s="96" t="inlineStr">
        <is>
          <t>SOM DISTILLERIES &amp; BREWERIES LTD</t>
        </is>
      </c>
      <c r="C3941" s="97" t="n">
        <v>507514</v>
      </c>
      <c r="D3941" s="96" t="inlineStr">
        <is>
          <t>SDBL</t>
        </is>
      </c>
      <c r="E3941" s="96" t="inlineStr">
        <is>
          <t>Breweries &amp; Distilleries</t>
        </is>
      </c>
    </row>
    <row r="3942" ht="15" customHeight="1" s="109" thickBot="1">
      <c r="B3942" s="96" t="inlineStr">
        <is>
          <t>SOMA TEXTILES &amp; INDUSTRIES LTD</t>
        </is>
      </c>
      <c r="C3942" s="97" t="n">
        <v>521034</v>
      </c>
      <c r="D3942" s="96" t="inlineStr">
        <is>
          <t>SOMATEX</t>
        </is>
      </c>
      <c r="E3942" s="96" t="inlineStr">
        <is>
          <t>Textiles</t>
        </is>
      </c>
    </row>
    <row r="3943" ht="15" customHeight="1" s="109" thickBot="1">
      <c r="B3943" s="96" t="inlineStr">
        <is>
          <t>SOMANY CERAMICS LTD</t>
        </is>
      </c>
      <c r="C3943" s="97" t="n">
        <v>531548</v>
      </c>
      <c r="D3943" s="96" t="inlineStr">
        <is>
          <t>SOMANYCERA</t>
        </is>
      </c>
      <c r="E3943" s="96" t="inlineStr">
        <is>
          <t>Furniture-Furnishing-Paints</t>
        </is>
      </c>
    </row>
    <row r="3944" ht="15" customHeight="1" s="109" thickBot="1">
      <c r="B3944" s="96" t="inlineStr">
        <is>
          <t>SOMI CONVEYOR BELTINGS LTD</t>
        </is>
      </c>
      <c r="C3944" s="97" t="n">
        <v>533001</v>
      </c>
      <c r="D3944" s="96" t="inlineStr">
        <is>
          <t>SOMICONVEY</t>
        </is>
      </c>
      <c r="E3944" s="96" t="inlineStr">
        <is>
          <t>Industrial Machinery</t>
        </is>
      </c>
    </row>
    <row r="3945" ht="15" customHeight="1" s="109" thickBot="1">
      <c r="B3945" s="96" t="inlineStr">
        <is>
          <t>SONAL ADHESIVES LTD</t>
        </is>
      </c>
      <c r="C3945" s="97" t="n">
        <v>526901</v>
      </c>
      <c r="D3945" s="96" t="inlineStr">
        <is>
          <t>Not Listed</t>
        </is>
      </c>
      <c r="E3945" s="96" t="inlineStr">
        <is>
          <t>Commodity Chemicals</t>
        </is>
      </c>
    </row>
    <row r="3946" ht="15" customHeight="1" s="109" thickBot="1">
      <c r="B3946" s="96" t="inlineStr">
        <is>
          <t>SONAL MERCANTILE LTD</t>
        </is>
      </c>
      <c r="C3946" s="97" t="n">
        <v>538943</v>
      </c>
      <c r="D3946" s="96" t="inlineStr">
        <is>
          <t>Not Listed</t>
        </is>
      </c>
      <c r="E3946" s="96" t="inlineStr">
        <is>
          <t>Finance (including NBFCs)</t>
        </is>
      </c>
    </row>
    <row r="3947" ht="15" customHeight="1" s="109" thickBot="1">
      <c r="B3947" s="96" t="inlineStr">
        <is>
          <t>SONAM CLOCK LTD</t>
        </is>
      </c>
      <c r="C3947" s="96" t="inlineStr">
        <is>
          <t>Not Listed</t>
        </is>
      </c>
      <c r="D3947" s="96" t="inlineStr">
        <is>
          <t>SONAMCLOCK</t>
        </is>
      </c>
      <c r="E3947" s="96" t="inlineStr">
        <is>
          <t>SME</t>
        </is>
      </c>
    </row>
    <row r="3948" ht="15" customHeight="1" s="109" thickBot="1">
      <c r="B3948" s="96" t="inlineStr">
        <is>
          <t>SONATA SOFTWARE LTD</t>
        </is>
      </c>
      <c r="C3948" s="97" t="n">
        <v>532221</v>
      </c>
      <c r="D3948" s="96" t="inlineStr">
        <is>
          <t>SONATSOFTW</t>
        </is>
      </c>
      <c r="E3948" s="96" t="inlineStr">
        <is>
          <t>IT Consulting &amp; Software</t>
        </is>
      </c>
    </row>
    <row r="3949" ht="15" customHeight="1" s="109" thickBot="1">
      <c r="B3949" s="96" t="inlineStr">
        <is>
          <t>SONI MEDICARE LTD</t>
        </is>
      </c>
      <c r="C3949" s="97" t="n">
        <v>539378</v>
      </c>
      <c r="D3949" s="96" t="inlineStr">
        <is>
          <t>Not Listed</t>
        </is>
      </c>
      <c r="E3949" s="96" t="inlineStr">
        <is>
          <t>Healthcare Facilities</t>
        </is>
      </c>
    </row>
    <row r="3950" ht="15" customHeight="1" s="109" thickBot="1">
      <c r="B3950" s="96" t="inlineStr">
        <is>
          <t>SONI SOYA PRODUCTS LTD</t>
        </is>
      </c>
      <c r="C3950" s="96" t="inlineStr">
        <is>
          <t>Not Listed</t>
        </is>
      </c>
      <c r="D3950" s="96" t="inlineStr">
        <is>
          <t>SONISOYA</t>
        </is>
      </c>
      <c r="E3950" s="96" t="inlineStr">
        <is>
          <t>SME</t>
        </is>
      </c>
    </row>
    <row r="3951" ht="15" customHeight="1" s="109" thickBot="1">
      <c r="B3951" s="96" t="inlineStr">
        <is>
          <t>SOPHIA TRAEXPO LTD</t>
        </is>
      </c>
      <c r="C3951" s="97" t="n">
        <v>541633</v>
      </c>
      <c r="D3951" s="96" t="inlineStr">
        <is>
          <t>Not Listed</t>
        </is>
      </c>
      <c r="E3951" s="96" t="inlineStr">
        <is>
          <t>Paper &amp; Paper Products</t>
        </is>
      </c>
    </row>
    <row r="3952" ht="15" customHeight="1" s="109" thickBot="1">
      <c r="B3952" s="96" t="inlineStr">
        <is>
          <t>SORIL INFRA RESOURCES LTD</t>
        </is>
      </c>
      <c r="C3952" s="97" t="n">
        <v>532679</v>
      </c>
      <c r="D3952" s="96" t="inlineStr">
        <is>
          <t>SORILINFRA</t>
        </is>
      </c>
      <c r="E3952" s="96" t="inlineStr">
        <is>
          <t>Diversified</t>
        </is>
      </c>
    </row>
    <row r="3953" ht="15" customHeight="1" s="109" thickBot="1">
      <c r="B3953" s="96" t="inlineStr">
        <is>
          <t>SOURCE INDUSTRIES (INDIA) LTD</t>
        </is>
      </c>
      <c r="C3953" s="97" t="n">
        <v>521036</v>
      </c>
      <c r="D3953" s="96" t="inlineStr">
        <is>
          <t>Not Listed</t>
        </is>
      </c>
      <c r="E3953" s="96" t="inlineStr">
        <is>
          <t>Textiles</t>
        </is>
      </c>
    </row>
    <row r="3954" ht="15" customHeight="1" s="109" thickBot="1">
      <c r="B3954" s="96" t="inlineStr">
        <is>
          <t>SOURCE INDUSTRIES INDIA LTD</t>
        </is>
      </c>
      <c r="C3954" s="97" t="n">
        <v>521036</v>
      </c>
      <c r="D3954" s="96" t="inlineStr">
        <is>
          <t>Not Listed</t>
        </is>
      </c>
      <c r="E3954" s="96" t="inlineStr">
        <is>
          <t>Textiles</t>
        </is>
      </c>
    </row>
    <row r="3955" ht="15" customHeight="1" s="109" thickBot="1">
      <c r="B3955" s="96" t="inlineStr">
        <is>
          <t>SOURCE NATURAL FOODS &amp; HERBAL SUPPL LTD</t>
        </is>
      </c>
      <c r="C3955" s="97" t="n">
        <v>531398</v>
      </c>
      <c r="D3955" s="96" t="inlineStr">
        <is>
          <t>Not Listed</t>
        </is>
      </c>
      <c r="E3955" s="96" t="inlineStr">
        <is>
          <t>Pharmaceuticals</t>
        </is>
      </c>
    </row>
    <row r="3956" ht="15" customHeight="1" s="109" thickBot="1">
      <c r="B3956" s="96" t="inlineStr">
        <is>
          <t>SOUTH ASIAN ENTERPRISES LTD</t>
        </is>
      </c>
      <c r="C3956" s="97" t="n">
        <v>526477</v>
      </c>
      <c r="D3956" s="96" t="inlineStr">
        <is>
          <t>Not Listed</t>
        </is>
      </c>
      <c r="E3956" s="96" t="inlineStr">
        <is>
          <t>Other Leisure Facilities</t>
        </is>
      </c>
    </row>
    <row r="3957" ht="15" customHeight="1" s="109" thickBot="1">
      <c r="B3957" s="96" t="inlineStr">
        <is>
          <t>SOUTH INDIA PAPER MILLS LTD</t>
        </is>
      </c>
      <c r="C3957" s="97" t="n">
        <v>516108</v>
      </c>
      <c r="D3957" s="96" t="inlineStr">
        <is>
          <t>Not Listed</t>
        </is>
      </c>
      <c r="E3957" s="96" t="inlineStr">
        <is>
          <t>Paper &amp; Paper Products</t>
        </is>
      </c>
    </row>
    <row r="3958" ht="15" customHeight="1" s="109" thickBot="1">
      <c r="B3958" s="96" t="inlineStr">
        <is>
          <t>SOUTH INDIA PROJECTS LTD</t>
        </is>
      </c>
      <c r="C3958" s="97" t="n">
        <v>538891</v>
      </c>
      <c r="D3958" s="96" t="inlineStr">
        <is>
          <t>Not Listed</t>
        </is>
      </c>
      <c r="E3958" s="96" t="inlineStr">
        <is>
          <t>Finance (including NBFCs)</t>
        </is>
      </c>
    </row>
    <row r="3959" ht="15" customHeight="1" s="109" thickBot="1">
      <c r="B3959" s="96" t="inlineStr">
        <is>
          <t>SOUTH WEST PINNACLE EXPLORATION LTD</t>
        </is>
      </c>
      <c r="C3959" s="96" t="inlineStr">
        <is>
          <t>Not Listed</t>
        </is>
      </c>
      <c r="D3959" s="96" t="inlineStr">
        <is>
          <t>SOUTHWEST</t>
        </is>
      </c>
      <c r="E3959" s="96" t="inlineStr">
        <is>
          <t>SME</t>
        </is>
      </c>
    </row>
    <row r="3960" ht="15" customHeight="1" s="109" thickBot="1">
      <c r="B3960" s="96" t="inlineStr">
        <is>
          <t>SOUTHERN GAS LTD</t>
        </is>
      </c>
      <c r="C3960" s="97" t="n">
        <v>509910</v>
      </c>
      <c r="D3960" s="96" t="inlineStr">
        <is>
          <t>Not Listed</t>
        </is>
      </c>
      <c r="E3960" s="96" t="inlineStr">
        <is>
          <t>Commodity Chemicals</t>
        </is>
      </c>
    </row>
    <row r="3961" ht="15" customHeight="1" s="109" thickBot="1">
      <c r="B3961" s="96" t="inlineStr">
        <is>
          <t>SOUTHERN INFOSYS LTD</t>
        </is>
      </c>
      <c r="C3961" s="97" t="n">
        <v>540174</v>
      </c>
      <c r="D3961" s="96" t="inlineStr">
        <is>
          <t>Not Listed</t>
        </is>
      </c>
      <c r="E3961" s="96" t="inlineStr">
        <is>
          <t>IT Consulting &amp; Software</t>
        </is>
      </c>
    </row>
    <row r="3962" ht="15" customHeight="1" s="109" thickBot="1">
      <c r="B3962" s="96" t="inlineStr">
        <is>
          <t>SOUTHERN LATEX LTD</t>
        </is>
      </c>
      <c r="C3962" s="97" t="n">
        <v>514454</v>
      </c>
      <c r="D3962" s="96" t="inlineStr">
        <is>
          <t>Not Listed</t>
        </is>
      </c>
      <c r="E3962" s="96" t="inlineStr">
        <is>
          <t>Textiles</t>
        </is>
      </c>
    </row>
    <row r="3963" ht="15" customHeight="1" s="109" thickBot="1">
      <c r="B3963" s="96" t="inlineStr">
        <is>
          <t>SOUTHERN MAGNESIUM &amp; CHEMICALS LTD</t>
        </is>
      </c>
      <c r="C3963" s="97" t="n">
        <v>513498</v>
      </c>
      <c r="D3963" s="96" t="inlineStr">
        <is>
          <t>Not Listed</t>
        </is>
      </c>
      <c r="E3963" s="96" t="inlineStr">
        <is>
          <t>Mining</t>
        </is>
      </c>
    </row>
    <row r="3964" ht="15" customHeight="1" s="109" thickBot="1">
      <c r="B3964" s="96" t="inlineStr">
        <is>
          <t>SOUTHERN ONLINE BIO TECHNOLOGIES LTD</t>
        </is>
      </c>
      <c r="C3964" s="97" t="n">
        <v>532669</v>
      </c>
      <c r="D3964" s="96" t="inlineStr">
        <is>
          <t>Not Listed</t>
        </is>
      </c>
      <c r="E3964" s="96" t="inlineStr">
        <is>
          <t>Commodity Chemicals</t>
        </is>
      </c>
    </row>
    <row r="3965" ht="15" customHeight="1" s="109" thickBot="1">
      <c r="B3965" s="96" t="inlineStr">
        <is>
          <t>SOUTHERN PETROCHEMICALS INDUSTRIES CORPORATION LTD</t>
        </is>
      </c>
      <c r="C3965" s="97" t="n">
        <v>590030</v>
      </c>
      <c r="D3965" s="96" t="inlineStr">
        <is>
          <t>SPIC</t>
        </is>
      </c>
      <c r="E3965" s="96" t="inlineStr">
        <is>
          <t>Fertilizers</t>
        </is>
      </c>
    </row>
    <row r="3966" ht="15" customHeight="1" s="109" thickBot="1">
      <c r="B3966" s="96" t="inlineStr">
        <is>
          <t>SOVEREIGN DIAMONDS LTD</t>
        </is>
      </c>
      <c r="C3966" s="97" t="n">
        <v>523826</v>
      </c>
      <c r="D3966" s="96" t="inlineStr">
        <is>
          <t>Not Listed</t>
        </is>
      </c>
      <c r="E3966" s="96" t="inlineStr">
        <is>
          <t>Other Apparels &amp; Accessories</t>
        </is>
      </c>
    </row>
    <row r="3967" ht="15" customHeight="1" s="109" thickBot="1">
      <c r="B3967" s="96" t="inlineStr">
        <is>
          <t>SOWBHAGYA MEDIA LTD</t>
        </is>
      </c>
      <c r="C3967" s="97" t="n">
        <v>532025</v>
      </c>
      <c r="D3967" s="96" t="inlineStr">
        <is>
          <t>Not Listed</t>
        </is>
      </c>
      <c r="E3967" s="96" t="inlineStr">
        <is>
          <t>Movies &amp; Entertainment</t>
        </is>
      </c>
    </row>
    <row r="3968" ht="15" customHeight="1" s="109" thickBot="1">
      <c r="B3968" s="96" t="inlineStr">
        <is>
          <t>SP CAPITAL FINANCING LTD</t>
        </is>
      </c>
      <c r="C3968" s="97" t="n">
        <v>530289</v>
      </c>
      <c r="D3968" s="96" t="inlineStr">
        <is>
          <t>Not Listed</t>
        </is>
      </c>
      <c r="E3968" s="96" t="inlineStr">
        <is>
          <t>Misc.Commercial Services</t>
        </is>
      </c>
    </row>
    <row r="3969" ht="15" customHeight="1" s="109" thickBot="1">
      <c r="B3969" s="96" t="inlineStr">
        <is>
          <t>SPA Capital Services Ltd</t>
        </is>
      </c>
      <c r="C3969" s="97" t="n">
        <v>542376</v>
      </c>
      <c r="D3969" s="96" t="inlineStr">
        <is>
          <t>SPACAPS</t>
        </is>
      </c>
      <c r="E3969" s="96" t="inlineStr">
        <is>
          <t>Other Financial Services</t>
        </is>
      </c>
    </row>
    <row r="3970" ht="15" customHeight="1" s="109" thickBot="1">
      <c r="B3970" s="96" t="inlineStr">
        <is>
          <t>SPACE INCUBATRICS TECHNOLOGIES LTD</t>
        </is>
      </c>
      <c r="C3970" s="97" t="n">
        <v>541890</v>
      </c>
      <c r="D3970" s="96" t="inlineStr">
        <is>
          <t>Not Listed</t>
        </is>
      </c>
      <c r="E3970" s="96" t="inlineStr">
        <is>
          <t>IT Consulting &amp; Software</t>
        </is>
      </c>
    </row>
    <row r="3971" ht="15" customHeight="1" s="109" thickBot="1">
      <c r="B3971" s="96" t="inlineStr">
        <is>
          <t>SPACEAGE PRODUCTS LTD</t>
        </is>
      </c>
      <c r="C3971" s="97" t="n">
        <v>538920</v>
      </c>
      <c r="D3971" s="96" t="inlineStr">
        <is>
          <t>Not Listed</t>
        </is>
      </c>
      <c r="E3971" s="96" t="inlineStr">
        <is>
          <t>Comm.Trading &amp; Distribution</t>
        </is>
      </c>
    </row>
    <row r="3972" ht="15" customHeight="1" s="109" thickBot="1">
      <c r="B3972" s="96" t="inlineStr">
        <is>
          <t>SPACENET ENTERPRISES (INDIA) LTD</t>
        </is>
      </c>
      <c r="C3972" s="96" t="inlineStr">
        <is>
          <t>Not Listed</t>
        </is>
      </c>
      <c r="D3972" s="96" t="inlineStr">
        <is>
          <t>SPCENET</t>
        </is>
      </c>
      <c r="E3972" s="96" t="inlineStr">
        <is>
          <t>Others</t>
        </is>
      </c>
    </row>
    <row r="3973" ht="15" customHeight="1" s="109" thickBot="1">
      <c r="B3973" s="96" t="inlineStr">
        <is>
          <t>SPACENET ENTERPRISES INDIA LTD</t>
        </is>
      </c>
      <c r="C3973" s="96" t="inlineStr">
        <is>
          <t>Not Listed</t>
        </is>
      </c>
      <c r="D3973" s="96" t="inlineStr">
        <is>
          <t>SPCENET</t>
        </is>
      </c>
      <c r="E3973" s="96" t="inlineStr">
        <is>
          <t>Others</t>
        </is>
      </c>
    </row>
    <row r="3974" ht="15" customHeight="1" s="109" thickBot="1">
      <c r="B3974" s="96" t="inlineStr">
        <is>
          <t>SPAN DIVERGENT LTD</t>
        </is>
      </c>
      <c r="C3974" s="97" t="n">
        <v>524727</v>
      </c>
      <c r="D3974" s="96" t="inlineStr">
        <is>
          <t>Not Listed</t>
        </is>
      </c>
      <c r="E3974" s="96" t="inlineStr">
        <is>
          <t>Pharmaceuticals</t>
        </is>
      </c>
    </row>
    <row r="3975" ht="15" customHeight="1" s="109" thickBot="1">
      <c r="B3975" s="96" t="inlineStr">
        <is>
          <t>SPARC SYSTEMS LTD</t>
        </is>
      </c>
      <c r="C3975" s="97" t="n">
        <v>531370</v>
      </c>
      <c r="D3975" s="96" t="inlineStr">
        <is>
          <t>Not Listed</t>
        </is>
      </c>
      <c r="E3975" s="96" t="inlineStr">
        <is>
          <t>IT Consulting &amp; Software</t>
        </is>
      </c>
    </row>
    <row r="3976" ht="15" customHeight="1" s="109" thickBot="1">
      <c r="B3976" s="96" t="inlineStr">
        <is>
          <t>SPARKLING INDIA FINSHARES LTD</t>
        </is>
      </c>
      <c r="C3976" s="97" t="n">
        <v>540211</v>
      </c>
      <c r="D3976" s="96" t="inlineStr">
        <is>
          <t>Not Listed</t>
        </is>
      </c>
      <c r="E3976" s="96" t="inlineStr">
        <is>
          <t>Finance (including NBFCs)</t>
        </is>
      </c>
    </row>
    <row r="3977" ht="15" customHeight="1" s="109" thickBot="1">
      <c r="B3977" s="96" t="inlineStr">
        <is>
          <t>SPECIALITY RESTAURANTS LTD</t>
        </is>
      </c>
      <c r="C3977" s="97" t="n">
        <v>534425</v>
      </c>
      <c r="D3977" s="96" t="inlineStr">
        <is>
          <t>SPECIALITY</t>
        </is>
      </c>
      <c r="E3977" s="96" t="inlineStr">
        <is>
          <t>Restaurants</t>
        </is>
      </c>
    </row>
    <row r="3978" ht="15" customHeight="1" s="109" thickBot="1">
      <c r="B3978" s="96" t="inlineStr">
        <is>
          <t>SPECTRA INDUSTRIES LTD</t>
        </is>
      </c>
      <c r="C3978" s="97" t="n">
        <v>513687</v>
      </c>
      <c r="D3978" s="96" t="inlineStr">
        <is>
          <t>Not Listed</t>
        </is>
      </c>
      <c r="E3978" s="96" t="inlineStr">
        <is>
          <t>Auto Parts &amp; Equipment</t>
        </is>
      </c>
    </row>
    <row r="3979" ht="15" customHeight="1" s="109" thickBot="1">
      <c r="B3979" s="96" t="inlineStr">
        <is>
          <t>SPECTRUM ELECTRICAL INDUSTRIES LTD</t>
        </is>
      </c>
      <c r="C3979" s="96" t="inlineStr">
        <is>
          <t>Not Listed</t>
        </is>
      </c>
      <c r="D3979" s="96" t="inlineStr">
        <is>
          <t>SPECTRUM</t>
        </is>
      </c>
      <c r="E3979" s="96" t="inlineStr">
        <is>
          <t>SME</t>
        </is>
      </c>
    </row>
    <row r="3980" ht="15" customHeight="1" s="109" thickBot="1">
      <c r="B3980" s="96" t="inlineStr">
        <is>
          <t>SPECTRUM FOODS LTD</t>
        </is>
      </c>
      <c r="C3980" s="97" t="n">
        <v>531982</v>
      </c>
      <c r="D3980" s="96" t="inlineStr">
        <is>
          <t>Not Listed</t>
        </is>
      </c>
      <c r="E3980" s="96" t="inlineStr">
        <is>
          <t>Other Food Products</t>
        </is>
      </c>
    </row>
    <row r="3981" ht="15" customHeight="1" s="109" thickBot="1">
      <c r="B3981" s="96" t="inlineStr">
        <is>
          <t>SPECULAR MARKETING &amp; FINANCING LTD</t>
        </is>
      </c>
      <c r="C3981" s="97" t="n">
        <v>512153</v>
      </c>
      <c r="D3981" s="96" t="inlineStr">
        <is>
          <t>Not Listed</t>
        </is>
      </c>
      <c r="E3981" s="96" t="inlineStr">
        <is>
          <t>Misc.Commercial Services</t>
        </is>
      </c>
    </row>
    <row r="3982" ht="15" customHeight="1" s="109" thickBot="1">
      <c r="B3982" s="96" t="inlineStr">
        <is>
          <t>SPEEDAGE COMMERCIALS LTD</t>
        </is>
      </c>
      <c r="C3982" s="97" t="n">
        <v>512291</v>
      </c>
      <c r="D3982" s="96" t="inlineStr">
        <is>
          <t>Not Listed</t>
        </is>
      </c>
      <c r="E3982" s="96" t="inlineStr">
        <is>
          <t>Other Financial Services</t>
        </is>
      </c>
    </row>
    <row r="3983" ht="15" customHeight="1" s="109" thickBot="1">
      <c r="B3983" s="96" t="inlineStr">
        <is>
          <t>SPEL SEMICONDUCTOR LTD</t>
        </is>
      </c>
      <c r="C3983" s="97" t="n">
        <v>517166</v>
      </c>
      <c r="D3983" s="96" t="inlineStr">
        <is>
          <t>Not Listed</t>
        </is>
      </c>
      <c r="E3983" s="96" t="inlineStr">
        <is>
          <t>Electronic Components</t>
        </is>
      </c>
    </row>
    <row r="3984" ht="15" customHeight="1" s="109" thickBot="1">
      <c r="B3984" s="96" t="inlineStr">
        <is>
          <t>Spencers Retail Ltd</t>
        </is>
      </c>
      <c r="C3984" s="97" t="n">
        <v>542337</v>
      </c>
      <c r="D3984" s="96" t="inlineStr">
        <is>
          <t>SPENCER</t>
        </is>
      </c>
      <c r="E3984" s="96" t="inlineStr">
        <is>
          <t>Department Stores</t>
        </is>
      </c>
    </row>
    <row r="3985" ht="15" customHeight="1" s="109" thickBot="1">
      <c r="B3985" s="96" t="inlineStr">
        <is>
          <t>Spencer's Retail LTD</t>
        </is>
      </c>
      <c r="C3985" s="96" t="inlineStr">
        <is>
          <t>Not Listed</t>
        </is>
      </c>
      <c r="D3985" s="96" t="inlineStr">
        <is>
          <t>SPENCERS</t>
        </is>
      </c>
      <c r="E3985" s="96" t="inlineStr">
        <is>
          <t>Department Stores</t>
        </is>
      </c>
    </row>
    <row r="3986" ht="15" customHeight="1" s="109" thickBot="1">
      <c r="B3986" s="96" t="inlineStr">
        <is>
          <t>SPENTA INTERNATIONAL LTD</t>
        </is>
      </c>
      <c r="C3986" s="97" t="n">
        <v>526161</v>
      </c>
      <c r="D3986" s="96" t="inlineStr">
        <is>
          <t>Not Listed</t>
        </is>
      </c>
      <c r="E3986" s="96" t="inlineStr">
        <is>
          <t>Other Apparels &amp; Accessories</t>
        </is>
      </c>
    </row>
    <row r="3987" ht="15" customHeight="1" s="109" thickBot="1">
      <c r="B3987" s="96" t="inlineStr">
        <is>
          <t>SPENTEX INDUSTRIES LTD</t>
        </is>
      </c>
      <c r="C3987" s="97" t="n">
        <v>521082</v>
      </c>
      <c r="D3987" s="96" t="inlineStr">
        <is>
          <t>SPENTEX</t>
        </is>
      </c>
      <c r="E3987" s="96" t="inlineStr">
        <is>
          <t>Textiles</t>
        </is>
      </c>
    </row>
    <row r="3988" ht="15" customHeight="1" s="109" thickBot="1">
      <c r="B3988" s="96" t="inlineStr">
        <is>
          <t>SPICE ISLANDS APPARELS LTD</t>
        </is>
      </c>
      <c r="C3988" s="97" t="n">
        <v>526827</v>
      </c>
      <c r="D3988" s="96" t="inlineStr">
        <is>
          <t>Not Listed</t>
        </is>
      </c>
      <c r="E3988" s="96" t="inlineStr">
        <is>
          <t>Other Apparels &amp; Accessories</t>
        </is>
      </c>
    </row>
    <row r="3989" ht="15" customHeight="1" s="109" thickBot="1">
      <c r="B3989" s="96" t="inlineStr">
        <is>
          <t>SPICE MOBILITY LTD</t>
        </is>
      </c>
      <c r="C3989" s="97" t="n">
        <v>517214</v>
      </c>
      <c r="D3989" s="96" t="inlineStr">
        <is>
          <t>SPICEMOBI</t>
        </is>
      </c>
      <c r="E3989" s="96" t="inlineStr">
        <is>
          <t>Telecom Equipment</t>
        </is>
      </c>
    </row>
    <row r="3990" ht="15" customHeight="1" s="109" thickBot="1">
      <c r="B3990" s="96" t="inlineStr">
        <is>
          <t>SPICEJET LTD</t>
        </is>
      </c>
      <c r="C3990" s="97" t="n">
        <v>500285</v>
      </c>
      <c r="D3990" s="96" t="inlineStr">
        <is>
          <t>Not Listed</t>
        </is>
      </c>
      <c r="E3990" s="96" t="inlineStr">
        <is>
          <t>Airlines</t>
        </is>
      </c>
    </row>
    <row r="3991" ht="15" customHeight="1" s="109" thickBot="1">
      <c r="B3991" s="96" t="inlineStr">
        <is>
          <t>SPICY ENTERTAINMENT AND MEDIA LTD</t>
        </is>
      </c>
      <c r="C3991" s="97" t="n">
        <v>540084</v>
      </c>
      <c r="D3991" s="96" t="inlineStr">
        <is>
          <t>Not Listed</t>
        </is>
      </c>
      <c r="E3991" s="96" t="inlineStr">
        <is>
          <t>Movies &amp; Entertainment</t>
        </is>
      </c>
    </row>
    <row r="3992" ht="15" customHeight="1" s="109" thickBot="1">
      <c r="B3992" s="96" t="inlineStr">
        <is>
          <t>SPL INDUSTRIES LTD</t>
        </is>
      </c>
      <c r="C3992" s="97" t="n">
        <v>532651</v>
      </c>
      <c r="D3992" s="96" t="inlineStr">
        <is>
          <t>SPLIL</t>
        </is>
      </c>
      <c r="E3992" s="96" t="inlineStr">
        <is>
          <t>Other Apparels &amp; Accessories</t>
        </is>
      </c>
    </row>
    <row r="3993" ht="15" customHeight="1" s="109" thickBot="1">
      <c r="B3993" s="96" t="inlineStr">
        <is>
          <t>SPLENDID METAL PRODUCTS LTD</t>
        </is>
      </c>
      <c r="C3993" s="97" t="n">
        <v>513414</v>
      </c>
      <c r="D3993" s="96" t="inlineStr">
        <is>
          <t>SMPL</t>
        </is>
      </c>
      <c r="E3993" s="96" t="inlineStr">
        <is>
          <t>Iron &amp; Steel/Interm.Products</t>
        </is>
      </c>
    </row>
    <row r="3994" ht="15" customHeight="1" s="109" thickBot="1">
      <c r="B3994" s="96" t="inlineStr">
        <is>
          <t>SPML INFRA LTD</t>
        </is>
      </c>
      <c r="C3994" s="97" t="n">
        <v>500402</v>
      </c>
      <c r="D3994" s="96" t="inlineStr">
        <is>
          <t>SPMLINFRA</t>
        </is>
      </c>
      <c r="E3994" s="96" t="inlineStr">
        <is>
          <t>Construction &amp; Engineering</t>
        </is>
      </c>
    </row>
    <row r="3995" ht="15" customHeight="1" s="109" thickBot="1">
      <c r="B3995" s="96" t="inlineStr">
        <is>
          <t>SPORTKING (INDIA) LTD</t>
        </is>
      </c>
      <c r="C3995" s="97" t="n">
        <v>539221</v>
      </c>
      <c r="D3995" s="96" t="inlineStr">
        <is>
          <t>Not Listed</t>
        </is>
      </c>
      <c r="E3995" s="96" t="inlineStr">
        <is>
          <t>Textiles</t>
        </is>
      </c>
    </row>
    <row r="3996" ht="15" customHeight="1" s="109" thickBot="1">
      <c r="B3996" s="96" t="inlineStr">
        <is>
          <t>SPORTKING INDIA LTD</t>
        </is>
      </c>
      <c r="C3996" s="97" t="n">
        <v>539221</v>
      </c>
      <c r="D3996" s="96" t="inlineStr">
        <is>
          <t>Not Listed</t>
        </is>
      </c>
      <c r="E3996" s="96" t="inlineStr">
        <is>
          <t>Textiles</t>
        </is>
      </c>
    </row>
    <row r="3997" ht="15" customHeight="1" s="109" thickBot="1">
      <c r="B3997" s="96" t="inlineStr">
        <is>
          <t>SPRAYKING AGRO EQUIPMENT LTD</t>
        </is>
      </c>
      <c r="C3997" s="97" t="n">
        <v>540079</v>
      </c>
      <c r="D3997" s="96" t="inlineStr">
        <is>
          <t>Not Listed</t>
        </is>
      </c>
      <c r="E3997" s="96" t="inlineStr">
        <is>
          <t>Other Industrial Products</t>
        </is>
      </c>
    </row>
    <row r="3998" ht="15" customHeight="1" s="109" thickBot="1">
      <c r="B3998" s="96" t="inlineStr">
        <is>
          <t>Spring Fields Infraventure Ltd</t>
        </is>
      </c>
      <c r="C3998" s="97" t="n">
        <v>540570</v>
      </c>
      <c r="D3998" s="96" t="inlineStr">
        <is>
          <t>SFIVL</t>
        </is>
      </c>
      <c r="E3998" s="96" t="inlineStr">
        <is>
          <t>Construction &amp;amp; Engineering</t>
        </is>
      </c>
    </row>
    <row r="3999" ht="15" customHeight="1" s="109" thickBot="1">
      <c r="B3999" s="96" t="inlineStr">
        <is>
          <t>SPS FINQUEST LTD</t>
        </is>
      </c>
      <c r="C3999" s="97" t="n">
        <v>538402</v>
      </c>
      <c r="D3999" s="96" t="inlineStr">
        <is>
          <t>Not Listed</t>
        </is>
      </c>
      <c r="E3999" s="96" t="inlineStr">
        <is>
          <t>Finance (including NBFCs)</t>
        </is>
      </c>
    </row>
    <row r="4000" ht="15" customHeight="1" s="109" thickBot="1">
      <c r="B4000" s="96" t="inlineStr">
        <is>
          <t>SPS INTERNATIONAL LTD</t>
        </is>
      </c>
      <c r="C4000" s="97" t="n">
        <v>530177</v>
      </c>
      <c r="D4000" s="96" t="inlineStr">
        <is>
          <t>Not Listed</t>
        </is>
      </c>
      <c r="E4000" s="96" t="inlineStr">
        <is>
          <t>Comm.Trading &amp; Distribution</t>
        </is>
      </c>
    </row>
    <row r="4001" ht="15" customHeight="1" s="109" thickBot="1">
      <c r="B4001" s="96" t="inlineStr">
        <is>
          <t>SQS INDIA BFSI LTD</t>
        </is>
      </c>
      <c r="C4001" s="97" t="n">
        <v>533121</v>
      </c>
      <c r="D4001" s="96" t="inlineStr">
        <is>
          <t>SQSBFSI</t>
        </is>
      </c>
      <c r="E4001" s="96" t="inlineStr">
        <is>
          <t>IT Consulting &amp; Software</t>
        </is>
      </c>
    </row>
    <row r="4002" ht="15" customHeight="1" s="109" thickBot="1">
      <c r="B4002" s="96" t="inlineStr">
        <is>
          <t>SQUARE FOUR PROJECTS (INDIA) LTD</t>
        </is>
      </c>
      <c r="C4002" s="97" t="n">
        <v>526532</v>
      </c>
      <c r="D4002" s="96" t="inlineStr">
        <is>
          <t>Not Listed</t>
        </is>
      </c>
      <c r="E4002" s="96" t="inlineStr">
        <is>
          <t>Commodity Chemicals</t>
        </is>
      </c>
    </row>
    <row r="4003" ht="15" customHeight="1" s="109" thickBot="1">
      <c r="B4003" s="96" t="inlineStr">
        <is>
          <t>SQUARE FOUR PROJECTS INDIA LTD</t>
        </is>
      </c>
      <c r="C4003" s="97" t="n">
        <v>526532</v>
      </c>
      <c r="D4003" s="96" t="inlineStr">
        <is>
          <t>Not Listed</t>
        </is>
      </c>
      <c r="E4003" s="96" t="inlineStr">
        <is>
          <t>Commodity Chemicals</t>
        </is>
      </c>
    </row>
    <row r="4004" ht="15" customHeight="1" s="109" thickBot="1">
      <c r="B4004" s="96" t="inlineStr">
        <is>
          <t>SREE JAYALAKSHMI AUTOSPIN LTD</t>
        </is>
      </c>
      <c r="C4004" s="97" t="n">
        <v>530037</v>
      </c>
      <c r="D4004" s="96" t="inlineStr">
        <is>
          <t>Not Listed</t>
        </is>
      </c>
      <c r="E4004" s="96" t="inlineStr">
        <is>
          <t>Textiles</t>
        </is>
      </c>
    </row>
    <row r="4005" ht="15" customHeight="1" s="109" thickBot="1">
      <c r="B4005" s="96" t="inlineStr">
        <is>
          <t>SREE RAYALASEEMA HI-STRENGTH HYPO LTD</t>
        </is>
      </c>
      <c r="C4005" s="97" t="n">
        <v>532842</v>
      </c>
      <c r="D4005" s="96" t="inlineStr">
        <is>
          <t>SRHHYPOLTD</t>
        </is>
      </c>
      <c r="E4005" s="96" t="inlineStr">
        <is>
          <t>Commodity Chemicals</t>
        </is>
      </c>
    </row>
    <row r="4006" ht="15" customHeight="1" s="109" thickBot="1">
      <c r="B4006" s="96" t="inlineStr">
        <is>
          <t>SREECHEM RESINS LTD</t>
        </is>
      </c>
      <c r="C4006" s="97" t="n">
        <v>514248</v>
      </c>
      <c r="D4006" s="96" t="inlineStr">
        <is>
          <t>Not Listed</t>
        </is>
      </c>
      <c r="E4006" s="96" t="inlineStr">
        <is>
          <t>Commodity Chemicals</t>
        </is>
      </c>
    </row>
    <row r="4007" ht="15" customHeight="1" s="109" thickBot="1">
      <c r="B4007" s="96" t="inlineStr">
        <is>
          <t>SREELEATHERS LTD</t>
        </is>
      </c>
      <c r="C4007" s="97" t="n">
        <v>535601</v>
      </c>
      <c r="D4007" s="96" t="inlineStr">
        <is>
          <t>SREEL</t>
        </is>
      </c>
      <c r="E4007" s="96" t="inlineStr">
        <is>
          <t>Footwear</t>
        </is>
      </c>
    </row>
    <row r="4008" ht="15" customHeight="1" s="109" thickBot="1">
      <c r="B4008" s="96" t="inlineStr">
        <is>
          <t>SREI INFRASTRUCTURE FINANCE LTD</t>
        </is>
      </c>
      <c r="C4008" s="97" t="n">
        <v>523756</v>
      </c>
      <c r="D4008" s="96" t="inlineStr">
        <is>
          <t>SREINFRA</t>
        </is>
      </c>
      <c r="E4008" s="96" t="inlineStr">
        <is>
          <t>Finance (including NBFCs)</t>
        </is>
      </c>
    </row>
    <row r="4009" ht="15" customHeight="1" s="109" thickBot="1">
      <c r="B4009" s="96" t="inlineStr">
        <is>
          <t>SRESTHA FINVEST LTD</t>
        </is>
      </c>
      <c r="C4009" s="97" t="n">
        <v>539217</v>
      </c>
      <c r="D4009" s="96" t="inlineStr">
        <is>
          <t>Not Listed</t>
        </is>
      </c>
      <c r="E4009" s="96" t="inlineStr">
        <is>
          <t>Investment Companies</t>
        </is>
      </c>
    </row>
    <row r="4010" ht="15" customHeight="1" s="109" thickBot="1">
      <c r="B4010" s="96" t="inlineStr">
        <is>
          <t>SRF LTD</t>
        </is>
      </c>
      <c r="C4010" s="97" t="n">
        <v>503806</v>
      </c>
      <c r="D4010" s="96" t="inlineStr">
        <is>
          <t>SRF</t>
        </is>
      </c>
      <c r="E4010" s="96" t="inlineStr">
        <is>
          <t>Textiles</t>
        </is>
      </c>
    </row>
    <row r="4011" ht="15" customHeight="1" s="109" thickBot="1">
      <c r="B4011" s="96" t="inlineStr">
        <is>
          <t>SRG HOUSING FINANCE LTD</t>
        </is>
      </c>
      <c r="C4011" s="97" t="n">
        <v>534680</v>
      </c>
      <c r="D4011" s="96" t="inlineStr">
        <is>
          <t>Not Listed</t>
        </is>
      </c>
      <c r="E4011" s="96" t="inlineStr">
        <is>
          <t>Housing Finance</t>
        </is>
      </c>
    </row>
    <row r="4012" ht="15" customHeight="1" s="109" thickBot="1">
      <c r="B4012" s="96" t="inlineStr">
        <is>
          <t>SRI ADHIKARI BROTHERS TELEVISION NETWORK LTD</t>
        </is>
      </c>
      <c r="C4012" s="97" t="n">
        <v>530943</v>
      </c>
      <c r="D4012" s="96" t="inlineStr">
        <is>
          <t>SABTN</t>
        </is>
      </c>
      <c r="E4012" s="96" t="inlineStr">
        <is>
          <t>Movies &amp; Entertainment</t>
        </is>
      </c>
    </row>
    <row r="4013" ht="15" customHeight="1" s="109" thickBot="1">
      <c r="B4013" s="96" t="inlineStr">
        <is>
          <t>SRI AMARNATH FINANCE LTD</t>
        </is>
      </c>
      <c r="C4013" s="97" t="n">
        <v>538863</v>
      </c>
      <c r="D4013" s="96" t="inlineStr">
        <is>
          <t>Not Listed</t>
        </is>
      </c>
      <c r="E4013" s="96" t="inlineStr">
        <is>
          <t>Finance (including NBFCs)</t>
        </is>
      </c>
    </row>
    <row r="4014" ht="15" customHeight="1" s="109" thickBot="1">
      <c r="B4014" s="96" t="inlineStr">
        <is>
          <t>SRI HAVISHA HOSPITALITY AND INFRASTRUCTURE LTD</t>
        </is>
      </c>
      <c r="C4014" s="97" t="n">
        <v>531322</v>
      </c>
      <c r="D4014" s="96" t="inlineStr">
        <is>
          <t>HAVISHA</t>
        </is>
      </c>
      <c r="E4014" s="96" t="inlineStr">
        <is>
          <t>Oil Marketing &amp; Distribution</t>
        </is>
      </c>
    </row>
    <row r="4015" ht="15" customHeight="1" s="109" thickBot="1">
      <c r="B4015" s="96" t="inlineStr">
        <is>
          <t>SRI KPR INDUSTRIES LTD</t>
        </is>
      </c>
      <c r="C4015" s="97" t="n">
        <v>514442</v>
      </c>
      <c r="D4015" s="96" t="inlineStr">
        <is>
          <t>Not Listed</t>
        </is>
      </c>
      <c r="E4015" s="96" t="inlineStr">
        <is>
          <t>Plastic Products</t>
        </is>
      </c>
    </row>
    <row r="4016" ht="15" customHeight="1" s="109" thickBot="1">
      <c r="B4016" s="96" t="inlineStr">
        <is>
          <t>SRI KRISHNA CONSTRUCTIONS (INDIA) LTD</t>
        </is>
      </c>
      <c r="C4016" s="97" t="n">
        <v>539363</v>
      </c>
      <c r="D4016" s="96" t="inlineStr">
        <is>
          <t>Not Listed</t>
        </is>
      </c>
      <c r="E4016" s="96" t="inlineStr">
        <is>
          <t>Realty</t>
        </is>
      </c>
    </row>
    <row r="4017" ht="15" customHeight="1" s="109" thickBot="1">
      <c r="B4017" s="96" t="inlineStr">
        <is>
          <t>SRI KRISHNA CONSTRUCTIONS INDIA LTD</t>
        </is>
      </c>
      <c r="C4017" s="97" t="n">
        <v>539363</v>
      </c>
      <c r="D4017" s="96" t="inlineStr">
        <is>
          <t>Not Listed</t>
        </is>
      </c>
      <c r="E4017" s="96" t="inlineStr">
        <is>
          <t>Realty</t>
        </is>
      </c>
    </row>
    <row r="4018" ht="15" customHeight="1" s="109" thickBot="1">
      <c r="B4018" s="96" t="inlineStr">
        <is>
          <t>SRI KRISHNA METCOM LTD</t>
        </is>
      </c>
      <c r="C4018" s="96" t="inlineStr">
        <is>
          <t>Not Listed</t>
        </is>
      </c>
      <c r="D4018" s="96" t="inlineStr">
        <is>
          <t>SKML</t>
        </is>
      </c>
      <c r="E4018" s="96" t="inlineStr">
        <is>
          <t>SME</t>
        </is>
      </c>
    </row>
    <row r="4019" ht="15" customHeight="1" s="109" thickBot="1">
      <c r="B4019" s="96" t="inlineStr">
        <is>
          <t>SRI LAKSHMI SARASWATHI TEXTILES ARNI LTD</t>
        </is>
      </c>
      <c r="C4019" s="97" t="n">
        <v>521161</v>
      </c>
      <c r="D4019" s="96" t="inlineStr">
        <is>
          <t>Not Listed</t>
        </is>
      </c>
      <c r="E4019" s="96" t="inlineStr">
        <is>
          <t>Textiles</t>
        </is>
      </c>
    </row>
    <row r="4020" ht="15" customHeight="1" s="109" thickBot="1">
      <c r="B4020" s="96" t="inlineStr">
        <is>
          <t>SRI NACHAMMAI COTTON MILLS LTD</t>
        </is>
      </c>
      <c r="C4020" s="97" t="n">
        <v>521234</v>
      </c>
      <c r="D4020" s="96" t="inlineStr">
        <is>
          <t>Not Listed</t>
        </is>
      </c>
      <c r="E4020" s="96" t="inlineStr">
        <is>
          <t>Textiles</t>
        </is>
      </c>
    </row>
    <row r="4021" ht="15" customHeight="1" s="109" thickBot="1">
      <c r="B4021" s="96" t="inlineStr">
        <is>
          <t>SRI RAMAKRISHNA MILLS COIMBATORE LTD</t>
        </is>
      </c>
      <c r="C4021" s="97" t="n">
        <v>521178</v>
      </c>
      <c r="D4021" s="96" t="inlineStr">
        <is>
          <t>Not Listed</t>
        </is>
      </c>
      <c r="E4021" s="96" t="inlineStr">
        <is>
          <t>Textiles</t>
        </is>
      </c>
    </row>
    <row r="4022" ht="15" customHeight="1" s="109" thickBot="1">
      <c r="B4022" s="96" t="inlineStr">
        <is>
          <t>SRI VAJRA GRANITES LTD</t>
        </is>
      </c>
      <c r="C4022" s="97" t="n">
        <v>515081</v>
      </c>
      <c r="D4022" s="96" t="inlineStr">
        <is>
          <t>Not Listed</t>
        </is>
      </c>
      <c r="E4022" s="96" t="inlineStr">
        <is>
          <t>Construction Materials</t>
        </is>
      </c>
    </row>
    <row r="4023" ht="15" customHeight="1" s="109" thickBot="1">
      <c r="B4023" s="96" t="inlineStr">
        <is>
          <t>SRIKALAHASTHI PIPES LTD</t>
        </is>
      </c>
      <c r="C4023" s="97" t="n">
        <v>513605</v>
      </c>
      <c r="D4023" s="96" t="inlineStr">
        <is>
          <t>SRIPIPES</t>
        </is>
      </c>
      <c r="E4023" s="96" t="inlineStr">
        <is>
          <t>Iron &amp; Steel Products</t>
        </is>
      </c>
    </row>
    <row r="4024" ht="15" customHeight="1" s="109" thickBot="1">
      <c r="B4024" s="96" t="inlineStr">
        <is>
          <t>SRM ENERGY LTD</t>
        </is>
      </c>
      <c r="C4024" s="97" t="n">
        <v>523222</v>
      </c>
      <c r="D4024" s="96" t="inlineStr">
        <is>
          <t>Not Listed</t>
        </is>
      </c>
      <c r="E4024" s="96" t="inlineStr">
        <is>
          <t>Electric Utilities</t>
        </is>
      </c>
    </row>
    <row r="4025" ht="15" customHeight="1" s="109" thickBot="1">
      <c r="B4025" s="96" t="inlineStr">
        <is>
          <t>SRS FINANCE LTD</t>
        </is>
      </c>
      <c r="C4025" s="97" t="n">
        <v>536799</v>
      </c>
      <c r="D4025" s="96" t="inlineStr">
        <is>
          <t>Not Listed</t>
        </is>
      </c>
      <c r="E4025" s="96" t="inlineStr">
        <is>
          <t>Finance (including NBFCs)</t>
        </is>
      </c>
    </row>
    <row r="4026" ht="15" customHeight="1" s="109" thickBot="1">
      <c r="B4026" s="96" t="inlineStr">
        <is>
          <t>SRS LTD</t>
        </is>
      </c>
      <c r="C4026" s="97" t="n">
        <v>533569</v>
      </c>
      <c r="D4026" s="96" t="inlineStr">
        <is>
          <t>SRSLTD</t>
        </is>
      </c>
      <c r="E4026" s="96" t="inlineStr">
        <is>
          <t>Other Apparels &amp; Accessories</t>
        </is>
      </c>
    </row>
    <row r="4027" ht="15" customHeight="1" s="109" thickBot="1">
      <c r="B4027" s="96" t="inlineStr">
        <is>
          <t>SRU STEELS LTD</t>
        </is>
      </c>
      <c r="C4027" s="97" t="n">
        <v>540914</v>
      </c>
      <c r="D4027" s="96" t="inlineStr">
        <is>
          <t>Not Listed</t>
        </is>
      </c>
      <c r="E4027" s="96" t="inlineStr">
        <is>
          <t>Comm.Trading &amp; Distribution</t>
        </is>
      </c>
    </row>
    <row r="4028" ht="15" customHeight="1" s="109" thickBot="1">
      <c r="B4028" s="96" t="inlineStr">
        <is>
          <t>SS ORGANICS LTD</t>
        </is>
      </c>
      <c r="C4028" s="97" t="n">
        <v>524636</v>
      </c>
      <c r="D4028" s="96" t="inlineStr">
        <is>
          <t>Not Listed</t>
        </is>
      </c>
      <c r="E4028" s="96" t="inlineStr">
        <is>
          <t>Pharmaceuticals</t>
        </is>
      </c>
    </row>
    <row r="4029" ht="15" customHeight="1" s="109" thickBot="1">
      <c r="B4029" s="96" t="inlineStr">
        <is>
          <t>SSPDL LTD</t>
        </is>
      </c>
      <c r="C4029" s="97" t="n">
        <v>530821</v>
      </c>
      <c r="D4029" s="96" t="inlineStr">
        <is>
          <t>Not Listed</t>
        </is>
      </c>
      <c r="E4029" s="96" t="inlineStr">
        <is>
          <t>Realty</t>
        </is>
      </c>
    </row>
    <row r="4030" ht="15" customHeight="1" s="109" thickBot="1">
      <c r="B4030" s="96" t="inlineStr">
        <is>
          <t>SSPN FINANCE LTD</t>
        </is>
      </c>
      <c r="C4030" s="97" t="n">
        <v>539026</v>
      </c>
      <c r="D4030" s="96" t="inlineStr">
        <is>
          <t>Not Listed</t>
        </is>
      </c>
      <c r="E4030" s="96" t="inlineStr">
        <is>
          <t>Other Financial Services</t>
        </is>
      </c>
    </row>
    <row r="4031" ht="15" customHeight="1" s="109" thickBot="1">
      <c r="B4031" s="96" t="inlineStr">
        <is>
          <t>STAMPEDE CAPITAL LTD</t>
        </is>
      </c>
      <c r="C4031" s="97" t="n">
        <v>531723</v>
      </c>
      <c r="D4031" s="96" t="inlineStr">
        <is>
          <t>STAMPEDE</t>
        </is>
      </c>
      <c r="E4031" s="96" t="inlineStr">
        <is>
          <t>Other Financial Services</t>
        </is>
      </c>
    </row>
    <row r="4032" ht="15" customHeight="1" s="109" thickBot="1">
      <c r="B4032" s="96" t="inlineStr">
        <is>
          <t>STAMPEDE CAPITAL LTD</t>
        </is>
      </c>
      <c r="C4032" s="97" t="n">
        <v>570005</v>
      </c>
      <c r="D4032" s="96" t="inlineStr">
        <is>
          <t>SCAPDVR</t>
        </is>
      </c>
      <c r="E4032" s="96" t="inlineStr">
        <is>
          <t>Other Financial Services</t>
        </is>
      </c>
    </row>
    <row r="4033" ht="15" customHeight="1" s="109" thickBot="1">
      <c r="B4033" s="96" t="inlineStr">
        <is>
          <t>STANDARD BATTERIES LTD</t>
        </is>
      </c>
      <c r="C4033" s="97" t="n">
        <v>504180</v>
      </c>
      <c r="D4033" s="96" t="inlineStr">
        <is>
          <t>Not Listed</t>
        </is>
      </c>
      <c r="E4033" s="96" t="inlineStr">
        <is>
          <t>Finance (including NBFCs)</t>
        </is>
      </c>
    </row>
    <row r="4034" ht="15" customHeight="1" s="109" thickBot="1">
      <c r="B4034" s="96" t="inlineStr">
        <is>
          <t>STANDARD CAPITAL MARKETS LTD</t>
        </is>
      </c>
      <c r="C4034" s="97" t="n">
        <v>511700</v>
      </c>
      <c r="D4034" s="96" t="inlineStr">
        <is>
          <t>Not Listed</t>
        </is>
      </c>
      <c r="E4034" s="96" t="inlineStr">
        <is>
          <t>Finance (including NBFCs)</t>
        </is>
      </c>
    </row>
    <row r="4035" ht="15" customHeight="1" s="109" thickBot="1">
      <c r="B4035" s="96" t="inlineStr">
        <is>
          <t>STANDARD CHARTERED PLC</t>
        </is>
      </c>
      <c r="C4035" s="97" t="n">
        <v>580001</v>
      </c>
      <c r="D4035" s="96" t="inlineStr">
        <is>
          <t>Not Listed</t>
        </is>
      </c>
      <c r="E4035" s="96" t="inlineStr">
        <is>
          <t>Banks</t>
        </is>
      </c>
    </row>
    <row r="4036" ht="15" customHeight="1" s="109" thickBot="1">
      <c r="B4036" s="96" t="inlineStr">
        <is>
          <t>STANDARD INDUSTRIES LTD</t>
        </is>
      </c>
      <c r="C4036" s="97" t="n">
        <v>530017</v>
      </c>
      <c r="D4036" s="96" t="inlineStr">
        <is>
          <t>SIL</t>
        </is>
      </c>
      <c r="E4036" s="96" t="inlineStr">
        <is>
          <t>Commodity Chemicals</t>
        </is>
      </c>
    </row>
    <row r="4037" ht="15" customHeight="1" s="109" thickBot="1">
      <c r="B4037" s="96" t="inlineStr">
        <is>
          <t>STANDARD SHOE SOLE AND MOULD (INDIA) LTD</t>
        </is>
      </c>
      <c r="C4037" s="97" t="n">
        <v>523351</v>
      </c>
      <c r="D4037" s="96" t="inlineStr">
        <is>
          <t>Not Listed</t>
        </is>
      </c>
      <c r="E4037" s="96" t="inlineStr">
        <is>
          <t>Specialty Chemicals</t>
        </is>
      </c>
    </row>
    <row r="4038" ht="15" customHeight="1" s="109" thickBot="1">
      <c r="B4038" s="96" t="inlineStr">
        <is>
          <t>STANDARD SHOE SOLE AND MOULD INDIA LTD</t>
        </is>
      </c>
      <c r="C4038" s="97" t="n">
        <v>523351</v>
      </c>
      <c r="D4038" s="96" t="inlineStr">
        <is>
          <t>Not Listed</t>
        </is>
      </c>
      <c r="E4038" s="96" t="inlineStr">
        <is>
          <t>Specialty Chemicals</t>
        </is>
      </c>
    </row>
    <row r="4039" ht="15" customHeight="1" s="109" thickBot="1">
      <c r="B4039" s="96" t="inlineStr">
        <is>
          <t>STANDARD SURFACTANTS LTD</t>
        </is>
      </c>
      <c r="C4039" s="97" t="n">
        <v>526231</v>
      </c>
      <c r="D4039" s="96" t="inlineStr">
        <is>
          <t>Not Listed</t>
        </is>
      </c>
      <c r="E4039" s="96" t="inlineStr">
        <is>
          <t>Commodity Chemicals</t>
        </is>
      </c>
    </row>
    <row r="4040" ht="15" customHeight="1" s="109" thickBot="1">
      <c r="B4040" s="96" t="inlineStr">
        <is>
          <t>STANPACKS (INDIA) LTD</t>
        </is>
      </c>
      <c r="C4040" s="97" t="n">
        <v>530931</v>
      </c>
      <c r="D4040" s="96" t="inlineStr">
        <is>
          <t>Not Listed</t>
        </is>
      </c>
      <c r="E4040" s="96" t="inlineStr">
        <is>
          <t>Containers &amp; Packaging</t>
        </is>
      </c>
    </row>
    <row r="4041" ht="15" customHeight="1" s="109" thickBot="1">
      <c r="B4041" s="96" t="inlineStr">
        <is>
          <t>STANPACKS INDIA LTD</t>
        </is>
      </c>
      <c r="C4041" s="97" t="n">
        <v>530931</v>
      </c>
      <c r="D4041" s="96" t="inlineStr">
        <is>
          <t>Not Listed</t>
        </is>
      </c>
      <c r="E4041" s="96" t="inlineStr">
        <is>
          <t>Containers &amp; Packaging</t>
        </is>
      </c>
    </row>
    <row r="4042" ht="15" customHeight="1" s="109" thickBot="1">
      <c r="B4042" s="96" t="inlineStr">
        <is>
          <t>STANROSE MAFATLAL INVESTMENTS AND FINANCE LTD</t>
        </is>
      </c>
      <c r="C4042" s="97" t="n">
        <v>506105</v>
      </c>
      <c r="D4042" s="96" t="inlineStr">
        <is>
          <t>Not Listed</t>
        </is>
      </c>
      <c r="E4042" s="96" t="inlineStr">
        <is>
          <t>Investment Companies</t>
        </is>
      </c>
    </row>
    <row r="4043" ht="15" customHeight="1" s="109" thickBot="1">
      <c r="B4043" s="96" t="inlineStr">
        <is>
          <t>STAR CEMENT LTD</t>
        </is>
      </c>
      <c r="C4043" s="97" t="n">
        <v>540575</v>
      </c>
      <c r="D4043" s="96" t="inlineStr">
        <is>
          <t>STARCEMENT</t>
        </is>
      </c>
      <c r="E4043" s="96" t="inlineStr">
        <is>
          <t>Cement &amp; Cement Products</t>
        </is>
      </c>
    </row>
    <row r="4044" ht="15" customHeight="1" s="109" thickBot="1">
      <c r="B4044" s="96" t="inlineStr">
        <is>
          <t>STAR DELTA TRANSFORMERS LTD</t>
        </is>
      </c>
      <c r="C4044" s="97" t="n">
        <v>539255</v>
      </c>
      <c r="D4044" s="96" t="inlineStr">
        <is>
          <t>Not Listed</t>
        </is>
      </c>
      <c r="E4044" s="96" t="inlineStr">
        <is>
          <t>Heavy Electrical Equipment</t>
        </is>
      </c>
    </row>
    <row r="4045" ht="15" customHeight="1" s="109" thickBot="1">
      <c r="B4045" s="96" t="inlineStr">
        <is>
          <t>STAR PAPER MILLS LTD</t>
        </is>
      </c>
      <c r="C4045" s="97" t="n">
        <v>516022</v>
      </c>
      <c r="D4045" s="96" t="inlineStr">
        <is>
          <t>STARPAPER</t>
        </is>
      </c>
      <c r="E4045" s="96" t="inlineStr">
        <is>
          <t>Paper &amp; Paper Products</t>
        </is>
      </c>
    </row>
    <row r="4046" ht="15" customHeight="1" s="109" thickBot="1">
      <c r="B4046" s="96" t="inlineStr">
        <is>
          <t>STARCOM INFORMATION TECHNOLOGY LTD</t>
        </is>
      </c>
      <c r="C4046" s="97" t="n">
        <v>531616</v>
      </c>
      <c r="D4046" s="96" t="inlineStr">
        <is>
          <t>Not Listed</t>
        </is>
      </c>
      <c r="E4046" s="96" t="inlineStr">
        <is>
          <t>IT Consulting &amp; Software</t>
        </is>
      </c>
    </row>
    <row r="4047" ht="15" customHeight="1" s="109" thickBot="1">
      <c r="B4047" s="96" t="inlineStr">
        <is>
          <t>STARLIT POWER SYSTEMS LTD</t>
        </is>
      </c>
      <c r="C4047" s="97" t="n">
        <v>538733</v>
      </c>
      <c r="D4047" s="96" t="inlineStr">
        <is>
          <t>Not Listed</t>
        </is>
      </c>
      <c r="E4047" s="96" t="inlineStr">
        <is>
          <t>Other Non-Ferrous Metals</t>
        </is>
      </c>
    </row>
    <row r="4048" ht="15" customHeight="1" s="109" thickBot="1">
      <c r="B4048" s="96" t="inlineStr">
        <is>
          <t>STARLITE COMPONENTS LTD</t>
        </is>
      </c>
      <c r="C4048" s="97" t="n">
        <v>517548</v>
      </c>
      <c r="D4048" s="96" t="inlineStr">
        <is>
          <t>Not Listed</t>
        </is>
      </c>
      <c r="E4048" s="96" t="inlineStr">
        <is>
          <t>Comm.Trading &amp; Distribution</t>
        </is>
      </c>
    </row>
    <row r="4049" ht="15" customHeight="1" s="109" thickBot="1">
      <c r="B4049" s="96" t="inlineStr">
        <is>
          <t>STARLOG ENTERPRISES LTD</t>
        </is>
      </c>
      <c r="C4049" s="97" t="n">
        <v>520155</v>
      </c>
      <c r="D4049" s="96" t="inlineStr">
        <is>
          <t>Not Listed</t>
        </is>
      </c>
      <c r="E4049" s="96" t="inlineStr">
        <is>
          <t>Marine Port &amp; Services</t>
        </is>
      </c>
    </row>
    <row r="4050" ht="15" customHeight="1" s="109" thickBot="1">
      <c r="B4050" s="96" t="inlineStr">
        <is>
          <t>STATE BANK OF INDIA</t>
        </is>
      </c>
      <c r="C4050" s="97" t="n">
        <v>500112</v>
      </c>
      <c r="D4050" s="96" t="inlineStr">
        <is>
          <t>SBIN</t>
        </is>
      </c>
      <c r="E4050" s="96" t="inlineStr">
        <is>
          <t>Banks</t>
        </is>
      </c>
    </row>
    <row r="4051" ht="15" customHeight="1" s="109" thickBot="1">
      <c r="B4051" s="96" t="inlineStr">
        <is>
          <t>STEEL AUTHORITY OF (INDIA) LTD</t>
        </is>
      </c>
      <c r="C4051" s="97" t="n">
        <v>500113</v>
      </c>
      <c r="D4051" s="96" t="inlineStr">
        <is>
          <t>SAIL</t>
        </is>
      </c>
      <c r="E4051" s="96" t="inlineStr">
        <is>
          <t>Iron &amp; Steel/Interm.Products</t>
        </is>
      </c>
    </row>
    <row r="4052" ht="15" customHeight="1" s="109" thickBot="1">
      <c r="B4052" s="96" t="inlineStr">
        <is>
          <t>STEEL AUTHORITY OF INDIA LTD</t>
        </is>
      </c>
      <c r="C4052" s="97" t="n">
        <v>500113</v>
      </c>
      <c r="D4052" s="96" t="inlineStr">
        <is>
          <t>SAIL</t>
        </is>
      </c>
      <c r="E4052" s="96" t="inlineStr">
        <is>
          <t>Iron &amp; Steel/Interm.Products</t>
        </is>
      </c>
    </row>
    <row r="4053" ht="15" customHeight="1" s="109" thickBot="1">
      <c r="B4053" s="96" t="inlineStr">
        <is>
          <t>STEEL CITY SECURITIES LTD</t>
        </is>
      </c>
      <c r="C4053" s="96" t="inlineStr">
        <is>
          <t>Not Listed</t>
        </is>
      </c>
      <c r="D4053" s="96" t="inlineStr">
        <is>
          <t>STEELCITY</t>
        </is>
      </c>
      <c r="E4053" s="96" t="inlineStr">
        <is>
          <t>SME</t>
        </is>
      </c>
    </row>
    <row r="4054" ht="15" customHeight="1" s="109" thickBot="1">
      <c r="B4054" s="96" t="inlineStr">
        <is>
          <t>STEEL EXCHANGE (INDIA) LTD</t>
        </is>
      </c>
      <c r="C4054" s="97" t="n">
        <v>534748</v>
      </c>
      <c r="D4054" s="96" t="inlineStr">
        <is>
          <t>STEELXIND</t>
        </is>
      </c>
      <c r="E4054" s="96" t="inlineStr">
        <is>
          <t>Iron &amp; Steel/Interm.Products</t>
        </is>
      </c>
    </row>
    <row r="4055" ht="15" customHeight="1" s="109" thickBot="1">
      <c r="B4055" s="96" t="inlineStr">
        <is>
          <t>STEEL EXCHANGE INDIA LTD</t>
        </is>
      </c>
      <c r="C4055" s="97" t="n">
        <v>534748</v>
      </c>
      <c r="D4055" s="96" t="inlineStr">
        <is>
          <t>STEELXIND</t>
        </is>
      </c>
      <c r="E4055" s="96" t="inlineStr">
        <is>
          <t>Iron &amp; Steel/Interm.Products</t>
        </is>
      </c>
    </row>
    <row r="4056" ht="15" customHeight="1" s="109" thickBot="1">
      <c r="B4056" s="96" t="inlineStr">
        <is>
          <t>STEEL STRIPS INFRASTRUCTURES LTD</t>
        </is>
      </c>
      <c r="C4056" s="97" t="n">
        <v>513173</v>
      </c>
      <c r="D4056" s="96" t="inlineStr">
        <is>
          <t>Not Listed</t>
        </is>
      </c>
      <c r="E4056" s="96" t="inlineStr">
        <is>
          <t>Realty</t>
        </is>
      </c>
    </row>
    <row r="4057" ht="15" customHeight="1" s="109" thickBot="1">
      <c r="B4057" s="96" t="inlineStr">
        <is>
          <t>STEEL STRIPS LTD.</t>
        </is>
      </c>
      <c r="C4057" s="97" t="n">
        <v>504717</v>
      </c>
      <c r="D4057" s="96" t="inlineStr">
        <is>
          <t>STRIPMT</t>
        </is>
      </c>
      <c r="E4057" s="96" t="inlineStr">
        <is>
          <t>Iron &amp;amp; Steel/Interm.Products</t>
        </is>
      </c>
    </row>
    <row r="4058" ht="15" customHeight="1" s="109" thickBot="1">
      <c r="B4058" s="96" t="inlineStr">
        <is>
          <t>STEEL STRIPS WHEELS LTD</t>
        </is>
      </c>
      <c r="C4058" s="97" t="n">
        <v>513262</v>
      </c>
      <c r="D4058" s="96" t="inlineStr">
        <is>
          <t>SSWL</t>
        </is>
      </c>
      <c r="E4058" s="96" t="inlineStr">
        <is>
          <t>Auto Parts &amp; Equipment</t>
        </is>
      </c>
    </row>
    <row r="4059" ht="15" customHeight="1" s="109" thickBot="1">
      <c r="B4059" s="96" t="inlineStr">
        <is>
          <t>STEELCAST LTD</t>
        </is>
      </c>
      <c r="C4059" s="97" t="n">
        <v>513517</v>
      </c>
      <c r="D4059" s="96" t="inlineStr">
        <is>
          <t>Not Listed</t>
        </is>
      </c>
      <c r="E4059" s="96" t="inlineStr">
        <is>
          <t>Other Industrial Products</t>
        </is>
      </c>
    </row>
    <row r="4060" ht="15" customHeight="1" s="109" thickBot="1">
      <c r="B4060" s="96" t="inlineStr">
        <is>
          <t>STEELCO GUJARAT LTD</t>
        </is>
      </c>
      <c r="C4060" s="97" t="n">
        <v>500399</v>
      </c>
      <c r="D4060" s="96" t="inlineStr">
        <is>
          <t>Not Listed</t>
        </is>
      </c>
      <c r="E4060" s="96" t="inlineStr">
        <is>
          <t>Iron &amp; Steel/Interm.Products</t>
        </is>
      </c>
    </row>
    <row r="4061" ht="15" customHeight="1" s="109" thickBot="1">
      <c r="B4061" s="96" t="inlineStr">
        <is>
          <t>STEL HOLDINGS LTD</t>
        </is>
      </c>
      <c r="C4061" s="97" t="n">
        <v>533316</v>
      </c>
      <c r="D4061" s="96" t="inlineStr">
        <is>
          <t>STEL</t>
        </is>
      </c>
      <c r="E4061" s="96" t="inlineStr">
        <is>
          <t>Holding Companies</t>
        </is>
      </c>
    </row>
    <row r="4062" ht="15" customHeight="1" s="109" thickBot="1">
      <c r="B4062" s="96" t="inlineStr">
        <is>
          <t>STELLANT SECURITIES (INDIA) LTD</t>
        </is>
      </c>
      <c r="C4062" s="97" t="n">
        <v>526071</v>
      </c>
      <c r="D4062" s="96" t="inlineStr">
        <is>
          <t>Not Listed</t>
        </is>
      </c>
      <c r="E4062" s="96" t="inlineStr">
        <is>
          <t>Other Financial Services</t>
        </is>
      </c>
    </row>
    <row r="4063" ht="15" customHeight="1" s="109" thickBot="1">
      <c r="B4063" s="96" t="inlineStr">
        <is>
          <t>STELLANT SECURITIES INDIA LTD</t>
        </is>
      </c>
      <c r="C4063" s="97" t="n">
        <v>526071</v>
      </c>
      <c r="D4063" s="96" t="inlineStr">
        <is>
          <t>Not Listed</t>
        </is>
      </c>
      <c r="E4063" s="96" t="inlineStr">
        <is>
          <t>Other Financial Services</t>
        </is>
      </c>
    </row>
    <row r="4064" ht="15" customHeight="1" s="109" thickBot="1">
      <c r="B4064" s="96" t="inlineStr">
        <is>
          <t>STELLAR CAPITAL SERVICES LTD</t>
        </is>
      </c>
      <c r="C4064" s="97" t="n">
        <v>536738</v>
      </c>
      <c r="D4064" s="96" t="inlineStr">
        <is>
          <t>Not Listed</t>
        </is>
      </c>
      <c r="E4064" s="96" t="inlineStr">
        <is>
          <t>Other Financial Services</t>
        </is>
      </c>
    </row>
    <row r="4065" ht="15" customHeight="1" s="109" thickBot="1">
      <c r="B4065" s="96" t="inlineStr">
        <is>
          <t>STEP TWO CORPORATION LTD</t>
        </is>
      </c>
      <c r="C4065" s="97" t="n">
        <v>531509</v>
      </c>
      <c r="D4065" s="96" t="inlineStr">
        <is>
          <t>Not Listed</t>
        </is>
      </c>
      <c r="E4065" s="96" t="inlineStr">
        <is>
          <t>Other Financial Services</t>
        </is>
      </c>
    </row>
    <row r="4066" ht="15" customHeight="1" s="109" thickBot="1">
      <c r="B4066" s="96" t="inlineStr">
        <is>
          <t>STERLING GREEN WOODS LTD</t>
        </is>
      </c>
      <c r="C4066" s="97" t="n">
        <v>526500</v>
      </c>
      <c r="D4066" s="96" t="inlineStr">
        <is>
          <t>Not Listed</t>
        </is>
      </c>
      <c r="E4066" s="96" t="inlineStr">
        <is>
          <t>Hotels</t>
        </is>
      </c>
    </row>
    <row r="4067" ht="15" customHeight="1" s="109" thickBot="1">
      <c r="B4067" s="96" t="inlineStr">
        <is>
          <t>STERLING GUARANTY &amp;amp; FINANCE LTD.</t>
        </is>
      </c>
      <c r="C4067" s="97" t="n">
        <v>508963</v>
      </c>
      <c r="D4067" s="96" t="inlineStr">
        <is>
          <t>STRLGUA</t>
        </is>
      </c>
      <c r="E4067" s="96" t="inlineStr">
        <is>
          <t>Finance (including NBFCs)</t>
        </is>
      </c>
    </row>
    <row r="4068" ht="15" customHeight="1" s="109" thickBot="1">
      <c r="B4068" s="96" t="inlineStr">
        <is>
          <t>STERLING SPINNERS LTD</t>
        </is>
      </c>
      <c r="C4068" s="97" t="n">
        <v>531628</v>
      </c>
      <c r="D4068" s="96" t="inlineStr">
        <is>
          <t>Not Listed</t>
        </is>
      </c>
      <c r="E4068" s="96" t="inlineStr">
        <is>
          <t>Textiles</t>
        </is>
      </c>
    </row>
    <row r="4069" ht="15" customHeight="1" s="109" thickBot="1">
      <c r="B4069" s="96" t="inlineStr">
        <is>
          <t>STERLING TOOLS LTD</t>
        </is>
      </c>
      <c r="C4069" s="97" t="n">
        <v>530759</v>
      </c>
      <c r="D4069" s="96" t="inlineStr">
        <is>
          <t>STERTOOLS</t>
        </is>
      </c>
      <c r="E4069" s="96" t="inlineStr">
        <is>
          <t>Auto Parts &amp; Equipment</t>
        </is>
      </c>
    </row>
    <row r="4070" ht="15" customHeight="1" s="109" thickBot="1">
      <c r="B4070" s="96" t="inlineStr">
        <is>
          <t>STERLITE TECHNOLOGIES LTD</t>
        </is>
      </c>
      <c r="C4070" s="97" t="n">
        <v>532374</v>
      </c>
      <c r="D4070" s="96" t="inlineStr">
        <is>
          <t>STRTECH</t>
        </is>
      </c>
      <c r="E4070" s="96" t="inlineStr">
        <is>
          <t>Other Telecom Services</t>
        </is>
      </c>
    </row>
    <row r="4071" ht="15" customHeight="1" s="109" thickBot="1">
      <c r="B4071" s="96" t="inlineStr">
        <is>
          <t>STI (INDIA) LTD</t>
        </is>
      </c>
      <c r="C4071" s="97" t="n">
        <v>513151</v>
      </c>
      <c r="D4071" s="96" t="inlineStr">
        <is>
          <t>ST(INDIA)</t>
        </is>
      </c>
      <c r="E4071" s="96" t="inlineStr">
        <is>
          <t>Textiles</t>
        </is>
      </c>
    </row>
    <row r="4072" ht="15" customHeight="1" s="109" thickBot="1">
      <c r="B4072" s="96" t="inlineStr">
        <is>
          <t>STI INDIA LTD</t>
        </is>
      </c>
      <c r="C4072" s="97" t="n">
        <v>513151</v>
      </c>
      <c r="D4072" s="96" t="inlineStr">
        <is>
          <t>STINDIA</t>
        </is>
      </c>
      <c r="E4072" s="96" t="inlineStr">
        <is>
          <t>Textiles</t>
        </is>
      </c>
    </row>
    <row r="4073" ht="15" customHeight="1" s="109" thickBot="1">
      <c r="B4073" s="96" t="inlineStr">
        <is>
          <t>STL GLOBAL LTD</t>
        </is>
      </c>
      <c r="C4073" s="97" t="n">
        <v>532730</v>
      </c>
      <c r="D4073" s="96" t="inlineStr">
        <is>
          <t>SGL</t>
        </is>
      </c>
      <c r="E4073" s="96" t="inlineStr">
        <is>
          <t>Textiles</t>
        </is>
      </c>
    </row>
    <row r="4074" ht="15" customHeight="1" s="109" thickBot="1">
      <c r="B4074" s="96" t="inlineStr">
        <is>
          <t>STOVEC INDUSTRIES LTD</t>
        </is>
      </c>
      <c r="C4074" s="97" t="n">
        <v>504959</v>
      </c>
      <c r="D4074" s="96" t="inlineStr">
        <is>
          <t>Not Listed</t>
        </is>
      </c>
      <c r="E4074" s="96" t="inlineStr">
        <is>
          <t>Industrial Machinery</t>
        </is>
      </c>
    </row>
    <row r="4075" ht="15" customHeight="1" s="109" thickBot="1">
      <c r="B4075" s="96" t="inlineStr">
        <is>
          <t>STRATMONT INDUSTRIES LTD</t>
        </is>
      </c>
      <c r="C4075" s="97" t="n">
        <v>530495</v>
      </c>
      <c r="D4075" s="96" t="inlineStr">
        <is>
          <t>Not Listed</t>
        </is>
      </c>
      <c r="E4075" s="96" t="inlineStr">
        <is>
          <t>Comm.Trading &amp; Distribution</t>
        </is>
      </c>
    </row>
    <row r="4076" ht="15" customHeight="1" s="109" thickBot="1">
      <c r="B4076" s="96" t="inlineStr">
        <is>
          <t>STRIDES PHARMA SCIENCE LTD</t>
        </is>
      </c>
      <c r="C4076" s="97" t="n">
        <v>532531</v>
      </c>
      <c r="D4076" s="96" t="inlineStr">
        <is>
          <t>STAR</t>
        </is>
      </c>
      <c r="E4076" s="96" t="inlineStr">
        <is>
          <t>Pharmaceuticals</t>
        </is>
      </c>
    </row>
    <row r="4077" ht="15" customHeight="1" s="109" thickBot="1">
      <c r="B4077" s="96" t="inlineStr">
        <is>
          <t>STURDY INDUSTRIES LTD</t>
        </is>
      </c>
      <c r="C4077" s="97" t="n">
        <v>530611</v>
      </c>
      <c r="D4077" s="96" t="inlineStr">
        <is>
          <t>Not Listed</t>
        </is>
      </c>
      <c r="E4077" s="96" t="inlineStr">
        <is>
          <t>Plastic Products</t>
        </is>
      </c>
    </row>
    <row r="4078" ht="15" customHeight="1" s="109" thickBot="1">
      <c r="B4078" s="96" t="inlineStr">
        <is>
          <t>STYLAM INDUSTRIES LTD</t>
        </is>
      </c>
      <c r="C4078" s="97" t="n">
        <v>526951</v>
      </c>
      <c r="D4078" s="96" t="inlineStr">
        <is>
          <t>Not Listed</t>
        </is>
      </c>
      <c r="E4078" s="96" t="inlineStr">
        <is>
          <t>Forest Products</t>
        </is>
      </c>
    </row>
    <row r="4079" ht="15" customHeight="1" s="109" thickBot="1">
      <c r="B4079" s="96" t="inlineStr">
        <is>
          <t>Subex LTD</t>
        </is>
      </c>
      <c r="C4079" s="96" t="inlineStr">
        <is>
          <t>Not Listed</t>
        </is>
      </c>
      <c r="D4079" s="96" t="inlineStr">
        <is>
          <t>SUBEX</t>
        </is>
      </c>
      <c r="E4079" s="96" t="inlineStr">
        <is>
          <t>Forest Products</t>
        </is>
      </c>
    </row>
    <row r="4080" ht="15" customHeight="1" s="109" thickBot="1">
      <c r="B4080" s="96" t="inlineStr">
        <is>
          <t>SUBEX LTD</t>
        </is>
      </c>
      <c r="C4080" s="97" t="n">
        <v>532348</v>
      </c>
      <c r="D4080" s="96" t="inlineStr">
        <is>
          <t>Not Listed</t>
        </is>
      </c>
      <c r="E4080" s="96" t="inlineStr">
        <is>
          <t>IT Software Products</t>
        </is>
      </c>
    </row>
    <row r="4081" ht="15" customHeight="1" s="109" thickBot="1">
      <c r="B4081" s="96" t="inlineStr">
        <is>
          <t>SUBHASH SILK MILLS LTD</t>
        </is>
      </c>
      <c r="C4081" s="97" t="n">
        <v>530231</v>
      </c>
      <c r="D4081" s="96" t="inlineStr">
        <is>
          <t>Not Listed</t>
        </is>
      </c>
      <c r="E4081" s="96" t="inlineStr">
        <is>
          <t>Textiles</t>
        </is>
      </c>
    </row>
    <row r="4082" ht="15" customHeight="1" s="109" thickBot="1">
      <c r="B4082" s="96" t="inlineStr">
        <is>
          <t>SUBROS LTD</t>
        </is>
      </c>
      <c r="C4082" s="97" t="n">
        <v>517168</v>
      </c>
      <c r="D4082" s="96" t="inlineStr">
        <is>
          <t>SUBROS</t>
        </is>
      </c>
      <c r="E4082" s="96" t="inlineStr">
        <is>
          <t>Auto Parts &amp; Equipment</t>
        </is>
      </c>
    </row>
    <row r="4083" ht="15" customHeight="1" s="109" thickBot="1">
      <c r="B4083" s="96" t="inlineStr">
        <is>
          <t>SUBWAY FINANCE &amp; INVESTMENT CO LTD</t>
        </is>
      </c>
      <c r="C4083" s="97" t="n">
        <v>511024</v>
      </c>
      <c r="D4083" s="96" t="inlineStr">
        <is>
          <t>Not Listed</t>
        </is>
      </c>
      <c r="E4083" s="96" t="inlineStr">
        <is>
          <t>Misc.Commercial Services</t>
        </is>
      </c>
    </row>
    <row r="4084" ht="15" customHeight="1" s="109" thickBot="1">
      <c r="B4084" s="96" t="inlineStr">
        <is>
          <t>SUCHITRA FINANCE &amp; TRADING COMPANY LTD</t>
        </is>
      </c>
      <c r="C4084" s="97" t="n">
        <v>538714</v>
      </c>
      <c r="D4084" s="96" t="inlineStr">
        <is>
          <t>Not Listed</t>
        </is>
      </c>
      <c r="E4084" s="96" t="inlineStr">
        <is>
          <t>Finance (including NBFCs)</t>
        </is>
      </c>
    </row>
    <row r="4085" ht="15" customHeight="1" s="109" thickBot="1">
      <c r="B4085" s="96" t="inlineStr">
        <is>
          <t>SUDAL INDUSTRIES LTD</t>
        </is>
      </c>
      <c r="C4085" s="97" t="n">
        <v>506003</v>
      </c>
      <c r="D4085" s="96" t="inlineStr">
        <is>
          <t>Not Listed</t>
        </is>
      </c>
      <c r="E4085" s="96" t="inlineStr">
        <is>
          <t>Aluminium</t>
        </is>
      </c>
    </row>
    <row r="4086" ht="15" customHeight="1" s="109" thickBot="1">
      <c r="B4086" s="96" t="inlineStr">
        <is>
          <t>SUDARSHAN CHEMICAL INDUSTRIES LTD</t>
        </is>
      </c>
      <c r="C4086" s="97" t="n">
        <v>506655</v>
      </c>
      <c r="D4086" s="96" t="inlineStr">
        <is>
          <t>SUDARSCHEM</t>
        </is>
      </c>
      <c r="E4086" s="96" t="inlineStr">
        <is>
          <t>Specialty Chemicals</t>
        </is>
      </c>
    </row>
    <row r="4087" ht="15" customHeight="1" s="109" thickBot="1">
      <c r="B4087" s="96" t="inlineStr">
        <is>
          <t>SUDITI INDUSTRIES LTD</t>
        </is>
      </c>
      <c r="C4087" s="97" t="n">
        <v>521113</v>
      </c>
      <c r="D4087" s="96" t="inlineStr">
        <is>
          <t>Not Listed</t>
        </is>
      </c>
      <c r="E4087" s="96" t="inlineStr">
        <is>
          <t>Textiles</t>
        </is>
      </c>
    </row>
    <row r="4088" ht="15" customHeight="1" s="109" thickBot="1">
      <c r="B4088" s="96" t="inlineStr">
        <is>
          <t>SUERYAA KNITWEAR LTD</t>
        </is>
      </c>
      <c r="C4088" s="97" t="n">
        <v>540318</v>
      </c>
      <c r="D4088" s="96" t="inlineStr">
        <is>
          <t>Not Listed</t>
        </is>
      </c>
      <c r="E4088" s="96" t="inlineStr">
        <is>
          <t>Textiles</t>
        </is>
      </c>
    </row>
    <row r="4089" ht="15" customHeight="1" s="109" thickBot="1">
      <c r="B4089" s="96" t="inlineStr">
        <is>
          <t>SUGAL &amp; DAMANI SHARE BROKERS LTD</t>
        </is>
      </c>
      <c r="C4089" s="97" t="n">
        <v>511654</v>
      </c>
      <c r="D4089" s="96" t="inlineStr">
        <is>
          <t>Not Listed</t>
        </is>
      </c>
      <c r="E4089" s="96" t="inlineStr">
        <is>
          <t>Finance (including NBFCs)</t>
        </is>
      </c>
    </row>
    <row r="4090" ht="15" customHeight="1" s="109" thickBot="1">
      <c r="B4090" s="96" t="inlineStr">
        <is>
          <t>Suich Industries Ltd</t>
        </is>
      </c>
      <c r="C4090" s="97" t="n">
        <v>542683</v>
      </c>
      <c r="D4090" s="96" t="inlineStr">
        <is>
          <t>SUICH</t>
        </is>
      </c>
      <c r="E4090" s="96" t="inlineStr">
        <is>
          <t>Telecom Equipment</t>
        </is>
      </c>
    </row>
    <row r="4091" ht="15" customHeight="1" s="109" thickBot="1">
      <c r="B4091" s="96" t="inlineStr">
        <is>
          <t>SUJALA TRADING &amp; HOLDINGS LTD</t>
        </is>
      </c>
      <c r="C4091" s="97" t="n">
        <v>539117</v>
      </c>
      <c r="D4091" s="96" t="inlineStr">
        <is>
          <t>Not Listed</t>
        </is>
      </c>
      <c r="E4091" s="96" t="inlineStr">
        <is>
          <t>Finance (including NBFCs)</t>
        </is>
      </c>
    </row>
    <row r="4092" ht="15" customHeight="1" s="109" thickBot="1">
      <c r="B4092" s="96" t="inlineStr">
        <is>
          <t>SUJANA UNIVERSAL INDUSTRIES LTD</t>
        </is>
      </c>
      <c r="C4092" s="97" t="n">
        <v>517224</v>
      </c>
      <c r="D4092" s="96" t="inlineStr">
        <is>
          <t>SUJANAUNI</t>
        </is>
      </c>
      <c r="E4092" s="96" t="inlineStr">
        <is>
          <t>Other Industrial Products</t>
        </is>
      </c>
    </row>
    <row r="4093" ht="15" customHeight="1" s="109" thickBot="1">
      <c r="B4093" s="96" t="inlineStr">
        <is>
          <t>SUKHJIT STARCH &amp; CHEMICALS LTD</t>
        </is>
      </c>
      <c r="C4093" s="97" t="n">
        <v>524542</v>
      </c>
      <c r="D4093" s="96" t="inlineStr">
        <is>
          <t>Not Listed</t>
        </is>
      </c>
      <c r="E4093" s="96" t="inlineStr">
        <is>
          <t>Other Agricultural Products</t>
        </is>
      </c>
    </row>
    <row r="4094" ht="15" customHeight="1" s="109" thickBot="1">
      <c r="B4094" s="96" t="inlineStr">
        <is>
          <t>SULABH ENGINEERS &amp; SERVICES LTD</t>
        </is>
      </c>
      <c r="C4094" s="97" t="n">
        <v>508969</v>
      </c>
      <c r="D4094" s="96" t="inlineStr">
        <is>
          <t>Not Listed</t>
        </is>
      </c>
      <c r="E4094" s="96" t="inlineStr">
        <is>
          <t>Finance (including NBFCs)</t>
        </is>
      </c>
    </row>
    <row r="4095" ht="15" customHeight="1" s="109" thickBot="1">
      <c r="B4095" s="96" t="inlineStr">
        <is>
          <t>SUMEDHA FISCAL SERVICES LTD</t>
        </is>
      </c>
      <c r="C4095" s="97" t="n">
        <v>530419</v>
      </c>
      <c r="D4095" s="96" t="inlineStr">
        <is>
          <t>Not Listed</t>
        </is>
      </c>
      <c r="E4095" s="96" t="inlineStr">
        <is>
          <t>Other Financial Services</t>
        </is>
      </c>
    </row>
    <row r="4096" ht="15" customHeight="1" s="109" thickBot="1">
      <c r="B4096" s="96" t="inlineStr">
        <is>
          <t>SUMEET INDUSTRIES LTD</t>
        </is>
      </c>
      <c r="C4096" s="97" t="n">
        <v>514211</v>
      </c>
      <c r="D4096" s="96" t="inlineStr">
        <is>
          <t>SUMEETINDS</t>
        </is>
      </c>
      <c r="E4096" s="96" t="inlineStr">
        <is>
          <t>Textiles</t>
        </is>
      </c>
    </row>
    <row r="4097" ht="15" customHeight="1" s="109" thickBot="1">
      <c r="B4097" s="96" t="inlineStr">
        <is>
          <t>SUMERU INDUSTRIES LTD</t>
        </is>
      </c>
      <c r="C4097" s="97" t="n">
        <v>530445</v>
      </c>
      <c r="D4097" s="96" t="inlineStr">
        <is>
          <t>Not Listed</t>
        </is>
      </c>
      <c r="E4097" s="96" t="inlineStr">
        <is>
          <t>Comm.Trading &amp; Distribution</t>
        </is>
      </c>
    </row>
    <row r="4098" ht="15" customHeight="1" s="109" thickBot="1">
      <c r="B4098" s="96" t="inlineStr">
        <is>
          <t>SUMIT WOODS LTD</t>
        </is>
      </c>
      <c r="C4098" s="96" t="inlineStr">
        <is>
          <t>Not Listed</t>
        </is>
      </c>
      <c r="D4098" s="96" t="inlineStr">
        <is>
          <t>SUMIT</t>
        </is>
      </c>
      <c r="E4098" s="96" t="inlineStr">
        <is>
          <t>SME</t>
        </is>
      </c>
    </row>
    <row r="4099" ht="15" customHeight="1" s="109" thickBot="1">
      <c r="B4099" s="96" t="inlineStr">
        <is>
          <t>SUMMIT SECURITIES LTD</t>
        </is>
      </c>
      <c r="C4099" s="97" t="n">
        <v>533306</v>
      </c>
      <c r="D4099" s="96" t="inlineStr">
        <is>
          <t>SUMMITSEC</t>
        </is>
      </c>
      <c r="E4099" s="96" t="inlineStr">
        <is>
          <t>Investment Companies</t>
        </is>
      </c>
    </row>
    <row r="4100" ht="15" customHeight="1" s="109" thickBot="1">
      <c r="B4100" s="96" t="inlineStr">
        <is>
          <t>SUN AND SHINE WORLDWIDE LTD</t>
        </is>
      </c>
      <c r="C4100" s="97" t="n">
        <v>532154</v>
      </c>
      <c r="D4100" s="96" t="inlineStr">
        <is>
          <t>Not Listed</t>
        </is>
      </c>
      <c r="E4100" s="96" t="inlineStr">
        <is>
          <t>Misc.Commercial Services</t>
        </is>
      </c>
    </row>
    <row r="4101" ht="15" customHeight="1" s="109" thickBot="1">
      <c r="B4101" s="96" t="inlineStr">
        <is>
          <t>SUN PHARMA ADVANCED RESEARCH COMPANY LTD</t>
        </is>
      </c>
      <c r="C4101" s="97" t="n">
        <v>532872</v>
      </c>
      <c r="D4101" s="96" t="inlineStr">
        <is>
          <t>SPARC</t>
        </is>
      </c>
      <c r="E4101" s="96" t="inlineStr">
        <is>
          <t>Pharmaceuticals</t>
        </is>
      </c>
    </row>
    <row r="4102" ht="15" customHeight="1" s="109" thickBot="1">
      <c r="B4102" s="96" t="inlineStr">
        <is>
          <t>SUN PHARMACEUTICAL INDUSTRIES LTD</t>
        </is>
      </c>
      <c r="C4102" s="97" t="n">
        <v>524715</v>
      </c>
      <c r="D4102" s="96" t="inlineStr">
        <is>
          <t>SUNPHARMA</t>
        </is>
      </c>
      <c r="E4102" s="96" t="inlineStr">
        <is>
          <t>Pharmaceuticals</t>
        </is>
      </c>
    </row>
    <row r="4103" ht="15" customHeight="1" s="109" thickBot="1">
      <c r="B4103" s="96" t="inlineStr">
        <is>
          <t>SUN RETAIL LTD</t>
        </is>
      </c>
      <c r="C4103" s="97" t="n">
        <v>542025</v>
      </c>
      <c r="D4103" s="96" t="inlineStr">
        <is>
          <t>Not Listed</t>
        </is>
      </c>
      <c r="E4103" s="96" t="inlineStr">
        <is>
          <t>Comm.Trading &amp; Distribution</t>
        </is>
      </c>
    </row>
    <row r="4104" ht="15" customHeight="1" s="109" thickBot="1">
      <c r="B4104" s="96" t="inlineStr">
        <is>
          <t>SUN SOURCE (INDIA) LTD</t>
        </is>
      </c>
      <c r="C4104" s="97" t="n">
        <v>517403</v>
      </c>
      <c r="D4104" s="96" t="inlineStr">
        <is>
          <t>Not Listed</t>
        </is>
      </c>
      <c r="E4104" s="96" t="inlineStr">
        <is>
          <t>Electric Utilities</t>
        </is>
      </c>
    </row>
    <row r="4105" ht="15" customHeight="1" s="109" thickBot="1">
      <c r="B4105" s="96" t="inlineStr">
        <is>
          <t>SUN SOURCE INDIA LTD</t>
        </is>
      </c>
      <c r="C4105" s="97" t="n">
        <v>517403</v>
      </c>
      <c r="D4105" s="96" t="inlineStr">
        <is>
          <t>Not Listed</t>
        </is>
      </c>
      <c r="E4105" s="96" t="inlineStr">
        <is>
          <t>Electric Utilities</t>
        </is>
      </c>
    </row>
    <row r="4106" ht="15" customHeight="1" s="109" thickBot="1">
      <c r="B4106" s="96" t="inlineStr">
        <is>
          <t>SUN TECHNO OVERSEAS LTD</t>
        </is>
      </c>
      <c r="C4106" s="97" t="n">
        <v>531752</v>
      </c>
      <c r="D4106" s="96" t="inlineStr">
        <is>
          <t>Not Listed</t>
        </is>
      </c>
      <c r="E4106" s="96" t="inlineStr">
        <is>
          <t>Comm.Trading &amp; Distribution</t>
        </is>
      </c>
    </row>
    <row r="4107" ht="15" customHeight="1" s="109" thickBot="1">
      <c r="B4107" s="96" t="inlineStr">
        <is>
          <t>SUN TV NETWORK LTD</t>
        </is>
      </c>
      <c r="C4107" s="97" t="n">
        <v>532733</v>
      </c>
      <c r="D4107" s="96" t="inlineStr">
        <is>
          <t>SUNTV</t>
        </is>
      </c>
      <c r="E4107" s="96" t="inlineStr">
        <is>
          <t>Broadcasting &amp; Cable TV</t>
        </is>
      </c>
    </row>
    <row r="4108" ht="15" customHeight="1" s="109" thickBot="1">
      <c r="B4108" s="96" t="inlineStr">
        <is>
          <t>SUNCARE TRADERS LTD</t>
        </is>
      </c>
      <c r="C4108" s="97" t="n">
        <v>539526</v>
      </c>
      <c r="D4108" s="96" t="inlineStr">
        <is>
          <t>Not Listed</t>
        </is>
      </c>
      <c r="E4108" s="96" t="inlineStr">
        <is>
          <t>Distributors</t>
        </is>
      </c>
    </row>
    <row r="4109" ht="15" customHeight="1" s="109" thickBot="1">
      <c r="B4109" s="96" t="inlineStr">
        <is>
          <t>SUNCITY SYNTHETICS LTD</t>
        </is>
      </c>
      <c r="C4109" s="97" t="n">
        <v>530795</v>
      </c>
      <c r="D4109" s="96" t="inlineStr">
        <is>
          <t>Not Listed</t>
        </is>
      </c>
      <c r="E4109" s="96" t="inlineStr">
        <is>
          <t>Textiles</t>
        </is>
      </c>
    </row>
    <row r="4110" ht="15" customHeight="1" s="109" thickBot="1">
      <c r="B4110" s="96" t="inlineStr">
        <is>
          <t>SUNDARAM BRAKE LININGS LTD</t>
        </is>
      </c>
      <c r="C4110" s="97" t="n">
        <v>590072</v>
      </c>
      <c r="D4110" s="96" t="inlineStr">
        <is>
          <t>SUNDRMBRAK</t>
        </is>
      </c>
      <c r="E4110" s="96" t="inlineStr">
        <is>
          <t>Auto Parts &amp; Equipment</t>
        </is>
      </c>
    </row>
    <row r="4111" ht="15" customHeight="1" s="109" thickBot="1">
      <c r="B4111" s="96" t="inlineStr">
        <is>
          <t>SUNDARAM CLAYTON LTD</t>
        </is>
      </c>
      <c r="C4111" s="97" t="n">
        <v>520056</v>
      </c>
      <c r="D4111" s="96" t="inlineStr">
        <is>
          <t>SUNCLAYLTD</t>
        </is>
      </c>
      <c r="E4111" s="96" t="inlineStr">
        <is>
          <t>Auto Parts &amp; Equipment</t>
        </is>
      </c>
    </row>
    <row r="4112" ht="15" customHeight="1" s="109" thickBot="1">
      <c r="B4112" s="96" t="inlineStr">
        <is>
          <t>SUNDARAM FINANCE HOLDINGS LTD</t>
        </is>
      </c>
      <c r="C4112" s="96" t="inlineStr">
        <is>
          <t>Not Listed</t>
        </is>
      </c>
      <c r="D4112" s="96" t="inlineStr">
        <is>
          <t>SUNDARMHLD</t>
        </is>
      </c>
      <c r="E4112" s="96" t="inlineStr">
        <is>
          <t>Others</t>
        </is>
      </c>
    </row>
    <row r="4113" ht="15" customHeight="1" s="109" thickBot="1">
      <c r="B4113" s="96" t="inlineStr">
        <is>
          <t>SUNDARAM FINANCE LTD</t>
        </is>
      </c>
      <c r="C4113" s="97" t="n">
        <v>590071</v>
      </c>
      <c r="D4113" s="96" t="inlineStr">
        <is>
          <t>SUNDARMFIN</t>
        </is>
      </c>
      <c r="E4113" s="96" t="inlineStr">
        <is>
          <t>Finance (including NBFCs)</t>
        </is>
      </c>
    </row>
    <row r="4114" ht="15" customHeight="1" s="109" thickBot="1">
      <c r="B4114" s="96" t="inlineStr">
        <is>
          <t>SUNDARAM MULTI PAP LTD</t>
        </is>
      </c>
      <c r="C4114" s="97" t="n">
        <v>533166</v>
      </c>
      <c r="D4114" s="96" t="inlineStr">
        <is>
          <t>SUNDARAM</t>
        </is>
      </c>
      <c r="E4114" s="96" t="inlineStr">
        <is>
          <t>Comm.Printing/Stationery</t>
        </is>
      </c>
    </row>
    <row r="4115" ht="15" customHeight="1" s="109" thickBot="1">
      <c r="B4115" s="96" t="inlineStr">
        <is>
          <t>SUNDRAM FASTENERS LTD</t>
        </is>
      </c>
      <c r="C4115" s="97" t="n">
        <v>500403</v>
      </c>
      <c r="D4115" s="96" t="inlineStr">
        <is>
          <t>SUNDRMFAST</t>
        </is>
      </c>
      <c r="E4115" s="96" t="inlineStr">
        <is>
          <t>Auto Parts &amp; Equipment</t>
        </is>
      </c>
    </row>
    <row r="4116" ht="15" customHeight="1" s="109" thickBot="1">
      <c r="B4116" s="96" t="inlineStr">
        <is>
          <t>SUNFLAG IRON AND STEEL COMPANY LTD</t>
        </is>
      </c>
      <c r="C4116" s="97" t="n">
        <v>500404</v>
      </c>
      <c r="D4116" s="96" t="inlineStr">
        <is>
          <t>SUNFLAG</t>
        </is>
      </c>
      <c r="E4116" s="96" t="inlineStr">
        <is>
          <t>Iron &amp; Steel/Interm.Products</t>
        </is>
      </c>
    </row>
    <row r="4117" ht="15" customHeight="1" s="109" thickBot="1">
      <c r="B4117" s="96" t="inlineStr">
        <is>
          <t>SUNGOLD CAPITAL LTD</t>
        </is>
      </c>
      <c r="C4117" s="97" t="n">
        <v>531433</v>
      </c>
      <c r="D4117" s="96" t="inlineStr">
        <is>
          <t>Not Listed</t>
        </is>
      </c>
      <c r="E4117" s="96" t="inlineStr">
        <is>
          <t>Finance (including NBFCs)</t>
        </is>
      </c>
    </row>
    <row r="4118" ht="15" customHeight="1" s="109" thickBot="1">
      <c r="B4118" s="96" t="inlineStr">
        <is>
          <t>SUNGOLD MEDIA AND ENTERTAINMENT LTD</t>
        </is>
      </c>
      <c r="C4118" s="97" t="n">
        <v>541799</v>
      </c>
      <c r="D4118" s="96" t="inlineStr">
        <is>
          <t>Not Listed</t>
        </is>
      </c>
      <c r="E4118" s="96" t="inlineStr">
        <is>
          <t>Advertising &amp; Media</t>
        </is>
      </c>
    </row>
    <row r="4119" ht="15" customHeight="1" s="109" thickBot="1">
      <c r="B4119" s="96" t="inlineStr">
        <is>
          <t>SUNIL AGRO FOODS LTD</t>
        </is>
      </c>
      <c r="C4119" s="97" t="n">
        <v>530953</v>
      </c>
      <c r="D4119" s="96" t="inlineStr">
        <is>
          <t>Not Listed</t>
        </is>
      </c>
      <c r="E4119" s="96" t="inlineStr">
        <is>
          <t>Packaged Foods</t>
        </is>
      </c>
    </row>
    <row r="4120" ht="15" customHeight="1" s="109" thickBot="1">
      <c r="B4120" s="96" t="inlineStr">
        <is>
          <t>SUNIL HEALTHCARE LTD</t>
        </is>
      </c>
      <c r="C4120" s="97" t="n">
        <v>537253</v>
      </c>
      <c r="D4120" s="96" t="inlineStr">
        <is>
          <t>Not Listed</t>
        </is>
      </c>
      <c r="E4120" s="96" t="inlineStr">
        <is>
          <t>Pharmaceuticals</t>
        </is>
      </c>
    </row>
    <row r="4121" ht="15" customHeight="1" s="109" thickBot="1">
      <c r="B4121" s="96" t="inlineStr">
        <is>
          <t>SUNIL HITECH ENGINEERS LTD</t>
        </is>
      </c>
      <c r="C4121" s="97" t="n">
        <v>532711</v>
      </c>
      <c r="D4121" s="96" t="inlineStr">
        <is>
          <t>SUNILHITEC</t>
        </is>
      </c>
      <c r="E4121" s="96" t="inlineStr">
        <is>
          <t>Construction &amp; Engineering</t>
        </is>
      </c>
    </row>
    <row r="4122" ht="15" customHeight="1" s="109" thickBot="1">
      <c r="B4122" s="96" t="inlineStr">
        <is>
          <t>SUNIL INDUSTRIES LTD</t>
        </is>
      </c>
      <c r="C4122" s="97" t="n">
        <v>521232</v>
      </c>
      <c r="D4122" s="96" t="inlineStr">
        <is>
          <t>Not Listed</t>
        </is>
      </c>
      <c r="E4122" s="96" t="inlineStr">
        <is>
          <t>Comm.Trading &amp; Distribution</t>
        </is>
      </c>
    </row>
    <row r="4123" ht="15" customHeight="1" s="109" thickBot="1">
      <c r="B4123" s="96" t="inlineStr">
        <is>
          <t>SUNRAJ DIAMOND EXPORTS LTD.</t>
        </is>
      </c>
      <c r="C4123" s="97" t="n">
        <v>523425</v>
      </c>
      <c r="D4123" s="96" t="inlineStr">
        <is>
          <t>SUNRAJDI</t>
        </is>
      </c>
      <c r="E4123" s="96" t="inlineStr">
        <is>
          <t>Other Apparels &amp;amp; Accessories</t>
        </is>
      </c>
    </row>
    <row r="4124" ht="15" customHeight="1" s="109" thickBot="1">
      <c r="B4124" s="96" t="inlineStr">
        <is>
          <t>SUNRISE INDUSTRIAL TRADERS LTD</t>
        </is>
      </c>
      <c r="C4124" s="97" t="n">
        <v>501110</v>
      </c>
      <c r="D4124" s="96" t="inlineStr">
        <is>
          <t>Not Listed</t>
        </is>
      </c>
      <c r="E4124" s="96" t="inlineStr">
        <is>
          <t>Other Financial Services</t>
        </is>
      </c>
    </row>
    <row r="4125" ht="15" customHeight="1" s="109" thickBot="1">
      <c r="B4125" s="96" t="inlineStr">
        <is>
          <t>SUNSHIELD CHEMICALS LTD</t>
        </is>
      </c>
      <c r="C4125" s="97" t="n">
        <v>530845</v>
      </c>
      <c r="D4125" s="96" t="inlineStr">
        <is>
          <t>Not Listed</t>
        </is>
      </c>
      <c r="E4125" s="96" t="inlineStr">
        <is>
          <t>Commodity Chemicals</t>
        </is>
      </c>
    </row>
    <row r="4126" ht="15" customHeight="1" s="109" thickBot="1">
      <c r="B4126" s="96" t="inlineStr">
        <is>
          <t>SUNSHINE CAPITAL LTD</t>
        </is>
      </c>
      <c r="C4126" s="97" t="n">
        <v>539574</v>
      </c>
      <c r="D4126" s="96" t="inlineStr">
        <is>
          <t>Not Listed</t>
        </is>
      </c>
      <c r="E4126" s="96" t="inlineStr">
        <is>
          <t>Finance (including NBFCs)</t>
        </is>
      </c>
    </row>
    <row r="4127" ht="15" customHeight="1" s="109" thickBot="1">
      <c r="B4127" s="96" t="inlineStr">
        <is>
          <t>SUNSTAR REALTY DEVELOPMENT LTD</t>
        </is>
      </c>
      <c r="C4127" s="97" t="n">
        <v>535141</v>
      </c>
      <c r="D4127" s="96" t="inlineStr">
        <is>
          <t>Not Listed</t>
        </is>
      </c>
      <c r="E4127" s="96" t="inlineStr">
        <is>
          <t>Realty</t>
        </is>
      </c>
    </row>
    <row r="4128" ht="15" customHeight="1" s="109" thickBot="1">
      <c r="B4128" s="96" t="inlineStr">
        <is>
          <t>SUNTECK REALTY LTD</t>
        </is>
      </c>
      <c r="C4128" s="97" t="n">
        <v>512179</v>
      </c>
      <c r="D4128" s="96" t="inlineStr">
        <is>
          <t>SUNTECK</t>
        </is>
      </c>
      <c r="E4128" s="96" t="inlineStr">
        <is>
          <t>Realty</t>
        </is>
      </c>
    </row>
    <row r="4129" ht="15" customHeight="1" s="109" thickBot="1">
      <c r="B4129" s="96" t="inlineStr">
        <is>
          <t>SUPER BAKERS (INDIA) LTD</t>
        </is>
      </c>
      <c r="C4129" s="97" t="n">
        <v>530735</v>
      </c>
      <c r="D4129" s="96" t="inlineStr">
        <is>
          <t>Not Listed</t>
        </is>
      </c>
      <c r="E4129" s="96" t="inlineStr">
        <is>
          <t>Packaged Foods</t>
        </is>
      </c>
    </row>
    <row r="4130" ht="15" customHeight="1" s="109" thickBot="1">
      <c r="B4130" s="96" t="inlineStr">
        <is>
          <t>SUPER BAKERS INDIA LTD</t>
        </is>
      </c>
      <c r="C4130" s="97" t="n">
        <v>530735</v>
      </c>
      <c r="D4130" s="96" t="inlineStr">
        <is>
          <t>Not Listed</t>
        </is>
      </c>
      <c r="E4130" s="96" t="inlineStr">
        <is>
          <t>Packaged Foods</t>
        </is>
      </c>
    </row>
    <row r="4131" ht="15" customHeight="1" s="109" thickBot="1">
      <c r="B4131" s="96" t="inlineStr">
        <is>
          <t>SUPER CROP SAFE LTD</t>
        </is>
      </c>
      <c r="C4131" s="97" t="n">
        <v>530883</v>
      </c>
      <c r="D4131" s="96" t="inlineStr">
        <is>
          <t>Not Listed</t>
        </is>
      </c>
      <c r="E4131" s="96" t="inlineStr">
        <is>
          <t>Agrochemicals</t>
        </is>
      </c>
    </row>
    <row r="4132" ht="15" customHeight="1" s="109" thickBot="1">
      <c r="B4132" s="96" t="inlineStr">
        <is>
          <t>SUPER DOMESTIC MACHINES LTD</t>
        </is>
      </c>
      <c r="C4132" s="97" t="n">
        <v>531699</v>
      </c>
      <c r="D4132" s="96" t="inlineStr">
        <is>
          <t>Not Listed</t>
        </is>
      </c>
      <c r="E4132" s="96" t="inlineStr">
        <is>
          <t>Household Appliances</t>
        </is>
      </c>
    </row>
    <row r="4133" ht="15" customHeight="1" s="109" thickBot="1">
      <c r="B4133" s="96" t="inlineStr">
        <is>
          <t>SUPER FINE KNITTERS LTD</t>
        </is>
      </c>
      <c r="C4133" s="97" t="n">
        <v>540269</v>
      </c>
      <c r="D4133" s="96" t="inlineStr">
        <is>
          <t>Not Listed</t>
        </is>
      </c>
      <c r="E4133" s="96" t="inlineStr">
        <is>
          <t>Other Apparels &amp; Accessories</t>
        </is>
      </c>
    </row>
    <row r="4134" ht="15" customHeight="1" s="109" thickBot="1">
      <c r="B4134" s="96" t="inlineStr">
        <is>
          <t>SUPER SALES (INDIA) LTD</t>
        </is>
      </c>
      <c r="C4134" s="97" t="n">
        <v>512527</v>
      </c>
      <c r="D4134" s="96" t="inlineStr">
        <is>
          <t>Not Listed</t>
        </is>
      </c>
      <c r="E4134" s="96" t="inlineStr">
        <is>
          <t>Textiles</t>
        </is>
      </c>
    </row>
    <row r="4135" ht="15" customHeight="1" s="109" thickBot="1">
      <c r="B4135" s="96" t="inlineStr">
        <is>
          <t>SUPER SALES INDIA LTD</t>
        </is>
      </c>
      <c r="C4135" s="97" t="n">
        <v>512527</v>
      </c>
      <c r="D4135" s="96" t="inlineStr">
        <is>
          <t>Not Listed</t>
        </is>
      </c>
      <c r="E4135" s="96" t="inlineStr">
        <is>
          <t>Textiles</t>
        </is>
      </c>
    </row>
    <row r="4136" ht="15" customHeight="1" s="109" thickBot="1">
      <c r="B4136" s="96" t="inlineStr">
        <is>
          <t>SUPER SPINNING MILLS LTD</t>
        </is>
      </c>
      <c r="C4136" s="97" t="n">
        <v>521180</v>
      </c>
      <c r="D4136" s="96" t="inlineStr">
        <is>
          <t>SUPERSPIN</t>
        </is>
      </c>
      <c r="E4136" s="96" t="inlineStr">
        <is>
          <t>Textiles</t>
        </is>
      </c>
    </row>
    <row r="4137" ht="15" customHeight="1" s="109" thickBot="1">
      <c r="B4137" s="96" t="inlineStr">
        <is>
          <t>SUPER TANNERY LTD</t>
        </is>
      </c>
      <c r="C4137" s="97" t="n">
        <v>523842</v>
      </c>
      <c r="D4137" s="96" t="inlineStr">
        <is>
          <t>Not Listed</t>
        </is>
      </c>
      <c r="E4137" s="96" t="inlineStr">
        <is>
          <t>Other Apparels &amp; Accessories</t>
        </is>
      </c>
    </row>
    <row r="4138" ht="15" customHeight="1" s="109" thickBot="1">
      <c r="B4138" s="96" t="inlineStr">
        <is>
          <t>SUPERB PAPERS LTD</t>
        </is>
      </c>
      <c r="C4138" s="97" t="n">
        <v>532070</v>
      </c>
      <c r="D4138" s="96" t="inlineStr">
        <is>
          <t>Not Listed</t>
        </is>
      </c>
      <c r="E4138" s="96" t="inlineStr">
        <is>
          <t>Paper &amp; Paper Products</t>
        </is>
      </c>
    </row>
    <row r="4139" ht="15" customHeight="1" s="109" thickBot="1">
      <c r="B4139" s="96" t="inlineStr">
        <is>
          <t>SUPERHOUSE LTD</t>
        </is>
      </c>
      <c r="C4139" s="97" t="n">
        <v>523283</v>
      </c>
      <c r="D4139" s="96" t="inlineStr">
        <is>
          <t>SUPERHOUSE</t>
        </is>
      </c>
      <c r="E4139" s="96" t="inlineStr">
        <is>
          <t>Footwear</t>
        </is>
      </c>
    </row>
    <row r="4140" ht="15" customHeight="1" s="109" thickBot="1">
      <c r="B4140" s="96" t="inlineStr">
        <is>
          <t>SUPERIOR FINLEASE LTD</t>
        </is>
      </c>
      <c r="C4140" s="97" t="n">
        <v>539835</v>
      </c>
      <c r="D4140" s="96" t="inlineStr">
        <is>
          <t>Not Listed</t>
        </is>
      </c>
      <c r="E4140" s="96" t="inlineStr">
        <is>
          <t>Finance (including NBFCs)</t>
        </is>
      </c>
    </row>
    <row r="4141" ht="15" customHeight="1" s="109" thickBot="1">
      <c r="B4141" s="96" t="inlineStr">
        <is>
          <t>Superior Industrial Enterprises LTD</t>
        </is>
      </c>
      <c r="C4141" s="97" t="n">
        <v>519234</v>
      </c>
      <c r="D4141" s="96" t="inlineStr">
        <is>
          <t>SIEL</t>
        </is>
      </c>
      <c r="E4141" s="96" t="inlineStr">
        <is>
          <t>Edible Oils</t>
        </is>
      </c>
    </row>
    <row r="4142" ht="15" customHeight="1" s="109" thickBot="1">
      <c r="B4142" s="96" t="inlineStr">
        <is>
          <t>SUPERNOVA ADVERTISING LTD</t>
        </is>
      </c>
      <c r="C4142" s="97" t="n">
        <v>780008</v>
      </c>
      <c r="D4142" s="96" t="inlineStr">
        <is>
          <t>Not Listed</t>
        </is>
      </c>
      <c r="E4142" s="96" t="inlineStr">
        <is>
          <t>Others</t>
        </is>
      </c>
    </row>
    <row r="4143" ht="15" customHeight="1" s="109" thickBot="1">
      <c r="B4143" s="96" t="inlineStr">
        <is>
          <t>SUPERSHAKTI METALIKS LTD</t>
        </is>
      </c>
      <c r="C4143" s="97" t="n">
        <v>541701</v>
      </c>
      <c r="D4143" s="96" t="inlineStr">
        <is>
          <t>Not Listed</t>
        </is>
      </c>
      <c r="E4143" s="96" t="inlineStr">
        <is>
          <t>Iron &amp; Steel Products</t>
        </is>
      </c>
    </row>
    <row r="4144" ht="15" customHeight="1" s="109" thickBot="1">
      <c r="B4144" s="96" t="inlineStr">
        <is>
          <t>SUPERTEX INDUSTRIES LTD</t>
        </is>
      </c>
      <c r="C4144" s="97" t="n">
        <v>526133</v>
      </c>
      <c r="D4144" s="96" t="inlineStr">
        <is>
          <t>Not Listed</t>
        </is>
      </c>
      <c r="E4144" s="96" t="inlineStr">
        <is>
          <t>Textiles</t>
        </is>
      </c>
    </row>
    <row r="4145" ht="15" customHeight="1" s="109" thickBot="1">
      <c r="B4145" s="96" t="inlineStr">
        <is>
          <t>SUPRA PACIFIC MANAGEMENT CONSULTANCY LTD</t>
        </is>
      </c>
      <c r="C4145" s="97" t="n">
        <v>540168</v>
      </c>
      <c r="D4145" s="96" t="inlineStr">
        <is>
          <t>Not Listed</t>
        </is>
      </c>
      <c r="E4145" s="96" t="inlineStr">
        <is>
          <t>Finance (including NBFCs)</t>
        </is>
      </c>
    </row>
    <row r="4146" ht="15" customHeight="1" s="109" thickBot="1">
      <c r="B4146" s="96" t="inlineStr">
        <is>
          <t>SUPRA TRENDS LTD</t>
        </is>
      </c>
      <c r="C4146" s="97" t="n">
        <v>511539</v>
      </c>
      <c r="D4146" s="96" t="inlineStr">
        <is>
          <t>Not Listed</t>
        </is>
      </c>
      <c r="E4146" s="96" t="inlineStr">
        <is>
          <t>Other Financial Services</t>
        </is>
      </c>
    </row>
    <row r="4147" ht="15" customHeight="1" s="109" thickBot="1">
      <c r="B4147" s="96" t="inlineStr">
        <is>
          <t>SUPRAJIT ENGINEERING LTD</t>
        </is>
      </c>
      <c r="C4147" s="97" t="n">
        <v>532509</v>
      </c>
      <c r="D4147" s="96" t="inlineStr">
        <is>
          <t>SUPRAJIT</t>
        </is>
      </c>
      <c r="E4147" s="96" t="inlineStr">
        <is>
          <t>Auto Parts &amp; Equipment</t>
        </is>
      </c>
    </row>
    <row r="4148" ht="15" customHeight="1" s="109" thickBot="1">
      <c r="B4148" s="96" t="inlineStr">
        <is>
          <t>SUPREME ENGINEERING LTD</t>
        </is>
      </c>
      <c r="C4148" s="96" t="inlineStr">
        <is>
          <t>Not Listed</t>
        </is>
      </c>
      <c r="D4148" s="96" t="inlineStr">
        <is>
          <t>SUPREMEENG</t>
        </is>
      </c>
      <c r="E4148" s="96" t="inlineStr">
        <is>
          <t>SME</t>
        </is>
      </c>
    </row>
    <row r="4149" ht="15" customHeight="1" s="109" thickBot="1">
      <c r="B4149" s="96" t="inlineStr">
        <is>
          <t>SUPREME HOLDINGS &amp; HOSPITALITY (INDIA) LTD</t>
        </is>
      </c>
      <c r="C4149" s="97" t="n">
        <v>530677</v>
      </c>
      <c r="D4149" s="96" t="inlineStr">
        <is>
          <t>Not Listed</t>
        </is>
      </c>
      <c r="E4149" s="96" t="inlineStr">
        <is>
          <t>Realty</t>
        </is>
      </c>
    </row>
    <row r="4150" ht="15" customHeight="1" s="109" thickBot="1">
      <c r="B4150" s="96" t="inlineStr">
        <is>
          <t>SUPREME HOLDINGS &amp; HOSPITALITY INDIA LTD</t>
        </is>
      </c>
      <c r="C4150" s="97" t="n">
        <v>530677</v>
      </c>
      <c r="D4150" s="96" t="inlineStr">
        <is>
          <t>Not Listed</t>
        </is>
      </c>
      <c r="E4150" s="96" t="inlineStr">
        <is>
          <t>Realty</t>
        </is>
      </c>
    </row>
    <row r="4151" ht="15" customHeight="1" s="109" thickBot="1">
      <c r="B4151" s="96" t="inlineStr">
        <is>
          <t>SUPREME INDIA IMPEX LTD</t>
        </is>
      </c>
      <c r="C4151" s="96" t="inlineStr">
        <is>
          <t>Not Listed</t>
        </is>
      </c>
      <c r="D4151" s="96" t="inlineStr">
        <is>
          <t>SIIL</t>
        </is>
      </c>
      <c r="E4151" s="96" t="inlineStr">
        <is>
          <t>SME</t>
        </is>
      </c>
    </row>
    <row r="4152" ht="15" customHeight="1" s="109" thickBot="1">
      <c r="B4152" s="96" t="inlineStr">
        <is>
          <t>SUPREME INDUSTRIES LTD</t>
        </is>
      </c>
      <c r="C4152" s="97" t="n">
        <v>509930</v>
      </c>
      <c r="D4152" s="96" t="inlineStr">
        <is>
          <t>SUPREMEIND</t>
        </is>
      </c>
      <c r="E4152" s="96" t="inlineStr">
        <is>
          <t>Plastic Products</t>
        </is>
      </c>
    </row>
    <row r="4153" ht="15" customHeight="1" s="109" thickBot="1">
      <c r="B4153" s="96" t="inlineStr">
        <is>
          <t>SUPREME INFRASTRUCTURE (INDIA) LTD</t>
        </is>
      </c>
      <c r="C4153" s="97" t="n">
        <v>532904</v>
      </c>
      <c r="D4153" s="96" t="inlineStr">
        <is>
          <t>SUPREMEINF</t>
        </is>
      </c>
      <c r="E4153" s="96" t="inlineStr">
        <is>
          <t>Construction &amp; Engineering</t>
        </is>
      </c>
    </row>
    <row r="4154" ht="15" customHeight="1" s="109" thickBot="1">
      <c r="B4154" s="96" t="inlineStr">
        <is>
          <t>SUPREME INFRASTRUCTURE INDIA LTD</t>
        </is>
      </c>
      <c r="C4154" s="97" t="n">
        <v>532904</v>
      </c>
      <c r="D4154" s="96" t="inlineStr">
        <is>
          <t>SUPREMEINF</t>
        </is>
      </c>
      <c r="E4154" s="96" t="inlineStr">
        <is>
          <t>Construction &amp; Engineering</t>
        </is>
      </c>
    </row>
    <row r="4155" ht="15" customHeight="1" s="109" thickBot="1">
      <c r="B4155" s="96" t="inlineStr">
        <is>
          <t>SUPREME PETROCHEM LTD</t>
        </is>
      </c>
      <c r="C4155" s="97" t="n">
        <v>500405</v>
      </c>
      <c r="D4155" s="96" t="inlineStr">
        <is>
          <t>SUPPETRO</t>
        </is>
      </c>
      <c r="E4155" s="96" t="inlineStr">
        <is>
          <t>Petrochemicals</t>
        </is>
      </c>
    </row>
    <row r="4156" ht="15" customHeight="1" s="109" thickBot="1">
      <c r="B4156" s="96" t="inlineStr">
        <is>
          <t>SUPREMEX SHINE STEELS LTD</t>
        </is>
      </c>
      <c r="C4156" s="97" t="n">
        <v>534733</v>
      </c>
      <c r="D4156" s="96" t="inlineStr">
        <is>
          <t>Not Listed</t>
        </is>
      </c>
      <c r="E4156" s="96" t="inlineStr">
        <is>
          <t>Iron &amp; Steel/Interm.Products</t>
        </is>
      </c>
    </row>
    <row r="4157" ht="15" customHeight="1" s="109" thickBot="1">
      <c r="B4157" s="96" t="inlineStr">
        <is>
          <t>SURAJ LTD</t>
        </is>
      </c>
      <c r="C4157" s="97" t="n">
        <v>531638</v>
      </c>
      <c r="D4157" s="96" t="inlineStr">
        <is>
          <t>Not Listed</t>
        </is>
      </c>
      <c r="E4157" s="96" t="inlineStr">
        <is>
          <t>Iron &amp; Steel Products</t>
        </is>
      </c>
    </row>
    <row r="4158" ht="15" customHeight="1" s="109" thickBot="1">
      <c r="B4158" s="96" t="inlineStr">
        <is>
          <t>SURAJ PRODUCTS LTD</t>
        </is>
      </c>
      <c r="C4158" s="97" t="n">
        <v>518075</v>
      </c>
      <c r="D4158" s="96" t="inlineStr">
        <is>
          <t>Not Listed</t>
        </is>
      </c>
      <c r="E4158" s="96" t="inlineStr">
        <is>
          <t>Iron &amp; Steel/Interm.Products</t>
        </is>
      </c>
    </row>
    <row r="4159" ht="15" customHeight="1" s="109" thickBot="1">
      <c r="B4159" s="96" t="inlineStr">
        <is>
          <t>SURANA SOLAR LTD</t>
        </is>
      </c>
      <c r="C4159" s="97" t="n">
        <v>533298</v>
      </c>
      <c r="D4159" s="96" t="inlineStr">
        <is>
          <t>SURANASOL</t>
        </is>
      </c>
      <c r="E4159" s="96" t="inlineStr">
        <is>
          <t>Electronic Components</t>
        </is>
      </c>
    </row>
    <row r="4160" ht="15" customHeight="1" s="109" thickBot="1">
      <c r="B4160" s="96" t="inlineStr">
        <is>
          <t>SURANA TELECOM AND POWER LTD</t>
        </is>
      </c>
      <c r="C4160" s="97" t="n">
        <v>517530</v>
      </c>
      <c r="D4160" s="96" t="inlineStr">
        <is>
          <t>SURANAT&amp;P</t>
        </is>
      </c>
      <c r="E4160" s="96" t="inlineStr">
        <is>
          <t>Telecom Cables</t>
        </is>
      </c>
    </row>
    <row r="4161" ht="15" customHeight="1" s="109" thickBot="1">
      <c r="B4161" s="96" t="inlineStr">
        <is>
          <t>SURAT TEXTILE MILLS LTD</t>
        </is>
      </c>
      <c r="C4161" s="97" t="n">
        <v>530185</v>
      </c>
      <c r="D4161" s="96" t="inlineStr">
        <is>
          <t>Not Listed</t>
        </is>
      </c>
      <c r="E4161" s="96" t="inlineStr">
        <is>
          <t>Textiles</t>
        </is>
      </c>
    </row>
    <row r="4162" ht="15" customHeight="1" s="109" thickBot="1">
      <c r="B4162" s="96" t="inlineStr">
        <is>
          <t>SUREVIN BPO SERVICES LTD</t>
        </is>
      </c>
      <c r="C4162" s="96" t="inlineStr">
        <is>
          <t>Not Listed</t>
        </is>
      </c>
      <c r="D4162" s="96" t="inlineStr">
        <is>
          <t>SUREVIN</t>
        </is>
      </c>
      <c r="E4162" s="96" t="inlineStr">
        <is>
          <t>SME</t>
        </is>
      </c>
    </row>
    <row r="4163" ht="15" customHeight="1" s="109" thickBot="1">
      <c r="B4163" s="96" t="inlineStr">
        <is>
          <t>SURYA (INDIA) LTD</t>
        </is>
      </c>
      <c r="C4163" s="97" t="n">
        <v>539253</v>
      </c>
      <c r="D4163" s="96" t="inlineStr">
        <is>
          <t>Not Listed</t>
        </is>
      </c>
      <c r="E4163" s="96" t="inlineStr">
        <is>
          <t>Finance (including NBFCs)</t>
        </is>
      </c>
    </row>
    <row r="4164" ht="15" customHeight="1" s="109" thickBot="1">
      <c r="B4164" s="96" t="inlineStr">
        <is>
          <t>SURYA INDIA LTD</t>
        </is>
      </c>
      <c r="C4164" s="97" t="n">
        <v>539253</v>
      </c>
      <c r="D4164" s="96" t="inlineStr">
        <is>
          <t>Not Listed</t>
        </is>
      </c>
      <c r="E4164" s="96" t="inlineStr">
        <is>
          <t>Finance (including NBFCs)</t>
        </is>
      </c>
    </row>
    <row r="4165" ht="15" customHeight="1" s="109" thickBot="1">
      <c r="B4165" s="96" t="inlineStr">
        <is>
          <t>SURYA ROSHNI LTD</t>
        </is>
      </c>
      <c r="C4165" s="97" t="n">
        <v>500336</v>
      </c>
      <c r="D4165" s="96" t="inlineStr">
        <is>
          <t>SURYAROSNI</t>
        </is>
      </c>
      <c r="E4165" s="96" t="inlineStr">
        <is>
          <t>Diversified</t>
        </is>
      </c>
    </row>
    <row r="4166" ht="15" customHeight="1" s="109" thickBot="1">
      <c r="B4166" s="96" t="inlineStr">
        <is>
          <t>SURYAAMBA SPINNING MILLS LTD</t>
        </is>
      </c>
      <c r="C4166" s="97" t="n">
        <v>533101</v>
      </c>
      <c r="D4166" s="96" t="inlineStr">
        <is>
          <t>Not Listed</t>
        </is>
      </c>
      <c r="E4166" s="96" t="inlineStr">
        <is>
          <t>Textiles</t>
        </is>
      </c>
    </row>
    <row r="4167" ht="15" customHeight="1" s="109" thickBot="1">
      <c r="B4167" s="96" t="inlineStr">
        <is>
          <t>SURYACHAKRA POWER CORPORATION LTD</t>
        </is>
      </c>
      <c r="C4167" s="97" t="n">
        <v>532874</v>
      </c>
      <c r="D4167" s="96" t="inlineStr">
        <is>
          <t>Not Listed</t>
        </is>
      </c>
      <c r="E4167" s="96" t="inlineStr">
        <is>
          <t>Electric Utilities</t>
        </is>
      </c>
    </row>
    <row r="4168" ht="15" customHeight="1" s="109" thickBot="1">
      <c r="B4168" s="96" t="inlineStr">
        <is>
          <t>SURYAKRIPA FINANCE LTD</t>
        </is>
      </c>
      <c r="C4168" s="97" t="n">
        <v>511185</v>
      </c>
      <c r="D4168" s="96" t="inlineStr">
        <is>
          <t>Not Listed</t>
        </is>
      </c>
      <c r="E4168" s="96" t="inlineStr">
        <is>
          <t>Transportation - Logistics</t>
        </is>
      </c>
    </row>
    <row r="4169" ht="15" customHeight="1" s="109" thickBot="1">
      <c r="B4169" s="96" t="inlineStr">
        <is>
          <t>SURYALAKSHMI COTTON MILLS LTD</t>
        </is>
      </c>
      <c r="C4169" s="97" t="n">
        <v>521200</v>
      </c>
      <c r="D4169" s="96" t="inlineStr">
        <is>
          <t>SURYALAXMI</t>
        </is>
      </c>
      <c r="E4169" s="96" t="inlineStr">
        <is>
          <t>Textiles</t>
        </is>
      </c>
    </row>
    <row r="4170" ht="15" customHeight="1" s="109" thickBot="1">
      <c r="B4170" s="96" t="inlineStr">
        <is>
          <t>SURYALATA SPINNING MILLS LTD</t>
        </is>
      </c>
      <c r="C4170" s="97" t="n">
        <v>514138</v>
      </c>
      <c r="D4170" s="96" t="inlineStr">
        <is>
          <t>Not Listed</t>
        </is>
      </c>
      <c r="E4170" s="96" t="inlineStr">
        <is>
          <t>Textiles</t>
        </is>
      </c>
    </row>
    <row r="4171" ht="15" customHeight="1" s="109" thickBot="1">
      <c r="B4171" s="96" t="inlineStr">
        <is>
          <t>SURYAVANSHI SPINNING MILLS LTD</t>
        </is>
      </c>
      <c r="C4171" s="97" t="n">
        <v>514140</v>
      </c>
      <c r="D4171" s="96" t="inlineStr">
        <is>
          <t>Not Listed</t>
        </is>
      </c>
      <c r="E4171" s="96" t="inlineStr">
        <is>
          <t>Textiles</t>
        </is>
      </c>
    </row>
    <row r="4172" ht="15" customHeight="1" s="109" thickBot="1">
      <c r="B4172" s="96" t="inlineStr">
        <is>
          <t>SURYO FOODS &amp;amp; INDUSTRIES LTD.</t>
        </is>
      </c>
      <c r="C4172" s="97" t="n">
        <v>519604</v>
      </c>
      <c r="D4172" s="96" t="inlineStr">
        <is>
          <t>SURFI</t>
        </is>
      </c>
      <c r="E4172" s="96" t="inlineStr">
        <is>
          <t>Packaged Foods</t>
        </is>
      </c>
    </row>
    <row r="4173" ht="15" customHeight="1" s="109" thickBot="1">
      <c r="B4173" s="96" t="inlineStr">
        <is>
          <t>SUTLEJ TEXTILES AND INDUSTRIES LTD</t>
        </is>
      </c>
      <c r="C4173" s="97" t="n">
        <v>532782</v>
      </c>
      <c r="D4173" s="96" t="inlineStr">
        <is>
          <t>SUTLEJTEX</t>
        </is>
      </c>
      <c r="E4173" s="96" t="inlineStr">
        <is>
          <t>Textiles</t>
        </is>
      </c>
    </row>
    <row r="4174" ht="15" customHeight="1" s="109" thickBot="1">
      <c r="B4174" s="96" t="inlineStr">
        <is>
          <t>SUUMAYA LIFESTYLE LTD</t>
        </is>
      </c>
      <c r="C4174" s="96" t="inlineStr">
        <is>
          <t>Not Listed</t>
        </is>
      </c>
      <c r="D4174" s="96" t="inlineStr">
        <is>
          <t>SUULD</t>
        </is>
      </c>
      <c r="E4174" s="96" t="inlineStr">
        <is>
          <t>SME</t>
        </is>
      </c>
    </row>
    <row r="4175" ht="15" customHeight="1" s="109" thickBot="1">
      <c r="B4175" s="96" t="inlineStr">
        <is>
          <t>SUVEN LIFE SCIENCES LTD</t>
        </is>
      </c>
      <c r="C4175" s="97" t="n">
        <v>530239</v>
      </c>
      <c r="D4175" s="96" t="inlineStr">
        <is>
          <t>SUVEN</t>
        </is>
      </c>
      <c r="E4175" s="96" t="inlineStr">
        <is>
          <t>Pharmaceuticals</t>
        </is>
      </c>
    </row>
    <row r="4176" ht="15" customHeight="1" s="109" thickBot="1">
      <c r="B4176" s="96" t="inlineStr">
        <is>
          <t>SUVIDHA INFRAESTATE CORPORATION LTD</t>
        </is>
      </c>
      <c r="C4176" s="97" t="n">
        <v>531640</v>
      </c>
      <c r="D4176" s="96" t="inlineStr">
        <is>
          <t>Not Listed</t>
        </is>
      </c>
      <c r="E4176" s="96" t="inlineStr">
        <is>
          <t>Realty</t>
        </is>
      </c>
    </row>
    <row r="4177" ht="15" customHeight="1" s="109" thickBot="1">
      <c r="B4177" s="96" t="inlineStr">
        <is>
          <t>SUYOG TELEMATICS LTD</t>
        </is>
      </c>
      <c r="C4177" s="97" t="n">
        <v>537259</v>
      </c>
      <c r="D4177" s="96" t="inlineStr">
        <is>
          <t>Not Listed</t>
        </is>
      </c>
      <c r="E4177" s="96" t="inlineStr">
        <is>
          <t>Other Telecom Services</t>
        </is>
      </c>
    </row>
    <row r="4178" ht="15" customHeight="1" s="109" thickBot="1">
      <c r="B4178" s="96" t="inlineStr">
        <is>
          <t>SUZLON ENERGY LTD</t>
        </is>
      </c>
      <c r="C4178" s="97" t="n">
        <v>532667</v>
      </c>
      <c r="D4178" s="96" t="inlineStr">
        <is>
          <t>SUZLON</t>
        </is>
      </c>
      <c r="E4178" s="96" t="inlineStr">
        <is>
          <t>Heavy Electrical Equipment</t>
        </is>
      </c>
    </row>
    <row r="4179" ht="15" customHeight="1" s="109" thickBot="1">
      <c r="B4179" s="96" t="inlineStr">
        <is>
          <t>SVA (INDIA) LTD</t>
        </is>
      </c>
      <c r="C4179" s="97" t="n">
        <v>531885</v>
      </c>
      <c r="D4179" s="96" t="inlineStr">
        <is>
          <t>Not Listed</t>
        </is>
      </c>
      <c r="E4179" s="96" t="inlineStr">
        <is>
          <t>Comm.Trading &amp; Distribution</t>
        </is>
      </c>
    </row>
    <row r="4180" ht="15" customHeight="1" s="109" thickBot="1">
      <c r="B4180" s="96" t="inlineStr">
        <is>
          <t>SVA INDIA LTD</t>
        </is>
      </c>
      <c r="C4180" s="97" t="n">
        <v>531885</v>
      </c>
      <c r="D4180" s="96" t="inlineStr">
        <is>
          <t>Not Listed</t>
        </is>
      </c>
      <c r="E4180" s="96" t="inlineStr">
        <is>
          <t>Comm.Trading &amp; Distribution</t>
        </is>
      </c>
    </row>
    <row r="4181" ht="15" customHeight="1" s="109" thickBot="1">
      <c r="B4181" s="96" t="inlineStr">
        <is>
          <t>SVAM SOFTWARE LTD</t>
        </is>
      </c>
      <c r="C4181" s="97" t="n">
        <v>523722</v>
      </c>
      <c r="D4181" s="96" t="inlineStr">
        <is>
          <t>Not Listed</t>
        </is>
      </c>
      <c r="E4181" s="96" t="inlineStr">
        <is>
          <t>IT Software Products</t>
        </is>
      </c>
    </row>
    <row r="4182" ht="15" customHeight="1" s="109" thickBot="1">
      <c r="B4182" s="96" t="inlineStr">
        <is>
          <t>SVARAJ TRADING &amp; AGENCIES LTD</t>
        </is>
      </c>
      <c r="C4182" s="97" t="n">
        <v>503624</v>
      </c>
      <c r="D4182" s="96" t="inlineStr">
        <is>
          <t>Not Listed</t>
        </is>
      </c>
      <c r="E4182" s="96" t="inlineStr">
        <is>
          <t>Other Financial Services</t>
        </is>
      </c>
    </row>
    <row r="4183" ht="15" customHeight="1" s="109" thickBot="1">
      <c r="B4183" s="96" t="inlineStr">
        <is>
          <t>SVARNIM TRADE UDYOG LTD</t>
        </is>
      </c>
      <c r="C4183" s="97" t="n">
        <v>539911</v>
      </c>
      <c r="D4183" s="96" t="inlineStr">
        <is>
          <t>Not Listed</t>
        </is>
      </c>
      <c r="E4183" s="96" t="inlineStr">
        <is>
          <t>Comm.Trading &amp; Distribution</t>
        </is>
      </c>
    </row>
    <row r="4184" ht="15" customHeight="1" s="109" thickBot="1">
      <c r="B4184" s="96" t="inlineStr">
        <is>
          <t>SVC INDUSTRIES Ltd</t>
        </is>
      </c>
      <c r="C4184" s="97" t="n">
        <v>524488</v>
      </c>
      <c r="D4184" s="96" t="inlineStr">
        <is>
          <t>SVCIND</t>
        </is>
      </c>
      <c r="E4184" s="96" t="inlineStr">
        <is>
          <t>Commodity Chemicals</t>
        </is>
      </c>
    </row>
    <row r="4185" ht="15" customHeight="1" s="109" thickBot="1">
      <c r="B4185" s="96" t="inlineStr">
        <is>
          <t>SVC RESOURCES LTD</t>
        </is>
      </c>
      <c r="C4185" s="97" t="n">
        <v>512449</v>
      </c>
      <c r="D4185" s="96" t="inlineStr">
        <is>
          <t>Not Listed</t>
        </is>
      </c>
      <c r="E4185" s="96" t="inlineStr">
        <is>
          <t>Mining</t>
        </is>
      </c>
    </row>
    <row r="4186" ht="15" customHeight="1" s="109" thickBot="1">
      <c r="B4186" s="96" t="inlineStr">
        <is>
          <t>SVP GLOBAL VENTURES LTD</t>
        </is>
      </c>
      <c r="C4186" s="97" t="n">
        <v>505590</v>
      </c>
      <c r="D4186" s="96" t="inlineStr">
        <is>
          <t>Not Listed</t>
        </is>
      </c>
      <c r="E4186" s="96" t="inlineStr">
        <is>
          <t>Textiles</t>
        </is>
      </c>
    </row>
    <row r="4187" ht="15" customHeight="1" s="109" thickBot="1">
      <c r="B4187" s="96" t="inlineStr">
        <is>
          <t>SVP HOUSING LTD</t>
        </is>
      </c>
      <c r="C4187" s="97" t="n">
        <v>539041</v>
      </c>
      <c r="D4187" s="96" t="inlineStr">
        <is>
          <t>Not Listed</t>
        </is>
      </c>
      <c r="E4187" s="96" t="inlineStr">
        <is>
          <t>Comm.Trading &amp; Distribution</t>
        </is>
      </c>
    </row>
    <row r="4188" ht="15" customHeight="1" s="109" thickBot="1">
      <c r="B4188" s="96" t="inlineStr">
        <is>
          <t>SW INVESTMENTS LTD</t>
        </is>
      </c>
      <c r="C4188" s="97" t="n">
        <v>503659</v>
      </c>
      <c r="D4188" s="96" t="inlineStr">
        <is>
          <t>Not Listed</t>
        </is>
      </c>
      <c r="E4188" s="96" t="inlineStr">
        <is>
          <t>Misc.Commercial Services</t>
        </is>
      </c>
    </row>
    <row r="4189" ht="15" customHeight="1" s="109" thickBot="1">
      <c r="B4189" s="96" t="inlineStr">
        <is>
          <t>SWADESHI INDUSTRIES LEASING CO LTD</t>
        </is>
      </c>
      <c r="C4189" s="97" t="n">
        <v>506863</v>
      </c>
      <c r="D4189" s="96" t="inlineStr">
        <is>
          <t>Not Listed</t>
        </is>
      </c>
      <c r="E4189" s="96" t="inlineStr">
        <is>
          <t>Containers &amp; Packaging</t>
        </is>
      </c>
    </row>
    <row r="4190" ht="15" customHeight="1" s="109" thickBot="1">
      <c r="B4190" s="96" t="inlineStr">
        <is>
          <t>SWADESHI POLYTEX LTD</t>
        </is>
      </c>
      <c r="C4190" s="97" t="n">
        <v>503816</v>
      </c>
      <c r="D4190" s="96" t="inlineStr">
        <is>
          <t>Not Listed</t>
        </is>
      </c>
      <c r="E4190" s="96" t="inlineStr">
        <is>
          <t>Textiles</t>
        </is>
      </c>
    </row>
    <row r="4191" ht="15" customHeight="1" s="109" thickBot="1">
      <c r="B4191" s="96" t="inlineStr">
        <is>
          <t>SWAGRUHA INFRASTRUCTURE LTD</t>
        </is>
      </c>
      <c r="C4191" s="97" t="n">
        <v>531909</v>
      </c>
      <c r="D4191" s="96" t="inlineStr">
        <is>
          <t>Not Listed</t>
        </is>
      </c>
      <c r="E4191" s="96" t="inlineStr">
        <is>
          <t>Realty</t>
        </is>
      </c>
    </row>
    <row r="4192" ht="15" customHeight="1" s="109" thickBot="1">
      <c r="B4192" s="96" t="inlineStr">
        <is>
          <t>SWAGTAM TRADING &amp; SERVICES LTD</t>
        </is>
      </c>
      <c r="C4192" s="97" t="n">
        <v>539406</v>
      </c>
      <c r="D4192" s="96" t="inlineStr">
        <is>
          <t>Not Listed</t>
        </is>
      </c>
      <c r="E4192" s="96" t="inlineStr">
        <is>
          <t>Comm.Trading &amp; Distribution</t>
        </is>
      </c>
    </row>
    <row r="4193" ht="15" customHeight="1" s="109" thickBot="1">
      <c r="B4193" s="96" t="inlineStr">
        <is>
          <t>SWAN ENERGY LTD</t>
        </is>
      </c>
      <c r="C4193" s="97" t="n">
        <v>503310</v>
      </c>
      <c r="D4193" s="96" t="inlineStr">
        <is>
          <t>SWANENERGY</t>
        </is>
      </c>
      <c r="E4193" s="96" t="inlineStr">
        <is>
          <t>Textiles</t>
        </is>
      </c>
    </row>
    <row r="4194" ht="15" customHeight="1" s="109" thickBot="1">
      <c r="B4194" s="96" t="inlineStr">
        <is>
          <t>SWARAJ AUTOMOTIVES LTD</t>
        </is>
      </c>
      <c r="C4194" s="97" t="n">
        <v>539353</v>
      </c>
      <c r="D4194" s="96" t="inlineStr">
        <is>
          <t>Not Listed</t>
        </is>
      </c>
      <c r="E4194" s="96" t="inlineStr">
        <is>
          <t>Auto Parts &amp; Equipment</t>
        </is>
      </c>
    </row>
    <row r="4195" ht="15" customHeight="1" s="109" thickBot="1">
      <c r="B4195" s="96" t="inlineStr">
        <is>
          <t>SWARAJ ENGINES LTD</t>
        </is>
      </c>
      <c r="C4195" s="97" t="n">
        <v>500407</v>
      </c>
      <c r="D4195" s="96" t="inlineStr">
        <is>
          <t>SWARAJENG</t>
        </is>
      </c>
      <c r="E4195" s="96" t="inlineStr">
        <is>
          <t>Auto Parts &amp; Equipment</t>
        </is>
      </c>
    </row>
    <row r="4196" ht="15" customHeight="1" s="109" thickBot="1">
      <c r="B4196" s="96" t="inlineStr">
        <is>
          <t>SWARNA SECURITIES LTD</t>
        </is>
      </c>
      <c r="C4196" s="97" t="n">
        <v>531003</v>
      </c>
      <c r="D4196" s="96" t="inlineStr">
        <is>
          <t>Not Listed</t>
        </is>
      </c>
      <c r="E4196" s="96" t="inlineStr">
        <is>
          <t>Finance (including NBFCs)</t>
        </is>
      </c>
    </row>
    <row r="4197" ht="15" customHeight="1" s="109" thickBot="1">
      <c r="B4197" s="96" t="inlineStr">
        <is>
          <t>SWARNSARITA GEMS LTD</t>
        </is>
      </c>
      <c r="C4197" s="97" t="n">
        <v>526365</v>
      </c>
      <c r="D4197" s="96" t="inlineStr">
        <is>
          <t>Not Listed</t>
        </is>
      </c>
      <c r="E4197" s="96" t="inlineStr">
        <is>
          <t>Other Apparels &amp; Accessories</t>
        </is>
      </c>
    </row>
    <row r="4198" ht="15" customHeight="1" s="109" thickBot="1">
      <c r="B4198" s="96" t="inlineStr">
        <is>
          <t>SWASTI VINAYAKA ART AND HERITAGE CORPORATION LTD</t>
        </is>
      </c>
      <c r="C4198" s="97" t="n">
        <v>512257</v>
      </c>
      <c r="D4198" s="96" t="inlineStr">
        <is>
          <t>Not Listed</t>
        </is>
      </c>
      <c r="E4198" s="96" t="inlineStr">
        <is>
          <t>Diversified</t>
        </is>
      </c>
    </row>
    <row r="4199" ht="15" customHeight="1" s="109" thickBot="1">
      <c r="B4199" s="96" t="inlineStr">
        <is>
          <t>SWASTI VINAYAKA SYNTHETICS LTD</t>
        </is>
      </c>
      <c r="C4199" s="97" t="n">
        <v>510245</v>
      </c>
      <c r="D4199" s="96" t="inlineStr">
        <is>
          <t>Not Listed</t>
        </is>
      </c>
      <c r="E4199" s="96" t="inlineStr">
        <is>
          <t>Comm.Trading &amp; Distribution</t>
        </is>
      </c>
    </row>
    <row r="4200" ht="15" customHeight="1" s="109" thickBot="1">
      <c r="B4200" s="96" t="inlineStr">
        <is>
          <t>SWASTIK SAFE DEPOSIT &amp; INVESTMENTS LTD</t>
        </is>
      </c>
      <c r="C4200" s="97" t="n">
        <v>501386</v>
      </c>
      <c r="D4200" s="96" t="inlineStr">
        <is>
          <t>Not Listed</t>
        </is>
      </c>
      <c r="E4200" s="96" t="inlineStr">
        <is>
          <t>Other Financial Services</t>
        </is>
      </c>
    </row>
    <row r="4201" ht="15" customHeight="1" s="109" thickBot="1">
      <c r="B4201" s="96" t="inlineStr">
        <is>
          <t>SWASTIKA INVESTMART LTD</t>
        </is>
      </c>
      <c r="C4201" s="97" t="n">
        <v>530585</v>
      </c>
      <c r="D4201" s="96" t="inlineStr">
        <is>
          <t>Not Listed</t>
        </is>
      </c>
      <c r="E4201" s="96" t="inlineStr">
        <is>
          <t>Other Financial Services</t>
        </is>
      </c>
    </row>
    <row r="4202" ht="15" customHeight="1" s="109" thickBot="1">
      <c r="B4202" s="96" t="inlineStr">
        <is>
          <t>SWELECT ENERGY SYSTEMS LTD</t>
        </is>
      </c>
      <c r="C4202" s="97" t="n">
        <v>532051</v>
      </c>
      <c r="D4202" s="96" t="inlineStr">
        <is>
          <t>SWELECTES</t>
        </is>
      </c>
      <c r="E4202" s="96" t="inlineStr">
        <is>
          <t>Heavy Electrical Equipment</t>
        </is>
      </c>
    </row>
    <row r="4203" ht="15" customHeight="1" s="109" thickBot="1">
      <c r="B4203" s="96" t="inlineStr">
        <is>
          <t>SWISS GLASCOAT EQUIPMENTS LTD</t>
        </is>
      </c>
      <c r="C4203" s="97" t="n">
        <v>522215</v>
      </c>
      <c r="D4203" s="96" t="inlineStr">
        <is>
          <t>Not Listed</t>
        </is>
      </c>
      <c r="E4203" s="96" t="inlineStr">
        <is>
          <t>Industrial Machinery</t>
        </is>
      </c>
    </row>
    <row r="4204" ht="15" customHeight="1" s="109" thickBot="1">
      <c r="B4204" s="96" t="inlineStr">
        <is>
          <t>SWITCHING TECHNOLOGIES GUNTHER LTD</t>
        </is>
      </c>
      <c r="C4204" s="97" t="n">
        <v>517201</v>
      </c>
      <c r="D4204" s="96" t="inlineStr">
        <is>
          <t>Not Listed</t>
        </is>
      </c>
      <c r="E4204" s="96" t="inlineStr">
        <is>
          <t>Electronic Components</t>
        </is>
      </c>
    </row>
    <row r="4205" ht="15" customHeight="1" s="109" thickBot="1">
      <c r="B4205" s="96" t="inlineStr">
        <is>
          <t>SWORD &amp; SHIELD PHARMA LTD</t>
        </is>
      </c>
      <c r="C4205" s="97" t="n">
        <v>531637</v>
      </c>
      <c r="D4205" s="96" t="inlineStr">
        <is>
          <t>Not Listed</t>
        </is>
      </c>
      <c r="E4205" s="96" t="inlineStr">
        <is>
          <t>Pharmaceuticals</t>
        </is>
      </c>
    </row>
    <row r="4206" ht="15" customHeight="1" s="109" thickBot="1">
      <c r="B4206" s="96" t="inlineStr">
        <is>
          <t>SWORD-EDGE COMMERCIALS LTD</t>
        </is>
      </c>
      <c r="C4206" s="97" t="n">
        <v>512359</v>
      </c>
      <c r="D4206" s="96" t="inlineStr">
        <is>
          <t>Not Listed</t>
        </is>
      </c>
      <c r="E4206" s="96" t="inlineStr">
        <is>
          <t>Comm.Trading &amp; Distribution</t>
        </is>
      </c>
    </row>
    <row r="4207" ht="15" customHeight="1" s="109" thickBot="1">
      <c r="B4207" s="96" t="inlineStr">
        <is>
          <t>SYBLY INDUSTRIES LTD</t>
        </is>
      </c>
      <c r="C4207" s="97" t="n">
        <v>531499</v>
      </c>
      <c r="D4207" s="96" t="inlineStr">
        <is>
          <t>Not Listed</t>
        </is>
      </c>
      <c r="E4207" s="96" t="inlineStr">
        <is>
          <t>Textiles</t>
        </is>
      </c>
    </row>
    <row r="4208" ht="15" customHeight="1" s="109" thickBot="1">
      <c r="B4208" s="96" t="inlineStr">
        <is>
          <t>SYLPH EDUCATION SOLUTIONS LTD</t>
        </is>
      </c>
      <c r="C4208" s="97" t="n">
        <v>539682</v>
      </c>
      <c r="D4208" s="96" t="inlineStr">
        <is>
          <t>Not Listed</t>
        </is>
      </c>
      <c r="E4208" s="96" t="inlineStr">
        <is>
          <t>Education</t>
        </is>
      </c>
    </row>
    <row r="4209" ht="15" customHeight="1" s="109" thickBot="1">
      <c r="B4209" s="96" t="inlineStr">
        <is>
          <t>SYLPH TECHNOLOGIES LTD</t>
        </is>
      </c>
      <c r="C4209" s="97" t="n">
        <v>511447</v>
      </c>
      <c r="D4209" s="96" t="inlineStr">
        <is>
          <t>Not Listed</t>
        </is>
      </c>
      <c r="E4209" s="96" t="inlineStr">
        <is>
          <t>Internet Software &amp; Services</t>
        </is>
      </c>
    </row>
    <row r="4210" ht="15" customHeight="1" s="109" thickBot="1">
      <c r="B4210" s="96" t="inlineStr">
        <is>
          <t>SYMBIOX INVESTMENT &amp; TRADING COMPANY LTD</t>
        </is>
      </c>
      <c r="C4210" s="97" t="n">
        <v>539278</v>
      </c>
      <c r="D4210" s="96" t="inlineStr">
        <is>
          <t>Not Listed</t>
        </is>
      </c>
      <c r="E4210" s="96" t="inlineStr">
        <is>
          <t>Other Financial Services</t>
        </is>
      </c>
    </row>
    <row r="4211" ht="15" customHeight="1" s="109" thickBot="1">
      <c r="B4211" s="96" t="inlineStr">
        <is>
          <t>SYMPHONY LTD</t>
        </is>
      </c>
      <c r="C4211" s="97" t="n">
        <v>517385</v>
      </c>
      <c r="D4211" s="96" t="inlineStr">
        <is>
          <t>SYMPHONY</t>
        </is>
      </c>
      <c r="E4211" s="96" t="inlineStr">
        <is>
          <t>Consumer Electronics</t>
        </is>
      </c>
    </row>
    <row r="4212" ht="15" customHeight="1" s="109" thickBot="1">
      <c r="B4212" s="96" t="inlineStr">
        <is>
          <t>SYNCOM FORMULATIONS (INDIA) LTD</t>
        </is>
      </c>
      <c r="C4212" s="97" t="n">
        <v>524470</v>
      </c>
      <c r="D4212" s="96" t="inlineStr">
        <is>
          <t>Not Listed</t>
        </is>
      </c>
      <c r="E4212" s="96" t="inlineStr">
        <is>
          <t>Pharmaceuticals</t>
        </is>
      </c>
    </row>
    <row r="4213" ht="15" customHeight="1" s="109" thickBot="1">
      <c r="B4213" s="96" t="inlineStr">
        <is>
          <t>SYNCOM FORMULATIONS INDIA LTD</t>
        </is>
      </c>
      <c r="C4213" s="97" t="n">
        <v>524470</v>
      </c>
      <c r="D4213" s="96" t="inlineStr">
        <is>
          <t>Not Listed</t>
        </is>
      </c>
      <c r="E4213" s="96" t="inlineStr">
        <is>
          <t>Pharmaceuticals</t>
        </is>
      </c>
    </row>
    <row r="4214" ht="15" customHeight="1" s="109" thickBot="1">
      <c r="B4214" s="96" t="inlineStr">
        <is>
          <t>SYNCOM HEALTHCARE LTD</t>
        </is>
      </c>
      <c r="C4214" s="97" t="n">
        <v>533157</v>
      </c>
      <c r="D4214" s="96" t="inlineStr">
        <is>
          <t>SYNCOM</t>
        </is>
      </c>
      <c r="E4214" s="96" t="inlineStr">
        <is>
          <t>Pharmaceuticals</t>
        </is>
      </c>
    </row>
    <row r="4215" ht="15" customHeight="1" s="109" thickBot="1">
      <c r="B4215" s="96" t="inlineStr">
        <is>
          <t>SYNDICATE BANK</t>
        </is>
      </c>
      <c r="C4215" s="97" t="n">
        <v>532276</v>
      </c>
      <c r="D4215" s="96" t="inlineStr">
        <is>
          <t>SYNDIBANK</t>
        </is>
      </c>
      <c r="E4215" s="96" t="inlineStr">
        <is>
          <t>Banks</t>
        </is>
      </c>
    </row>
    <row r="4216" ht="15" customHeight="1" s="109" thickBot="1">
      <c r="B4216" s="96" t="inlineStr">
        <is>
          <t>SYNERGY GREEN INDUSTRIES LTD</t>
        </is>
      </c>
      <c r="C4216" s="97" t="n">
        <v>541929</v>
      </c>
      <c r="D4216" s="96" t="inlineStr">
        <is>
          <t>Not Listed</t>
        </is>
      </c>
      <c r="E4216" s="96" t="inlineStr">
        <is>
          <t>Other Industrial Products</t>
        </is>
      </c>
    </row>
    <row r="4217" ht="15" customHeight="1" s="109" thickBot="1">
      <c r="B4217" s="96" t="inlineStr">
        <is>
          <t>SYNGENE INTERNATIONAL LTD</t>
        </is>
      </c>
      <c r="C4217" s="97" t="n">
        <v>539268</v>
      </c>
      <c r="D4217" s="96" t="inlineStr">
        <is>
          <t>SYNGENE</t>
        </is>
      </c>
      <c r="E4217" s="96" t="inlineStr">
        <is>
          <t>Pharmaceuticals</t>
        </is>
      </c>
    </row>
    <row r="4218" ht="15" customHeight="1" s="109" thickBot="1">
      <c r="B4218" s="96" t="inlineStr">
        <is>
          <t>SYNTHIKO FOILS LTD</t>
        </is>
      </c>
      <c r="C4218" s="97" t="n">
        <v>513307</v>
      </c>
      <c r="D4218" s="96" t="inlineStr">
        <is>
          <t>Not Listed</t>
        </is>
      </c>
      <c r="E4218" s="96" t="inlineStr">
        <is>
          <t>Aluminium</t>
        </is>
      </c>
    </row>
    <row r="4219" ht="15" customHeight="1" s="109" thickBot="1">
      <c r="B4219" s="96" t="inlineStr">
        <is>
          <t>SYSCHEM (INDIA) LTD</t>
        </is>
      </c>
      <c r="C4219" s="97" t="n">
        <v>531173</v>
      </c>
      <c r="D4219" s="96" t="inlineStr">
        <is>
          <t>Not Listed</t>
        </is>
      </c>
      <c r="E4219" s="96" t="inlineStr">
        <is>
          <t>Pharmaceuticals</t>
        </is>
      </c>
    </row>
    <row r="4220" ht="15" customHeight="1" s="109" thickBot="1">
      <c r="B4220" s="96" t="inlineStr">
        <is>
          <t>SYSCHEM INDIA LTD</t>
        </is>
      </c>
      <c r="C4220" s="97" t="n">
        <v>531173</v>
      </c>
      <c r="D4220" s="96" t="inlineStr">
        <is>
          <t>Not Listed</t>
        </is>
      </c>
      <c r="E4220" s="96" t="inlineStr">
        <is>
          <t>Pharmaceuticals</t>
        </is>
      </c>
    </row>
    <row r="4221" ht="15" customHeight="1" s="109" thickBot="1">
      <c r="B4221" s="96" t="inlineStr">
        <is>
          <t>SYSCO INDUSTRIES LTD</t>
        </is>
      </c>
      <c r="C4221" s="97" t="n">
        <v>539842</v>
      </c>
      <c r="D4221" s="96" t="inlineStr">
        <is>
          <t>Not Listed</t>
        </is>
      </c>
      <c r="E4221" s="96" t="inlineStr">
        <is>
          <t>Containers &amp; Packaging</t>
        </is>
      </c>
    </row>
    <row r="4222" ht="15" customHeight="1" s="109" thickBot="1">
      <c r="B4222" s="96" t="inlineStr">
        <is>
          <t>SYSTEMATIX CORPORATE SERVICES LTD</t>
        </is>
      </c>
      <c r="C4222" s="97" t="n">
        <v>526506</v>
      </c>
      <c r="D4222" s="96" t="inlineStr">
        <is>
          <t>Not Listed</t>
        </is>
      </c>
      <c r="E4222" s="96" t="inlineStr">
        <is>
          <t>Other Financial Services</t>
        </is>
      </c>
    </row>
    <row r="4223" ht="15" customHeight="1" s="109" thickBot="1">
      <c r="B4223" s="96" t="inlineStr">
        <is>
          <t>SYSTEMATIX SECURITIES LTD</t>
        </is>
      </c>
      <c r="C4223" s="97" t="n">
        <v>531432</v>
      </c>
      <c r="D4223" s="96" t="inlineStr">
        <is>
          <t>Not Listed</t>
        </is>
      </c>
      <c r="E4223" s="96" t="inlineStr">
        <is>
          <t>Finance (including NBFCs)</t>
        </is>
      </c>
    </row>
    <row r="4224" ht="15" customHeight="1" s="109" thickBot="1">
      <c r="B4224" s="96" t="inlineStr">
        <is>
          <t>T &amp; I GLOBAL LTD</t>
        </is>
      </c>
      <c r="C4224" s="97" t="n">
        <v>522294</v>
      </c>
      <c r="D4224" s="96" t="inlineStr">
        <is>
          <t>Not Listed</t>
        </is>
      </c>
      <c r="E4224" s="96" t="inlineStr">
        <is>
          <t>Industrial Machinery</t>
        </is>
      </c>
    </row>
    <row r="4225" ht="15" customHeight="1" s="109" thickBot="1">
      <c r="B4225" s="96" t="inlineStr">
        <is>
          <t>T D POWER SYSTEMS LTD</t>
        </is>
      </c>
      <c r="C4225" s="97" t="n">
        <v>533553</v>
      </c>
      <c r="D4225" s="96" t="inlineStr">
        <is>
          <t>Not Listed</t>
        </is>
      </c>
      <c r="E4225" s="96" t="inlineStr">
        <is>
          <t>Heavy Electrical Equipment</t>
        </is>
      </c>
    </row>
    <row r="4226" ht="15" customHeight="1" s="109" thickBot="1">
      <c r="B4226" s="96" t="inlineStr">
        <is>
          <t>T SPIRITUAL WORLD LTD</t>
        </is>
      </c>
      <c r="C4226" s="97" t="n">
        <v>532444</v>
      </c>
      <c r="D4226" s="96" t="inlineStr">
        <is>
          <t>Not Listed</t>
        </is>
      </c>
      <c r="E4226" s="96" t="inlineStr">
        <is>
          <t>IT Software Products</t>
        </is>
      </c>
    </row>
    <row r="4227" ht="15" customHeight="1" s="109" thickBot="1">
      <c r="B4227" s="96" t="inlineStr">
        <is>
          <t>T T LTD</t>
        </is>
      </c>
      <c r="C4227" s="97" t="n">
        <v>514142</v>
      </c>
      <c r="D4227" s="96" t="inlineStr">
        <is>
          <t>TTL</t>
        </is>
      </c>
      <c r="E4227" s="96" t="inlineStr">
        <is>
          <t>Textiles</t>
        </is>
      </c>
    </row>
    <row r="4228" ht="15" customHeight="1" s="109" thickBot="1">
      <c r="B4228" s="96" t="inlineStr">
        <is>
          <t>TAAL ENTERPRISES LTD</t>
        </is>
      </c>
      <c r="C4228" s="97" t="n">
        <v>539956</v>
      </c>
      <c r="D4228" s="96" t="inlineStr">
        <is>
          <t>Not Listed</t>
        </is>
      </c>
      <c r="E4228" s="96" t="inlineStr">
        <is>
          <t>Airlines</t>
        </is>
      </c>
    </row>
    <row r="4229" ht="15" customHeight="1" s="109" thickBot="1">
      <c r="B4229" s="96" t="inlineStr">
        <is>
          <t>TAAZA INTERNATIONAL LTD</t>
        </is>
      </c>
      <c r="C4229" s="97" t="n">
        <v>537392</v>
      </c>
      <c r="D4229" s="96" t="inlineStr">
        <is>
          <t>Not Listed</t>
        </is>
      </c>
      <c r="E4229" s="96" t="inlineStr">
        <is>
          <t>Department Stores</t>
        </is>
      </c>
    </row>
    <row r="4230" ht="15" customHeight="1" s="109" thickBot="1">
      <c r="B4230" s="96" t="inlineStr">
        <is>
          <t>TAI INDUSTRIES LTD</t>
        </is>
      </c>
      <c r="C4230" s="97" t="n">
        <v>519483</v>
      </c>
      <c r="D4230" s="96" t="inlineStr">
        <is>
          <t>Not Listed</t>
        </is>
      </c>
      <c r="E4230" s="96" t="inlineStr">
        <is>
          <t>Comm.Trading &amp; Distribution</t>
        </is>
      </c>
    </row>
    <row r="4231" ht="15" customHeight="1" s="109" thickBot="1">
      <c r="B4231" s="96" t="inlineStr">
        <is>
          <t>TAINWALA CHEMICAL AND PLASTIC I LTD</t>
        </is>
      </c>
      <c r="C4231" s="97" t="n">
        <v>507785</v>
      </c>
      <c r="D4231" s="96" t="inlineStr">
        <is>
          <t>TAINWALCHM</t>
        </is>
      </c>
      <c r="E4231" s="96" t="inlineStr">
        <is>
          <t>Plastic Products</t>
        </is>
      </c>
    </row>
    <row r="4232" ht="15" customHeight="1" s="109" thickBot="1">
      <c r="B4232" s="96" t="inlineStr">
        <is>
          <t>TAJ GVK HOTELS &amp; RESORTS LTD</t>
        </is>
      </c>
      <c r="C4232" s="97" t="n">
        <v>532390</v>
      </c>
      <c r="D4232" s="96" t="inlineStr">
        <is>
          <t>TAJGVK</t>
        </is>
      </c>
      <c r="E4232" s="96" t="inlineStr">
        <is>
          <t>Hotels</t>
        </is>
      </c>
    </row>
    <row r="4233" ht="15" customHeight="1" s="109" thickBot="1">
      <c r="B4233" s="96" t="inlineStr">
        <is>
          <t>TAKE SOLUTIONS LTD</t>
        </is>
      </c>
      <c r="C4233" s="97" t="n">
        <v>532890</v>
      </c>
      <c r="D4233" s="96" t="inlineStr">
        <is>
          <t>TAKE</t>
        </is>
      </c>
      <c r="E4233" s="96" t="inlineStr">
        <is>
          <t>IT Consulting &amp; Software</t>
        </is>
      </c>
    </row>
    <row r="4234" ht="15" customHeight="1" s="109" thickBot="1">
      <c r="B4234" s="96" t="inlineStr">
        <is>
          <t>TALBROS AUTOMOTIVE COMPONENTS LTD</t>
        </is>
      </c>
      <c r="C4234" s="97" t="n">
        <v>505160</v>
      </c>
      <c r="D4234" s="96" t="inlineStr">
        <is>
          <t>TALBROAUTO</t>
        </is>
      </c>
      <c r="E4234" s="96" t="inlineStr">
        <is>
          <t>Auto Parts &amp; Equipment</t>
        </is>
      </c>
    </row>
    <row r="4235" ht="15" customHeight="1" s="109" thickBot="1">
      <c r="B4235" s="96" t="inlineStr">
        <is>
          <t>TALBROS ENGINEERING LTD</t>
        </is>
      </c>
      <c r="C4235" s="97" t="n">
        <v>538987</v>
      </c>
      <c r="D4235" s="96" t="inlineStr">
        <is>
          <t>Not Listed</t>
        </is>
      </c>
      <c r="E4235" s="96" t="inlineStr">
        <is>
          <t>Auto Parts &amp; Equipment</t>
        </is>
      </c>
    </row>
    <row r="4236" ht="15" customHeight="1" s="109" thickBot="1">
      <c r="B4236" s="96" t="inlineStr">
        <is>
          <t>TALWALKARS BETTER VALUE FITNESS LTD</t>
        </is>
      </c>
      <c r="C4236" s="97" t="n">
        <v>533200</v>
      </c>
      <c r="D4236" s="96" t="inlineStr">
        <is>
          <t>TALWALKARS</t>
        </is>
      </c>
      <c r="E4236" s="96" t="inlineStr">
        <is>
          <t>Other Leisure Facilities</t>
        </is>
      </c>
    </row>
    <row r="4237" ht="15" customHeight="1" s="109" thickBot="1">
      <c r="B4237" s="96" t="inlineStr">
        <is>
          <t>TALWALKARS LIFESTYLES LTD</t>
        </is>
      </c>
      <c r="C4237" s="97" t="n">
        <v>541545</v>
      </c>
      <c r="D4237" s="96" t="inlineStr">
        <is>
          <t>TALWGYM</t>
        </is>
      </c>
      <c r="E4237" s="96" t="inlineStr">
        <is>
          <t>Other Leisure Facilities</t>
        </is>
      </c>
    </row>
    <row r="4238" ht="15" customHeight="1" s="109" thickBot="1">
      <c r="B4238" s="96" t="inlineStr">
        <is>
          <t>TAMBOLI CAPITAL LTD</t>
        </is>
      </c>
      <c r="C4238" s="97" t="n">
        <v>533170</v>
      </c>
      <c r="D4238" s="96" t="inlineStr">
        <is>
          <t>Not Listed</t>
        </is>
      </c>
      <c r="E4238" s="96" t="inlineStr">
        <is>
          <t>Investment Companies</t>
        </is>
      </c>
    </row>
    <row r="4239" ht="15" customHeight="1" s="109" thickBot="1">
      <c r="B4239" s="96" t="inlineStr">
        <is>
          <t>TAMIL NADU NEWSPRINT &amp; PAPERS LTD</t>
        </is>
      </c>
      <c r="C4239" s="97" t="n">
        <v>531426</v>
      </c>
      <c r="D4239" s="96" t="inlineStr">
        <is>
          <t>TNPL</t>
        </is>
      </c>
      <c r="E4239" s="96" t="inlineStr">
        <is>
          <t>Paper &amp; Paper Products</t>
        </is>
      </c>
    </row>
    <row r="4240" ht="15" customHeight="1" s="109" thickBot="1">
      <c r="B4240" s="96" t="inlineStr">
        <is>
          <t>TAMILNADU JAIBHARAT MILLS LTD</t>
        </is>
      </c>
      <c r="C4240" s="97" t="n">
        <v>521038</v>
      </c>
      <c r="D4240" s="96" t="inlineStr">
        <is>
          <t>Not Listed</t>
        </is>
      </c>
      <c r="E4240" s="96" t="inlineStr">
        <is>
          <t>Textiles</t>
        </is>
      </c>
    </row>
    <row r="4241" ht="15" customHeight="1" s="109" thickBot="1">
      <c r="B4241" s="96" t="inlineStr">
        <is>
          <t>TAMILNADU PETROPRODUCTS LTD</t>
        </is>
      </c>
      <c r="C4241" s="97" t="n">
        <v>500777</v>
      </c>
      <c r="D4241" s="96" t="inlineStr">
        <is>
          <t>TNPETRO</t>
        </is>
      </c>
      <c r="E4241" s="96" t="inlineStr">
        <is>
          <t>Commodity Chemicals</t>
        </is>
      </c>
    </row>
    <row r="4242" ht="15" customHeight="1" s="109" thickBot="1">
      <c r="B4242" s="96" t="inlineStr">
        <is>
          <t>TAMILNADU STEEL TUBES LTD</t>
        </is>
      </c>
      <c r="C4242" s="97" t="n">
        <v>513540</v>
      </c>
      <c r="D4242" s="96" t="inlineStr">
        <is>
          <t>Not Listed</t>
        </is>
      </c>
      <c r="E4242" s="96" t="inlineStr">
        <is>
          <t>Iron &amp; Steel Products</t>
        </is>
      </c>
    </row>
    <row r="4243" ht="15" customHeight="1" s="109" thickBot="1">
      <c r="B4243" s="96" t="inlineStr">
        <is>
          <t>TAMILNADU TELECOMMUNICATION LTD</t>
        </is>
      </c>
      <c r="C4243" s="97" t="n">
        <v>523419</v>
      </c>
      <c r="D4243" s="96" t="inlineStr">
        <is>
          <t>TNTELE</t>
        </is>
      </c>
      <c r="E4243" s="96" t="inlineStr">
        <is>
          <t>Telecom Cables</t>
        </is>
      </c>
    </row>
    <row r="4244" ht="15" customHeight="1" s="109" thickBot="1">
      <c r="B4244" s="96" t="inlineStr">
        <is>
          <t>TANEJA AEROSPACE &amp; AVIATION LTD</t>
        </is>
      </c>
      <c r="C4244" s="97" t="n">
        <v>522229</v>
      </c>
      <c r="D4244" s="96" t="inlineStr">
        <is>
          <t>Not Listed</t>
        </is>
      </c>
      <c r="E4244" s="96" t="inlineStr">
        <is>
          <t>Aerospace</t>
        </is>
      </c>
    </row>
    <row r="4245" ht="15" customHeight="1" s="109" thickBot="1">
      <c r="B4245" s="96" t="inlineStr">
        <is>
          <t>TANFAC INDUSTRIES LTD</t>
        </is>
      </c>
      <c r="C4245" s="97" t="n">
        <v>506854</v>
      </c>
      <c r="D4245" s="96" t="inlineStr">
        <is>
          <t>Not Listed</t>
        </is>
      </c>
      <c r="E4245" s="96" t="inlineStr">
        <is>
          <t>Commodity Chemicals</t>
        </is>
      </c>
    </row>
    <row r="4246" ht="15" customHeight="1" s="109" thickBot="1">
      <c r="B4246" s="96" t="inlineStr">
        <is>
          <t>TANLA SOLUTIONS LTD</t>
        </is>
      </c>
      <c r="C4246" s="97" t="n">
        <v>532790</v>
      </c>
      <c r="D4246" s="96" t="inlineStr">
        <is>
          <t>TANLA</t>
        </is>
      </c>
      <c r="E4246" s="96" t="inlineStr">
        <is>
          <t>IT Software Products</t>
        </is>
      </c>
    </row>
    <row r="4247" ht="15" customHeight="1" s="109" thickBot="1">
      <c r="B4247" s="96" t="inlineStr">
        <is>
          <t>TANTIA CONSTRUCTIONS LTD</t>
        </is>
      </c>
      <c r="C4247" s="97" t="n">
        <v>532738</v>
      </c>
      <c r="D4247" s="96" t="inlineStr">
        <is>
          <t>TANTIACONS</t>
        </is>
      </c>
      <c r="E4247" s="96" t="inlineStr">
        <is>
          <t>Construction &amp; Engineering</t>
        </is>
      </c>
    </row>
    <row r="4248" ht="15" customHeight="1" s="109" thickBot="1">
      <c r="B4248" s="96" t="inlineStr">
        <is>
          <t>TANVI FOODS (INDIA) LTD</t>
        </is>
      </c>
      <c r="C4248" s="97" t="n">
        <v>540332</v>
      </c>
      <c r="D4248" s="96" t="inlineStr">
        <is>
          <t>Not Listed</t>
        </is>
      </c>
      <c r="E4248" s="96" t="inlineStr">
        <is>
          <t>Comm.Trading &amp; Distribution</t>
        </is>
      </c>
    </row>
    <row r="4249" ht="15" customHeight="1" s="109" thickBot="1">
      <c r="B4249" s="96" t="inlineStr">
        <is>
          <t>TANVI FOODS INDIA LTD</t>
        </is>
      </c>
      <c r="C4249" s="97" t="n">
        <v>540332</v>
      </c>
      <c r="D4249" s="96" t="inlineStr">
        <is>
          <t>Not Listed</t>
        </is>
      </c>
      <c r="E4249" s="96" t="inlineStr">
        <is>
          <t>Comm.Trading &amp; Distribution</t>
        </is>
      </c>
    </row>
    <row r="4250" ht="15" customHeight="1" s="109" thickBot="1">
      <c r="B4250" s="96" t="inlineStr">
        <is>
          <t>TAPARIA TOOLS LTD</t>
        </is>
      </c>
      <c r="C4250" s="97" t="n">
        <v>505685</v>
      </c>
      <c r="D4250" s="96" t="inlineStr">
        <is>
          <t>Not Listed</t>
        </is>
      </c>
      <c r="E4250" s="96" t="inlineStr">
        <is>
          <t>Iron &amp; Steel Products</t>
        </is>
      </c>
    </row>
    <row r="4251" ht="15" customHeight="1" s="109" thickBot="1">
      <c r="B4251" s="96" t="inlineStr">
        <is>
          <t>TARA CHAND LOGISTIC SOLUTIONS LTD</t>
        </is>
      </c>
      <c r="C4251" s="96" t="inlineStr">
        <is>
          <t>Not Listed</t>
        </is>
      </c>
      <c r="D4251" s="96" t="inlineStr">
        <is>
          <t>TARACHAND</t>
        </is>
      </c>
      <c r="E4251" s="96" t="inlineStr">
        <is>
          <t>SME</t>
        </is>
      </c>
    </row>
    <row r="4252" ht="15" customHeight="1" s="109" thickBot="1">
      <c r="B4252" s="96" t="inlineStr">
        <is>
          <t>TARA JEWELS LTD</t>
        </is>
      </c>
      <c r="C4252" s="97" t="n">
        <v>534756</v>
      </c>
      <c r="D4252" s="96" t="inlineStr">
        <is>
          <t>TARAJEWELS</t>
        </is>
      </c>
      <c r="E4252" s="96" t="inlineStr">
        <is>
          <t>Other Apparels &amp; Accessories</t>
        </is>
      </c>
    </row>
    <row r="4253" ht="15" customHeight="1" s="109" thickBot="1">
      <c r="B4253" s="96" t="inlineStr">
        <is>
          <t>TARAI FOODS LTD</t>
        </is>
      </c>
      <c r="C4253" s="97" t="n">
        <v>519285</v>
      </c>
      <c r="D4253" s="96" t="inlineStr">
        <is>
          <t>Not Listed</t>
        </is>
      </c>
      <c r="E4253" s="96" t="inlineStr">
        <is>
          <t>Other Agricultural Products</t>
        </is>
      </c>
    </row>
    <row r="4254" ht="15" customHeight="1" s="109" thickBot="1">
      <c r="B4254" s="96" t="inlineStr">
        <is>
          <t>TARAPUR TRANSFORMERS LTD</t>
        </is>
      </c>
      <c r="C4254" s="97" t="n">
        <v>533203</v>
      </c>
      <c r="D4254" s="96" t="inlineStr">
        <is>
          <t>TARAPUR</t>
        </is>
      </c>
      <c r="E4254" s="96" t="inlineStr">
        <is>
          <t>Heavy Electrical Equipment</t>
        </is>
      </c>
    </row>
    <row r="4255" ht="15" customHeight="1" s="109" thickBot="1">
      <c r="B4255" s="96" t="inlineStr">
        <is>
          <t>TARINI INTERNATIONAL LTD</t>
        </is>
      </c>
      <c r="C4255" s="97" t="n">
        <v>538496</v>
      </c>
      <c r="D4255" s="96" t="inlineStr">
        <is>
          <t>Not Listed</t>
        </is>
      </c>
      <c r="E4255" s="96" t="inlineStr">
        <is>
          <t>Consulting Services</t>
        </is>
      </c>
    </row>
    <row r="4256" ht="15" customHeight="1" s="109" thickBot="1">
      <c r="B4256" s="96" t="inlineStr">
        <is>
          <t>TARMAT LTD</t>
        </is>
      </c>
      <c r="C4256" s="97" t="n">
        <v>532869</v>
      </c>
      <c r="D4256" s="96" t="inlineStr">
        <is>
          <t>TARMAT</t>
        </is>
      </c>
      <c r="E4256" s="96" t="inlineStr">
        <is>
          <t>Construction &amp; Engineering</t>
        </is>
      </c>
    </row>
    <row r="4257" ht="15" customHeight="1" s="109" thickBot="1">
      <c r="B4257" s="96" t="inlineStr">
        <is>
          <t>TASHI (INDIA) LTD</t>
        </is>
      </c>
      <c r="C4257" s="97" t="n">
        <v>512271</v>
      </c>
      <c r="D4257" s="96" t="inlineStr">
        <is>
          <t>Not Listed</t>
        </is>
      </c>
      <c r="E4257" s="96" t="inlineStr">
        <is>
          <t>Misc.Commercial Services</t>
        </is>
      </c>
    </row>
    <row r="4258" ht="15" customHeight="1" s="109" thickBot="1">
      <c r="B4258" s="96" t="inlineStr">
        <is>
          <t>TASHI INDIA LTD</t>
        </is>
      </c>
      <c r="C4258" s="97" t="n">
        <v>512271</v>
      </c>
      <c r="D4258" s="96" t="inlineStr">
        <is>
          <t>Not Listed</t>
        </is>
      </c>
      <c r="E4258" s="96" t="inlineStr">
        <is>
          <t>Misc.Commercial Services</t>
        </is>
      </c>
    </row>
    <row r="4259" ht="15" customHeight="1" s="109" thickBot="1">
      <c r="B4259" s="96" t="inlineStr">
        <is>
          <t>TASTY BITE EATABLES LTD</t>
        </is>
      </c>
      <c r="C4259" s="97" t="n">
        <v>519091</v>
      </c>
      <c r="D4259" s="96" t="inlineStr">
        <is>
          <t>TASTYBITE</t>
        </is>
      </c>
      <c r="E4259" s="96" t="inlineStr">
        <is>
          <t>Packaged Foods</t>
        </is>
      </c>
    </row>
    <row r="4260" ht="15" customHeight="1" s="109" thickBot="1">
      <c r="B4260" s="96" t="inlineStr">
        <is>
          <t>TASTY DAIRY SPECIALITIES LTD</t>
        </is>
      </c>
      <c r="C4260" s="97" t="n">
        <v>540955</v>
      </c>
      <c r="D4260" s="96" t="inlineStr">
        <is>
          <t>Not Listed</t>
        </is>
      </c>
      <c r="E4260" s="96" t="inlineStr">
        <is>
          <t>Packaged Foods</t>
        </is>
      </c>
    </row>
    <row r="4261" ht="15" customHeight="1" s="109" thickBot="1">
      <c r="B4261" s="96" t="inlineStr">
        <is>
          <t>TATA CHEMICALS LTD</t>
        </is>
      </c>
      <c r="C4261" s="97" t="n">
        <v>500770</v>
      </c>
      <c r="D4261" s="96" t="inlineStr">
        <is>
          <t>TATACHEM</t>
        </is>
      </c>
      <c r="E4261" s="96" t="inlineStr">
        <is>
          <t>Commodity Chemicals</t>
        </is>
      </c>
    </row>
    <row r="4262" ht="15" customHeight="1" s="109" thickBot="1">
      <c r="B4262" s="96" t="inlineStr">
        <is>
          <t>TATA COFFEE LTD</t>
        </is>
      </c>
      <c r="C4262" s="97" t="n">
        <v>532301</v>
      </c>
      <c r="D4262" s="96" t="inlineStr">
        <is>
          <t>TATACOFFEE</t>
        </is>
      </c>
      <c r="E4262" s="96" t="inlineStr">
        <is>
          <t>Tea &amp; Coffee</t>
        </is>
      </c>
    </row>
    <row r="4263" ht="15" customHeight="1" s="109" thickBot="1">
      <c r="B4263" s="96" t="inlineStr">
        <is>
          <t>TATA COMMUNICATIONS LTD</t>
        </is>
      </c>
      <c r="C4263" s="97" t="n">
        <v>500483</v>
      </c>
      <c r="D4263" s="96" t="inlineStr">
        <is>
          <t>TATACOMM</t>
        </is>
      </c>
      <c r="E4263" s="96" t="inlineStr">
        <is>
          <t>Telecom - Alternate Carriers</t>
        </is>
      </c>
    </row>
    <row r="4264" ht="15" customHeight="1" s="109" thickBot="1">
      <c r="B4264" s="96" t="inlineStr">
        <is>
          <t>TATA CONSULTANCY SERVICES LTD</t>
        </is>
      </c>
      <c r="C4264" s="97" t="n">
        <v>532540</v>
      </c>
      <c r="D4264" s="96" t="inlineStr">
        <is>
          <t>TCS</t>
        </is>
      </c>
      <c r="E4264" s="96" t="inlineStr">
        <is>
          <t>IT Consulting &amp; Software</t>
        </is>
      </c>
    </row>
    <row r="4265" ht="15" customHeight="1" s="109" thickBot="1">
      <c r="B4265" s="96" t="inlineStr">
        <is>
          <t>TATA ELXSI LTD</t>
        </is>
      </c>
      <c r="C4265" s="97" t="n">
        <v>500408</v>
      </c>
      <c r="D4265" s="96" t="inlineStr">
        <is>
          <t>TATAELXSI</t>
        </is>
      </c>
      <c r="E4265" s="96" t="inlineStr">
        <is>
          <t>IT Software Products</t>
        </is>
      </c>
    </row>
    <row r="4266" ht="15" customHeight="1" s="109" thickBot="1">
      <c r="B4266" s="96" t="inlineStr">
        <is>
          <t>TATA GLOBAL BEVERAGES LTD</t>
        </is>
      </c>
      <c r="C4266" s="97" t="n">
        <v>500800</v>
      </c>
      <c r="D4266" s="96" t="inlineStr">
        <is>
          <t>TATAGLOBAL</t>
        </is>
      </c>
      <c r="E4266" s="96" t="inlineStr">
        <is>
          <t>Tea &amp; Coffee</t>
        </is>
      </c>
    </row>
    <row r="4267" ht="15" customHeight="1" s="109" thickBot="1">
      <c r="B4267" s="96" t="inlineStr">
        <is>
          <t>TATA INVESTMENT CORPORATION LTD</t>
        </is>
      </c>
      <c r="C4267" s="97" t="n">
        <v>501301</v>
      </c>
      <c r="D4267" s="96" t="inlineStr">
        <is>
          <t>TATAINVEST</t>
        </is>
      </c>
      <c r="E4267" s="96" t="inlineStr">
        <is>
          <t>Holding Companies</t>
        </is>
      </c>
    </row>
    <row r="4268" ht="15" customHeight="1" s="109" thickBot="1">
      <c r="B4268" s="96" t="inlineStr">
        <is>
          <t>TATA METALIKS LTD</t>
        </is>
      </c>
      <c r="C4268" s="97" t="n">
        <v>513434</v>
      </c>
      <c r="D4268" s="96" t="inlineStr">
        <is>
          <t>TATAMETALI</t>
        </is>
      </c>
      <c r="E4268" s="96" t="inlineStr">
        <is>
          <t>Iron &amp; Steel/Interm.Products</t>
        </is>
      </c>
    </row>
    <row r="4269" ht="15" customHeight="1" s="109" thickBot="1">
      <c r="B4269" s="96" t="inlineStr">
        <is>
          <t>TATA MOTORS LTD</t>
        </is>
      </c>
      <c r="C4269" s="97" t="n">
        <v>500570</v>
      </c>
      <c r="D4269" s="96" t="inlineStr">
        <is>
          <t>TATAMOTORS</t>
        </is>
      </c>
      <c r="E4269" s="96" t="inlineStr">
        <is>
          <t>Commercial Vehicles</t>
        </is>
      </c>
    </row>
    <row r="4270" ht="15" customHeight="1" s="109" thickBot="1">
      <c r="B4270" s="96" t="inlineStr">
        <is>
          <t>TATA MOTORS LTD</t>
        </is>
      </c>
      <c r="C4270" s="97" t="n">
        <v>570001</v>
      </c>
      <c r="D4270" s="96" t="inlineStr">
        <is>
          <t>TATAMTRDVR</t>
        </is>
      </c>
      <c r="E4270" s="96" t="inlineStr">
        <is>
          <t>Commercial Vehicles</t>
        </is>
      </c>
    </row>
    <row r="4271" ht="15" customHeight="1" s="109" thickBot="1">
      <c r="B4271" s="96" t="inlineStr">
        <is>
          <t>TATA POWER COMPANY LTD</t>
        </is>
      </c>
      <c r="C4271" s="97" t="n">
        <v>500400</v>
      </c>
      <c r="D4271" s="96" t="inlineStr">
        <is>
          <t>TATAPOWER</t>
        </is>
      </c>
      <c r="E4271" s="96" t="inlineStr">
        <is>
          <t>Electric Utilities</t>
        </is>
      </c>
    </row>
    <row r="4272" ht="15" customHeight="1" s="109" thickBot="1">
      <c r="B4272" s="96" t="inlineStr">
        <is>
          <t>TATA SPONGE IRON LTD</t>
        </is>
      </c>
      <c r="C4272" s="97" t="n">
        <v>513010</v>
      </c>
      <c r="D4272" s="96" t="inlineStr">
        <is>
          <t>TATASPONGE</t>
        </is>
      </c>
      <c r="E4272" s="96" t="inlineStr">
        <is>
          <t>Iron &amp; Steel/Interm.Products</t>
        </is>
      </c>
    </row>
    <row r="4273" ht="15" customHeight="1" s="109" thickBot="1">
      <c r="B4273" s="96" t="inlineStr">
        <is>
          <t>Tata Steel Bsl LTD</t>
        </is>
      </c>
      <c r="C4273" s="96" t="inlineStr">
        <is>
          <t>Not Listed</t>
        </is>
      </c>
      <c r="D4273" s="96" t="inlineStr">
        <is>
          <t>TATASTLBSL</t>
        </is>
      </c>
      <c r="E4273" s="96" t="inlineStr">
        <is>
          <t>Iron &amp; Steel/Interm.Products</t>
        </is>
      </c>
    </row>
    <row r="4274" ht="15" customHeight="1" s="109" thickBot="1">
      <c r="B4274" s="96" t="inlineStr">
        <is>
          <t>TATA STEEL LTD</t>
        </is>
      </c>
      <c r="C4274" s="97" t="n">
        <v>500470</v>
      </c>
      <c r="D4274" s="96" t="inlineStr">
        <is>
          <t>TATASTEEL</t>
        </is>
      </c>
      <c r="E4274" s="96" t="inlineStr">
        <is>
          <t>Iron &amp; Steel/Interm.Products</t>
        </is>
      </c>
    </row>
    <row r="4275" ht="15" customHeight="1" s="109" thickBot="1">
      <c r="B4275" s="96" t="inlineStr">
        <is>
          <t>TATA TELESERVICES MAHARASHTRA LTD</t>
        </is>
      </c>
      <c r="C4275" s="97" t="n">
        <v>532371</v>
      </c>
      <c r="D4275" s="96" t="inlineStr">
        <is>
          <t>TTML</t>
        </is>
      </c>
      <c r="E4275" s="96" t="inlineStr">
        <is>
          <t>Telecom Services</t>
        </is>
      </c>
    </row>
    <row r="4276" ht="15" customHeight="1" s="109" thickBot="1">
      <c r="B4276" s="96" t="inlineStr">
        <is>
          <t>TATIA GLOBAL VENNTURE LTD</t>
        </is>
      </c>
      <c r="C4276" s="97" t="n">
        <v>521228</v>
      </c>
      <c r="D4276" s="96" t="inlineStr">
        <is>
          <t>Not Listed</t>
        </is>
      </c>
      <c r="E4276" s="96" t="inlineStr">
        <is>
          <t>Other Apparels &amp; Accessories</t>
        </is>
      </c>
    </row>
    <row r="4277" ht="15" customHeight="1" s="109" thickBot="1">
      <c r="B4277" s="96" t="inlineStr">
        <is>
          <t>TAVERNIER RESOURCES LTD</t>
        </is>
      </c>
      <c r="C4277" s="97" t="n">
        <v>531190</v>
      </c>
      <c r="D4277" s="96" t="inlineStr">
        <is>
          <t>Not Listed</t>
        </is>
      </c>
      <c r="E4277" s="96" t="inlineStr">
        <is>
          <t>Textiles</t>
        </is>
      </c>
    </row>
    <row r="4278" ht="15" customHeight="1" s="109" thickBot="1">
      <c r="B4278" s="96" t="inlineStr">
        <is>
          <t>TAYLORMADE RENEWABLES LTD</t>
        </is>
      </c>
      <c r="C4278" s="97" t="n">
        <v>541228</v>
      </c>
      <c r="D4278" s="96" t="inlineStr">
        <is>
          <t>Not Listed</t>
        </is>
      </c>
      <c r="E4278" s="96" t="inlineStr">
        <is>
          <t>Industrial Machinery</t>
        </is>
      </c>
    </row>
    <row r="4279" ht="15" customHeight="1" s="109" thickBot="1">
      <c r="B4279" s="96" t="inlineStr">
        <is>
          <t>TAYO ROLLS LTD</t>
        </is>
      </c>
      <c r="C4279" s="97" t="n">
        <v>504961</v>
      </c>
      <c r="D4279" s="96" t="inlineStr">
        <is>
          <t>Not Listed</t>
        </is>
      </c>
      <c r="E4279" s="96" t="inlineStr">
        <is>
          <t>Iron &amp; Steel/Interm.Products</t>
        </is>
      </c>
    </row>
    <row r="4280" ht="15" customHeight="1" s="109" thickBot="1">
      <c r="B4280" s="96" t="inlineStr">
        <is>
          <t>TCFC FINANCE LTD</t>
        </is>
      </c>
      <c r="C4280" s="97" t="n">
        <v>532284</v>
      </c>
      <c r="D4280" s="96" t="inlineStr">
        <is>
          <t>Not Listed</t>
        </is>
      </c>
      <c r="E4280" s="96" t="inlineStr">
        <is>
          <t>Other Financial Services</t>
        </is>
      </c>
    </row>
    <row r="4281" ht="15" customHeight="1" s="109" thickBot="1">
      <c r="B4281" s="96" t="inlineStr">
        <is>
          <t>TCI DEVELOPERS LTD</t>
        </is>
      </c>
      <c r="C4281" s="97" t="n">
        <v>533393</v>
      </c>
      <c r="D4281" s="96" t="inlineStr">
        <is>
          <t>TCIDEVELOP</t>
        </is>
      </c>
      <c r="E4281" s="96" t="inlineStr">
        <is>
          <t>Realty</t>
        </is>
      </c>
    </row>
    <row r="4282" ht="15" customHeight="1" s="109" thickBot="1">
      <c r="B4282" s="96" t="inlineStr">
        <is>
          <t>TCI EXPRESS LTD</t>
        </is>
      </c>
      <c r="C4282" s="97" t="n">
        <v>540212</v>
      </c>
      <c r="D4282" s="96" t="inlineStr">
        <is>
          <t>TCIEXP</t>
        </is>
      </c>
      <c r="E4282" s="96" t="inlineStr">
        <is>
          <t>Transportation - Logistics</t>
        </is>
      </c>
    </row>
    <row r="4283" ht="15" customHeight="1" s="109" thickBot="1">
      <c r="B4283" s="96" t="inlineStr">
        <is>
          <t>TCI FINANCE LTD</t>
        </is>
      </c>
      <c r="C4283" s="97" t="n">
        <v>501242</v>
      </c>
      <c r="D4283" s="96" t="inlineStr">
        <is>
          <t>TCIFINANCE</t>
        </is>
      </c>
      <c r="E4283" s="96" t="inlineStr">
        <is>
          <t>Finance (including NBFCs)</t>
        </is>
      </c>
    </row>
    <row r="4284" ht="15" customHeight="1" s="109" thickBot="1">
      <c r="B4284" s="96" t="inlineStr">
        <is>
          <t>TCI INDUSTRIES LTD</t>
        </is>
      </c>
      <c r="C4284" s="97" t="n">
        <v>532262</v>
      </c>
      <c r="D4284" s="96" t="inlineStr">
        <is>
          <t>Not Listed</t>
        </is>
      </c>
      <c r="E4284" s="96" t="inlineStr">
        <is>
          <t>Transportation - Logistics</t>
        </is>
      </c>
    </row>
    <row r="4285" ht="15" customHeight="1" s="109" thickBot="1">
      <c r="B4285" s="96" t="inlineStr">
        <is>
          <t>TCM LTD</t>
        </is>
      </c>
      <c r="C4285" s="97" t="n">
        <v>524156</v>
      </c>
      <c r="D4285" s="96" t="inlineStr">
        <is>
          <t>Not Listed</t>
        </is>
      </c>
      <c r="E4285" s="96" t="inlineStr">
        <is>
          <t>Commodity Chemicals</t>
        </is>
      </c>
    </row>
    <row r="4286" ht="15" customHeight="1" s="109" thickBot="1">
      <c r="B4286" s="96" t="inlineStr">
        <is>
          <t>TCNS CLOTHING CO LTD</t>
        </is>
      </c>
      <c r="C4286" s="97" t="n">
        <v>541700</v>
      </c>
      <c r="D4286" s="96" t="inlineStr">
        <is>
          <t>TCNSBRANDS</t>
        </is>
      </c>
      <c r="E4286" s="96" t="inlineStr">
        <is>
          <t>Other Apparels &amp; Accessories</t>
        </is>
      </c>
    </row>
    <row r="4287" ht="15" customHeight="1" s="109" thickBot="1">
      <c r="B4287" s="96" t="inlineStr">
        <is>
          <t>TCPL PACKAGING LTD</t>
        </is>
      </c>
      <c r="C4287" s="97" t="n">
        <v>523301</v>
      </c>
      <c r="D4287" s="96" t="inlineStr">
        <is>
          <t>TCPLPACK</t>
        </is>
      </c>
      <c r="E4287" s="96" t="inlineStr">
        <is>
          <t>Paper &amp; Paper Products</t>
        </is>
      </c>
    </row>
    <row r="4288" ht="15" customHeight="1" s="109" thickBot="1">
      <c r="B4288" s="96" t="inlineStr">
        <is>
          <t>TD POWER SYSTEMS LTD</t>
        </is>
      </c>
      <c r="C4288" s="96" t="inlineStr">
        <is>
          <t>Not Listed</t>
        </is>
      </c>
      <c r="D4288" s="96" t="inlineStr">
        <is>
          <t>TDPOWERSYS</t>
        </is>
      </c>
      <c r="E4288" s="96" t="inlineStr">
        <is>
          <t>Others</t>
        </is>
      </c>
    </row>
    <row r="4289" ht="15" customHeight="1" s="109" thickBot="1">
      <c r="B4289" s="96" t="inlineStr">
        <is>
          <t>TEA TIME LTD</t>
        </is>
      </c>
      <c r="C4289" s="97" t="n">
        <v>512011</v>
      </c>
      <c r="D4289" s="96" t="inlineStr">
        <is>
          <t>Not Listed</t>
        </is>
      </c>
      <c r="E4289" s="96" t="inlineStr">
        <is>
          <t>Comm.Trading &amp; Distribution</t>
        </is>
      </c>
    </row>
    <row r="4290" ht="15" customHeight="1" s="109" thickBot="1">
      <c r="B4290" s="96" t="inlineStr">
        <is>
          <t>TEAMLEASE SERVICES LTD</t>
        </is>
      </c>
      <c r="C4290" s="97" t="n">
        <v>539658</v>
      </c>
      <c r="D4290" s="96" t="inlineStr">
        <is>
          <t>TEAMLEASE</t>
        </is>
      </c>
      <c r="E4290" s="96" t="inlineStr">
        <is>
          <t>Sp.Consumer Services</t>
        </is>
      </c>
    </row>
    <row r="4291" ht="15" customHeight="1" s="109" thickBot="1">
      <c r="B4291" s="96" t="inlineStr">
        <is>
          <t>TECH MAHINDRA LTD</t>
        </is>
      </c>
      <c r="C4291" s="97" t="n">
        <v>532755</v>
      </c>
      <c r="D4291" s="96" t="inlineStr">
        <is>
          <t>TECHM</t>
        </is>
      </c>
      <c r="E4291" s="96" t="inlineStr">
        <is>
          <t>IT Consulting &amp; Software</t>
        </is>
      </c>
    </row>
    <row r="4292" ht="15" customHeight="1" s="109" thickBot="1">
      <c r="B4292" s="96" t="inlineStr">
        <is>
          <t>TECHINDIA NIRMAN LTD</t>
        </is>
      </c>
      <c r="C4292" s="97" t="n">
        <v>526576</v>
      </c>
      <c r="D4292" s="96" t="inlineStr">
        <is>
          <t>TECHIN</t>
        </is>
      </c>
      <c r="E4292" s="96" t="inlineStr">
        <is>
          <t>Other Agricultural Products</t>
        </is>
      </c>
    </row>
    <row r="4293" ht="15" customHeight="1" s="109" thickBot="1">
      <c r="B4293" s="96" t="inlineStr">
        <is>
          <t>TECHNO ELECTRIC &amp; ENGINEERING COMPANY LTD</t>
        </is>
      </c>
      <c r="C4293" s="97" t="n">
        <v>542141</v>
      </c>
      <c r="D4293" s="96" t="inlineStr">
        <is>
          <t>TECHNOE</t>
        </is>
      </c>
      <c r="E4293" s="96" t="inlineStr">
        <is>
          <t>Construction &amp; Engineering</t>
        </is>
      </c>
    </row>
    <row r="4294" ht="15" customHeight="1" s="109" thickBot="1">
      <c r="B4294" s="96" t="inlineStr">
        <is>
          <t>TECHNOCRAFT INDUSTRIES (INDIA) LTD</t>
        </is>
      </c>
      <c r="C4294" s="97" t="n">
        <v>532804</v>
      </c>
      <c r="D4294" s="96" t="inlineStr">
        <is>
          <t>TIIL</t>
        </is>
      </c>
      <c r="E4294" s="96" t="inlineStr">
        <is>
          <t>Iron &amp; Steel Products</t>
        </is>
      </c>
    </row>
    <row r="4295" ht="15" customHeight="1" s="109" thickBot="1">
      <c r="B4295" s="96" t="inlineStr">
        <is>
          <t>TECHNOCRAFT INDUSTRIES INDIA LTD</t>
        </is>
      </c>
      <c r="C4295" s="97" t="n">
        <v>532804</v>
      </c>
      <c r="D4295" s="96" t="inlineStr">
        <is>
          <t>TIIL</t>
        </is>
      </c>
      <c r="E4295" s="96" t="inlineStr">
        <is>
          <t>Iron &amp; Steel Products</t>
        </is>
      </c>
    </row>
    <row r="4296" ht="15" customHeight="1" s="109" thickBot="1">
      <c r="B4296" s="96" t="inlineStr">
        <is>
          <t>TECHNOFAB ENGINEERING LTD</t>
        </is>
      </c>
      <c r="C4296" s="97" t="n">
        <v>533216</v>
      </c>
      <c r="D4296" s="96" t="inlineStr">
        <is>
          <t>TECHNOFAB</t>
        </is>
      </c>
      <c r="E4296" s="96" t="inlineStr">
        <is>
          <t>Construction &amp; Engineering</t>
        </is>
      </c>
    </row>
    <row r="4297" ht="15" customHeight="1" s="109" thickBot="1">
      <c r="B4297" s="96" t="inlineStr">
        <is>
          <t>TECHNOJET CONSULTANTS LTD</t>
        </is>
      </c>
      <c r="C4297" s="97" t="n">
        <v>509917</v>
      </c>
      <c r="D4297" s="96" t="inlineStr">
        <is>
          <t>Not Listed</t>
        </is>
      </c>
      <c r="E4297" s="96" t="inlineStr">
        <is>
          <t>Electronic Components</t>
        </is>
      </c>
    </row>
    <row r="4298" ht="15" customHeight="1" s="109" thickBot="1">
      <c r="B4298" s="96" t="inlineStr">
        <is>
          <t>TECHNVISION VENTURES LTD</t>
        </is>
      </c>
      <c r="C4298" s="97" t="n">
        <v>501421</v>
      </c>
      <c r="D4298" s="96" t="inlineStr">
        <is>
          <t>Not Listed</t>
        </is>
      </c>
      <c r="E4298" s="96" t="inlineStr">
        <is>
          <t>IT Software Products</t>
        </is>
      </c>
    </row>
    <row r="4299" ht="15" customHeight="1" s="109" thickBot="1">
      <c r="B4299" s="96" t="inlineStr">
        <is>
          <t>TEESTA AGRO INDUSTRIES LTD</t>
        </is>
      </c>
      <c r="C4299" s="97" t="n">
        <v>524204</v>
      </c>
      <c r="D4299" s="96" t="inlineStr">
        <is>
          <t>Not Listed</t>
        </is>
      </c>
      <c r="E4299" s="96" t="inlineStr">
        <is>
          <t>Fertilizers</t>
        </is>
      </c>
    </row>
    <row r="4300" ht="15" customHeight="1" s="109" thickBot="1">
      <c r="B4300" s="96" t="inlineStr">
        <is>
          <t>TEJAS NETWORKS LTD</t>
        </is>
      </c>
      <c r="C4300" s="97" t="n">
        <v>540595</v>
      </c>
      <c r="D4300" s="96" t="inlineStr">
        <is>
          <t>TEJASNET</t>
        </is>
      </c>
      <c r="E4300" s="96" t="inlineStr">
        <is>
          <t>Other Telecom Services</t>
        </is>
      </c>
    </row>
    <row r="4301" ht="15" customHeight="1" s="109" thickBot="1">
      <c r="B4301" s="96" t="inlineStr">
        <is>
          <t>TEJNAKSH HEALTHCARE LTD</t>
        </is>
      </c>
      <c r="C4301" s="97" t="n">
        <v>539428</v>
      </c>
      <c r="D4301" s="96" t="inlineStr">
        <is>
          <t>Not Listed</t>
        </is>
      </c>
      <c r="E4301" s="96" t="inlineStr">
        <is>
          <t>Healthcare Facilities</t>
        </is>
      </c>
    </row>
    <row r="4302" ht="15" customHeight="1" s="109" thickBot="1">
      <c r="B4302" s="96" t="inlineStr">
        <is>
          <t>TELECANOR GLOBAL LTD</t>
        </is>
      </c>
      <c r="C4302" s="97" t="n">
        <v>530595</v>
      </c>
      <c r="D4302" s="96" t="inlineStr">
        <is>
          <t>Not Listed</t>
        </is>
      </c>
      <c r="E4302" s="96" t="inlineStr">
        <is>
          <t>IT Software Products</t>
        </is>
      </c>
    </row>
    <row r="4303" ht="15" customHeight="1" s="109" thickBot="1">
      <c r="B4303" s="96" t="inlineStr">
        <is>
          <t>TERA SOFTWARE LTD</t>
        </is>
      </c>
      <c r="C4303" s="97" t="n">
        <v>533982</v>
      </c>
      <c r="D4303" s="96" t="inlineStr">
        <is>
          <t>TERASOFT</t>
        </is>
      </c>
      <c r="E4303" s="96" t="inlineStr">
        <is>
          <t>IT Consulting &amp; Software</t>
        </is>
      </c>
    </row>
    <row r="4304" ht="15" customHeight="1" s="109" thickBot="1">
      <c r="B4304" s="96" t="inlineStr">
        <is>
          <t>TERAI TEA CO LTD</t>
        </is>
      </c>
      <c r="C4304" s="97" t="n">
        <v>530533</v>
      </c>
      <c r="D4304" s="96" t="inlineStr">
        <is>
          <t>Not Listed</t>
        </is>
      </c>
      <c r="E4304" s="96" t="inlineStr">
        <is>
          <t>Tea &amp; Coffee</t>
        </is>
      </c>
    </row>
    <row r="4305" ht="15" customHeight="1" s="109" thickBot="1">
      <c r="B4305" s="96" t="inlineStr">
        <is>
          <t>TERRAFORM MAGNUM LTD</t>
        </is>
      </c>
      <c r="C4305" s="97" t="n">
        <v>506162</v>
      </c>
      <c r="D4305" s="96" t="inlineStr">
        <is>
          <t>Not Listed</t>
        </is>
      </c>
      <c r="E4305" s="96" t="inlineStr">
        <is>
          <t>Other Financial Services</t>
        </is>
      </c>
    </row>
    <row r="4306" ht="15" customHeight="1" s="109" thickBot="1">
      <c r="B4306" s="96" t="inlineStr">
        <is>
          <t>TERRAFORM REALSTATE LTD</t>
        </is>
      </c>
      <c r="C4306" s="97" t="n">
        <v>512157</v>
      </c>
      <c r="D4306" s="96" t="inlineStr">
        <is>
          <t>Not Listed</t>
        </is>
      </c>
      <c r="E4306" s="96" t="inlineStr">
        <is>
          <t>Misc.Commercial Services</t>
        </is>
      </c>
    </row>
    <row r="4307" ht="15" customHeight="1" s="109" thickBot="1">
      <c r="B4307" s="96" t="inlineStr">
        <is>
          <t>TEXMACO INFRASTRUCTURE &amp; HOLDINGS LTD</t>
        </is>
      </c>
      <c r="C4307" s="97" t="n">
        <v>505400</v>
      </c>
      <c r="D4307" s="96" t="inlineStr">
        <is>
          <t>TEXINFRA</t>
        </is>
      </c>
      <c r="E4307" s="96" t="inlineStr">
        <is>
          <t>Realty</t>
        </is>
      </c>
    </row>
    <row r="4308" ht="15" customHeight="1" s="109" thickBot="1">
      <c r="B4308" s="96" t="inlineStr">
        <is>
          <t>TEXMACO RAIL &amp; ENGINEERING LTD</t>
        </is>
      </c>
      <c r="C4308" s="97" t="n">
        <v>533326</v>
      </c>
      <c r="D4308" s="96" t="inlineStr">
        <is>
          <t>TEXRAIL</t>
        </is>
      </c>
      <c r="E4308" s="96" t="inlineStr">
        <is>
          <t>Construction &amp; Engineering</t>
        </is>
      </c>
    </row>
    <row r="4309" ht="15" customHeight="1" s="109" thickBot="1">
      <c r="B4309" s="96" t="inlineStr">
        <is>
          <t>TEXMO PIPES AND PRODUCTS LTD</t>
        </is>
      </c>
      <c r="C4309" s="97" t="n">
        <v>533164</v>
      </c>
      <c r="D4309" s="96" t="inlineStr">
        <is>
          <t>TEXMOPIPES</t>
        </is>
      </c>
      <c r="E4309" s="96" t="inlineStr">
        <is>
          <t>Plastic Products</t>
        </is>
      </c>
    </row>
    <row r="4310" ht="15" customHeight="1" s="109" thickBot="1">
      <c r="B4310" s="96" t="inlineStr">
        <is>
          <t>TGB BANQUETS AND HOTELS LTD</t>
        </is>
      </c>
      <c r="C4310" s="97" t="n">
        <v>532845</v>
      </c>
      <c r="D4310" s="96" t="inlineStr">
        <is>
          <t>TGBHOTELS</t>
        </is>
      </c>
      <c r="E4310" s="96" t="inlineStr">
        <is>
          <t>Hotels</t>
        </is>
      </c>
    </row>
    <row r="4311" ht="15" customHeight="1" s="109" thickBot="1">
      <c r="B4311" s="96" t="inlineStr">
        <is>
          <t>TGV SRAAC LTD</t>
        </is>
      </c>
      <c r="C4311" s="97" t="n">
        <v>507753</v>
      </c>
      <c r="D4311" s="96" t="inlineStr">
        <is>
          <t>Not Listed</t>
        </is>
      </c>
      <c r="E4311" s="96" t="inlineStr">
        <is>
          <t>Commodity Chemicals</t>
        </is>
      </c>
    </row>
    <row r="4312" ht="15" customHeight="1" s="109" thickBot="1">
      <c r="B4312" s="96" t="inlineStr">
        <is>
          <t>THACKER &amp; CO LTD</t>
        </is>
      </c>
      <c r="C4312" s="97" t="n">
        <v>509945</v>
      </c>
      <c r="D4312" s="96" t="inlineStr">
        <is>
          <t>Not Listed</t>
        </is>
      </c>
      <c r="E4312" s="96" t="inlineStr">
        <is>
          <t>Other Financial Services</t>
        </is>
      </c>
    </row>
    <row r="4313" ht="15" customHeight="1" s="109" thickBot="1">
      <c r="B4313" s="96" t="inlineStr">
        <is>
          <t>THAKKERS DEVELOPERS LTD</t>
        </is>
      </c>
      <c r="C4313" s="97" t="n">
        <v>526654</v>
      </c>
      <c r="D4313" s="96" t="inlineStr">
        <is>
          <t>Not Listed</t>
        </is>
      </c>
      <c r="E4313" s="96" t="inlineStr">
        <is>
          <t>Realty</t>
        </is>
      </c>
    </row>
    <row r="4314" ht="15" customHeight="1" s="109" thickBot="1">
      <c r="B4314" s="96" t="inlineStr">
        <is>
          <t>THAKRAL SERVICES (INDIA) LTD</t>
        </is>
      </c>
      <c r="C4314" s="97" t="n">
        <v>509015</v>
      </c>
      <c r="D4314" s="96" t="inlineStr">
        <is>
          <t>Not Listed</t>
        </is>
      </c>
      <c r="E4314" s="96" t="inlineStr">
        <is>
          <t>Electronic Components</t>
        </is>
      </c>
    </row>
    <row r="4315" ht="15" customHeight="1" s="109" thickBot="1">
      <c r="B4315" s="96" t="inlineStr">
        <is>
          <t>THAKRAL SERVICES INDIA LTD</t>
        </is>
      </c>
      <c r="C4315" s="97" t="n">
        <v>509015</v>
      </c>
      <c r="D4315" s="96" t="inlineStr">
        <is>
          <t>Not Listed</t>
        </is>
      </c>
      <c r="E4315" s="96" t="inlineStr">
        <is>
          <t>Electronic Components</t>
        </is>
      </c>
    </row>
    <row r="4316" ht="15" customHeight="1" s="109" thickBot="1">
      <c r="B4316" s="96" t="inlineStr">
        <is>
          <t>THAMBBI MODERN SPINNING MILLS LTD</t>
        </is>
      </c>
      <c r="C4316" s="97" t="n">
        <v>514484</v>
      </c>
      <c r="D4316" s="96" t="inlineStr">
        <is>
          <t>Not Listed</t>
        </is>
      </c>
      <c r="E4316" s="96" t="inlineStr">
        <is>
          <t>Textiles</t>
        </is>
      </c>
    </row>
    <row r="4317" ht="15" customHeight="1" s="109" thickBot="1">
      <c r="B4317" s="96" t="inlineStr">
        <is>
          <t>THANGAMAYIL JEWELLERY LTD</t>
        </is>
      </c>
      <c r="C4317" s="97" t="n">
        <v>533158</v>
      </c>
      <c r="D4317" s="96" t="inlineStr">
        <is>
          <t>THANGAMAYL</t>
        </is>
      </c>
      <c r="E4317" s="96" t="inlineStr">
        <is>
          <t>Other Apparels &amp; Accessories</t>
        </is>
      </c>
    </row>
    <row r="4318" ht="15" customHeight="1" s="109" thickBot="1">
      <c r="B4318" s="96" t="inlineStr">
        <is>
          <t>THE ANDHRA SUGARS LTD</t>
        </is>
      </c>
      <c r="C4318" s="97" t="n">
        <v>590062</v>
      </c>
      <c r="D4318" s="96" t="inlineStr">
        <is>
          <t>ANDHRSUGAR</t>
        </is>
      </c>
      <c r="E4318" s="96" t="inlineStr">
        <is>
          <t>Commodity Chemicals</t>
        </is>
      </c>
    </row>
    <row r="4319" ht="15" customHeight="1" s="109" thickBot="1">
      <c r="B4319" s="96" t="inlineStr">
        <is>
          <t>The Anup Engineering Ltd</t>
        </is>
      </c>
      <c r="C4319" s="97" t="n">
        <v>542460</v>
      </c>
      <c r="D4319" s="96" t="inlineStr">
        <is>
          <t>ANUP</t>
        </is>
      </c>
      <c r="E4319" s="96" t="inlineStr">
        <is>
          <t>Industrial Machinery</t>
        </is>
      </c>
    </row>
    <row r="4320" ht="15" customHeight="1" s="109" thickBot="1">
      <c r="B4320" s="96" t="inlineStr">
        <is>
          <t>THE BYKE HOSPITALITY LTD</t>
        </is>
      </c>
      <c r="C4320" s="97" t="n">
        <v>531373</v>
      </c>
      <c r="D4320" s="96" t="inlineStr">
        <is>
          <t>BYKE</t>
        </is>
      </c>
      <c r="E4320" s="96" t="inlineStr">
        <is>
          <t>Hotels</t>
        </is>
      </c>
    </row>
    <row r="4321" ht="15" customHeight="1" s="109" thickBot="1">
      <c r="B4321" s="96" t="inlineStr">
        <is>
          <t>THE FEDERAL BANK LTD</t>
        </is>
      </c>
      <c r="C4321" s="97" t="n">
        <v>500469</v>
      </c>
      <c r="D4321" s="96" t="inlineStr">
        <is>
          <t>FEDERALBNK</t>
        </is>
      </c>
      <c r="E4321" s="96" t="inlineStr">
        <is>
          <t>Banks</t>
        </is>
      </c>
    </row>
    <row r="4322" ht="15" customHeight="1" s="109" thickBot="1">
      <c r="B4322" s="96" t="inlineStr">
        <is>
          <t>THE GREAT EASTERN SHIPPING COMPANY LTD</t>
        </is>
      </c>
      <c r="C4322" s="97" t="n">
        <v>500620</v>
      </c>
      <c r="D4322" s="96" t="inlineStr">
        <is>
          <t>GESHIP</t>
        </is>
      </c>
      <c r="E4322" s="96" t="inlineStr">
        <is>
          <t>Shipping</t>
        </is>
      </c>
    </row>
    <row r="4323" ht="15" customHeight="1" s="109" thickBot="1">
      <c r="B4323" s="96" t="inlineStr">
        <is>
          <t>THE GROB TEA COMPANY LTD</t>
        </is>
      </c>
      <c r="C4323" s="96" t="inlineStr">
        <is>
          <t>Not Listed</t>
        </is>
      </c>
      <c r="D4323" s="96" t="inlineStr">
        <is>
          <t>GROBTEA</t>
        </is>
      </c>
      <c r="E4323" s="96" t="inlineStr">
        <is>
          <t>Others</t>
        </is>
      </c>
    </row>
    <row r="4324" ht="15" customHeight="1" s="109" thickBot="1">
      <c r="B4324" s="96" t="inlineStr">
        <is>
          <t>THE HI-TECH GEARS LTD</t>
        </is>
      </c>
      <c r="C4324" s="97" t="n">
        <v>522073</v>
      </c>
      <c r="D4324" s="96" t="inlineStr">
        <is>
          <t>HITECHGEAR</t>
        </is>
      </c>
      <c r="E4324" s="96" t="inlineStr">
        <is>
          <t>Auto Parts &amp; Equipment</t>
        </is>
      </c>
    </row>
    <row r="4325" ht="15" customHeight="1" s="109" thickBot="1">
      <c r="B4325" s="96" t="inlineStr">
        <is>
          <t>THE INDIA CEMENTS LTD</t>
        </is>
      </c>
      <c r="C4325" s="97" t="n">
        <v>530005</v>
      </c>
      <c r="D4325" s="96" t="inlineStr">
        <is>
          <t>INDIACEM</t>
        </is>
      </c>
      <c r="E4325" s="96" t="inlineStr">
        <is>
          <t>Cement &amp; Cement Products</t>
        </is>
      </c>
    </row>
    <row r="4326" ht="15" customHeight="1" s="109" thickBot="1">
      <c r="B4326" s="96" t="inlineStr">
        <is>
          <t>THE INDIAN HOTELS COMPANY LTD</t>
        </is>
      </c>
      <c r="C4326" s="97" t="n">
        <v>500850</v>
      </c>
      <c r="D4326" s="96" t="inlineStr">
        <is>
          <t>INDHOTEL</t>
        </is>
      </c>
      <c r="E4326" s="96" t="inlineStr">
        <is>
          <t>Hotels</t>
        </is>
      </c>
    </row>
    <row r="4327" ht="15" customHeight="1" s="109" thickBot="1">
      <c r="B4327" s="96" t="inlineStr">
        <is>
          <t>THE INDIAN WOOD PRODUCTS COMPANY LTD</t>
        </is>
      </c>
      <c r="C4327" s="97" t="n">
        <v>540954</v>
      </c>
      <c r="D4327" s="96" t="inlineStr">
        <is>
          <t>Not Listed</t>
        </is>
      </c>
      <c r="E4327" s="96" t="inlineStr">
        <is>
          <t>Forest Products</t>
        </is>
      </c>
    </row>
    <row r="4328" ht="15" customHeight="1" s="109" thickBot="1">
      <c r="B4328" s="96" t="inlineStr">
        <is>
          <t>THE INVESTMENT TRUST OF (INDIA) LTD</t>
        </is>
      </c>
      <c r="C4328" s="97" t="n">
        <v>530023</v>
      </c>
      <c r="D4328" s="96" t="inlineStr">
        <is>
          <t>THEINVEST</t>
        </is>
      </c>
      <c r="E4328" s="96" t="inlineStr">
        <is>
          <t>Finance (including NBFCs)</t>
        </is>
      </c>
    </row>
    <row r="4329" ht="15" customHeight="1" s="109" thickBot="1">
      <c r="B4329" s="96" t="inlineStr">
        <is>
          <t>THE INVESTMENT TRUST OF INDIA LTD</t>
        </is>
      </c>
      <c r="C4329" s="97" t="n">
        <v>530023</v>
      </c>
      <c r="D4329" s="96" t="inlineStr">
        <is>
          <t>THEINVEST</t>
        </is>
      </c>
      <c r="E4329" s="96" t="inlineStr">
        <is>
          <t>Finance (including NBFCs)</t>
        </is>
      </c>
    </row>
    <row r="4330" ht="15" customHeight="1" s="109" thickBot="1">
      <c r="B4330" s="96" t="inlineStr">
        <is>
          <t>THE JAMMU &amp; KASHMIR BANK LTD</t>
        </is>
      </c>
      <c r="C4330" s="97" t="n">
        <v>532209</v>
      </c>
      <c r="D4330" s="96" t="inlineStr">
        <is>
          <t>J&amp;KBANK</t>
        </is>
      </c>
      <c r="E4330" s="96" t="inlineStr">
        <is>
          <t>Banks</t>
        </is>
      </c>
    </row>
    <row r="4331" ht="15" customHeight="1" s="109" thickBot="1">
      <c r="B4331" s="96" t="inlineStr">
        <is>
          <t>THE KARNATAKA BANK LTD</t>
        </is>
      </c>
      <c r="C4331" s="97" t="n">
        <v>532652</v>
      </c>
      <c r="D4331" s="96" t="inlineStr">
        <is>
          <t>KTKBANK</t>
        </is>
      </c>
      <c r="E4331" s="96" t="inlineStr">
        <is>
          <t>Banks</t>
        </is>
      </c>
    </row>
    <row r="4332" ht="15" customHeight="1" s="109" thickBot="1">
      <c r="B4332" s="96" t="inlineStr">
        <is>
          <t>THE MANDHANA RETAIL VENTURES LTD</t>
        </is>
      </c>
      <c r="C4332" s="97" t="n">
        <v>540210</v>
      </c>
      <c r="D4332" s="96" t="inlineStr">
        <is>
          <t>TMRVL</t>
        </is>
      </c>
      <c r="E4332" s="96" t="inlineStr">
        <is>
          <t>Specialty Retail</t>
        </is>
      </c>
    </row>
    <row r="4333" ht="15" customHeight="1" s="109" thickBot="1">
      <c r="B4333" s="96" t="inlineStr">
        <is>
          <t>THE MOTOR &amp; GENERAL FINANCE LTD</t>
        </is>
      </c>
      <c r="C4333" s="97" t="n">
        <v>501343</v>
      </c>
      <c r="D4333" s="96" t="inlineStr">
        <is>
          <t>MOTOGENFIN</t>
        </is>
      </c>
      <c r="E4333" s="96" t="inlineStr">
        <is>
          <t>Finance (including NBFCs)</t>
        </is>
      </c>
    </row>
    <row r="4334" ht="15" customHeight="1" s="109" thickBot="1">
      <c r="B4334" s="96" t="inlineStr">
        <is>
          <t>THE NEW INDIA ASSURANCE COMPANY LTD</t>
        </is>
      </c>
      <c r="C4334" s="97" t="n">
        <v>540769</v>
      </c>
      <c r="D4334" s="96" t="inlineStr">
        <is>
          <t>NIACL</t>
        </is>
      </c>
      <c r="E4334" s="96" t="inlineStr">
        <is>
          <t>General Insurance</t>
        </is>
      </c>
    </row>
    <row r="4335" ht="15" customHeight="1" s="109" thickBot="1">
      <c r="B4335" s="96" t="inlineStr">
        <is>
          <t>THE ORISSA MINERALS DEVELOPMENT COMPANY LTD</t>
        </is>
      </c>
      <c r="C4335" s="97" t="n">
        <v>590086</v>
      </c>
      <c r="D4335" s="96" t="inlineStr">
        <is>
          <t>ORISSAMINE</t>
        </is>
      </c>
      <c r="E4335" s="96" t="inlineStr">
        <is>
          <t>Mining</t>
        </is>
      </c>
    </row>
    <row r="4336" ht="15" customHeight="1" s="109" thickBot="1">
      <c r="B4336" s="96" t="inlineStr">
        <is>
          <t>THE PERIA KARAMALAI TEA &amp; PRODUCE COMPANY LTD</t>
        </is>
      </c>
      <c r="C4336" s="96" t="inlineStr">
        <is>
          <t>Not Listed</t>
        </is>
      </c>
      <c r="D4336" s="96" t="inlineStr">
        <is>
          <t>PKTEA</t>
        </is>
      </c>
      <c r="E4336" s="96" t="inlineStr">
        <is>
          <t>Others</t>
        </is>
      </c>
    </row>
    <row r="4337" ht="15" customHeight="1" s="109" thickBot="1">
      <c r="B4337" s="96" t="inlineStr">
        <is>
          <t>THE PHOENIX MILLS LTD</t>
        </is>
      </c>
      <c r="C4337" s="97" t="n">
        <v>503100</v>
      </c>
      <c r="D4337" s="96" t="inlineStr">
        <is>
          <t>PHOENIXLTD</t>
        </is>
      </c>
      <c r="E4337" s="96" t="inlineStr">
        <is>
          <t>Realty</t>
        </is>
      </c>
    </row>
    <row r="4338" ht="15" customHeight="1" s="109" thickBot="1">
      <c r="B4338" s="96" t="inlineStr">
        <is>
          <t>THE PHOSPHATE COMPANY LTD</t>
        </is>
      </c>
      <c r="C4338" s="97" t="n">
        <v>542123</v>
      </c>
      <c r="D4338" s="96" t="inlineStr">
        <is>
          <t>Not Listed</t>
        </is>
      </c>
      <c r="E4338" s="96" t="inlineStr">
        <is>
          <t>Fertilizers</t>
        </is>
      </c>
    </row>
    <row r="4339" ht="15" customHeight="1" s="109" thickBot="1">
      <c r="B4339" s="96" t="inlineStr">
        <is>
          <t>THE RAMCO CEMENTS LTD</t>
        </is>
      </c>
      <c r="C4339" s="97" t="n">
        <v>500260</v>
      </c>
      <c r="D4339" s="96" t="inlineStr">
        <is>
          <t>RAMCOCEM</t>
        </is>
      </c>
      <c r="E4339" s="96" t="inlineStr">
        <is>
          <t>Cement &amp; Cement Products</t>
        </is>
      </c>
    </row>
    <row r="4340" ht="15" customHeight="1" s="109" thickBot="1">
      <c r="B4340" s="96" t="inlineStr">
        <is>
          <t>THE RUBY MILLS LTD</t>
        </is>
      </c>
      <c r="C4340" s="97" t="n">
        <v>503169</v>
      </c>
      <c r="D4340" s="96" t="inlineStr">
        <is>
          <t>RUBYMILLS</t>
        </is>
      </c>
      <c r="E4340" s="96" t="inlineStr">
        <is>
          <t>Textiles</t>
        </is>
      </c>
    </row>
    <row r="4341" ht="15" customHeight="1" s="109" thickBot="1">
      <c r="B4341" s="96" t="inlineStr">
        <is>
          <t>THE SANDESH LTD</t>
        </is>
      </c>
      <c r="C4341" s="97" t="n">
        <v>526725</v>
      </c>
      <c r="D4341" s="96" t="inlineStr">
        <is>
          <t>SANDESH</t>
        </is>
      </c>
      <c r="E4341" s="96" t="inlineStr">
        <is>
          <t>Publishing</t>
        </is>
      </c>
    </row>
    <row r="4342" ht="15" customHeight="1" s="109" thickBot="1">
      <c r="B4342" s="96" t="inlineStr">
        <is>
          <t>THE SOUTH INDIAN BANK LTD</t>
        </is>
      </c>
      <c r="C4342" s="97" t="n">
        <v>532218</v>
      </c>
      <c r="D4342" s="96" t="inlineStr">
        <is>
          <t>SOUTHBANK</t>
        </is>
      </c>
      <c r="E4342" s="96" t="inlineStr">
        <is>
          <t>Banks</t>
        </is>
      </c>
    </row>
    <row r="4343" ht="15" customHeight="1" s="109" thickBot="1">
      <c r="B4343" s="96" t="inlineStr">
        <is>
          <t>THE STATE TRADING CORPORATION OF (INDIA) LTD</t>
        </is>
      </c>
      <c r="C4343" s="97" t="n">
        <v>512531</v>
      </c>
      <c r="D4343" s="96" t="inlineStr">
        <is>
          <t>STC(INDIA)</t>
        </is>
      </c>
      <c r="E4343" s="96" t="inlineStr">
        <is>
          <t>Comm.Trading &amp; Distribution</t>
        </is>
      </c>
    </row>
    <row r="4344" ht="15" customHeight="1" s="109" thickBot="1">
      <c r="B4344" s="96" t="inlineStr">
        <is>
          <t>THE STATE TRADING CORPORATION OF INDIA LTD</t>
        </is>
      </c>
      <c r="C4344" s="97" t="n">
        <v>512531</v>
      </c>
      <c r="D4344" s="96" t="inlineStr">
        <is>
          <t>STCINDIA</t>
        </is>
      </c>
      <c r="E4344" s="96" t="inlineStr">
        <is>
          <t>Comm.Trading &amp; Distribution</t>
        </is>
      </c>
    </row>
    <row r="4345" ht="15" customHeight="1" s="109" thickBot="1">
      <c r="B4345" s="96" t="inlineStr">
        <is>
          <t>THE TINPLATE COMPANY OF (INDIA) LTD</t>
        </is>
      </c>
      <c r="C4345" s="97" t="n">
        <v>504966</v>
      </c>
      <c r="D4345" s="96" t="inlineStr">
        <is>
          <t>TINPLATE</t>
        </is>
      </c>
      <c r="E4345" s="96" t="inlineStr">
        <is>
          <t>Containers &amp; Packaging</t>
        </is>
      </c>
    </row>
    <row r="4346" ht="15" customHeight="1" s="109" thickBot="1">
      <c r="B4346" s="96" t="inlineStr">
        <is>
          <t>THE TINPLATE COMPANY OF INDIA LTD</t>
        </is>
      </c>
      <c r="C4346" s="97" t="n">
        <v>504966</v>
      </c>
      <c r="D4346" s="96" t="inlineStr">
        <is>
          <t>TINPLATE</t>
        </is>
      </c>
      <c r="E4346" s="96" t="inlineStr">
        <is>
          <t>Containers &amp; Packaging</t>
        </is>
      </c>
    </row>
    <row r="4347" ht="15" customHeight="1" s="109" thickBot="1">
      <c r="B4347" s="96" t="inlineStr">
        <is>
          <t>THE UGAR SUGAR WORKS LTD</t>
        </is>
      </c>
      <c r="C4347" s="97" t="n">
        <v>530363</v>
      </c>
      <c r="D4347" s="96" t="inlineStr">
        <is>
          <t>UGARSUGAR</t>
        </is>
      </c>
      <c r="E4347" s="96" t="inlineStr">
        <is>
          <t>Sugar</t>
        </is>
      </c>
    </row>
    <row r="4348" ht="15" customHeight="1" s="109" thickBot="1">
      <c r="B4348" s="96" t="inlineStr">
        <is>
          <t>THE UNITED NILGIRI TEA ESTATES COMPANY LTD</t>
        </is>
      </c>
      <c r="C4348" s="96" t="inlineStr">
        <is>
          <t>Not Listed</t>
        </is>
      </c>
      <c r="D4348" s="96" t="inlineStr">
        <is>
          <t>UNITEDTEA</t>
        </is>
      </c>
      <c r="E4348" s="96" t="inlineStr">
        <is>
          <t>Others</t>
        </is>
      </c>
    </row>
    <row r="4349" ht="15" customHeight="1" s="109" thickBot="1">
      <c r="B4349" s="96" t="inlineStr">
        <is>
          <t>THE WESTERN INDIA PLYWOODS LTD</t>
        </is>
      </c>
      <c r="C4349" s="96" t="inlineStr">
        <is>
          <t>Not Listed</t>
        </is>
      </c>
      <c r="D4349" s="96" t="inlineStr">
        <is>
          <t>WIPL</t>
        </is>
      </c>
      <c r="E4349" s="96" t="inlineStr">
        <is>
          <t>Others</t>
        </is>
      </c>
    </row>
    <row r="4350" ht="15" customHeight="1" s="109" thickBot="1">
      <c r="B4350" s="96" t="inlineStr">
        <is>
          <t>THE YAMUNA SYNDICATE LTD</t>
        </is>
      </c>
      <c r="C4350" s="97" t="n">
        <v>540980</v>
      </c>
      <c r="D4350" s="96" t="inlineStr">
        <is>
          <t>Not Listed</t>
        </is>
      </c>
      <c r="E4350" s="96" t="inlineStr">
        <is>
          <t>Comm.Trading &amp; Distribution</t>
        </is>
      </c>
    </row>
    <row r="4351" ht="15" customHeight="1" s="109" thickBot="1">
      <c r="B4351" s="96" t="inlineStr">
        <is>
          <t>THEJO ENGINEERING LTD</t>
        </is>
      </c>
      <c r="C4351" s="96" t="inlineStr">
        <is>
          <t>Not Listed</t>
        </is>
      </c>
      <c r="D4351" s="96" t="inlineStr">
        <is>
          <t>THEJO</t>
        </is>
      </c>
      <c r="E4351" s="96" t="inlineStr">
        <is>
          <t>SME</t>
        </is>
      </c>
    </row>
    <row r="4352" ht="15" customHeight="1" s="109" thickBot="1">
      <c r="B4352" s="96" t="inlineStr">
        <is>
          <t>THEMIS MEDICARE LTD</t>
        </is>
      </c>
      <c r="C4352" s="97" t="n">
        <v>530199</v>
      </c>
      <c r="D4352" s="96" t="inlineStr">
        <is>
          <t>THEMISMED</t>
        </is>
      </c>
      <c r="E4352" s="96" t="inlineStr">
        <is>
          <t>Pharmaceuticals</t>
        </is>
      </c>
    </row>
    <row r="4353" ht="15" customHeight="1" s="109" thickBot="1">
      <c r="B4353" s="96" t="inlineStr">
        <is>
          <t>THERMAX LTD</t>
        </is>
      </c>
      <c r="C4353" s="97" t="n">
        <v>500411</v>
      </c>
      <c r="D4353" s="96" t="inlineStr">
        <is>
          <t>THERMAX</t>
        </is>
      </c>
      <c r="E4353" s="96" t="inlineStr">
        <is>
          <t>Heavy Electrical Equipment</t>
        </is>
      </c>
    </row>
    <row r="4354" ht="15" customHeight="1" s="109" thickBot="1">
      <c r="B4354" s="96" t="inlineStr">
        <is>
          <t>THINK INK STUDIO LTD</t>
        </is>
      </c>
      <c r="C4354" s="97" t="n">
        <v>539310</v>
      </c>
      <c r="D4354" s="96" t="inlineStr">
        <is>
          <t>Not Listed</t>
        </is>
      </c>
      <c r="E4354" s="96" t="inlineStr">
        <is>
          <t>Advertising &amp; Media</t>
        </is>
      </c>
    </row>
    <row r="4355" ht="15" customHeight="1" s="109" thickBot="1">
      <c r="B4355" s="96" t="inlineStr">
        <is>
          <t>THIRANI PROJECTS LTD</t>
        </is>
      </c>
      <c r="C4355" s="97" t="n">
        <v>538464</v>
      </c>
      <c r="D4355" s="96" t="inlineStr">
        <is>
          <t>Not Listed</t>
        </is>
      </c>
      <c r="E4355" s="96" t="inlineStr">
        <is>
          <t>Finance (including NBFCs)</t>
        </is>
      </c>
    </row>
    <row r="4356" ht="15" customHeight="1" s="109" thickBot="1">
      <c r="B4356" s="96" t="inlineStr">
        <is>
          <t>THIRDWAVE FINANCIAL INTERMEDIARIES LTD</t>
        </is>
      </c>
      <c r="C4356" s="97" t="n">
        <v>531652</v>
      </c>
      <c r="D4356" s="96" t="inlineStr">
        <is>
          <t>Not Listed</t>
        </is>
      </c>
      <c r="E4356" s="96" t="inlineStr">
        <is>
          <t>Finance (including NBFCs)</t>
        </is>
      </c>
    </row>
    <row r="4357" ht="15" customHeight="1" s="109" thickBot="1">
      <c r="B4357" s="96" t="inlineStr">
        <is>
          <t>THIRU AROORAN SUGARS LTD</t>
        </is>
      </c>
      <c r="C4357" s="97" t="n">
        <v>507450</v>
      </c>
      <c r="D4357" s="96" t="inlineStr">
        <is>
          <t>THIRUSUGAR</t>
        </is>
      </c>
      <c r="E4357" s="96" t="inlineStr">
        <is>
          <t>Sugar</t>
        </is>
      </c>
    </row>
    <row r="4358" ht="15" customHeight="1" s="109" thickBot="1">
      <c r="B4358" s="96" t="inlineStr">
        <is>
          <t>THIRUMALAI CHEMICALS LTD</t>
        </is>
      </c>
      <c r="C4358" s="97" t="n">
        <v>500412</v>
      </c>
      <c r="D4358" s="96" t="inlineStr">
        <is>
          <t>TIRUMALCHM</t>
        </is>
      </c>
      <c r="E4358" s="96" t="inlineStr">
        <is>
          <t>Commodity Chemicals</t>
        </is>
      </c>
    </row>
    <row r="4359" ht="15" customHeight="1" s="109" thickBot="1">
      <c r="B4359" s="96" t="inlineStr">
        <is>
          <t>THOMAS COOK (INDIA) LTD</t>
        </is>
      </c>
      <c r="C4359" s="97" t="n">
        <v>500413</v>
      </c>
      <c r="D4359" s="96" t="inlineStr">
        <is>
          <t>THOMASCOOK</t>
        </is>
      </c>
      <c r="E4359" s="96" t="inlineStr">
        <is>
          <t>Travel Support Services</t>
        </is>
      </c>
    </row>
    <row r="4360" ht="15" customHeight="1" s="109" thickBot="1">
      <c r="B4360" s="96" t="inlineStr">
        <is>
          <t>THOMAS COOK INDIA LTD</t>
        </is>
      </c>
      <c r="C4360" s="97" t="n">
        <v>500413</v>
      </c>
      <c r="D4360" s="96" t="inlineStr">
        <is>
          <t>THOMASCOOK</t>
        </is>
      </c>
      <c r="E4360" s="96" t="inlineStr">
        <is>
          <t>Travel Support Services</t>
        </is>
      </c>
    </row>
    <row r="4361" ht="15" customHeight="1" s="109" thickBot="1">
      <c r="B4361" s="96" t="inlineStr">
        <is>
          <t>THOMAS SCOTT (INDIA) LTD</t>
        </is>
      </c>
      <c r="C4361" s="97" t="n">
        <v>533941</v>
      </c>
      <c r="D4361" s="96" t="inlineStr">
        <is>
          <t>THOMASCOTT</t>
        </is>
      </c>
      <c r="E4361" s="96" t="inlineStr">
        <is>
          <t>Other Apparels &amp; Accessories</t>
        </is>
      </c>
    </row>
    <row r="4362" ht="15" customHeight="1" s="109" thickBot="1">
      <c r="B4362" s="96" t="inlineStr">
        <is>
          <t>THOMAS SCOTT INDIA LTD</t>
        </is>
      </c>
      <c r="C4362" s="97" t="n">
        <v>533941</v>
      </c>
      <c r="D4362" s="96" t="inlineStr">
        <is>
          <t>THOMASCOTT</t>
        </is>
      </c>
      <c r="E4362" s="96" t="inlineStr">
        <is>
          <t>Other Apparels &amp; Accessories</t>
        </is>
      </c>
    </row>
    <row r="4363" ht="15" customHeight="1" s="109" thickBot="1">
      <c r="B4363" s="96" t="inlineStr">
        <is>
          <t>THYROCARE TECHNOLOGIES LTD</t>
        </is>
      </c>
      <c r="C4363" s="97" t="n">
        <v>539871</v>
      </c>
      <c r="D4363" s="96" t="inlineStr">
        <is>
          <t>THYROCARE</t>
        </is>
      </c>
      <c r="E4363" s="96" t="inlineStr">
        <is>
          <t>Healthcare Services</t>
        </is>
      </c>
    </row>
    <row r="4364" ht="15" customHeight="1" s="109" thickBot="1">
      <c r="B4364" s="96" t="inlineStr">
        <is>
          <t>TI FINANCIAL HOLDINGS LTD</t>
        </is>
      </c>
      <c r="C4364" s="97" t="n">
        <v>504973</v>
      </c>
      <c r="D4364" s="96" t="inlineStr">
        <is>
          <t>TIFIN</t>
        </is>
      </c>
      <c r="E4364" s="96" t="inlineStr">
        <is>
          <t>Auto Parts &amp; Equipment</t>
        </is>
      </c>
    </row>
    <row r="4365" ht="15" customHeight="1" s="109" thickBot="1">
      <c r="B4365" s="96" t="inlineStr">
        <is>
          <t>TIAAN AYURVEDIC &amp; HERBS LTD</t>
        </is>
      </c>
      <c r="C4365" s="97" t="n">
        <v>540108</v>
      </c>
      <c r="D4365" s="96" t="inlineStr">
        <is>
          <t>Not Listed</t>
        </is>
      </c>
      <c r="E4365" s="96" t="inlineStr">
        <is>
          <t>Other Financial Services</t>
        </is>
      </c>
    </row>
    <row r="4366" ht="15" customHeight="1" s="109" thickBot="1">
      <c r="B4366" s="96" t="inlineStr">
        <is>
          <t>TIDE WATER OIL COMPANY (INDIA) LTD</t>
        </is>
      </c>
      <c r="C4366" s="97" t="n">
        <v>590005</v>
      </c>
      <c r="D4366" s="96" t="inlineStr">
        <is>
          <t>TIDEWATER</t>
        </is>
      </c>
      <c r="E4366" s="96" t="inlineStr">
        <is>
          <t>Oil Marketing &amp; Distribution</t>
        </is>
      </c>
    </row>
    <row r="4367" ht="15" customHeight="1" s="109" thickBot="1">
      <c r="B4367" s="96" t="inlineStr">
        <is>
          <t>TIDE WATER OIL COMPANY INDIA LTD</t>
        </is>
      </c>
      <c r="C4367" s="97" t="n">
        <v>590005</v>
      </c>
      <c r="D4367" s="96" t="inlineStr">
        <is>
          <t>TIDEWATER</t>
        </is>
      </c>
      <c r="E4367" s="96" t="inlineStr">
        <is>
          <t>Oil Marketing &amp; Distribution</t>
        </is>
      </c>
    </row>
    <row r="4368" ht="15" customHeight="1" s="109" thickBot="1">
      <c r="B4368" s="96" t="inlineStr">
        <is>
          <t>TIGER LOGISTICS (INDIA) LTD</t>
        </is>
      </c>
      <c r="C4368" s="97" t="n">
        <v>536264</v>
      </c>
      <c r="D4368" s="96" t="inlineStr">
        <is>
          <t>Not Listed</t>
        </is>
      </c>
      <c r="E4368" s="96" t="inlineStr">
        <is>
          <t>Transportation - Logistics</t>
        </is>
      </c>
    </row>
    <row r="4369" ht="15" customHeight="1" s="109" thickBot="1">
      <c r="B4369" s="96" t="inlineStr">
        <is>
          <t>TIGER LOGISTICS INDIA LTD</t>
        </is>
      </c>
      <c r="C4369" s="97" t="n">
        <v>536264</v>
      </c>
      <c r="D4369" s="96" t="inlineStr">
        <is>
          <t>Not Listed</t>
        </is>
      </c>
      <c r="E4369" s="96" t="inlineStr">
        <is>
          <t>Transportation - Logistics</t>
        </is>
      </c>
    </row>
    <row r="4370" ht="15" customHeight="1" s="109" thickBot="1">
      <c r="B4370" s="96" t="inlineStr">
        <is>
          <t>TIJARIA POLYPIPES LTD</t>
        </is>
      </c>
      <c r="C4370" s="97" t="n">
        <v>533629</v>
      </c>
      <c r="D4370" s="96" t="inlineStr">
        <is>
          <t>TIJARIA</t>
        </is>
      </c>
      <c r="E4370" s="96" t="inlineStr">
        <is>
          <t>Plastic Products</t>
        </is>
      </c>
    </row>
    <row r="4371" ht="15" customHeight="1" s="109" thickBot="1">
      <c r="B4371" s="96" t="inlineStr">
        <is>
          <t>TIL LTD</t>
        </is>
      </c>
      <c r="C4371" s="97" t="n">
        <v>505196</v>
      </c>
      <c r="D4371" s="96" t="inlineStr">
        <is>
          <t>TIL</t>
        </is>
      </c>
      <c r="E4371" s="96" t="inlineStr">
        <is>
          <t>Transport Related Services</t>
        </is>
      </c>
    </row>
    <row r="4372" ht="15" customHeight="1" s="109" thickBot="1">
      <c r="B4372" s="96" t="inlineStr">
        <is>
          <t>Tilak Ventures Ltd</t>
        </is>
      </c>
      <c r="C4372" s="97" t="n">
        <v>503663</v>
      </c>
      <c r="D4372" s="96" t="inlineStr">
        <is>
          <t>TILAK</t>
        </is>
      </c>
      <c r="E4372" s="96" t="inlineStr">
        <is>
          <t>Investment Companies</t>
        </is>
      </c>
    </row>
    <row r="4373" ht="15" customHeight="1" s="109" thickBot="1">
      <c r="B4373" s="96" t="inlineStr">
        <is>
          <t>TILAKNAGAR INDUSTRIES LTD</t>
        </is>
      </c>
      <c r="C4373" s="97" t="n">
        <v>507205</v>
      </c>
      <c r="D4373" s="96" t="inlineStr">
        <is>
          <t>TI</t>
        </is>
      </c>
      <c r="E4373" s="96" t="inlineStr">
        <is>
          <t>Breweries &amp; Distilleries</t>
        </is>
      </c>
    </row>
    <row r="4374" ht="15" customHeight="1" s="109" thickBot="1">
      <c r="B4374" s="96" t="inlineStr">
        <is>
          <t>TIME TECHNOPLAST LTD</t>
        </is>
      </c>
      <c r="C4374" s="97" t="n">
        <v>532856</v>
      </c>
      <c r="D4374" s="96" t="inlineStr">
        <is>
          <t>TIMETECHNO</t>
        </is>
      </c>
      <c r="E4374" s="96" t="inlineStr">
        <is>
          <t>Plastic Products</t>
        </is>
      </c>
    </row>
    <row r="4375" ht="15" customHeight="1" s="109" thickBot="1">
      <c r="B4375" s="96" t="inlineStr">
        <is>
          <t>TIMES GUARANTY LTD</t>
        </is>
      </c>
      <c r="C4375" s="97" t="n">
        <v>511559</v>
      </c>
      <c r="D4375" s="96" t="inlineStr">
        <is>
          <t>TIMESGTY</t>
        </is>
      </c>
      <c r="E4375" s="96" t="inlineStr">
        <is>
          <t>Finance (including NBFCs)</t>
        </is>
      </c>
    </row>
    <row r="4376" ht="15" customHeight="1" s="109" thickBot="1">
      <c r="B4376" s="96" t="inlineStr">
        <is>
          <t>TIMEX GROUP (INDIA) LTD</t>
        </is>
      </c>
      <c r="C4376" s="97" t="n">
        <v>500414</v>
      </c>
      <c r="D4376" s="96" t="inlineStr">
        <is>
          <t>Not Listed</t>
        </is>
      </c>
      <c r="E4376" s="96" t="inlineStr">
        <is>
          <t>Other Apparels &amp; Accessories</t>
        </is>
      </c>
    </row>
    <row r="4377" ht="15" customHeight="1" s="109" thickBot="1">
      <c r="B4377" s="96" t="inlineStr">
        <is>
          <t>TIMEX GROUP INDIA LTD</t>
        </is>
      </c>
      <c r="C4377" s="97" t="n">
        <v>500414</v>
      </c>
      <c r="D4377" s="96" t="inlineStr">
        <is>
          <t>Not Listed</t>
        </is>
      </c>
      <c r="E4377" s="96" t="inlineStr">
        <is>
          <t>Other Apparels &amp; Accessories</t>
        </is>
      </c>
    </row>
    <row r="4378" ht="15" customHeight="1" s="109" thickBot="1">
      <c r="B4378" s="96" t="inlineStr">
        <is>
          <t>TIMKEN (INDIA) LTD</t>
        </is>
      </c>
      <c r="C4378" s="97" t="n">
        <v>522113</v>
      </c>
      <c r="D4378" s="96" t="inlineStr">
        <is>
          <t>TIMKEN</t>
        </is>
      </c>
      <c r="E4378" s="96" t="inlineStr">
        <is>
          <t>Industrial Machinery</t>
        </is>
      </c>
    </row>
    <row r="4379" ht="15" customHeight="1" s="109" thickBot="1">
      <c r="B4379" s="96" t="inlineStr">
        <is>
          <t>TIMKEN INDIA LTD</t>
        </is>
      </c>
      <c r="C4379" s="97" t="n">
        <v>522113</v>
      </c>
      <c r="D4379" s="96" t="inlineStr">
        <is>
          <t>TIMKEN</t>
        </is>
      </c>
      <c r="E4379" s="96" t="inlineStr">
        <is>
          <t>Industrial Machinery</t>
        </is>
      </c>
    </row>
    <row r="4380" ht="15" customHeight="1" s="109" thickBot="1">
      <c r="B4380" s="96" t="inlineStr">
        <is>
          <t>TINNA RUBBER AND INFRASTRUCTURE LTD</t>
        </is>
      </c>
      <c r="C4380" s="97" t="n">
        <v>530475</v>
      </c>
      <c r="D4380" s="96" t="inlineStr">
        <is>
          <t>Not Listed</t>
        </is>
      </c>
      <c r="E4380" s="96" t="inlineStr">
        <is>
          <t>Specialty Chemicals</t>
        </is>
      </c>
    </row>
    <row r="4381" ht="15" customHeight="1" s="109" thickBot="1">
      <c r="B4381" s="96" t="inlineStr">
        <is>
          <t>TINNA TRADE LTD</t>
        </is>
      </c>
      <c r="C4381" s="97" t="n">
        <v>541741</v>
      </c>
      <c r="D4381" s="96" t="inlineStr">
        <is>
          <t>Not Listed</t>
        </is>
      </c>
      <c r="E4381" s="96" t="inlineStr">
        <is>
          <t>Comm.Trading &amp; Distribution</t>
        </is>
      </c>
    </row>
    <row r="4382" ht="15" customHeight="1" s="109" thickBot="1">
      <c r="B4382" s="96" t="inlineStr">
        <is>
          <t>TIPS INDUSTRIES LTD</t>
        </is>
      </c>
      <c r="C4382" s="97" t="n">
        <v>532375</v>
      </c>
      <c r="D4382" s="96" t="inlineStr">
        <is>
          <t>TIPSINDLTD</t>
        </is>
      </c>
      <c r="E4382" s="96" t="inlineStr">
        <is>
          <t>Movies &amp; Entertainment</t>
        </is>
      </c>
    </row>
    <row r="4383" ht="15" customHeight="1" s="109" thickBot="1">
      <c r="B4383" s="96" t="inlineStr">
        <is>
          <t>TIRUPATI FINLEASE LTD</t>
        </is>
      </c>
      <c r="C4383" s="97" t="n">
        <v>539488</v>
      </c>
      <c r="D4383" s="96" t="inlineStr">
        <is>
          <t>Not Listed</t>
        </is>
      </c>
      <c r="E4383" s="96" t="inlineStr">
        <is>
          <t>Investment Companies</t>
        </is>
      </c>
    </row>
    <row r="4384" ht="15" customHeight="1" s="109" thickBot="1">
      <c r="B4384" s="96" t="inlineStr">
        <is>
          <t>TIRUPATI FOAM LTD</t>
        </is>
      </c>
      <c r="C4384" s="97" t="n">
        <v>540904</v>
      </c>
      <c r="D4384" s="96" t="inlineStr">
        <is>
          <t>Not Listed</t>
        </is>
      </c>
      <c r="E4384" s="96" t="inlineStr">
        <is>
          <t>Furniture-Furnishing-Paints</t>
        </is>
      </c>
    </row>
    <row r="4385" ht="15" customHeight="1" s="109" thickBot="1">
      <c r="B4385" s="96" t="inlineStr">
        <is>
          <t>TIRUPATI FORGE LTD</t>
        </is>
      </c>
      <c r="C4385" s="96" t="inlineStr">
        <is>
          <t>Not Listed</t>
        </is>
      </c>
      <c r="D4385" s="96" t="inlineStr">
        <is>
          <t>TIRUPATIFL</t>
        </is>
      </c>
      <c r="E4385" s="96" t="inlineStr">
        <is>
          <t>SME</t>
        </is>
      </c>
    </row>
    <row r="4386" ht="15" customHeight="1" s="109" thickBot="1">
      <c r="B4386" s="96" t="inlineStr">
        <is>
          <t>TIRUPATI INDUSTRIES (INDIA) LTD</t>
        </is>
      </c>
      <c r="C4386" s="97" t="n">
        <v>531547</v>
      </c>
      <c r="D4386" s="96" t="inlineStr">
        <is>
          <t>Not Listed</t>
        </is>
      </c>
      <c r="E4386" s="96" t="inlineStr">
        <is>
          <t>Other Agricultural Products</t>
        </is>
      </c>
    </row>
    <row r="4387" ht="15" customHeight="1" s="109" thickBot="1">
      <c r="B4387" s="96" t="inlineStr">
        <is>
          <t>TIRUPATI INDUSTRIES INDIA LTD</t>
        </is>
      </c>
      <c r="C4387" s="97" t="n">
        <v>531547</v>
      </c>
      <c r="D4387" s="96" t="inlineStr">
        <is>
          <t>Not Listed</t>
        </is>
      </c>
      <c r="E4387" s="96" t="inlineStr">
        <is>
          <t>Other Agricultural Products</t>
        </is>
      </c>
    </row>
    <row r="4388" ht="15" customHeight="1" s="109" thickBot="1">
      <c r="B4388" s="96" t="inlineStr">
        <is>
          <t>TIRUPATI SARJAN LTD</t>
        </is>
      </c>
      <c r="C4388" s="97" t="n">
        <v>531814</v>
      </c>
      <c r="D4388" s="96" t="inlineStr">
        <is>
          <t>Not Listed</t>
        </is>
      </c>
      <c r="E4388" s="96" t="inlineStr">
        <is>
          <t>Realty</t>
        </is>
      </c>
    </row>
    <row r="4389" ht="15" customHeight="1" s="109" thickBot="1">
      <c r="B4389" s="96" t="inlineStr">
        <is>
          <t>TIRUPATI STARCH &amp; CHEMICALS LTD</t>
        </is>
      </c>
      <c r="C4389" s="97" t="n">
        <v>524582</v>
      </c>
      <c r="D4389" s="96" t="inlineStr">
        <is>
          <t>Not Listed</t>
        </is>
      </c>
      <c r="E4389" s="96" t="inlineStr">
        <is>
          <t>Other Food Products</t>
        </is>
      </c>
    </row>
    <row r="4390" ht="15" customHeight="1" s="109" thickBot="1">
      <c r="B4390" s="96" t="inlineStr">
        <is>
          <t>TIRUPATI TYRES LTD</t>
        </is>
      </c>
      <c r="C4390" s="97" t="n">
        <v>539040</v>
      </c>
      <c r="D4390" s="96" t="inlineStr">
        <is>
          <t>Not Listed</t>
        </is>
      </c>
      <c r="E4390" s="96" t="inlineStr">
        <is>
          <t>Auto Tyres &amp; Rubber Products</t>
        </is>
      </c>
    </row>
    <row r="4391" ht="15" customHeight="1" s="109" thickBot="1">
      <c r="B4391" s="96" t="inlineStr">
        <is>
          <t>TITAANIUM TEN ENTERPRISE LTD</t>
        </is>
      </c>
      <c r="C4391" s="97" t="n">
        <v>539985</v>
      </c>
      <c r="D4391" s="96" t="inlineStr">
        <is>
          <t>Not Listed</t>
        </is>
      </c>
      <c r="E4391" s="96" t="inlineStr">
        <is>
          <t>Textiles</t>
        </is>
      </c>
    </row>
    <row r="4392" ht="15" customHeight="1" s="109" thickBot="1">
      <c r="B4392" s="96" t="inlineStr">
        <is>
          <t>TITAGARH WAGONS LTD</t>
        </is>
      </c>
      <c r="C4392" s="97" t="n">
        <v>532966</v>
      </c>
      <c r="D4392" s="96" t="inlineStr">
        <is>
          <t>TWL</t>
        </is>
      </c>
      <c r="E4392" s="96" t="inlineStr">
        <is>
          <t>Commercial Vehicles</t>
        </is>
      </c>
    </row>
    <row r="4393" ht="15" customHeight="1" s="109" thickBot="1">
      <c r="B4393" s="96" t="inlineStr">
        <is>
          <t>TITAN BIOTECH LTD</t>
        </is>
      </c>
      <c r="C4393" s="97" t="n">
        <v>524717</v>
      </c>
      <c r="D4393" s="96" t="inlineStr">
        <is>
          <t>Not Listed</t>
        </is>
      </c>
      <c r="E4393" s="96" t="inlineStr">
        <is>
          <t>Specialty Chemicals</t>
        </is>
      </c>
    </row>
    <row r="4394" ht="15" customHeight="1" s="109" thickBot="1">
      <c r="B4394" s="96" t="inlineStr">
        <is>
          <t>TITAN COMPANY LTD</t>
        </is>
      </c>
      <c r="C4394" s="97" t="n">
        <v>500114</v>
      </c>
      <c r="D4394" s="96" t="inlineStr">
        <is>
          <t>TITAN</t>
        </is>
      </c>
      <c r="E4394" s="96" t="inlineStr">
        <is>
          <t>Other Apparels &amp; Accessories</t>
        </is>
      </c>
    </row>
    <row r="4395" ht="15" customHeight="1" s="109" thickBot="1">
      <c r="B4395" s="96" t="inlineStr">
        <is>
          <t>TITAN SECURITIES LTD</t>
        </is>
      </c>
      <c r="C4395" s="97" t="n">
        <v>530045</v>
      </c>
      <c r="D4395" s="96" t="inlineStr">
        <is>
          <t>Not Listed</t>
        </is>
      </c>
      <c r="E4395" s="96" t="inlineStr">
        <is>
          <t>Finance (including NBFCs)</t>
        </is>
      </c>
    </row>
    <row r="4396" ht="15" customHeight="1" s="109" thickBot="1">
      <c r="B4396" s="96" t="inlineStr">
        <is>
          <t>TIVOLI CONSTRUCTION LTD</t>
        </is>
      </c>
      <c r="C4396" s="97" t="n">
        <v>511096</v>
      </c>
      <c r="D4396" s="96" t="inlineStr">
        <is>
          <t>Not Listed</t>
        </is>
      </c>
      <c r="E4396" s="96" t="inlineStr">
        <is>
          <t>Realty</t>
        </is>
      </c>
    </row>
    <row r="4397" ht="15" customHeight="1" s="109" thickBot="1">
      <c r="B4397" s="96" t="inlineStr">
        <is>
          <t>TODAYS WRITING INSTRUMENTS LTD</t>
        </is>
      </c>
      <c r="C4397" s="97" t="n">
        <v>531830</v>
      </c>
      <c r="D4397" s="96" t="inlineStr">
        <is>
          <t>TODAYS</t>
        </is>
      </c>
      <c r="E4397" s="96" t="inlineStr">
        <is>
          <t>Non-Durable Household Prod.</t>
        </is>
      </c>
    </row>
    <row r="4398" ht="15" customHeight="1" s="109" thickBot="1">
      <c r="B4398" s="96" t="inlineStr">
        <is>
          <t>TOKYO FINANCE LTD</t>
        </is>
      </c>
      <c r="C4398" s="97" t="n">
        <v>531644</v>
      </c>
      <c r="D4398" s="96" t="inlineStr">
        <is>
          <t>Not Listed</t>
        </is>
      </c>
      <c r="E4398" s="96" t="inlineStr">
        <is>
          <t>Finance (including NBFCs)</t>
        </is>
      </c>
    </row>
    <row r="4399" ht="15" customHeight="1" s="109" thickBot="1">
      <c r="B4399" s="96" t="inlineStr">
        <is>
          <t>TOKYO PLAST INTERNATIONAL LTD</t>
        </is>
      </c>
      <c r="C4399" s="97" t="n">
        <v>500418</v>
      </c>
      <c r="D4399" s="96" t="inlineStr">
        <is>
          <t>TOKYOPLAST</t>
        </is>
      </c>
      <c r="E4399" s="96" t="inlineStr">
        <is>
          <t>Plastic Products</t>
        </is>
      </c>
    </row>
    <row r="4400" ht="15" customHeight="1" s="109" thickBot="1">
      <c r="B4400" s="96" t="inlineStr">
        <is>
          <t>TORRENT PHARMACEUTICALS LTD</t>
        </is>
      </c>
      <c r="C4400" s="97" t="n">
        <v>500420</v>
      </c>
      <c r="D4400" s="96" t="inlineStr">
        <is>
          <t>TORNTPHARM</t>
        </is>
      </c>
      <c r="E4400" s="96" t="inlineStr">
        <is>
          <t>Pharmaceuticals</t>
        </is>
      </c>
    </row>
    <row r="4401" ht="15" customHeight="1" s="109" thickBot="1">
      <c r="B4401" s="96" t="inlineStr">
        <is>
          <t>TORRENT POWER LTD</t>
        </is>
      </c>
      <c r="C4401" s="97" t="n">
        <v>532779</v>
      </c>
      <c r="D4401" s="96" t="inlineStr">
        <is>
          <t>TORNTPOWER</t>
        </is>
      </c>
      <c r="E4401" s="96" t="inlineStr">
        <is>
          <t>Electric Utilities</t>
        </is>
      </c>
    </row>
    <row r="4402" ht="15" customHeight="1" s="109" thickBot="1">
      <c r="B4402" s="96" t="inlineStr">
        <is>
          <t>TOTAL EXPORTS LTD</t>
        </is>
      </c>
      <c r="C4402" s="97" t="n">
        <v>523878</v>
      </c>
      <c r="D4402" s="96" t="inlineStr">
        <is>
          <t>Not Listed</t>
        </is>
      </c>
      <c r="E4402" s="96" t="inlineStr">
        <is>
          <t>Computer Hardware</t>
        </is>
      </c>
    </row>
    <row r="4403" ht="15" customHeight="1" s="109" thickBot="1">
      <c r="B4403" s="96" t="inlineStr">
        <is>
          <t>TOTAL TRANSPORT SYSTEMS LTD</t>
        </is>
      </c>
      <c r="C4403" s="96" t="inlineStr">
        <is>
          <t>Not Listed</t>
        </is>
      </c>
      <c r="D4403" s="96" t="inlineStr">
        <is>
          <t>TOTAL</t>
        </is>
      </c>
      <c r="E4403" s="96" t="inlineStr">
        <is>
          <t>SME</t>
        </is>
      </c>
    </row>
    <row r="4404" ht="15" customHeight="1" s="109" thickBot="1">
      <c r="B4404" s="96" t="inlineStr">
        <is>
          <t>TOUCHWOOD ENTERTAINMENT LTD</t>
        </is>
      </c>
      <c r="C4404" s="96" t="inlineStr">
        <is>
          <t>Not Listed</t>
        </is>
      </c>
      <c r="D4404" s="96" t="inlineStr">
        <is>
          <t>TOUCHWOOD</t>
        </is>
      </c>
      <c r="E4404" s="96" t="inlineStr">
        <is>
          <t>SME</t>
        </is>
      </c>
    </row>
    <row r="4405" ht="15" customHeight="1" s="109" thickBot="1">
      <c r="B4405" s="96" t="inlineStr">
        <is>
          <t>TOURISM FINANCE CORPORATION OF (INDIA) LTD</t>
        </is>
      </c>
      <c r="C4405" s="97" t="n">
        <v>526650</v>
      </c>
      <c r="D4405" s="96" t="inlineStr">
        <is>
          <t>TFCILTD</t>
        </is>
      </c>
      <c r="E4405" s="96" t="inlineStr">
        <is>
          <t>Financial Institutions</t>
        </is>
      </c>
    </row>
    <row r="4406" ht="15" customHeight="1" s="109" thickBot="1">
      <c r="B4406" s="96" t="inlineStr">
        <is>
          <t>TOURISM FINANCE CORPORATION OF INDIA LTD</t>
        </is>
      </c>
      <c r="C4406" s="97" t="n">
        <v>526650</v>
      </c>
      <c r="D4406" s="96" t="inlineStr">
        <is>
          <t>TFCILTD</t>
        </is>
      </c>
      <c r="E4406" s="96" t="inlineStr">
        <is>
          <t>Financial Institutions</t>
        </is>
      </c>
    </row>
    <row r="4407" ht="15" customHeight="1" s="109" thickBot="1">
      <c r="B4407" s="96" t="inlineStr">
        <is>
          <t>TOWA SOKKI LTD</t>
        </is>
      </c>
      <c r="C4407" s="97" t="n">
        <v>531771</v>
      </c>
      <c r="D4407" s="96" t="inlineStr">
        <is>
          <t>Not Listed</t>
        </is>
      </c>
      <c r="E4407" s="96" t="inlineStr">
        <is>
          <t>Other Elect.Equip./ Prod.</t>
        </is>
      </c>
    </row>
    <row r="4408" ht="15" customHeight="1" s="109" thickBot="1">
      <c r="B4408" s="96" t="inlineStr">
        <is>
          <t>TOYAM INDUSTRIES LTD</t>
        </is>
      </c>
      <c r="C4408" s="97" t="n">
        <v>538607</v>
      </c>
      <c r="D4408" s="96" t="inlineStr">
        <is>
          <t>Not Listed</t>
        </is>
      </c>
      <c r="E4408" s="96" t="inlineStr">
        <is>
          <t>Other Financial Services</t>
        </is>
      </c>
    </row>
    <row r="4409" ht="15" customHeight="1" s="109" thickBot="1">
      <c r="B4409" s="96" t="inlineStr">
        <is>
          <t>TPI (INDIA) LTD</t>
        </is>
      </c>
      <c r="C4409" s="97" t="n">
        <v>500421</v>
      </c>
      <c r="D4409" s="96" t="inlineStr">
        <is>
          <t>Not Listed</t>
        </is>
      </c>
      <c r="E4409" s="96" t="inlineStr">
        <is>
          <t>Containers &amp; Packaging</t>
        </is>
      </c>
    </row>
    <row r="4410" ht="15" customHeight="1" s="109" thickBot="1">
      <c r="B4410" s="96" t="inlineStr">
        <is>
          <t>TPI INDIA LTD</t>
        </is>
      </c>
      <c r="C4410" s="97" t="n">
        <v>500421</v>
      </c>
      <c r="D4410" s="96" t="inlineStr">
        <is>
          <t>Not Listed</t>
        </is>
      </c>
      <c r="E4410" s="96" t="inlineStr">
        <is>
          <t>Containers &amp; Packaging</t>
        </is>
      </c>
    </row>
    <row r="4411" ht="15" customHeight="1" s="109" thickBot="1">
      <c r="B4411" s="96" t="inlineStr">
        <is>
          <t>TPL PLASTECH LTD</t>
        </is>
      </c>
      <c r="C4411" s="97" t="n">
        <v>526582</v>
      </c>
      <c r="D4411" s="96" t="inlineStr">
        <is>
          <t>TPLPLASTEH</t>
        </is>
      </c>
      <c r="E4411" s="96" t="inlineStr">
        <is>
          <t>Plastic Products</t>
        </is>
      </c>
    </row>
    <row r="4412" ht="15" customHeight="1" s="109" thickBot="1">
      <c r="B4412" s="96" t="inlineStr">
        <is>
          <t>TRADE WINGS LTD</t>
        </is>
      </c>
      <c r="C4412" s="97" t="n">
        <v>509953</v>
      </c>
      <c r="D4412" s="96" t="inlineStr">
        <is>
          <t>Not Listed</t>
        </is>
      </c>
      <c r="E4412" s="96" t="inlineStr">
        <is>
          <t>Travel Support Services</t>
        </is>
      </c>
    </row>
    <row r="4413" ht="15" customHeight="1" s="109" thickBot="1">
      <c r="B4413" s="96" t="inlineStr">
        <is>
          <t>TRANS ASIA CORPORATION LTD</t>
        </is>
      </c>
      <c r="C4413" s="97" t="n">
        <v>530783</v>
      </c>
      <c r="D4413" s="96" t="inlineStr">
        <is>
          <t>Not Listed</t>
        </is>
      </c>
      <c r="E4413" s="96" t="inlineStr">
        <is>
          <t>Pharmaceuticals</t>
        </is>
      </c>
    </row>
    <row r="4414" ht="15" customHeight="1" s="109" thickBot="1">
      <c r="B4414" s="96" t="inlineStr">
        <is>
          <t>TRANS FINANCIAL RESOURCES LTD.</t>
        </is>
      </c>
      <c r="C4414" s="97" t="n">
        <v>526961</v>
      </c>
      <c r="D4414" s="96" t="inlineStr">
        <is>
          <t>TRANSFIN</t>
        </is>
      </c>
      <c r="E4414" s="96" t="inlineStr">
        <is>
          <t>Finance (including NBFCs)</t>
        </is>
      </c>
    </row>
    <row r="4415" ht="15" customHeight="1" s="109" thickBot="1">
      <c r="B4415" s="96" t="inlineStr">
        <is>
          <t>TRANSCHEM LTD</t>
        </is>
      </c>
      <c r="C4415" s="97" t="n">
        <v>500422</v>
      </c>
      <c r="D4415" s="96" t="inlineStr">
        <is>
          <t>Not Listed</t>
        </is>
      </c>
      <c r="E4415" s="96" t="inlineStr">
        <is>
          <t>Pharmaceuticals</t>
        </is>
      </c>
    </row>
    <row r="4416" ht="15" customHeight="1" s="109" thickBot="1">
      <c r="B4416" s="96" t="inlineStr">
        <is>
          <t>TRANSCORP INTERNATIONAL LTD</t>
        </is>
      </c>
      <c r="C4416" s="97" t="n">
        <v>532410</v>
      </c>
      <c r="D4416" s="96" t="inlineStr">
        <is>
          <t>Not Listed</t>
        </is>
      </c>
      <c r="E4416" s="96" t="inlineStr">
        <is>
          <t>Other Financial Services</t>
        </is>
      </c>
    </row>
    <row r="4417" ht="15" customHeight="1" s="109" thickBot="1">
      <c r="B4417" s="96" t="inlineStr">
        <is>
          <t>TRANSFORMERS AND RECTIFIERS (INDIA) LTD</t>
        </is>
      </c>
      <c r="C4417" s="97" t="n">
        <v>532928</v>
      </c>
      <c r="D4417" s="96" t="inlineStr">
        <is>
          <t>TRIL</t>
        </is>
      </c>
      <c r="E4417" s="96" t="inlineStr">
        <is>
          <t>Heavy Electrical Equipment</t>
        </is>
      </c>
    </row>
    <row r="4418" ht="15" customHeight="1" s="109" thickBot="1">
      <c r="B4418" s="96" t="inlineStr">
        <is>
          <t>TRANSFORMERS AND RECTIFIERS INDIA LTD</t>
        </is>
      </c>
      <c r="C4418" s="97" t="n">
        <v>532928</v>
      </c>
      <c r="D4418" s="96" t="inlineStr">
        <is>
          <t>TRIL</t>
        </is>
      </c>
      <c r="E4418" s="96" t="inlineStr">
        <is>
          <t>Heavy Electrical Equipment</t>
        </is>
      </c>
    </row>
    <row r="4419" ht="15" customHeight="1" s="109" thickBot="1">
      <c r="B4419" s="96" t="inlineStr">
        <is>
          <t>TRANS-FREIGHT CONTAINERS LTD</t>
        </is>
      </c>
      <c r="C4419" s="97" t="n">
        <v>513063</v>
      </c>
      <c r="D4419" s="96" t="inlineStr">
        <is>
          <t>Not Listed</t>
        </is>
      </c>
      <c r="E4419" s="96" t="inlineStr">
        <is>
          <t>Iron &amp; Steel Products</t>
        </is>
      </c>
    </row>
    <row r="4420" ht="15" customHeight="1" s="109" thickBot="1">
      <c r="B4420" s="96" t="inlineStr">
        <is>
          <t>TRANSGENE BIOTEK LTD</t>
        </is>
      </c>
      <c r="C4420" s="97" t="n">
        <v>526139</v>
      </c>
      <c r="D4420" s="96" t="inlineStr">
        <is>
          <t>Not Listed</t>
        </is>
      </c>
      <c r="E4420" s="96" t="inlineStr">
        <is>
          <t>Healthcare Services</t>
        </is>
      </c>
    </row>
    <row r="4421" ht="15" customHeight="1" s="109" thickBot="1">
      <c r="B4421" s="96" t="inlineStr">
        <is>
          <t>TRANSGLOBE FOODS LTD</t>
        </is>
      </c>
      <c r="C4421" s="97" t="n">
        <v>519367</v>
      </c>
      <c r="D4421" s="96" t="inlineStr">
        <is>
          <t>Not Listed</t>
        </is>
      </c>
      <c r="E4421" s="96" t="inlineStr">
        <is>
          <t>Non-alcoholic Beverages</t>
        </is>
      </c>
    </row>
    <row r="4422" ht="15" customHeight="1" s="109" thickBot="1">
      <c r="B4422" s="96" t="inlineStr">
        <is>
          <t>TRANSOCEANIC PROPERTIES LTD</t>
        </is>
      </c>
      <c r="C4422" s="97" t="n">
        <v>509003</v>
      </c>
      <c r="D4422" s="96" t="inlineStr">
        <is>
          <t>Not Listed</t>
        </is>
      </c>
      <c r="E4422" s="96" t="inlineStr">
        <is>
          <t>Misc.Commercial Services</t>
        </is>
      </c>
    </row>
    <row r="4423" ht="15" customHeight="1" s="109" thickBot="1">
      <c r="B4423" s="96" t="inlineStr">
        <is>
          <t>TRANSPEK INDUSTRY LTD</t>
        </is>
      </c>
      <c r="C4423" s="97" t="n">
        <v>506687</v>
      </c>
      <c r="D4423" s="96" t="inlineStr">
        <is>
          <t>Not Listed</t>
        </is>
      </c>
      <c r="E4423" s="96" t="inlineStr">
        <is>
          <t>Commodity Chemicals</t>
        </is>
      </c>
    </row>
    <row r="4424" ht="15" customHeight="1" s="109" thickBot="1">
      <c r="B4424" s="96" t="inlineStr">
        <is>
          <t>TRANSPORT CORPORATION OF (INDIA) LTD</t>
        </is>
      </c>
      <c r="C4424" s="97" t="n">
        <v>532349</v>
      </c>
      <c r="D4424" s="96" t="inlineStr">
        <is>
          <t>TCI</t>
        </is>
      </c>
      <c r="E4424" s="96" t="inlineStr">
        <is>
          <t>Surface Transportation</t>
        </is>
      </c>
    </row>
    <row r="4425" ht="15" customHeight="1" s="109" thickBot="1">
      <c r="B4425" s="96" t="inlineStr">
        <is>
          <t>TRANSPORT CORPORATION OF INDIA LTD</t>
        </is>
      </c>
      <c r="C4425" s="97" t="n">
        <v>532349</v>
      </c>
      <c r="D4425" s="96" t="inlineStr">
        <is>
          <t>TCI</t>
        </is>
      </c>
      <c r="E4425" s="96" t="inlineStr">
        <is>
          <t>Surface Transportation</t>
        </is>
      </c>
    </row>
    <row r="4426" ht="15" customHeight="1" s="109" thickBot="1">
      <c r="B4426" s="96" t="inlineStr">
        <is>
          <t>TRANSWARRANTY FINANCE LTD</t>
        </is>
      </c>
      <c r="C4426" s="97" t="n">
        <v>532812</v>
      </c>
      <c r="D4426" s="96" t="inlineStr">
        <is>
          <t>TFL</t>
        </is>
      </c>
      <c r="E4426" s="96" t="inlineStr">
        <is>
          <t>Finance (including NBFCs)</t>
        </is>
      </c>
    </row>
    <row r="4427" ht="15" customHeight="1" s="109" thickBot="1">
      <c r="B4427" s="96" t="inlineStr">
        <is>
          <t>TRANSWIND INFRASTRUCTURES LTD</t>
        </is>
      </c>
      <c r="C4427" s="96" t="inlineStr">
        <is>
          <t>Not Listed</t>
        </is>
      </c>
      <c r="D4427" s="96" t="inlineStr">
        <is>
          <t>TRANSWIND</t>
        </is>
      </c>
      <c r="E4427" s="96" t="inlineStr">
        <is>
          <t>SME</t>
        </is>
      </c>
    </row>
    <row r="4428" ht="15" customHeight="1" s="109" thickBot="1">
      <c r="B4428" s="96" t="inlineStr">
        <is>
          <t>TREE HOUSE EDUCATION &amp; ACCESSORIES LTD</t>
        </is>
      </c>
      <c r="C4428" s="97" t="n">
        <v>533540</v>
      </c>
      <c r="D4428" s="96" t="inlineStr">
        <is>
          <t>TREEHOUSE</t>
        </is>
      </c>
      <c r="E4428" s="96" t="inlineStr">
        <is>
          <t>Education</t>
        </is>
      </c>
    </row>
    <row r="4429" ht="15" customHeight="1" s="109" thickBot="1">
      <c r="B4429" s="96" t="inlineStr">
        <is>
          <t>Trejhara Solutions Ltd</t>
        </is>
      </c>
      <c r="C4429" s="97" t="n">
        <v>542233</v>
      </c>
      <c r="D4429" s="96" t="inlineStr">
        <is>
          <t>TREJHARA</t>
        </is>
      </c>
      <c r="E4429" s="96" t="inlineStr">
        <is>
          <t>IT Consulting &amp;amp; Software</t>
        </is>
      </c>
    </row>
    <row r="4430" ht="15" customHeight="1" s="109" thickBot="1">
      <c r="B4430" s="96" t="inlineStr">
        <is>
          <t>TRENT LTD</t>
        </is>
      </c>
      <c r="C4430" s="97" t="n">
        <v>500251</v>
      </c>
      <c r="D4430" s="96" t="inlineStr">
        <is>
          <t>TRENT</t>
        </is>
      </c>
      <c r="E4430" s="96" t="inlineStr">
        <is>
          <t>Specialty Retail</t>
        </is>
      </c>
    </row>
    <row r="4431" ht="15" customHeight="1" s="109" thickBot="1">
      <c r="B4431" s="96" t="inlineStr">
        <is>
          <t>TRESCON LTD</t>
        </is>
      </c>
      <c r="C4431" s="97" t="n">
        <v>532159</v>
      </c>
      <c r="D4431" s="96" t="inlineStr">
        <is>
          <t>Not Listed</t>
        </is>
      </c>
      <c r="E4431" s="96" t="inlineStr">
        <is>
          <t>Other Financial Services</t>
        </is>
      </c>
    </row>
    <row r="4432" ht="15" customHeight="1" s="109" thickBot="1">
      <c r="B4432" s="96" t="inlineStr">
        <is>
          <t>TRF LTD</t>
        </is>
      </c>
      <c r="C4432" s="97" t="n">
        <v>505854</v>
      </c>
      <c r="D4432" s="96" t="inlineStr">
        <is>
          <t>TRF</t>
        </is>
      </c>
      <c r="E4432" s="96" t="inlineStr">
        <is>
          <t>Industrial Machinery</t>
        </is>
      </c>
    </row>
    <row r="4433" ht="15" customHeight="1" s="109" thickBot="1">
      <c r="B4433" s="96" t="inlineStr">
        <is>
          <t>TRIBHOVANDAS BHIMJI ZAVERI LTD</t>
        </is>
      </c>
      <c r="C4433" s="97" t="n">
        <v>534369</v>
      </c>
      <c r="D4433" s="96" t="inlineStr">
        <is>
          <t>TBZ</t>
        </is>
      </c>
      <c r="E4433" s="96" t="inlineStr">
        <is>
          <t>Other Apparels &amp; Accessories</t>
        </is>
      </c>
    </row>
    <row r="4434" ht="15" customHeight="1" s="109" thickBot="1">
      <c r="B4434" s="96" t="inlineStr">
        <is>
          <t>TRICOM FRUIT PRODUCTS LTD</t>
        </is>
      </c>
      <c r="C4434" s="97" t="n">
        <v>531716</v>
      </c>
      <c r="D4434" s="96" t="inlineStr">
        <is>
          <t>Not Listed</t>
        </is>
      </c>
      <c r="E4434" s="96" t="inlineStr">
        <is>
          <t>Other Food Products</t>
        </is>
      </c>
    </row>
    <row r="4435" ht="15" customHeight="1" s="109" thickBot="1">
      <c r="B4435" s="96" t="inlineStr">
        <is>
          <t>TRIDENT LTD</t>
        </is>
      </c>
      <c r="C4435" s="97" t="n">
        <v>521064</v>
      </c>
      <c r="D4435" s="96" t="inlineStr">
        <is>
          <t>TRIDENT</t>
        </is>
      </c>
      <c r="E4435" s="96" t="inlineStr">
        <is>
          <t>Textiles</t>
        </is>
      </c>
    </row>
    <row r="4436" ht="15" customHeight="1" s="109" thickBot="1">
      <c r="B4436" s="96" t="inlineStr">
        <is>
          <t>TRIDENT TEXOFAB LTD</t>
        </is>
      </c>
      <c r="C4436" s="97" t="n">
        <v>540726</v>
      </c>
      <c r="D4436" s="96" t="inlineStr">
        <is>
          <t>Not Listed</t>
        </is>
      </c>
      <c r="E4436" s="96" t="inlineStr">
        <is>
          <t>Comm.Trading &amp; Distribution</t>
        </is>
      </c>
    </row>
    <row r="4437" ht="15" customHeight="1" s="109" thickBot="1">
      <c r="B4437" s="96" t="inlineStr">
        <is>
          <t>TRIDENT TOOLS LTD</t>
        </is>
      </c>
      <c r="C4437" s="97" t="n">
        <v>531972</v>
      </c>
      <c r="D4437" s="96" t="inlineStr">
        <is>
          <t>Not Listed</t>
        </is>
      </c>
      <c r="E4437" s="96" t="inlineStr">
        <is>
          <t>Other Industrial Goods</t>
        </is>
      </c>
    </row>
    <row r="4438" ht="15" customHeight="1" s="109" thickBot="1">
      <c r="B4438" s="96" t="inlineStr">
        <is>
          <t>TRIGYN TECHNOLOGIES LTD</t>
        </is>
      </c>
      <c r="C4438" s="97" t="n">
        <v>517562</v>
      </c>
      <c r="D4438" s="96" t="inlineStr">
        <is>
          <t>TRIGYN</t>
        </is>
      </c>
      <c r="E4438" s="96" t="inlineStr">
        <is>
          <t>IT Consulting &amp; Software</t>
        </is>
      </c>
    </row>
    <row r="4439" ht="15" customHeight="1" s="109" thickBot="1">
      <c r="B4439" s="96" t="inlineStr">
        <is>
          <t>TRIJAL INDUSTRIES LTD</t>
        </is>
      </c>
      <c r="C4439" s="97" t="n">
        <v>531658</v>
      </c>
      <c r="D4439" s="96" t="inlineStr">
        <is>
          <t>Not Listed</t>
        </is>
      </c>
      <c r="E4439" s="96" t="inlineStr">
        <is>
          <t>Finance (including NBFCs)</t>
        </is>
      </c>
    </row>
    <row r="4440" ht="15" customHeight="1" s="109" thickBot="1">
      <c r="B4440" s="96" t="inlineStr">
        <is>
          <t>TRIMURTHI LTD</t>
        </is>
      </c>
      <c r="C4440" s="97" t="n">
        <v>536565</v>
      </c>
      <c r="D4440" s="96" t="inlineStr">
        <is>
          <t>Not Listed</t>
        </is>
      </c>
      <c r="E4440" s="96" t="inlineStr">
        <is>
          <t>Food &amp; Drugs Retailing</t>
        </is>
      </c>
    </row>
    <row r="4441" ht="15" customHeight="1" s="109" thickBot="1">
      <c r="B4441" s="96" t="inlineStr">
        <is>
          <t>TRINITY LEAGUE (INDIA) LTD</t>
        </is>
      </c>
      <c r="C4441" s="97" t="n">
        <v>531846</v>
      </c>
      <c r="D4441" s="96" t="inlineStr">
        <is>
          <t>Not Listed</t>
        </is>
      </c>
      <c r="E4441" s="96" t="inlineStr">
        <is>
          <t>Other Financial Services</t>
        </is>
      </c>
    </row>
    <row r="4442" ht="15" customHeight="1" s="109" thickBot="1">
      <c r="B4442" s="96" t="inlineStr">
        <is>
          <t>TRINITY LEAGUE INDIA LTD</t>
        </is>
      </c>
      <c r="C4442" s="97" t="n">
        <v>531846</v>
      </c>
      <c r="D4442" s="96" t="inlineStr">
        <is>
          <t>Not Listed</t>
        </is>
      </c>
      <c r="E4442" s="96" t="inlineStr">
        <is>
          <t>Other Financial Services</t>
        </is>
      </c>
    </row>
    <row r="4443" ht="15" customHeight="1" s="109" thickBot="1">
      <c r="B4443" s="96" t="inlineStr">
        <is>
          <t>TRIO MERCANTILE &amp;amp; TRADING LTD.</t>
        </is>
      </c>
      <c r="C4443" s="97" t="n">
        <v>534755</v>
      </c>
      <c r="D4443" s="96" t="inlineStr">
        <is>
          <t>TRIOMERC</t>
        </is>
      </c>
      <c r="E4443" s="96" t="inlineStr">
        <is>
          <t>Other Financial Services</t>
        </is>
      </c>
    </row>
    <row r="4444" ht="15" customHeight="1" s="109" thickBot="1">
      <c r="B4444" s="96" t="inlineStr">
        <is>
          <t>TRIOCHEM PRODUCTS LTD</t>
        </is>
      </c>
      <c r="C4444" s="97" t="n">
        <v>512101</v>
      </c>
      <c r="D4444" s="96" t="inlineStr">
        <is>
          <t>Not Listed</t>
        </is>
      </c>
      <c r="E4444" s="96" t="inlineStr">
        <is>
          <t>Pharmaceuticals</t>
        </is>
      </c>
    </row>
    <row r="4445" ht="15" customHeight="1" s="109" thickBot="1">
      <c r="B4445" s="96" t="inlineStr">
        <is>
          <t>TRISHAKTI ELECTRONICS &amp; INDUSTRIES LTD</t>
        </is>
      </c>
      <c r="C4445" s="97" t="n">
        <v>531279</v>
      </c>
      <c r="D4445" s="96" t="inlineStr">
        <is>
          <t>Not Listed</t>
        </is>
      </c>
      <c r="E4445" s="96" t="inlineStr">
        <is>
          <t>Finance (including NBFCs)</t>
        </is>
      </c>
    </row>
    <row r="4446" ht="15" customHeight="1" s="109" thickBot="1">
      <c r="B4446" s="96" t="inlineStr">
        <is>
          <t>TRITON CORP LTD</t>
        </is>
      </c>
      <c r="C4446" s="97" t="n">
        <v>523387</v>
      </c>
      <c r="D4446" s="96" t="inlineStr">
        <is>
          <t>Not Listed</t>
        </is>
      </c>
      <c r="E4446" s="96" t="inlineStr">
        <is>
          <t>Other Apparels &amp; Accessories</t>
        </is>
      </c>
    </row>
    <row r="4447" ht="15" customHeight="1" s="109" thickBot="1">
      <c r="B4447" s="96" t="inlineStr">
        <is>
          <t>TRITON VALVES LTD</t>
        </is>
      </c>
      <c r="C4447" s="97" t="n">
        <v>505978</v>
      </c>
      <c r="D4447" s="96" t="inlineStr">
        <is>
          <t>Not Listed</t>
        </is>
      </c>
      <c r="E4447" s="96" t="inlineStr">
        <is>
          <t>Auto Parts &amp; Equipment</t>
        </is>
      </c>
    </row>
    <row r="4448" ht="15" customHeight="1" s="109" thickBot="1">
      <c r="B4448" s="96" t="inlineStr">
        <is>
          <t>TRIVENI ENGINEERING &amp; INDUSTRIES LTD</t>
        </is>
      </c>
      <c r="C4448" s="97" t="n">
        <v>532356</v>
      </c>
      <c r="D4448" s="96" t="inlineStr">
        <is>
          <t>TRIVENI</t>
        </is>
      </c>
      <c r="E4448" s="96" t="inlineStr">
        <is>
          <t>Sugar</t>
        </is>
      </c>
    </row>
    <row r="4449" ht="15" customHeight="1" s="109" thickBot="1">
      <c r="B4449" s="96" t="inlineStr">
        <is>
          <t>Triveni Enterprises Ltd</t>
        </is>
      </c>
      <c r="C4449" s="97" t="n">
        <v>538569</v>
      </c>
      <c r="D4449" s="96" t="inlineStr">
        <is>
          <t>TRIVENIENT</t>
        </is>
      </c>
      <c r="E4449" s="96" t="inlineStr">
        <is>
          <t>Comm.Trading &amp;amp; Distribution</t>
        </is>
      </c>
    </row>
    <row r="4450" ht="15" customHeight="1" s="109" thickBot="1">
      <c r="B4450" s="96" t="inlineStr">
        <is>
          <t>TRIVENI GLASS LTD</t>
        </is>
      </c>
      <c r="C4450" s="97" t="n">
        <v>502281</v>
      </c>
      <c r="D4450" s="96" t="inlineStr">
        <is>
          <t>Not Listed</t>
        </is>
      </c>
      <c r="E4450" s="96" t="inlineStr">
        <is>
          <t>Construction Materials</t>
        </is>
      </c>
    </row>
    <row r="4451" ht="15" customHeight="1" s="109" thickBot="1">
      <c r="B4451" s="96" t="inlineStr">
        <is>
          <t>TRIVENI TURBINE LTD</t>
        </is>
      </c>
      <c r="C4451" s="97" t="n">
        <v>533655</v>
      </c>
      <c r="D4451" s="96" t="inlineStr">
        <is>
          <t>TRITURBINE</t>
        </is>
      </c>
      <c r="E4451" s="96" t="inlineStr">
        <is>
          <t>Heavy Electrical Equipment</t>
        </is>
      </c>
    </row>
    <row r="4452" ht="15" customHeight="1" s="109" thickBot="1">
      <c r="B4452" s="96" t="inlineStr">
        <is>
          <t>TRIVIKRAMA INDUSTRIES LTD</t>
        </is>
      </c>
      <c r="C4452" s="97" t="n">
        <v>538579</v>
      </c>
      <c r="D4452" s="96" t="inlineStr">
        <is>
          <t>Not Listed</t>
        </is>
      </c>
      <c r="E4452" s="96" t="inlineStr">
        <is>
          <t>Comm.Trading &amp; Distribution</t>
        </is>
      </c>
    </row>
    <row r="4453" ht="15" customHeight="1" s="109" thickBot="1">
      <c r="B4453" s="96" t="inlineStr">
        <is>
          <t>TROMBO EXTRACTIONS LTD</t>
        </is>
      </c>
      <c r="C4453" s="97" t="n">
        <v>519303</v>
      </c>
      <c r="D4453" s="96" t="inlineStr">
        <is>
          <t>Not Listed</t>
        </is>
      </c>
      <c r="E4453" s="96" t="inlineStr">
        <is>
          <t>Edible Oils</t>
        </is>
      </c>
    </row>
    <row r="4454" ht="15" customHeight="1" s="109" thickBot="1">
      <c r="B4454" s="96" t="inlineStr">
        <is>
          <t>TTI ENTERPRISE LTD</t>
        </is>
      </c>
      <c r="C4454" s="97" t="n">
        <v>538597</v>
      </c>
      <c r="D4454" s="96" t="inlineStr">
        <is>
          <t>Not Listed</t>
        </is>
      </c>
      <c r="E4454" s="96" t="inlineStr">
        <is>
          <t>Finance (including NBFCs)</t>
        </is>
      </c>
    </row>
    <row r="4455" ht="15" customHeight="1" s="109" thickBot="1">
      <c r="B4455" s="96" t="inlineStr">
        <is>
          <t>TTK HEALTHCARE LTD</t>
        </is>
      </c>
      <c r="C4455" s="97" t="n">
        <v>507747</v>
      </c>
      <c r="D4455" s="96" t="inlineStr">
        <is>
          <t>TTKHLTCARE</t>
        </is>
      </c>
      <c r="E4455" s="96" t="inlineStr">
        <is>
          <t>Pharmaceuticals</t>
        </is>
      </c>
    </row>
    <row r="4456" ht="15" customHeight="1" s="109" thickBot="1">
      <c r="B4456" s="96" t="inlineStr">
        <is>
          <t>TTK PRESTIGE LTD</t>
        </is>
      </c>
      <c r="C4456" s="97" t="n">
        <v>517506</v>
      </c>
      <c r="D4456" s="96" t="inlineStr">
        <is>
          <t>TTKPRESTIG</t>
        </is>
      </c>
      <c r="E4456" s="96" t="inlineStr">
        <is>
          <t>Houseware</t>
        </is>
      </c>
    </row>
    <row r="4457" ht="15" customHeight="1" s="109" thickBot="1">
      <c r="B4457" s="96" t="inlineStr">
        <is>
          <t>TTL Enterprises Ltd</t>
        </is>
      </c>
      <c r="C4457" s="97" t="n">
        <v>514236</v>
      </c>
      <c r="D4457" s="96" t="inlineStr">
        <is>
          <t>TTLEL</t>
        </is>
      </c>
      <c r="E4457" s="96" t="inlineStr">
        <is>
          <t>Comm.Trading &amp;amp; Distribution</t>
        </is>
      </c>
    </row>
    <row r="4458" ht="15" customHeight="1" s="109" thickBot="1">
      <c r="B4458" s="96" t="inlineStr">
        <is>
          <t>TUBE INVESTMENTS OF (INDIA) LTD</t>
        </is>
      </c>
      <c r="C4458" s="97" t="n">
        <v>540762</v>
      </c>
      <c r="D4458" s="96" t="inlineStr">
        <is>
          <t>TI(INDIA)</t>
        </is>
      </c>
      <c r="E4458" s="96" t="inlineStr">
        <is>
          <t>Auto Parts &amp; Equipment</t>
        </is>
      </c>
    </row>
    <row r="4459" ht="15" customHeight="1" s="109" thickBot="1">
      <c r="B4459" s="96" t="inlineStr">
        <is>
          <t>TUBE INVESTMENTS OF INDIA LTD</t>
        </is>
      </c>
      <c r="C4459" s="97" t="n">
        <v>540762</v>
      </c>
      <c r="D4459" s="96" t="inlineStr">
        <is>
          <t>TIINDIA</t>
        </is>
      </c>
      <c r="E4459" s="96" t="inlineStr">
        <is>
          <t>Auto Parts &amp; Equipment</t>
        </is>
      </c>
    </row>
    <row r="4460" ht="15" customHeight="1" s="109" thickBot="1">
      <c r="B4460" s="96" t="inlineStr">
        <is>
          <t>TULASEE BIO-ETHANOL LTD</t>
        </is>
      </c>
      <c r="C4460" s="97" t="n">
        <v>524514</v>
      </c>
      <c r="D4460" s="96" t="inlineStr">
        <is>
          <t>Not Listed</t>
        </is>
      </c>
      <c r="E4460" s="96" t="inlineStr">
        <is>
          <t>Commodity Chemicals</t>
        </is>
      </c>
    </row>
    <row r="4461" ht="15" customHeight="1" s="109" thickBot="1">
      <c r="B4461" s="96" t="inlineStr">
        <is>
          <t>TULIP STAR HOTELS LTD</t>
        </is>
      </c>
      <c r="C4461" s="97" t="n">
        <v>531088</v>
      </c>
      <c r="D4461" s="96" t="inlineStr">
        <is>
          <t>Not Listed</t>
        </is>
      </c>
      <c r="E4461" s="96" t="inlineStr">
        <is>
          <t>Finance (including NBFCs)</t>
        </is>
      </c>
    </row>
    <row r="4462" ht="15" customHeight="1" s="109" thickBot="1">
      <c r="B4462" s="96" t="inlineStr">
        <is>
          <t>TULIVE DEVELOPERS LTD</t>
        </is>
      </c>
      <c r="C4462" s="97" t="n">
        <v>505285</v>
      </c>
      <c r="D4462" s="96" t="inlineStr">
        <is>
          <t>Not Listed</t>
        </is>
      </c>
      <c r="E4462" s="96" t="inlineStr">
        <is>
          <t>Other Industrial Goods</t>
        </is>
      </c>
    </row>
    <row r="4463" ht="15" customHeight="1" s="109" thickBot="1">
      <c r="B4463" s="96" t="inlineStr">
        <is>
          <t>TULSI EXTRUSIONS LTD</t>
        </is>
      </c>
      <c r="C4463" s="97" t="n">
        <v>532948</v>
      </c>
      <c r="D4463" s="96" t="inlineStr">
        <is>
          <t>TULSI</t>
        </is>
      </c>
      <c r="E4463" s="96" t="inlineStr">
        <is>
          <t>Plastic Products</t>
        </is>
      </c>
    </row>
    <row r="4464" ht="15" customHeight="1" s="109" thickBot="1">
      <c r="B4464" s="96" t="inlineStr">
        <is>
          <t>TUMUS ELECTRIC CORPORATION LTD</t>
        </is>
      </c>
      <c r="C4464" s="97" t="n">
        <v>504273</v>
      </c>
      <c r="D4464" s="96" t="inlineStr">
        <is>
          <t>Not Listed</t>
        </is>
      </c>
      <c r="E4464" s="96" t="inlineStr">
        <is>
          <t>Other Elect.Equip./ Prod.</t>
        </is>
      </c>
    </row>
    <row r="4465" ht="15" customHeight="1" s="109" thickBot="1">
      <c r="B4465" s="96" t="inlineStr">
        <is>
          <t>TUNI TEXTILE MILLS LTD</t>
        </is>
      </c>
      <c r="C4465" s="97" t="n">
        <v>531411</v>
      </c>
      <c r="D4465" s="96" t="inlineStr">
        <is>
          <t>Not Listed</t>
        </is>
      </c>
      <c r="E4465" s="96" t="inlineStr">
        <is>
          <t>Textiles</t>
        </is>
      </c>
    </row>
    <row r="4466" ht="15" customHeight="1" s="109" thickBot="1">
      <c r="B4466" s="96" t="inlineStr">
        <is>
          <t>TUTICORIN ALKALI CHEMICALS &amp; FERTILISERS LTD</t>
        </is>
      </c>
      <c r="C4466" s="97" t="n">
        <v>506808</v>
      </c>
      <c r="D4466" s="96" t="inlineStr">
        <is>
          <t>Not Listed</t>
        </is>
      </c>
      <c r="E4466" s="96" t="inlineStr">
        <is>
          <t>Commodity Chemicals</t>
        </is>
      </c>
    </row>
    <row r="4467" ht="15" customHeight="1" s="109" thickBot="1">
      <c r="B4467" s="96" t="inlineStr">
        <is>
          <t>TV TODAY NETWORK LTD</t>
        </is>
      </c>
      <c r="C4467" s="97" t="n">
        <v>532515</v>
      </c>
      <c r="D4467" s="96" t="inlineStr">
        <is>
          <t>TVTODAY</t>
        </is>
      </c>
      <c r="E4467" s="96" t="inlineStr">
        <is>
          <t>Broadcasting &amp; Cable TV</t>
        </is>
      </c>
    </row>
    <row r="4468" ht="15" customHeight="1" s="109" thickBot="1">
      <c r="B4468" s="96" t="inlineStr">
        <is>
          <t>TV VISION LTD</t>
        </is>
      </c>
      <c r="C4468" s="97" t="n">
        <v>540083</v>
      </c>
      <c r="D4468" s="96" t="inlineStr">
        <is>
          <t>TVVISION</t>
        </is>
      </c>
      <c r="E4468" s="96" t="inlineStr">
        <is>
          <t>Broadcasting &amp; Cable TV</t>
        </is>
      </c>
    </row>
    <row r="4469" ht="15" customHeight="1" s="109" thickBot="1">
      <c r="B4469" s="96" t="inlineStr">
        <is>
          <t>TV18 BROADCAST LTD</t>
        </is>
      </c>
      <c r="C4469" s="97" t="n">
        <v>532800</v>
      </c>
      <c r="D4469" s="96" t="inlineStr">
        <is>
          <t>TV18BRDCST</t>
        </is>
      </c>
      <c r="E4469" s="96" t="inlineStr">
        <is>
          <t>Broadcasting &amp; Cable TV</t>
        </is>
      </c>
    </row>
    <row r="4470" ht="15" customHeight="1" s="109" thickBot="1">
      <c r="B4470" s="96" t="inlineStr">
        <is>
          <t>TVS ELECTRONICS LTD</t>
        </is>
      </c>
      <c r="C4470" s="97" t="n">
        <v>532513</v>
      </c>
      <c r="D4470" s="96" t="inlineStr">
        <is>
          <t>TVSELECT</t>
        </is>
      </c>
      <c r="E4470" s="96" t="inlineStr">
        <is>
          <t>Storage Media &amp; Peripherals</t>
        </is>
      </c>
    </row>
    <row r="4471" ht="15" customHeight="1" s="109" thickBot="1">
      <c r="B4471" s="96" t="inlineStr">
        <is>
          <t>TVS MOTOR COMPANY LTD</t>
        </is>
      </c>
      <c r="C4471" s="97" t="n">
        <v>532343</v>
      </c>
      <c r="D4471" s="96" t="inlineStr">
        <is>
          <t>TVSMOTOR</t>
        </is>
      </c>
      <c r="E4471" s="96" t="inlineStr">
        <is>
          <t>2/3 Wheelers</t>
        </is>
      </c>
    </row>
    <row r="4472" ht="15" customHeight="1" s="109" thickBot="1">
      <c r="B4472" s="96" t="inlineStr">
        <is>
          <t>TVS SRICHAKRA LTD</t>
        </is>
      </c>
      <c r="C4472" s="97" t="n">
        <v>509243</v>
      </c>
      <c r="D4472" s="96" t="inlineStr">
        <is>
          <t>TVSSRICHAK</t>
        </is>
      </c>
      <c r="E4472" s="96" t="inlineStr">
        <is>
          <t>Auto Tyres &amp; Rubber Products</t>
        </is>
      </c>
    </row>
    <row r="4473" ht="15" customHeight="1" s="109" thickBot="1">
      <c r="B4473" s="96" t="inlineStr">
        <is>
          <t>TWIN ROSES TRADES &amp; AGENCIES LTD</t>
        </is>
      </c>
      <c r="C4473" s="97" t="n">
        <v>512117</v>
      </c>
      <c r="D4473" s="96" t="inlineStr">
        <is>
          <t>Not Listed</t>
        </is>
      </c>
      <c r="E4473" s="96" t="inlineStr">
        <is>
          <t>Misc.Commercial Services</t>
        </is>
      </c>
    </row>
    <row r="4474" ht="15" customHeight="1" s="109" thickBot="1">
      <c r="B4474" s="96" t="inlineStr">
        <is>
          <t>TWINSTAR INDUSTRIES LTD</t>
        </is>
      </c>
      <c r="C4474" s="97" t="n">
        <v>531917</v>
      </c>
      <c r="D4474" s="96" t="inlineStr">
        <is>
          <t>Not Listed</t>
        </is>
      </c>
      <c r="E4474" s="96" t="inlineStr">
        <is>
          <t>IT Software Products</t>
        </is>
      </c>
    </row>
    <row r="4475" ht="15" customHeight="1" s="109" thickBot="1">
      <c r="B4475" s="96" t="inlineStr">
        <is>
          <t>TYCHE INDUSTRIES LTD</t>
        </is>
      </c>
      <c r="C4475" s="97" t="n">
        <v>532384</v>
      </c>
      <c r="D4475" s="96" t="inlineStr">
        <is>
          <t>Not Listed</t>
        </is>
      </c>
      <c r="E4475" s="96" t="inlineStr">
        <is>
          <t>Pharmaceuticals</t>
        </is>
      </c>
    </row>
    <row r="4476" ht="15" customHeight="1" s="109" thickBot="1">
      <c r="B4476" s="96" t="inlineStr">
        <is>
          <t>TYPHOON FINANCIAL SERVICES LTD</t>
        </is>
      </c>
      <c r="C4476" s="97" t="n">
        <v>539468</v>
      </c>
      <c r="D4476" s="96" t="inlineStr">
        <is>
          <t>Not Listed</t>
        </is>
      </c>
      <c r="E4476" s="96" t="inlineStr">
        <is>
          <t>Finance (including NBFCs)</t>
        </is>
      </c>
    </row>
    <row r="4477" ht="15" customHeight="1" s="109" thickBot="1">
      <c r="B4477" s="96" t="inlineStr">
        <is>
          <t>TYPHOON HOLDINGS LTD</t>
        </is>
      </c>
      <c r="C4477" s="97" t="n">
        <v>512307</v>
      </c>
      <c r="D4477" s="96" t="inlineStr">
        <is>
          <t>Not Listed</t>
        </is>
      </c>
      <c r="E4477" s="96" t="inlineStr">
        <is>
          <t>Textiles</t>
        </is>
      </c>
    </row>
    <row r="4478" ht="15" customHeight="1" s="109" thickBot="1">
      <c r="B4478" s="96" t="inlineStr">
        <is>
          <t>TYROON TEA CO LTD</t>
        </is>
      </c>
      <c r="C4478" s="97" t="n">
        <v>526945</v>
      </c>
      <c r="D4478" s="96" t="inlineStr">
        <is>
          <t>Not Listed</t>
        </is>
      </c>
      <c r="E4478" s="96" t="inlineStr">
        <is>
          <t>Tea &amp; Coffee</t>
        </is>
      </c>
    </row>
    <row r="4479" ht="15" customHeight="1" s="109" thickBot="1">
      <c r="B4479" s="96" t="inlineStr">
        <is>
          <t>U H ZAVERI LTD</t>
        </is>
      </c>
      <c r="C4479" s="97" t="n">
        <v>541338</v>
      </c>
      <c r="D4479" s="96" t="inlineStr">
        <is>
          <t>Not Listed</t>
        </is>
      </c>
      <c r="E4479" s="96" t="inlineStr">
        <is>
          <t>Other Apparels &amp; Accessories</t>
        </is>
      </c>
    </row>
    <row r="4480" ht="15" customHeight="1" s="109" thickBot="1">
      <c r="B4480" s="96" t="inlineStr">
        <is>
          <t>UCAL FUEL SYSTEMS LTD</t>
        </is>
      </c>
      <c r="C4480" s="97" t="n">
        <v>500464</v>
      </c>
      <c r="D4480" s="96" t="inlineStr">
        <is>
          <t>UCALFUEL</t>
        </is>
      </c>
      <c r="E4480" s="96" t="inlineStr">
        <is>
          <t>Auto Parts &amp; Equipment</t>
        </is>
      </c>
    </row>
    <row r="4481" ht="15" customHeight="1" s="109" thickBot="1">
      <c r="B4481" s="96" t="inlineStr">
        <is>
          <t>UCO BANK</t>
        </is>
      </c>
      <c r="C4481" s="97" t="n">
        <v>532505</v>
      </c>
      <c r="D4481" s="96" t="inlineStr">
        <is>
          <t>UCOBANK</t>
        </is>
      </c>
      <c r="E4481" s="96" t="inlineStr">
        <is>
          <t>Banks</t>
        </is>
      </c>
    </row>
    <row r="4482" ht="15" customHeight="1" s="109" thickBot="1">
      <c r="B4482" s="96" t="inlineStr">
        <is>
          <t>UDAIPUR CEMENT WORKS LTD</t>
        </is>
      </c>
      <c r="C4482" s="97" t="n">
        <v>530131</v>
      </c>
      <c r="D4482" s="96" t="inlineStr">
        <is>
          <t>Not Listed</t>
        </is>
      </c>
      <c r="E4482" s="96" t="inlineStr">
        <is>
          <t>Cement &amp; Cement Products</t>
        </is>
      </c>
    </row>
    <row r="4483" ht="15" customHeight="1" s="109" thickBot="1">
      <c r="B4483" s="96" t="inlineStr">
        <is>
          <t>UDAY JEWELLERY INDUSTRIES LTD</t>
        </is>
      </c>
      <c r="C4483" s="97" t="n">
        <v>539518</v>
      </c>
      <c r="D4483" s="96" t="inlineStr">
        <is>
          <t>Not Listed</t>
        </is>
      </c>
      <c r="E4483" s="96" t="inlineStr">
        <is>
          <t>Distributors</t>
        </is>
      </c>
    </row>
    <row r="4484" ht="15" customHeight="1" s="109" thickBot="1">
      <c r="B4484" s="96" t="inlineStr">
        <is>
          <t>UFLEX LTD</t>
        </is>
      </c>
      <c r="C4484" s="97" t="n">
        <v>500148</v>
      </c>
      <c r="D4484" s="96" t="inlineStr">
        <is>
          <t>UFLEX</t>
        </is>
      </c>
      <c r="E4484" s="96" t="inlineStr">
        <is>
          <t>Containers &amp; Packaging</t>
        </is>
      </c>
    </row>
    <row r="4485" ht="15" customHeight="1" s="109" thickBot="1">
      <c r="B4485" s="96" t="inlineStr">
        <is>
          <t>UFO MOVIEZ (INDIA) LTD</t>
        </is>
      </c>
      <c r="C4485" s="97" t="n">
        <v>539141</v>
      </c>
      <c r="D4485" s="96" t="inlineStr">
        <is>
          <t>UFO</t>
        </is>
      </c>
      <c r="E4485" s="96" t="inlineStr">
        <is>
          <t>Broadcasting &amp; Cable TV</t>
        </is>
      </c>
    </row>
    <row r="4486" ht="15" customHeight="1" s="109" thickBot="1">
      <c r="B4486" s="96" t="inlineStr">
        <is>
          <t>UFO MOVIEZ INDIA LTD</t>
        </is>
      </c>
      <c r="C4486" s="97" t="n">
        <v>539141</v>
      </c>
      <c r="D4486" s="96" t="inlineStr">
        <is>
          <t>UFO</t>
        </is>
      </c>
      <c r="E4486" s="96" t="inlineStr">
        <is>
          <t>Broadcasting &amp; Cable TV</t>
        </is>
      </c>
    </row>
    <row r="4487" ht="15" customHeight="1" s="109" thickBot="1">
      <c r="B4487" s="96" t="inlineStr">
        <is>
          <t>UGRO CAPITAL LTD</t>
        </is>
      </c>
      <c r="C4487" s="97" t="n">
        <v>511742</v>
      </c>
      <c r="D4487" s="96" t="inlineStr">
        <is>
          <t>Not Listed</t>
        </is>
      </c>
      <c r="E4487" s="96" t="inlineStr">
        <is>
          <t>Finance (including NBFCs)</t>
        </is>
      </c>
    </row>
    <row r="4488" ht="15" customHeight="1" s="109" thickBot="1">
      <c r="B4488" s="96" t="inlineStr">
        <is>
          <t>UJAAS ENERGY LTD</t>
        </is>
      </c>
      <c r="C4488" s="97" t="n">
        <v>533644</v>
      </c>
      <c r="D4488" s="96" t="inlineStr">
        <is>
          <t>UJAAS</t>
        </is>
      </c>
      <c r="E4488" s="96" t="inlineStr">
        <is>
          <t>Heavy Electrical Equipment</t>
        </is>
      </c>
    </row>
    <row r="4489" ht="15" customHeight="1" s="109" thickBot="1">
      <c r="B4489" s="96" t="inlineStr">
        <is>
          <t>UJJIVAN FINANCIAL SERVICES LTD</t>
        </is>
      </c>
      <c r="C4489" s="97" t="n">
        <v>539874</v>
      </c>
      <c r="D4489" s="96" t="inlineStr">
        <is>
          <t>UJJIVAN</t>
        </is>
      </c>
      <c r="E4489" s="96" t="inlineStr">
        <is>
          <t>Finance (including NBFCs)</t>
        </is>
      </c>
    </row>
    <row r="4490" ht="15" customHeight="1" s="109" thickBot="1">
      <c r="B4490" s="96" t="inlineStr">
        <is>
          <t>ULTRA WIRING CONNECTIVITY SYSTEM LTD</t>
        </is>
      </c>
      <c r="C4490" s="96" t="inlineStr">
        <is>
          <t>Not Listed</t>
        </is>
      </c>
      <c r="D4490" s="96" t="inlineStr">
        <is>
          <t>UWCSL</t>
        </is>
      </c>
      <c r="E4490" s="96" t="inlineStr">
        <is>
          <t>SME</t>
        </is>
      </c>
    </row>
    <row r="4491" ht="15" customHeight="1" s="109" thickBot="1">
      <c r="B4491" s="96" t="inlineStr">
        <is>
          <t>ULTRACAB (INDIA) LTD</t>
        </is>
      </c>
      <c r="C4491" s="97" t="n">
        <v>538706</v>
      </c>
      <c r="D4491" s="96" t="inlineStr">
        <is>
          <t>Not Listed</t>
        </is>
      </c>
      <c r="E4491" s="96" t="inlineStr">
        <is>
          <t>Other Elect.Equip./ Prod.</t>
        </is>
      </c>
    </row>
    <row r="4492" ht="15" customHeight="1" s="109" thickBot="1">
      <c r="B4492" s="96" t="inlineStr">
        <is>
          <t>ULTRACAB INDIA LTD</t>
        </is>
      </c>
      <c r="C4492" s="97" t="n">
        <v>538706</v>
      </c>
      <c r="D4492" s="96" t="inlineStr">
        <is>
          <t>Not Listed</t>
        </is>
      </c>
      <c r="E4492" s="96" t="inlineStr">
        <is>
          <t>Other Elect.Equip./ Prod.</t>
        </is>
      </c>
    </row>
    <row r="4493" ht="15" customHeight="1" s="109" thickBot="1">
      <c r="B4493" s="96" t="inlineStr">
        <is>
          <t>ULTRAMARINE &amp; PIGMENTS LTD</t>
        </is>
      </c>
      <c r="C4493" s="97" t="n">
        <v>506685</v>
      </c>
      <c r="D4493" s="96" t="inlineStr">
        <is>
          <t>Not Listed</t>
        </is>
      </c>
      <c r="E4493" s="96" t="inlineStr">
        <is>
          <t>Specialty Chemicals</t>
        </is>
      </c>
    </row>
    <row r="4494" ht="15" customHeight="1" s="109" thickBot="1">
      <c r="B4494" s="96" t="inlineStr">
        <is>
          <t>ULTRATECH CEMENT LTD</t>
        </is>
      </c>
      <c r="C4494" s="97" t="n">
        <v>532538</v>
      </c>
      <c r="D4494" s="96" t="inlineStr">
        <is>
          <t>ULTRACEMCO</t>
        </is>
      </c>
      <c r="E4494" s="96" t="inlineStr">
        <is>
          <t>Cement &amp; Cement Products</t>
        </is>
      </c>
    </row>
    <row r="4495" ht="15" customHeight="1" s="109" thickBot="1">
      <c r="B4495" s="96" t="inlineStr">
        <is>
          <t>UMANG DAIRIES LTD</t>
        </is>
      </c>
      <c r="C4495" s="97" t="n">
        <v>500231</v>
      </c>
      <c r="D4495" s="96" t="inlineStr">
        <is>
          <t>UMANGDAIRY</t>
        </is>
      </c>
      <c r="E4495" s="96" t="inlineStr">
        <is>
          <t>Packaged Foods</t>
        </is>
      </c>
    </row>
    <row r="4496" ht="15" customHeight="1" s="109" thickBot="1">
      <c r="B4496" s="96" t="inlineStr">
        <is>
          <t>UMIYA TUBES LTD</t>
        </is>
      </c>
      <c r="C4496" s="97" t="n">
        <v>539798</v>
      </c>
      <c r="D4496" s="96" t="inlineStr">
        <is>
          <t>Not Listed</t>
        </is>
      </c>
      <c r="E4496" s="96" t="inlineStr">
        <is>
          <t>Iron &amp; Steel Products</t>
        </is>
      </c>
    </row>
    <row r="4497" ht="15" customHeight="1" s="109" thickBot="1">
      <c r="B4497" s="96" t="inlineStr">
        <is>
          <t>UNI ABEX ALLOY PRODUCTS LTD</t>
        </is>
      </c>
      <c r="C4497" s="97" t="n">
        <v>504605</v>
      </c>
      <c r="D4497" s="96" t="inlineStr">
        <is>
          <t>Not Listed</t>
        </is>
      </c>
      <c r="E4497" s="96" t="inlineStr">
        <is>
          <t>Iron &amp; Steel Products</t>
        </is>
      </c>
    </row>
    <row r="4498" ht="15" customHeight="1" s="109" thickBot="1">
      <c r="B4498" s="96" t="inlineStr">
        <is>
          <t>UNICHEM LABORATORIES LTD</t>
        </is>
      </c>
      <c r="C4498" s="97" t="n">
        <v>506690</v>
      </c>
      <c r="D4498" s="96" t="inlineStr">
        <is>
          <t>UNICHEMLAB</t>
        </is>
      </c>
      <c r="E4498" s="96" t="inlineStr">
        <is>
          <t>Pharmaceuticals</t>
        </is>
      </c>
    </row>
    <row r="4499" ht="15" customHeight="1" s="109" thickBot="1">
      <c r="B4499" s="96" t="inlineStr">
        <is>
          <t>UNICK FIX-A-FORM AND PRINTERS LTD</t>
        </is>
      </c>
      <c r="C4499" s="97" t="n">
        <v>541503</v>
      </c>
      <c r="D4499" s="96" t="inlineStr">
        <is>
          <t>Not Listed</t>
        </is>
      </c>
      <c r="E4499" s="96" t="inlineStr">
        <is>
          <t>Comm.Printing/Stationery</t>
        </is>
      </c>
    </row>
    <row r="4500" ht="15" customHeight="1" s="109" thickBot="1">
      <c r="B4500" s="96" t="inlineStr">
        <is>
          <t>UNIINFO TELECOM SERVICES LTD</t>
        </is>
      </c>
      <c r="C4500" s="96" t="inlineStr">
        <is>
          <t>Not Listed</t>
        </is>
      </c>
      <c r="D4500" s="96" t="inlineStr">
        <is>
          <t>UNIINFO</t>
        </is>
      </c>
      <c r="E4500" s="96" t="inlineStr">
        <is>
          <t>SME</t>
        </is>
      </c>
    </row>
    <row r="4501" ht="15" customHeight="1" s="109" thickBot="1">
      <c r="B4501" s="96" t="inlineStr">
        <is>
          <t>UNIJOLLY INVESTMENTS CO LTD</t>
        </is>
      </c>
      <c r="C4501" s="97" t="n">
        <v>503671</v>
      </c>
      <c r="D4501" s="96" t="inlineStr">
        <is>
          <t>Not Listed</t>
        </is>
      </c>
      <c r="E4501" s="96" t="inlineStr">
        <is>
          <t>Other Financial Services</t>
        </is>
      </c>
    </row>
    <row r="4502" ht="15" customHeight="1" s="109" thickBot="1">
      <c r="B4502" s="96" t="inlineStr">
        <is>
          <t>UNIMODE OVERSEAS LTD.</t>
        </is>
      </c>
      <c r="C4502" s="97" t="n">
        <v>512595</v>
      </c>
      <c r="D4502" s="96" t="inlineStr">
        <is>
          <t>UNIMOVR</t>
        </is>
      </c>
      <c r="E4502" s="96" t="inlineStr">
        <is>
          <t>Other Apparels &amp;amp; Accessories</t>
        </is>
      </c>
    </row>
    <row r="4503" ht="15" customHeight="1" s="109" thickBot="1">
      <c r="B4503" s="96" t="inlineStr">
        <is>
          <t>UNION BANK OF INDIA</t>
        </is>
      </c>
      <c r="C4503" s="97" t="n">
        <v>532477</v>
      </c>
      <c r="D4503" s="96" t="inlineStr">
        <is>
          <t>UNIONBANK</t>
        </is>
      </c>
      <c r="E4503" s="96" t="inlineStr">
        <is>
          <t>Banks</t>
        </is>
      </c>
    </row>
    <row r="4504" ht="15" customHeight="1" s="109" thickBot="1">
      <c r="B4504" s="96" t="inlineStr">
        <is>
          <t>UNION QUALITY PLASTICS LTD</t>
        </is>
      </c>
      <c r="C4504" s="97" t="n">
        <v>526799</v>
      </c>
      <c r="D4504" s="96" t="inlineStr">
        <is>
          <t>Not Listed</t>
        </is>
      </c>
      <c r="E4504" s="96" t="inlineStr">
        <is>
          <t>Containers &amp; Packaging</t>
        </is>
      </c>
    </row>
    <row r="4505" ht="15" customHeight="1" s="109" thickBot="1">
      <c r="B4505" s="96" t="inlineStr">
        <is>
          <t>UNIPHOS ENTERPRISES LTD</t>
        </is>
      </c>
      <c r="C4505" s="97" t="n">
        <v>500429</v>
      </c>
      <c r="D4505" s="96" t="inlineStr">
        <is>
          <t>UNIENTER</t>
        </is>
      </c>
      <c r="E4505" s="96" t="inlineStr">
        <is>
          <t>Comm.Trading &amp; Distribution</t>
        </is>
      </c>
    </row>
    <row r="4506" ht="15" customHeight="1" s="109" thickBot="1">
      <c r="B4506" s="96" t="inlineStr">
        <is>
          <t>UNIPLY DECOR LTD</t>
        </is>
      </c>
      <c r="C4506" s="97" t="n">
        <v>526957</v>
      </c>
      <c r="D4506" s="96" t="inlineStr">
        <is>
          <t>Not Listed</t>
        </is>
      </c>
      <c r="E4506" s="96" t="inlineStr">
        <is>
          <t>Forest Products</t>
        </is>
      </c>
    </row>
    <row r="4507" ht="15" customHeight="1" s="109" thickBot="1">
      <c r="B4507" s="96" t="inlineStr">
        <is>
          <t>UNIPLY INDUSTRIES LTD</t>
        </is>
      </c>
      <c r="C4507" s="97" t="n">
        <v>532646</v>
      </c>
      <c r="D4507" s="96" t="inlineStr">
        <is>
          <t>UNIPLY</t>
        </is>
      </c>
      <c r="E4507" s="96" t="inlineStr">
        <is>
          <t>Forest Products</t>
        </is>
      </c>
    </row>
    <row r="4508" ht="15" customHeight="1" s="109" thickBot="1">
      <c r="B4508" s="96" t="inlineStr">
        <is>
          <t>UNIQUE ORGANICS LTD</t>
        </is>
      </c>
      <c r="C4508" s="97" t="n">
        <v>530997</v>
      </c>
      <c r="D4508" s="96" t="inlineStr">
        <is>
          <t>Not Listed</t>
        </is>
      </c>
      <c r="E4508" s="96" t="inlineStr">
        <is>
          <t>Other Agricultural Products</t>
        </is>
      </c>
    </row>
    <row r="4509" ht="15" customHeight="1" s="109" thickBot="1">
      <c r="B4509" s="96" t="inlineStr">
        <is>
          <t>UNIROYAL INDUSTRIES LTD</t>
        </is>
      </c>
      <c r="C4509" s="97" t="n">
        <v>521226</v>
      </c>
      <c r="D4509" s="96" t="inlineStr">
        <is>
          <t>Not Listed</t>
        </is>
      </c>
      <c r="E4509" s="96" t="inlineStr">
        <is>
          <t>Textiles</t>
        </is>
      </c>
    </row>
    <row r="4510" ht="15" customHeight="1" s="109" thickBot="1">
      <c r="B4510" s="96" t="inlineStr">
        <is>
          <t>UNIROYAL MARINE EXPORTS LTD</t>
        </is>
      </c>
      <c r="C4510" s="97" t="n">
        <v>526113</v>
      </c>
      <c r="D4510" s="96" t="inlineStr">
        <is>
          <t>Not Listed</t>
        </is>
      </c>
      <c r="E4510" s="96" t="inlineStr">
        <is>
          <t>Packaged Foods</t>
        </is>
      </c>
    </row>
    <row r="4511" ht="15" customHeight="1" s="109" thickBot="1">
      <c r="B4511" s="96" t="inlineStr">
        <is>
          <t>UNISHIRE URBAN INFRA LTD</t>
        </is>
      </c>
      <c r="C4511" s="97" t="n">
        <v>537582</v>
      </c>
      <c r="D4511" s="96" t="inlineStr">
        <is>
          <t>Not Listed</t>
        </is>
      </c>
      <c r="E4511" s="96" t="inlineStr">
        <is>
          <t>Realty</t>
        </is>
      </c>
    </row>
    <row r="4512" ht="15" customHeight="1" s="109" thickBot="1">
      <c r="B4512" s="96" t="inlineStr">
        <is>
          <t>UNISON METALS LTD</t>
        </is>
      </c>
      <c r="C4512" s="97" t="n">
        <v>538610</v>
      </c>
      <c r="D4512" s="96" t="inlineStr">
        <is>
          <t>Not Listed</t>
        </is>
      </c>
      <c r="E4512" s="96" t="inlineStr">
        <is>
          <t>Iron &amp; Steel Products</t>
        </is>
      </c>
    </row>
    <row r="4513" ht="15" customHeight="1" s="109" thickBot="1">
      <c r="B4513" s="96" t="inlineStr">
        <is>
          <t>UNISTAR MULTIMEDIA LTD</t>
        </is>
      </c>
      <c r="C4513" s="97" t="n">
        <v>532035</v>
      </c>
      <c r="D4513" s="96" t="inlineStr">
        <is>
          <t>Not Listed</t>
        </is>
      </c>
      <c r="E4513" s="96" t="inlineStr">
        <is>
          <t>Finance (including NBFCs)</t>
        </is>
      </c>
    </row>
    <row r="4514" ht="15" customHeight="1" s="109" thickBot="1">
      <c r="B4514" s="96" t="inlineStr">
        <is>
          <t>UNISYS SOFTWARES &amp; HOLDING INDUSTRIES LTD</t>
        </is>
      </c>
      <c r="C4514" s="97" t="n">
        <v>531831</v>
      </c>
      <c r="D4514" s="96" t="inlineStr">
        <is>
          <t>Not Listed</t>
        </is>
      </c>
      <c r="E4514" s="96" t="inlineStr">
        <is>
          <t>Housing Finance</t>
        </is>
      </c>
    </row>
    <row r="4515" ht="15" customHeight="1" s="109" thickBot="1">
      <c r="B4515" s="96" t="inlineStr">
        <is>
          <t>UNITECH INTERNATIONAL LTD</t>
        </is>
      </c>
      <c r="C4515" s="97" t="n">
        <v>531867</v>
      </c>
      <c r="D4515" s="96" t="inlineStr">
        <is>
          <t>Not Listed</t>
        </is>
      </c>
      <c r="E4515" s="96" t="inlineStr">
        <is>
          <t>Comm.Trading &amp; Distribution</t>
        </is>
      </c>
    </row>
    <row r="4516" ht="15" customHeight="1" s="109" thickBot="1">
      <c r="B4516" s="96" t="inlineStr">
        <is>
          <t>UNITECH LTD</t>
        </is>
      </c>
      <c r="C4516" s="97" t="n">
        <v>507878</v>
      </c>
      <c r="D4516" s="96" t="inlineStr">
        <is>
          <t>UNITECH</t>
        </is>
      </c>
      <c r="E4516" s="96" t="inlineStr">
        <is>
          <t>Realty</t>
        </is>
      </c>
    </row>
    <row r="4517" ht="15" customHeight="1" s="109" thickBot="1">
      <c r="B4517" s="96" t="inlineStr">
        <is>
          <t>UNITED BANK OF INDIA</t>
        </is>
      </c>
      <c r="C4517" s="97" t="n">
        <v>533171</v>
      </c>
      <c r="D4517" s="96" t="inlineStr">
        <is>
          <t>UNITEDBNK</t>
        </is>
      </c>
      <c r="E4517" s="96" t="inlineStr">
        <is>
          <t>Banks</t>
        </is>
      </c>
    </row>
    <row r="4518" ht="15" customHeight="1" s="109" thickBot="1">
      <c r="B4518" s="96" t="inlineStr">
        <is>
          <t>UNITED BREWERIES LTD</t>
        </is>
      </c>
      <c r="C4518" s="97" t="n">
        <v>532478</v>
      </c>
      <c r="D4518" s="96" t="inlineStr">
        <is>
          <t>UBL</t>
        </is>
      </c>
      <c r="E4518" s="96" t="inlineStr">
        <is>
          <t>Breweries &amp; Distilleries</t>
        </is>
      </c>
    </row>
    <row r="4519" ht="15" customHeight="1" s="109" thickBot="1">
      <c r="B4519" s="96" t="inlineStr">
        <is>
          <t>UNITED CREDIT LTD</t>
        </is>
      </c>
      <c r="C4519" s="97" t="n">
        <v>531091</v>
      </c>
      <c r="D4519" s="96" t="inlineStr">
        <is>
          <t>Not Listed</t>
        </is>
      </c>
      <c r="E4519" s="96" t="inlineStr">
        <is>
          <t>Finance (including NBFCs)</t>
        </is>
      </c>
    </row>
    <row r="4520" ht="15" customHeight="1" s="109" thickBot="1">
      <c r="B4520" s="96" t="inlineStr">
        <is>
          <t>UNITED DRILLING TOOLS LTD</t>
        </is>
      </c>
      <c r="C4520" s="97" t="n">
        <v>522014</v>
      </c>
      <c r="D4520" s="96" t="inlineStr">
        <is>
          <t>Not Listed</t>
        </is>
      </c>
      <c r="E4520" s="96" t="inlineStr">
        <is>
          <t>Other Industrial Goods</t>
        </is>
      </c>
    </row>
    <row r="4521" ht="15" customHeight="1" s="109" thickBot="1">
      <c r="B4521" s="96" t="inlineStr">
        <is>
          <t>UNITED INTERACTIVE LTD</t>
        </is>
      </c>
      <c r="C4521" s="97" t="n">
        <v>502893</v>
      </c>
      <c r="D4521" s="96" t="inlineStr">
        <is>
          <t>Not Listed</t>
        </is>
      </c>
      <c r="E4521" s="96" t="inlineStr">
        <is>
          <t>Internet Software &amp; Services</t>
        </is>
      </c>
    </row>
    <row r="4522" ht="15" customHeight="1" s="109" thickBot="1">
      <c r="B4522" s="96" t="inlineStr">
        <is>
          <t>UNITED LEASING &amp; INDUSTRIES LTD</t>
        </is>
      </c>
      <c r="C4522" s="97" t="n">
        <v>507808</v>
      </c>
      <c r="D4522" s="96" t="inlineStr">
        <is>
          <t>Not Listed</t>
        </is>
      </c>
      <c r="E4522" s="96" t="inlineStr">
        <is>
          <t>Finance (including NBFCs)</t>
        </is>
      </c>
    </row>
    <row r="4523" ht="15" customHeight="1" s="109" thickBot="1">
      <c r="B4523" s="96" t="inlineStr">
        <is>
          <t>UNITED POLYFAB GUJARAT LTD</t>
        </is>
      </c>
      <c r="C4523" s="96" t="inlineStr">
        <is>
          <t>Not Listed</t>
        </is>
      </c>
      <c r="D4523" s="96" t="inlineStr">
        <is>
          <t>UNITEDPOLY</t>
        </is>
      </c>
      <c r="E4523" s="96" t="inlineStr">
        <is>
          <t>SME</t>
        </is>
      </c>
    </row>
    <row r="4524" ht="15" customHeight="1" s="109" thickBot="1">
      <c r="B4524" s="96" t="inlineStr">
        <is>
          <t>UNITED SPIRITS LTD</t>
        </is>
      </c>
      <c r="C4524" s="97" t="n">
        <v>532432</v>
      </c>
      <c r="D4524" s="96" t="inlineStr">
        <is>
          <t>MCDOWELL-N</t>
        </is>
      </c>
      <c r="E4524" s="96" t="inlineStr">
        <is>
          <t>Breweries &amp; Distilleries</t>
        </is>
      </c>
    </row>
    <row r="4525" ht="15" customHeight="1" s="109" thickBot="1">
      <c r="B4525" s="96" t="inlineStr">
        <is>
          <t>UNITED TEXTILES LTD</t>
        </is>
      </c>
      <c r="C4525" s="97" t="n">
        <v>521188</v>
      </c>
      <c r="D4525" s="96" t="inlineStr">
        <is>
          <t>Not Listed</t>
        </is>
      </c>
      <c r="E4525" s="96" t="inlineStr">
        <is>
          <t>Textiles</t>
        </is>
      </c>
    </row>
    <row r="4526" ht="15" customHeight="1" s="109" thickBot="1">
      <c r="B4526" s="96" t="inlineStr">
        <is>
          <t>UNITED VAN DER HORST LTD</t>
        </is>
      </c>
      <c r="C4526" s="97" t="n">
        <v>522091</v>
      </c>
      <c r="D4526" s="96" t="inlineStr">
        <is>
          <t>Not Listed</t>
        </is>
      </c>
      <c r="E4526" s="96" t="inlineStr">
        <is>
          <t>Heavy Electrical Equipment</t>
        </is>
      </c>
    </row>
    <row r="4527" ht="15" customHeight="1" s="109" thickBot="1">
      <c r="B4527" s="96" t="inlineStr">
        <is>
          <t>UNITY INFRAPROJECTS LTD</t>
        </is>
      </c>
      <c r="C4527" s="97" t="n">
        <v>532746</v>
      </c>
      <c r="D4527" s="96" t="inlineStr">
        <is>
          <t>UNITY</t>
        </is>
      </c>
      <c r="E4527" s="96" t="inlineStr">
        <is>
          <t>Construction &amp; Engineering</t>
        </is>
      </c>
    </row>
    <row r="4528" ht="15" customHeight="1" s="109" thickBot="1">
      <c r="B4528" s="96" t="inlineStr">
        <is>
          <t>UNIVASTU (INDIA) LTD</t>
        </is>
      </c>
      <c r="C4528" s="96" t="inlineStr">
        <is>
          <t>Not Listed</t>
        </is>
      </c>
      <c r="D4528" s="96" t="inlineStr">
        <is>
          <t>UNIVASTU</t>
        </is>
      </c>
      <c r="E4528" s="96" t="inlineStr">
        <is>
          <t>SME</t>
        </is>
      </c>
    </row>
    <row r="4529" ht="15" customHeight="1" s="109" thickBot="1">
      <c r="B4529" s="96" t="inlineStr">
        <is>
          <t>UNIVASTU INDIA LTD</t>
        </is>
      </c>
      <c r="C4529" s="96" t="inlineStr">
        <is>
          <t>Not Listed</t>
        </is>
      </c>
      <c r="D4529" s="96" t="inlineStr">
        <is>
          <t>UNIVASTU</t>
        </is>
      </c>
      <c r="E4529" s="96" t="inlineStr">
        <is>
          <t>SME</t>
        </is>
      </c>
    </row>
    <row r="4530" ht="15" customHeight="1" s="109" thickBot="1">
      <c r="B4530" s="96" t="inlineStr">
        <is>
          <t>UNIVERSAL ARTS LTD</t>
        </is>
      </c>
      <c r="C4530" s="97" t="n">
        <v>532378</v>
      </c>
      <c r="D4530" s="96" t="inlineStr">
        <is>
          <t>Not Listed</t>
        </is>
      </c>
      <c r="E4530" s="96" t="inlineStr">
        <is>
          <t>Movies &amp; Entertainment</t>
        </is>
      </c>
    </row>
    <row r="4531" ht="15" customHeight="1" s="109" thickBot="1">
      <c r="B4531" s="96" t="inlineStr">
        <is>
          <t>UNIVERSAL AUTOFOUNDRY LTD</t>
        </is>
      </c>
      <c r="C4531" s="97" t="n">
        <v>539314</v>
      </c>
      <c r="D4531" s="96" t="inlineStr">
        <is>
          <t>Not Listed</t>
        </is>
      </c>
      <c r="E4531" s="96" t="inlineStr">
        <is>
          <t>Auto Parts &amp; Equipment</t>
        </is>
      </c>
    </row>
    <row r="4532" ht="15" customHeight="1" s="109" thickBot="1">
      <c r="B4532" s="96" t="inlineStr">
        <is>
          <t>UNIVERSAL CABLES LTD</t>
        </is>
      </c>
      <c r="C4532" s="97" t="n">
        <v>504212</v>
      </c>
      <c r="D4532" s="96" t="inlineStr">
        <is>
          <t>UNIVCABLES</t>
        </is>
      </c>
      <c r="E4532" s="96" t="inlineStr">
        <is>
          <t>Other Elect.Equip./ Prod.</t>
        </is>
      </c>
    </row>
    <row r="4533" ht="15" customHeight="1" s="109" thickBot="1">
      <c r="B4533" s="96" t="inlineStr">
        <is>
          <t>UNIVERSAL CREDIT &amp; SECURITIES LTD</t>
        </is>
      </c>
      <c r="C4533" s="97" t="n">
        <v>531963</v>
      </c>
      <c r="D4533" s="96" t="inlineStr">
        <is>
          <t>Not Listed</t>
        </is>
      </c>
      <c r="E4533" s="96" t="inlineStr">
        <is>
          <t>Misc.Commercial Services</t>
        </is>
      </c>
    </row>
    <row r="4534" ht="15" customHeight="1" s="109" thickBot="1">
      <c r="B4534" s="96" t="inlineStr">
        <is>
          <t>UNIVERSAL OFFICE AUTOMATION LTD</t>
        </is>
      </c>
      <c r="C4534" s="97" t="n">
        <v>523519</v>
      </c>
      <c r="D4534" s="96" t="inlineStr">
        <is>
          <t>Not Listed</t>
        </is>
      </c>
      <c r="E4534" s="96" t="inlineStr">
        <is>
          <t>Comm.Trading &amp; Distribution</t>
        </is>
      </c>
    </row>
    <row r="4535" ht="15" customHeight="1" s="109" thickBot="1">
      <c r="B4535" s="96" t="inlineStr">
        <is>
          <t>UNIVERSAL PRIME ALUMINIUM LTD</t>
        </is>
      </c>
      <c r="C4535" s="97" t="n">
        <v>504673</v>
      </c>
      <c r="D4535" s="96" t="inlineStr">
        <is>
          <t>Not Listed</t>
        </is>
      </c>
      <c r="E4535" s="96" t="inlineStr">
        <is>
          <t>Aluminium</t>
        </is>
      </c>
    </row>
    <row r="4536" ht="15" customHeight="1" s="109" thickBot="1">
      <c r="B4536" s="96" t="inlineStr">
        <is>
          <t>UNIVERSAL STARCH-CHEM ALLIED LTD</t>
        </is>
      </c>
      <c r="C4536" s="97" t="n">
        <v>524408</v>
      </c>
      <c r="D4536" s="96" t="inlineStr">
        <is>
          <t>Not Listed</t>
        </is>
      </c>
      <c r="E4536" s="96" t="inlineStr">
        <is>
          <t>Commodity Chemicals</t>
        </is>
      </c>
    </row>
    <row r="4537" ht="15" customHeight="1" s="109" thickBot="1">
      <c r="B4537" s="96" t="inlineStr">
        <is>
          <t>UNIWORTH LTD</t>
        </is>
      </c>
      <c r="C4537" s="97" t="n">
        <v>514144</v>
      </c>
      <c r="D4537" s="96" t="inlineStr">
        <is>
          <t>Not Listed</t>
        </is>
      </c>
      <c r="E4537" s="96" t="inlineStr">
        <is>
          <t>Textiles</t>
        </is>
      </c>
    </row>
    <row r="4538" ht="15" customHeight="1" s="109" thickBot="1">
      <c r="B4538" s="96" t="inlineStr">
        <is>
          <t>UNIWORTH SECURITIES LTD</t>
        </is>
      </c>
      <c r="C4538" s="97" t="n">
        <v>512408</v>
      </c>
      <c r="D4538" s="96" t="inlineStr">
        <is>
          <t>Not Listed</t>
        </is>
      </c>
      <c r="E4538" s="96" t="inlineStr">
        <is>
          <t>Textiles</t>
        </is>
      </c>
    </row>
    <row r="4539" ht="15" customHeight="1" s="109" thickBot="1">
      <c r="B4539" s="96" t="inlineStr">
        <is>
          <t>UNJHA FORMULATIONS LTD</t>
        </is>
      </c>
      <c r="C4539" s="97" t="n">
        <v>531762</v>
      </c>
      <c r="D4539" s="96" t="inlineStr">
        <is>
          <t>Not Listed</t>
        </is>
      </c>
      <c r="E4539" s="96" t="inlineStr">
        <is>
          <t>Pharmaceuticals</t>
        </is>
      </c>
    </row>
    <row r="4540" ht="15" customHeight="1" s="109" thickBot="1">
      <c r="B4540" s="96" t="inlineStr">
        <is>
          <t>UPASANA FINANCE LTD</t>
        </is>
      </c>
      <c r="C4540" s="97" t="n">
        <v>511764</v>
      </c>
      <c r="D4540" s="96" t="inlineStr">
        <is>
          <t>Not Listed</t>
        </is>
      </c>
      <c r="E4540" s="96" t="inlineStr">
        <is>
          <t>Finance (including NBFCs)</t>
        </is>
      </c>
    </row>
    <row r="4541" ht="15" customHeight="1" s="109" thickBot="1">
      <c r="B4541" s="96" t="inlineStr">
        <is>
          <t>UPL LTD</t>
        </is>
      </c>
      <c r="C4541" s="97" t="n">
        <v>512070</v>
      </c>
      <c r="D4541" s="96" t="inlineStr">
        <is>
          <t>UPL</t>
        </is>
      </c>
      <c r="E4541" s="96" t="inlineStr">
        <is>
          <t>Agrochemicals</t>
        </is>
      </c>
    </row>
    <row r="4542" ht="15" customHeight="1" s="109" thickBot="1">
      <c r="B4542" s="96" t="inlineStr">
        <is>
          <t>UPSURGE INVESTMENT &amp; FINANCE LTD</t>
        </is>
      </c>
      <c r="C4542" s="97" t="n">
        <v>531390</v>
      </c>
      <c r="D4542" s="96" t="inlineStr">
        <is>
          <t>Not Listed</t>
        </is>
      </c>
      <c r="E4542" s="96" t="inlineStr">
        <is>
          <t>Finance (including NBFCs)</t>
        </is>
      </c>
    </row>
    <row r="4543" ht="15" customHeight="1" s="109" thickBot="1">
      <c r="B4543" s="96" t="inlineStr">
        <is>
          <t>URAVI T AND WEDGE LAMPS LTD</t>
        </is>
      </c>
      <c r="C4543" s="96" t="inlineStr">
        <is>
          <t>Not Listed</t>
        </is>
      </c>
      <c r="D4543" s="96" t="inlineStr">
        <is>
          <t>URAVI</t>
        </is>
      </c>
      <c r="E4543" s="96" t="inlineStr">
        <is>
          <t>SME</t>
        </is>
      </c>
    </row>
    <row r="4544" ht="15" customHeight="1" s="109" thickBot="1">
      <c r="B4544" s="96" t="inlineStr">
        <is>
          <t>URJA GLOBAL LTD</t>
        </is>
      </c>
      <c r="C4544" s="97" t="n">
        <v>526987</v>
      </c>
      <c r="D4544" s="96" t="inlineStr">
        <is>
          <t>URJA</t>
        </is>
      </c>
      <c r="E4544" s="96" t="inlineStr">
        <is>
          <t>Comm.Trading &amp; Distribution</t>
        </is>
      </c>
    </row>
    <row r="4545" ht="15" customHeight="1" s="109" thickBot="1">
      <c r="B4545" s="96" t="inlineStr">
        <is>
          <t>USG TECH SOLUTIONS LTD</t>
        </is>
      </c>
      <c r="C4545" s="97" t="n">
        <v>532402</v>
      </c>
      <c r="D4545" s="96" t="inlineStr">
        <is>
          <t>Not Listed</t>
        </is>
      </c>
      <c r="E4545" s="96" t="inlineStr">
        <is>
          <t>IT Software Products</t>
        </is>
      </c>
    </row>
    <row r="4546" ht="15" customHeight="1" s="109" thickBot="1">
      <c r="B4546" s="96" t="inlineStr">
        <is>
          <t>USHA MARTIN EDUCATION &amp; SOLUTIONS LTD</t>
        </is>
      </c>
      <c r="C4546" s="97" t="n">
        <v>532398</v>
      </c>
      <c r="D4546" s="96" t="inlineStr">
        <is>
          <t>UMESLTD</t>
        </is>
      </c>
      <c r="E4546" s="96" t="inlineStr">
        <is>
          <t>IT Software Products</t>
        </is>
      </c>
    </row>
    <row r="4547" ht="15" customHeight="1" s="109" thickBot="1">
      <c r="B4547" s="96" t="inlineStr">
        <is>
          <t>USHA MARTIN LTD</t>
        </is>
      </c>
      <c r="C4547" s="97" t="n">
        <v>517146</v>
      </c>
      <c r="D4547" s="96" t="inlineStr">
        <is>
          <t>USHAMART</t>
        </is>
      </c>
      <c r="E4547" s="96" t="inlineStr">
        <is>
          <t>Iron &amp; Steel Products</t>
        </is>
      </c>
    </row>
    <row r="4548" ht="15" customHeight="1" s="109" thickBot="1">
      <c r="B4548" s="96" t="inlineStr">
        <is>
          <t>USHAKIRAN FINANCE LTD</t>
        </is>
      </c>
      <c r="C4548" s="97" t="n">
        <v>511507</v>
      </c>
      <c r="D4548" s="96" t="inlineStr">
        <is>
          <t>Not Listed</t>
        </is>
      </c>
      <c r="E4548" s="96" t="inlineStr">
        <is>
          <t>Finance (including NBFCs)</t>
        </is>
      </c>
    </row>
    <row r="4549" ht="15" customHeight="1" s="109" thickBot="1">
      <c r="B4549" s="96" t="inlineStr">
        <is>
          <t>USHANTI COLOUR CHEM LTD</t>
        </is>
      </c>
      <c r="C4549" s="96" t="inlineStr">
        <is>
          <t>Not Listed</t>
        </is>
      </c>
      <c r="D4549" s="96" t="inlineStr">
        <is>
          <t>UCL</t>
        </is>
      </c>
      <c r="E4549" s="96" t="inlineStr">
        <is>
          <t>SME</t>
        </is>
      </c>
    </row>
    <row r="4550" ht="15" customHeight="1" s="109" thickBot="1">
      <c r="B4550" s="96" t="inlineStr">
        <is>
          <t>USHDEV INTERNATIONAL LTD</t>
        </is>
      </c>
      <c r="C4550" s="97" t="n">
        <v>511736</v>
      </c>
      <c r="D4550" s="96" t="inlineStr">
        <is>
          <t>Not Listed</t>
        </is>
      </c>
      <c r="E4550" s="96" t="inlineStr">
        <is>
          <t>Comm.Trading &amp; Distribution</t>
        </is>
      </c>
    </row>
    <row r="4551" ht="15" customHeight="1" s="109" thickBot="1">
      <c r="B4551" s="96" t="inlineStr">
        <is>
          <t>USHER AGRO LTD</t>
        </is>
      </c>
      <c r="C4551" s="97" t="n">
        <v>532765</v>
      </c>
      <c r="D4551" s="96" t="inlineStr">
        <is>
          <t>USHERAGRO</t>
        </is>
      </c>
      <c r="E4551" s="96" t="inlineStr">
        <is>
          <t>Other Agricultural Products</t>
        </is>
      </c>
    </row>
    <row r="4552" ht="15" customHeight="1" s="109" thickBot="1">
      <c r="B4552" s="96" t="inlineStr">
        <is>
          <t>UTI MUTUAL FUND - UTI GOLD EXCHANGE TRADED FUND</t>
        </is>
      </c>
      <c r="C4552" s="97" t="n">
        <v>590101</v>
      </c>
      <c r="D4552" s="96" t="inlineStr">
        <is>
          <t>GOLDSHARE</t>
        </is>
      </c>
      <c r="E4552" s="96" t="inlineStr">
        <is>
          <t>Other Financial Services</t>
        </is>
      </c>
    </row>
    <row r="4553" ht="15" customHeight="1" s="109" thickBot="1">
      <c r="B4553" s="96" t="inlineStr">
        <is>
          <t>UTL INDUSTRIES LTD</t>
        </is>
      </c>
      <c r="C4553" s="97" t="n">
        <v>500426</v>
      </c>
      <c r="D4553" s="96" t="inlineStr">
        <is>
          <t>Not Listed</t>
        </is>
      </c>
      <c r="E4553" s="96" t="inlineStr">
        <is>
          <t>Realty</t>
        </is>
      </c>
    </row>
    <row r="4554" ht="15" customHeight="1" s="109" thickBot="1">
      <c r="B4554" s="96" t="inlineStr">
        <is>
          <t>UTTAM GALVA STEELS LTD</t>
        </is>
      </c>
      <c r="C4554" s="97" t="n">
        <v>513216</v>
      </c>
      <c r="D4554" s="96" t="inlineStr">
        <is>
          <t>UTTAMSTL</t>
        </is>
      </c>
      <c r="E4554" s="96" t="inlineStr">
        <is>
          <t>Iron &amp; Steel/Interm.Products</t>
        </is>
      </c>
    </row>
    <row r="4555" ht="15" customHeight="1" s="109" thickBot="1">
      <c r="B4555" s="96" t="inlineStr">
        <is>
          <t>UTTAM SUGAR MILLS LTD</t>
        </is>
      </c>
      <c r="C4555" s="97" t="n">
        <v>532729</v>
      </c>
      <c r="D4555" s="96" t="inlineStr">
        <is>
          <t>UTTAMSUGAR</t>
        </is>
      </c>
      <c r="E4555" s="96" t="inlineStr">
        <is>
          <t>Sugar</t>
        </is>
      </c>
    </row>
    <row r="4556" ht="15" customHeight="1" s="109" thickBot="1">
      <c r="B4556" s="96" t="inlineStr">
        <is>
          <t>UTTAM VALUE STEELS LTD</t>
        </is>
      </c>
      <c r="C4556" s="97" t="n">
        <v>500254</v>
      </c>
      <c r="D4556" s="96" t="inlineStr">
        <is>
          <t>UVSL</t>
        </is>
      </c>
      <c r="E4556" s="96" t="inlineStr">
        <is>
          <t>Iron &amp; Steel/Interm.Products</t>
        </is>
      </c>
    </row>
    <row r="4557" ht="15" customHeight="1" s="109" thickBot="1">
      <c r="B4557" s="96" t="inlineStr">
        <is>
          <t>V B DESAI FINANCIAL SERVICES LTD</t>
        </is>
      </c>
      <c r="C4557" s="97" t="n">
        <v>511110</v>
      </c>
      <c r="D4557" s="96" t="inlineStr">
        <is>
          <t>Not Listed</t>
        </is>
      </c>
      <c r="E4557" s="96" t="inlineStr">
        <is>
          <t>Other Financial Services</t>
        </is>
      </c>
    </row>
    <row r="4558" ht="15" customHeight="1" s="109" thickBot="1">
      <c r="B4558" s="96" t="inlineStr">
        <is>
          <t>V B INDUSTRIES LTD</t>
        </is>
      </c>
      <c r="C4558" s="97" t="n">
        <v>539123</v>
      </c>
      <c r="D4558" s="96" t="inlineStr">
        <is>
          <t>Not Listed</t>
        </is>
      </c>
      <c r="E4558" s="96" t="inlineStr">
        <is>
          <t>Investment Companies</t>
        </is>
      </c>
    </row>
    <row r="4559" ht="15" customHeight="1" s="109" thickBot="1">
      <c r="B4559" s="96" t="inlineStr">
        <is>
          <t>V R Films &amp;amp; Studios Ltd</t>
        </is>
      </c>
      <c r="C4559" s="97" t="n">
        <v>542654</v>
      </c>
      <c r="D4559" s="96" t="inlineStr">
        <is>
          <t>VRFILMS</t>
        </is>
      </c>
      <c r="E4559" s="96" t="inlineStr">
        <is>
          <t>Specialty Retail</t>
        </is>
      </c>
    </row>
    <row r="4560" ht="15" customHeight="1" s="109" thickBot="1">
      <c r="B4560" s="96" t="inlineStr">
        <is>
          <t>V R WOODART LTD</t>
        </is>
      </c>
      <c r="C4560" s="97" t="n">
        <v>523888</v>
      </c>
      <c r="D4560" s="96" t="inlineStr">
        <is>
          <t>Not Listed</t>
        </is>
      </c>
      <c r="E4560" s="96" t="inlineStr">
        <is>
          <t>Auto Tyres &amp; Rubber Products</t>
        </is>
      </c>
    </row>
    <row r="4561" ht="15" customHeight="1" s="109" thickBot="1">
      <c r="B4561" s="96" t="inlineStr">
        <is>
          <t>V S T TILLERS TRACTORS LTD</t>
        </is>
      </c>
      <c r="C4561" s="97" t="n">
        <v>531266</v>
      </c>
      <c r="D4561" s="96" t="inlineStr">
        <is>
          <t>VSTTILLERS</t>
        </is>
      </c>
      <c r="E4561" s="96" t="inlineStr">
        <is>
          <t>Commercial Vehicles</t>
        </is>
      </c>
    </row>
    <row r="4562" ht="15" customHeight="1" s="109" thickBot="1">
      <c r="B4562" s="96" t="inlineStr">
        <is>
          <t>V2 RETAIL LTD</t>
        </is>
      </c>
      <c r="C4562" s="97" t="n">
        <v>532867</v>
      </c>
      <c r="D4562" s="96" t="inlineStr">
        <is>
          <t>V2RETAIL</t>
        </is>
      </c>
      <c r="E4562" s="96" t="inlineStr">
        <is>
          <t>Department Stores</t>
        </is>
      </c>
    </row>
    <row r="4563" ht="15" customHeight="1" s="109" thickBot="1">
      <c r="B4563" s="96" t="inlineStr">
        <is>
          <t>VA TECH WABAG LTD</t>
        </is>
      </c>
      <c r="C4563" s="97" t="n">
        <v>533269</v>
      </c>
      <c r="D4563" s="96" t="inlineStr">
        <is>
          <t>WABAG</t>
        </is>
      </c>
      <c r="E4563" s="96" t="inlineStr">
        <is>
          <t>Utilities:Non-Elec.</t>
        </is>
      </c>
    </row>
    <row r="4564" ht="15" customHeight="1" s="109" thickBot="1">
      <c r="B4564" s="96" t="inlineStr">
        <is>
          <t>VAARAD VENTURES LTD</t>
        </is>
      </c>
      <c r="C4564" s="97" t="n">
        <v>532320</v>
      </c>
      <c r="D4564" s="96" t="inlineStr">
        <is>
          <t>Not Listed</t>
        </is>
      </c>
      <c r="E4564" s="96" t="inlineStr">
        <is>
          <t>Finance (including NBFCs)</t>
        </is>
      </c>
    </row>
    <row r="4565" ht="15" customHeight="1" s="109" thickBot="1">
      <c r="B4565" s="96" t="inlineStr">
        <is>
          <t>VADILAL ENTERPRISES LTD</t>
        </is>
      </c>
      <c r="C4565" s="97" t="n">
        <v>519152</v>
      </c>
      <c r="D4565" s="96" t="inlineStr">
        <is>
          <t>Not Listed</t>
        </is>
      </c>
      <c r="E4565" s="96" t="inlineStr">
        <is>
          <t>Comm.Trading &amp; Distribution</t>
        </is>
      </c>
    </row>
    <row r="4566" ht="15" customHeight="1" s="109" thickBot="1">
      <c r="B4566" s="96" t="inlineStr">
        <is>
          <t>VADILAL INDUSTRIES LTD</t>
        </is>
      </c>
      <c r="C4566" s="97" t="n">
        <v>519156</v>
      </c>
      <c r="D4566" s="96" t="inlineStr">
        <is>
          <t>VADILALIND</t>
        </is>
      </c>
      <c r="E4566" s="96" t="inlineStr">
        <is>
          <t>Packaged Foods</t>
        </is>
      </c>
    </row>
    <row r="4567" ht="15" customHeight="1" s="109" thickBot="1">
      <c r="B4567" s="96" t="inlineStr">
        <is>
          <t>VADIVARHE SPECIALITY CHEMICALS LTD</t>
        </is>
      </c>
      <c r="C4567" s="96" t="inlineStr">
        <is>
          <t>Not Listed</t>
        </is>
      </c>
      <c r="D4567" s="96" t="inlineStr">
        <is>
          <t>VSCL</t>
        </is>
      </c>
      <c r="E4567" s="96" t="inlineStr">
        <is>
          <t>SME</t>
        </is>
      </c>
    </row>
    <row r="4568" ht="15" customHeight="1" s="109" thickBot="1">
      <c r="B4568" s="96" t="inlineStr">
        <is>
          <t>VAGHANI TECHNO-BUILD LTD</t>
        </is>
      </c>
      <c r="C4568" s="97" t="n">
        <v>531676</v>
      </c>
      <c r="D4568" s="96" t="inlineStr">
        <is>
          <t>Not Listed</t>
        </is>
      </c>
      <c r="E4568" s="96" t="inlineStr">
        <is>
          <t>Packaged Foods</t>
        </is>
      </c>
    </row>
    <row r="4569" ht="15" customHeight="1" s="109" thickBot="1">
      <c r="B4569" s="96" t="inlineStr">
        <is>
          <t>VAIBHAV GLOBAL LTD</t>
        </is>
      </c>
      <c r="C4569" s="97" t="n">
        <v>532156</v>
      </c>
      <c r="D4569" s="96" t="inlineStr">
        <is>
          <t>VAIBHAVGBL</t>
        </is>
      </c>
      <c r="E4569" s="96" t="inlineStr">
        <is>
          <t>Other Apparels &amp; Accessories</t>
        </is>
      </c>
    </row>
    <row r="4570" ht="15" customHeight="1" s="109" thickBot="1">
      <c r="B4570" s="96" t="inlineStr">
        <is>
          <t>VAISHALI PHARMA LTD</t>
        </is>
      </c>
      <c r="C4570" s="96" t="inlineStr">
        <is>
          <t>Not Listed</t>
        </is>
      </c>
      <c r="D4570" s="96" t="inlineStr">
        <is>
          <t>VAISHALI</t>
        </is>
      </c>
      <c r="E4570" s="96" t="inlineStr">
        <is>
          <t>SME</t>
        </is>
      </c>
    </row>
    <row r="4571" ht="15" customHeight="1" s="109" thickBot="1">
      <c r="B4571" s="96" t="inlineStr">
        <is>
          <t>VAKRANGEE LTD</t>
        </is>
      </c>
      <c r="C4571" s="97" t="n">
        <v>511431</v>
      </c>
      <c r="D4571" s="96" t="inlineStr">
        <is>
          <t>VAKRANGEE</t>
        </is>
      </c>
      <c r="E4571" s="96" t="inlineStr">
        <is>
          <t>Specialty Retail</t>
        </is>
      </c>
    </row>
    <row r="4572" ht="15" customHeight="1" s="109" thickBot="1">
      <c r="B4572" s="96" t="inlineStr">
        <is>
          <t>VAKSONS AUTOMOBILES LTD</t>
        </is>
      </c>
      <c r="C4572" s="97" t="n">
        <v>539402</v>
      </c>
      <c r="D4572" s="96" t="inlineStr">
        <is>
          <t>Not Listed</t>
        </is>
      </c>
      <c r="E4572" s="96" t="inlineStr">
        <is>
          <t>Other Agricultural Products</t>
        </is>
      </c>
    </row>
    <row r="4573" ht="15" customHeight="1" s="109" thickBot="1">
      <c r="B4573" s="96" t="inlineStr">
        <is>
          <t>VALIANT COMMUNICATIONS LTD</t>
        </is>
      </c>
      <c r="C4573" s="97" t="n">
        <v>526775</v>
      </c>
      <c r="D4573" s="96" t="inlineStr">
        <is>
          <t>Not Listed</t>
        </is>
      </c>
      <c r="E4573" s="96" t="inlineStr">
        <is>
          <t>Telecom Equipment</t>
        </is>
      </c>
    </row>
    <row r="4574" ht="15" customHeight="1" s="109" thickBot="1">
      <c r="B4574" s="96" t="inlineStr">
        <is>
          <t>VALIANT ORGANICS LTD</t>
        </is>
      </c>
      <c r="C4574" s="97" t="n">
        <v>540145</v>
      </c>
      <c r="D4574" s="96" t="inlineStr">
        <is>
          <t>Not Listed</t>
        </is>
      </c>
      <c r="E4574" s="96" t="inlineStr">
        <is>
          <t>Pharmaceuticals</t>
        </is>
      </c>
    </row>
    <row r="4575" ht="15" customHeight="1" s="109" thickBot="1">
      <c r="B4575" s="96" t="inlineStr">
        <is>
          <t>VALLABH POLY-PLAST INTERNATIONAL LTD</t>
        </is>
      </c>
      <c r="C4575" s="97" t="n">
        <v>530403</v>
      </c>
      <c r="D4575" s="96" t="inlineStr">
        <is>
          <t>Not Listed</t>
        </is>
      </c>
      <c r="E4575" s="96" t="inlineStr">
        <is>
          <t>Containers &amp; Packaging</t>
        </is>
      </c>
    </row>
    <row r="4576" ht="15" customHeight="1" s="109" thickBot="1">
      <c r="B4576" s="96" t="inlineStr">
        <is>
          <t>VALLABH STEELS LTD</t>
        </is>
      </c>
      <c r="C4576" s="97" t="n">
        <v>513397</v>
      </c>
      <c r="D4576" s="96" t="inlineStr">
        <is>
          <t>Not Listed</t>
        </is>
      </c>
      <c r="E4576" s="96" t="inlineStr">
        <is>
          <t>Iron &amp; Steel Products</t>
        </is>
      </c>
    </row>
    <row r="4577" ht="15" customHeight="1" s="109" thickBot="1">
      <c r="B4577" s="96" t="inlineStr">
        <is>
          <t>VALLEY MAGNESITE COMPANY LTD</t>
        </is>
      </c>
      <c r="C4577" s="97" t="n">
        <v>539543</v>
      </c>
      <c r="D4577" s="96" t="inlineStr">
        <is>
          <t>Not Listed</t>
        </is>
      </c>
      <c r="E4577" s="96" t="inlineStr">
        <is>
          <t>Investment Companies</t>
        </is>
      </c>
    </row>
    <row r="4578" ht="15" customHeight="1" s="109" thickBot="1">
      <c r="B4578" s="96" t="inlineStr">
        <is>
          <t>VALSON INDUSTRIES LTD</t>
        </is>
      </c>
      <c r="C4578" s="97" t="n">
        <v>530459</v>
      </c>
      <c r="D4578" s="96" t="inlineStr">
        <is>
          <t>Not Listed</t>
        </is>
      </c>
      <c r="E4578" s="96" t="inlineStr">
        <is>
          <t>Textiles</t>
        </is>
      </c>
    </row>
    <row r="4579" ht="15" customHeight="1" s="109" thickBot="1">
      <c r="B4579" s="96" t="inlineStr">
        <is>
          <t>VAMA INDUSTRIES LTD</t>
        </is>
      </c>
      <c r="C4579" s="97" t="n">
        <v>512175</v>
      </c>
      <c r="D4579" s="96" t="inlineStr">
        <is>
          <t>Not Listed</t>
        </is>
      </c>
      <c r="E4579" s="96" t="inlineStr">
        <is>
          <t>IT Consulting &amp; Software</t>
        </is>
      </c>
    </row>
    <row r="4580" ht="15" customHeight="1" s="109" thickBot="1">
      <c r="B4580" s="96" t="inlineStr">
        <is>
          <t>VAMSHI RUBBER LTD</t>
        </is>
      </c>
      <c r="C4580" s="97" t="n">
        <v>530369</v>
      </c>
      <c r="D4580" s="96" t="inlineStr">
        <is>
          <t>Not Listed</t>
        </is>
      </c>
      <c r="E4580" s="96" t="inlineStr">
        <is>
          <t>Auto Tyres &amp; Rubber Products</t>
        </is>
      </c>
    </row>
    <row r="4581" ht="15" customHeight="1" s="109" thickBot="1">
      <c r="B4581" s="96" t="inlineStr">
        <is>
          <t>VANDANA KNITWEAR LTD</t>
        </is>
      </c>
      <c r="C4581" s="97" t="n">
        <v>532090</v>
      </c>
      <c r="D4581" s="96" t="inlineStr">
        <is>
          <t>Not Listed</t>
        </is>
      </c>
      <c r="E4581" s="96" t="inlineStr">
        <is>
          <t>Textiles</t>
        </is>
      </c>
    </row>
    <row r="4582" ht="15" customHeight="1" s="109" thickBot="1">
      <c r="B4582" s="96" t="inlineStr">
        <is>
          <t>VANI COMMERCIALS LTD</t>
        </is>
      </c>
      <c r="C4582" s="97" t="n">
        <v>538918</v>
      </c>
      <c r="D4582" s="96" t="inlineStr">
        <is>
          <t>Not Listed</t>
        </is>
      </c>
      <c r="E4582" s="96" t="inlineStr">
        <is>
          <t>Finance (including NBFCs)</t>
        </is>
      </c>
    </row>
    <row r="4583" ht="15" customHeight="1" s="109" thickBot="1">
      <c r="B4583" s="96" t="inlineStr">
        <is>
          <t>VANTA BIOSCIENCE LTD</t>
        </is>
      </c>
      <c r="C4583" s="97" t="n">
        <v>540729</v>
      </c>
      <c r="D4583" s="96" t="inlineStr">
        <is>
          <t>Not Listed</t>
        </is>
      </c>
      <c r="E4583" s="96" t="inlineStr">
        <is>
          <t>Pharmaceuticals</t>
        </is>
      </c>
    </row>
    <row r="4584" ht="15" customHeight="1" s="109" thickBot="1">
      <c r="B4584" s="96" t="inlineStr">
        <is>
          <t>VANTAGE KNOWLEDGE ACADEMY LTD</t>
        </is>
      </c>
      <c r="C4584" s="97" t="n">
        <v>539761</v>
      </c>
      <c r="D4584" s="96" t="inlineStr">
        <is>
          <t>Not Listed</t>
        </is>
      </c>
      <c r="E4584" s="96" t="inlineStr">
        <is>
          <t>Education</t>
        </is>
      </c>
    </row>
    <row r="4585" ht="15" customHeight="1" s="109" thickBot="1">
      <c r="B4585" s="96" t="inlineStr">
        <is>
          <t>VAPI PAPER MILLS LTD</t>
        </is>
      </c>
      <c r="C4585" s="97" t="n">
        <v>502589</v>
      </c>
      <c r="D4585" s="96" t="inlineStr">
        <is>
          <t>Not Listed</t>
        </is>
      </c>
      <c r="E4585" s="96" t="inlineStr">
        <is>
          <t>Paper &amp; Paper Products</t>
        </is>
      </c>
    </row>
    <row r="4586" ht="15" customHeight="1" s="109" thickBot="1">
      <c r="B4586" s="96" t="inlineStr">
        <is>
          <t>VARDHAMAN LABORATORIES LTD</t>
        </is>
      </c>
      <c r="C4586" s="97" t="n">
        <v>524796</v>
      </c>
      <c r="D4586" s="96" t="inlineStr">
        <is>
          <t>Not Listed</t>
        </is>
      </c>
      <c r="E4586" s="96" t="inlineStr">
        <is>
          <t>Pharmaceuticals</t>
        </is>
      </c>
    </row>
    <row r="4587" ht="15" customHeight="1" s="109" thickBot="1">
      <c r="B4587" s="96" t="inlineStr">
        <is>
          <t>VARDHMAN ACRYLICS LTD</t>
        </is>
      </c>
      <c r="C4587" s="96" t="inlineStr">
        <is>
          <t>Not Listed</t>
        </is>
      </c>
      <c r="D4587" s="96" t="inlineStr">
        <is>
          <t>VARDHACRLC</t>
        </is>
      </c>
      <c r="E4587" s="96" t="inlineStr">
        <is>
          <t>Others</t>
        </is>
      </c>
    </row>
    <row r="4588" ht="15" customHeight="1" s="109" thickBot="1">
      <c r="B4588" s="96" t="inlineStr">
        <is>
          <t>VARDHMAN CONCRETE LTD</t>
        </is>
      </c>
      <c r="C4588" s="97" t="n">
        <v>531444</v>
      </c>
      <c r="D4588" s="96" t="inlineStr">
        <is>
          <t>Not Listed</t>
        </is>
      </c>
      <c r="E4588" s="96" t="inlineStr">
        <is>
          <t>Cement &amp; Cement Products</t>
        </is>
      </c>
    </row>
    <row r="4589" ht="15" customHeight="1" s="109" thickBot="1">
      <c r="B4589" s="96" t="inlineStr">
        <is>
          <t>VARDHMAN HOLDINGS LTD</t>
        </is>
      </c>
      <c r="C4589" s="97" t="n">
        <v>500439</v>
      </c>
      <c r="D4589" s="96" t="inlineStr">
        <is>
          <t>VHL</t>
        </is>
      </c>
      <c r="E4589" s="96" t="inlineStr">
        <is>
          <t>Finance (including NBFCs)</t>
        </is>
      </c>
    </row>
    <row r="4590" ht="15" customHeight="1" s="109" thickBot="1">
      <c r="B4590" s="96" t="inlineStr">
        <is>
          <t>VARDHMAN INDUSTRIES LTD</t>
        </is>
      </c>
      <c r="C4590" s="97" t="n">
        <v>513534</v>
      </c>
      <c r="D4590" s="96" t="inlineStr">
        <is>
          <t>Not Listed</t>
        </is>
      </c>
      <c r="E4590" s="96" t="inlineStr">
        <is>
          <t>Iron &amp; Steel/Interm.Products</t>
        </is>
      </c>
    </row>
    <row r="4591" ht="15" customHeight="1" s="109" thickBot="1">
      <c r="B4591" s="96" t="inlineStr">
        <is>
          <t>VARDHMAN POLYTEX LTD</t>
        </is>
      </c>
      <c r="C4591" s="97" t="n">
        <v>514175</v>
      </c>
      <c r="D4591" s="96" t="inlineStr">
        <is>
          <t>VARDMNPOLY</t>
        </is>
      </c>
      <c r="E4591" s="96" t="inlineStr">
        <is>
          <t>Textiles</t>
        </is>
      </c>
    </row>
    <row r="4592" ht="15" customHeight="1" s="109" thickBot="1">
      <c r="B4592" s="96" t="inlineStr">
        <is>
          <t>VARDHMAN SPECIAL STEELS LTD</t>
        </is>
      </c>
      <c r="C4592" s="97" t="n">
        <v>534392</v>
      </c>
      <c r="D4592" s="96" t="inlineStr">
        <is>
          <t>VSSL</t>
        </is>
      </c>
      <c r="E4592" s="96" t="inlineStr">
        <is>
          <t>Iron &amp; Steel Products</t>
        </is>
      </c>
    </row>
    <row r="4593" ht="15" customHeight="1" s="109" thickBot="1">
      <c r="B4593" s="96" t="inlineStr">
        <is>
          <t>VARDHMAN TEXTILES LTD</t>
        </is>
      </c>
      <c r="C4593" s="97" t="n">
        <v>502986</v>
      </c>
      <c r="D4593" s="96" t="inlineStr">
        <is>
          <t>VTL</t>
        </is>
      </c>
      <c r="E4593" s="96" t="inlineStr">
        <is>
          <t>Textiles</t>
        </is>
      </c>
    </row>
    <row r="4594" ht="15" customHeight="1" s="109" thickBot="1">
      <c r="B4594" s="96" t="inlineStr">
        <is>
          <t>VARROC ENGINEERING LTD</t>
        </is>
      </c>
      <c r="C4594" s="97" t="n">
        <v>541578</v>
      </c>
      <c r="D4594" s="96" t="inlineStr">
        <is>
          <t>VARROC</t>
        </is>
      </c>
      <c r="E4594" s="96" t="inlineStr">
        <is>
          <t>Auto Parts &amp; Equipment</t>
        </is>
      </c>
    </row>
    <row r="4595" ht="15" customHeight="1" s="109" thickBot="1">
      <c r="B4595" s="96" t="inlineStr">
        <is>
          <t>VARUN BEVERAGES LTD</t>
        </is>
      </c>
      <c r="C4595" s="97" t="n">
        <v>540180</v>
      </c>
      <c r="D4595" s="96" t="inlineStr">
        <is>
          <t>VBL</t>
        </is>
      </c>
      <c r="E4595" s="96" t="inlineStr">
        <is>
          <t>Containers &amp; Packaging</t>
        </is>
      </c>
    </row>
    <row r="4596" ht="15" customHeight="1" s="109" thickBot="1">
      <c r="B4596" s="96" t="inlineStr">
        <is>
          <t>VARUN MERCANTILE LTD</t>
        </is>
      </c>
      <c r="C4596" s="97" t="n">
        <v>512511</v>
      </c>
      <c r="D4596" s="96" t="inlineStr">
        <is>
          <t>Not Listed</t>
        </is>
      </c>
      <c r="E4596" s="96" t="inlineStr">
        <is>
          <t>Misc.Commercial Services</t>
        </is>
      </c>
    </row>
    <row r="4597" ht="15" customHeight="1" s="109" thickBot="1">
      <c r="B4597" s="96" t="inlineStr">
        <is>
          <t>VAS INFRASTRUCTURE LTD</t>
        </is>
      </c>
      <c r="C4597" s="97" t="n">
        <v>531574</v>
      </c>
      <c r="D4597" s="96" t="inlineStr">
        <is>
          <t>Not Listed</t>
        </is>
      </c>
      <c r="E4597" s="96" t="inlineStr">
        <is>
          <t>Realty</t>
        </is>
      </c>
    </row>
    <row r="4598" ht="15" customHeight="1" s="109" thickBot="1">
      <c r="B4598" s="96" t="inlineStr">
        <is>
          <t>VASA RETAIL AND OVERSEAS LTD</t>
        </is>
      </c>
      <c r="C4598" s="96" t="inlineStr">
        <is>
          <t>Not Listed</t>
        </is>
      </c>
      <c r="D4598" s="96" t="inlineStr">
        <is>
          <t>VASA</t>
        </is>
      </c>
      <c r="E4598" s="96" t="inlineStr">
        <is>
          <t>SME</t>
        </is>
      </c>
    </row>
    <row r="4599" ht="15" customHeight="1" s="109" thickBot="1">
      <c r="B4599" s="96" t="inlineStr">
        <is>
          <t>VASCON ENGINEERS LTD</t>
        </is>
      </c>
      <c r="C4599" s="97" t="n">
        <v>533156</v>
      </c>
      <c r="D4599" s="96" t="inlineStr">
        <is>
          <t>VASCONEQ</t>
        </is>
      </c>
      <c r="E4599" s="96" t="inlineStr">
        <is>
          <t>Realty</t>
        </is>
      </c>
    </row>
    <row r="4600" ht="15" customHeight="1" s="109" thickBot="1">
      <c r="B4600" s="96" t="inlineStr">
        <is>
          <t>VASUNDHARA RASAYANS LTD</t>
        </is>
      </c>
      <c r="C4600" s="97" t="n">
        <v>538634</v>
      </c>
      <c r="D4600" s="96" t="inlineStr">
        <is>
          <t>Not Listed</t>
        </is>
      </c>
      <c r="E4600" s="96" t="inlineStr">
        <is>
          <t>Pharmaceuticals</t>
        </is>
      </c>
    </row>
    <row r="4601" ht="15" customHeight="1" s="109" thickBot="1">
      <c r="B4601" s="96" t="inlineStr">
        <is>
          <t>VASWANI INDUSTRIES LTD</t>
        </is>
      </c>
      <c r="C4601" s="97" t="n">
        <v>533576</v>
      </c>
      <c r="D4601" s="96" t="inlineStr">
        <is>
          <t>VASWANI</t>
        </is>
      </c>
      <c r="E4601" s="96" t="inlineStr">
        <is>
          <t>Iron &amp; Steel/Interm.Products</t>
        </is>
      </c>
    </row>
    <row r="4602" ht="15" customHeight="1" s="109" thickBot="1">
      <c r="B4602" s="96" t="inlineStr">
        <is>
          <t>VAX HOUSING FINANCE CORPORATION LTD</t>
        </is>
      </c>
      <c r="C4602" s="97" t="n">
        <v>531650</v>
      </c>
      <c r="D4602" s="96" t="inlineStr">
        <is>
          <t>Not Listed</t>
        </is>
      </c>
      <c r="E4602" s="96" t="inlineStr">
        <is>
          <t>Misc.Commercial Services</t>
        </is>
      </c>
    </row>
    <row r="4603" ht="15" customHeight="1" s="109" thickBot="1">
      <c r="B4603" s="96" t="inlineStr">
        <is>
          <t>VBC FERRO ALLOYS LTD</t>
        </is>
      </c>
      <c r="C4603" s="97" t="n">
        <v>513005</v>
      </c>
      <c r="D4603" s="96" t="inlineStr">
        <is>
          <t>Not Listed</t>
        </is>
      </c>
      <c r="E4603" s="96" t="inlineStr">
        <is>
          <t>Iron &amp; Steel/Interm.Products</t>
        </is>
      </c>
    </row>
    <row r="4604" ht="15" customHeight="1" s="109" thickBot="1">
      <c r="B4604" s="96" t="inlineStr">
        <is>
          <t>VCK CAPITAL MARKET SERVICES LTD</t>
        </is>
      </c>
      <c r="C4604" s="97" t="n">
        <v>511493</v>
      </c>
      <c r="D4604" s="96" t="inlineStr">
        <is>
          <t>Not Listed</t>
        </is>
      </c>
      <c r="E4604" s="96" t="inlineStr">
        <is>
          <t>Finance (including NBFCs)</t>
        </is>
      </c>
    </row>
    <row r="4605" ht="15" customHeight="1" s="109" thickBot="1">
      <c r="B4605" s="96" t="inlineStr">
        <is>
          <t>VCU DATA MANAGEMENT LTD</t>
        </is>
      </c>
      <c r="C4605" s="97" t="n">
        <v>536672</v>
      </c>
      <c r="D4605" s="96" t="inlineStr">
        <is>
          <t>Not Listed</t>
        </is>
      </c>
      <c r="E4605" s="96" t="inlineStr">
        <is>
          <t>IT Networking Equipment</t>
        </is>
      </c>
    </row>
    <row r="4606" ht="15" customHeight="1" s="109" thickBot="1">
      <c r="B4606" s="96" t="inlineStr">
        <is>
          <t>VEDANTA LTD</t>
        </is>
      </c>
      <c r="C4606" s="97" t="n">
        <v>500295</v>
      </c>
      <c r="D4606" s="96" t="inlineStr">
        <is>
          <t>VEDL</t>
        </is>
      </c>
      <c r="E4606" s="96" t="inlineStr">
        <is>
          <t>Zinc</t>
        </is>
      </c>
    </row>
    <row r="4607" ht="15" customHeight="1" s="109" thickBot="1">
      <c r="B4607" s="96" t="inlineStr">
        <is>
          <t>VEDAVAAG SYSTEMS LTD</t>
        </is>
      </c>
      <c r="C4607" s="97" t="n">
        <v>533056</v>
      </c>
      <c r="D4607" s="96" t="inlineStr">
        <is>
          <t>Not Listed</t>
        </is>
      </c>
      <c r="E4607" s="96" t="inlineStr">
        <is>
          <t>Internet Software &amp; Services</t>
        </is>
      </c>
    </row>
    <row r="4608" ht="15" customHeight="1" s="109" thickBot="1">
      <c r="B4608" s="96" t="inlineStr">
        <is>
          <t>VEEJAY LAKSHMI ENGINEERING WORKS LTD</t>
        </is>
      </c>
      <c r="C4608" s="97" t="n">
        <v>522267</v>
      </c>
      <c r="D4608" s="96" t="inlineStr">
        <is>
          <t>Not Listed</t>
        </is>
      </c>
      <c r="E4608" s="96" t="inlineStr">
        <is>
          <t>Industrial Machinery</t>
        </is>
      </c>
    </row>
    <row r="4609" ht="15" customHeight="1" s="109" thickBot="1">
      <c r="B4609" s="96" t="inlineStr">
        <is>
          <t>VEER ENERGY &amp; INFRASTRUCTURE LTD</t>
        </is>
      </c>
      <c r="C4609" s="97" t="n">
        <v>503657</v>
      </c>
      <c r="D4609" s="96" t="inlineStr">
        <is>
          <t>Not Listed</t>
        </is>
      </c>
      <c r="E4609" s="96" t="inlineStr">
        <is>
          <t>Electric Utilities</t>
        </is>
      </c>
    </row>
    <row r="4610" ht="15" customHeight="1" s="109" thickBot="1">
      <c r="B4610" s="96" t="inlineStr">
        <is>
          <t>VEERAM INFRA ENGINEERING LTD</t>
        </is>
      </c>
      <c r="C4610" s="97" t="n">
        <v>542046</v>
      </c>
      <c r="D4610" s="96" t="inlineStr">
        <is>
          <t>Not Listed</t>
        </is>
      </c>
      <c r="E4610" s="96" t="inlineStr">
        <is>
          <t>Realty</t>
        </is>
      </c>
    </row>
    <row r="4611" ht="15" customHeight="1" s="109" thickBot="1">
      <c r="B4611" s="96" t="inlineStr">
        <is>
          <t>VEERAM ORNAMENTS LTD</t>
        </is>
      </c>
      <c r="C4611" s="97" t="n">
        <v>540252</v>
      </c>
      <c r="D4611" s="96" t="inlineStr">
        <is>
          <t>Not Listed</t>
        </is>
      </c>
      <c r="E4611" s="96" t="inlineStr">
        <is>
          <t>Other Apparels &amp; Accessories</t>
        </is>
      </c>
    </row>
    <row r="4612" ht="15" customHeight="1" s="109" thickBot="1">
      <c r="B4612" s="96" t="inlineStr">
        <is>
          <t>VEERHEALTH CARE LTD</t>
        </is>
      </c>
      <c r="C4612" s="97" t="n">
        <v>511523</v>
      </c>
      <c r="D4612" s="96" t="inlineStr">
        <is>
          <t>Not Listed</t>
        </is>
      </c>
      <c r="E4612" s="96" t="inlineStr">
        <is>
          <t>Pharmaceuticals</t>
        </is>
      </c>
    </row>
    <row r="4613" ht="15" customHeight="1" s="109" thickBot="1">
      <c r="B4613" s="96" t="inlineStr">
        <is>
          <t>VEGETABLE PRODUCTS LTD</t>
        </is>
      </c>
      <c r="C4613" s="97" t="n">
        <v>539132</v>
      </c>
      <c r="D4613" s="96" t="inlineStr">
        <is>
          <t>Not Listed</t>
        </is>
      </c>
      <c r="E4613" s="96" t="inlineStr">
        <is>
          <t>Edible Oils</t>
        </is>
      </c>
    </row>
    <row r="4614" ht="15" customHeight="1" s="109" thickBot="1">
      <c r="B4614" s="96" t="inlineStr">
        <is>
          <t>VELAN HOTELS LTD</t>
        </is>
      </c>
      <c r="C4614" s="97" t="n">
        <v>526755</v>
      </c>
      <c r="D4614" s="96" t="inlineStr">
        <is>
          <t>Not Listed</t>
        </is>
      </c>
      <c r="E4614" s="96" t="inlineStr">
        <is>
          <t>Hotels</t>
        </is>
      </c>
    </row>
    <row r="4615" ht="15" customHeight="1" s="109" thickBot="1">
      <c r="B4615" s="96" t="inlineStr">
        <is>
          <t>VELJAN DENISON LTD</t>
        </is>
      </c>
      <c r="C4615" s="97" t="n">
        <v>505232</v>
      </c>
      <c r="D4615" s="96" t="inlineStr">
        <is>
          <t>Not Listed</t>
        </is>
      </c>
      <c r="E4615" s="96" t="inlineStr">
        <is>
          <t>Auto Parts &amp; Equipment</t>
        </is>
      </c>
    </row>
    <row r="4616" ht="15" customHeight="1" s="109" thickBot="1">
      <c r="B4616" s="96" t="inlineStr">
        <is>
          <t>VENKY'S (INDIA) LTD</t>
        </is>
      </c>
      <c r="C4616" s="97" t="n">
        <v>523261</v>
      </c>
      <c r="D4616" s="96" t="inlineStr">
        <is>
          <t>VENKEYS</t>
        </is>
      </c>
      <c r="E4616" s="96" t="inlineStr">
        <is>
          <t>Packaged Foods</t>
        </is>
      </c>
    </row>
    <row r="4617" ht="15" customHeight="1" s="109" thickBot="1">
      <c r="B4617" s="96" t="inlineStr">
        <is>
          <t>VENKY'S INDIA LTD</t>
        </is>
      </c>
      <c r="C4617" s="97" t="n">
        <v>523261</v>
      </c>
      <c r="D4617" s="96" t="inlineStr">
        <is>
          <t>VENKEYS</t>
        </is>
      </c>
      <c r="E4617" s="96" t="inlineStr">
        <is>
          <t>Packaged Foods</t>
        </is>
      </c>
    </row>
    <row r="4618" ht="15" customHeight="1" s="109" thickBot="1">
      <c r="B4618" s="96" t="inlineStr">
        <is>
          <t>VENLON ENTERPRISES LTD</t>
        </is>
      </c>
      <c r="C4618" s="97" t="n">
        <v>524038</v>
      </c>
      <c r="D4618" s="96" t="inlineStr">
        <is>
          <t>Not Listed</t>
        </is>
      </c>
      <c r="E4618" s="96" t="inlineStr">
        <is>
          <t>Commodity Chemicals</t>
        </is>
      </c>
    </row>
    <row r="4619" ht="15" customHeight="1" s="109" thickBot="1">
      <c r="B4619" s="96" t="inlineStr">
        <is>
          <t>VENTURA GUARANTY LTD.</t>
        </is>
      </c>
      <c r="C4619" s="97" t="n">
        <v>512060</v>
      </c>
      <c r="D4619" s="96" t="inlineStr">
        <is>
          <t>SHYAM</t>
        </is>
      </c>
      <c r="E4619" s="96" t="inlineStr">
        <is>
          <t>Misc.Commercial Services</t>
        </is>
      </c>
    </row>
    <row r="4620" ht="15" customHeight="1" s="109" thickBot="1">
      <c r="B4620" s="96" t="inlineStr">
        <is>
          <t>VENTURA TEXTILES LTD</t>
        </is>
      </c>
      <c r="C4620" s="97" t="n">
        <v>516098</v>
      </c>
      <c r="D4620" s="96" t="inlineStr">
        <is>
          <t>Not Listed</t>
        </is>
      </c>
      <c r="E4620" s="96" t="inlineStr">
        <is>
          <t>Textiles</t>
        </is>
      </c>
    </row>
    <row r="4621" ht="15" customHeight="1" s="109" thickBot="1">
      <c r="B4621" s="96" t="inlineStr">
        <is>
          <t>VENUS REMEDIES LTD</t>
        </is>
      </c>
      <c r="C4621" s="97" t="n">
        <v>526953</v>
      </c>
      <c r="D4621" s="96" t="inlineStr">
        <is>
          <t>VENUSREM</t>
        </is>
      </c>
      <c r="E4621" s="96" t="inlineStr">
        <is>
          <t>Pharmaceuticals</t>
        </is>
      </c>
    </row>
    <row r="4622" ht="15" customHeight="1" s="109" thickBot="1">
      <c r="B4622" s="96" t="inlineStr">
        <is>
          <t>VERA SYNTHETIC LTD</t>
        </is>
      </c>
      <c r="C4622" s="96" t="inlineStr">
        <is>
          <t>Not Listed</t>
        </is>
      </c>
      <c r="D4622" s="96" t="inlineStr">
        <is>
          <t>VERA</t>
        </is>
      </c>
      <c r="E4622" s="96" t="inlineStr">
        <is>
          <t>SME</t>
        </is>
      </c>
    </row>
    <row r="4623" ht="15" customHeight="1" s="109" thickBot="1">
      <c r="B4623" s="96" t="inlineStr">
        <is>
          <t>VERITAS (INDIA) LTD</t>
        </is>
      </c>
      <c r="C4623" s="97" t="n">
        <v>512229</v>
      </c>
      <c r="D4623" s="96" t="inlineStr">
        <is>
          <t>Not Listed</t>
        </is>
      </c>
      <c r="E4623" s="96" t="inlineStr">
        <is>
          <t>Comm.Trading &amp; Distribution</t>
        </is>
      </c>
    </row>
    <row r="4624" ht="15" customHeight="1" s="109" thickBot="1">
      <c r="B4624" s="96" t="inlineStr">
        <is>
          <t>VERITAS INDIA LTD</t>
        </is>
      </c>
      <c r="C4624" s="97" t="n">
        <v>512229</v>
      </c>
      <c r="D4624" s="96" t="inlineStr">
        <is>
          <t>Not Listed</t>
        </is>
      </c>
      <c r="E4624" s="96" t="inlineStr">
        <is>
          <t>Comm.Trading &amp; Distribution</t>
        </is>
      </c>
    </row>
    <row r="4625" ht="15" customHeight="1" s="109" thickBot="1">
      <c r="B4625" s="96" t="inlineStr">
        <is>
          <t>VERONICA PRODUCTION LTD</t>
        </is>
      </c>
      <c r="C4625" s="97" t="n">
        <v>531695</v>
      </c>
      <c r="D4625" s="96" t="inlineStr">
        <is>
          <t>Not Listed</t>
        </is>
      </c>
      <c r="E4625" s="96" t="inlineStr">
        <is>
          <t>Movies &amp; Entertainment</t>
        </is>
      </c>
    </row>
    <row r="4626" ht="15" customHeight="1" s="109" thickBot="1">
      <c r="B4626" s="96" t="inlineStr">
        <is>
          <t>VERTEX SECURITIES LTD</t>
        </is>
      </c>
      <c r="C4626" s="97" t="n">
        <v>531950</v>
      </c>
      <c r="D4626" s="96" t="inlineStr">
        <is>
          <t>Not Listed</t>
        </is>
      </c>
      <c r="E4626" s="96" t="inlineStr">
        <is>
          <t>Other Financial Services</t>
        </is>
      </c>
    </row>
    <row r="4627" ht="15" customHeight="1" s="109" thickBot="1">
      <c r="B4627" s="96" t="inlineStr">
        <is>
          <t>VERTICAL INDUSTRIES LTD</t>
        </is>
      </c>
      <c r="C4627" s="97" t="n">
        <v>515099</v>
      </c>
      <c r="D4627" s="96" t="inlineStr">
        <is>
          <t>Not Listed</t>
        </is>
      </c>
      <c r="E4627" s="96" t="inlineStr">
        <is>
          <t>Construction Materials</t>
        </is>
      </c>
    </row>
    <row r="4628" ht="15" customHeight="1" s="109" thickBot="1">
      <c r="B4628" s="96" t="inlineStr">
        <is>
          <t>VERTOZ ADVERTISING LTD</t>
        </is>
      </c>
      <c r="C4628" s="96" t="inlineStr">
        <is>
          <t>Not Listed</t>
        </is>
      </c>
      <c r="D4628" s="96" t="inlineStr">
        <is>
          <t>VERTOZ</t>
        </is>
      </c>
      <c r="E4628" s="96" t="inlineStr">
        <is>
          <t>SME</t>
        </is>
      </c>
    </row>
    <row r="4629" ht="15" customHeight="1" s="109" thickBot="1">
      <c r="B4629" s="96" t="inlineStr">
        <is>
          <t>VESUVIUS (INDIA) LTD</t>
        </is>
      </c>
      <c r="C4629" s="97" t="n">
        <v>520113</v>
      </c>
      <c r="D4629" s="96" t="inlineStr">
        <is>
          <t>VESUVIUS</t>
        </is>
      </c>
      <c r="E4629" s="96" t="inlineStr">
        <is>
          <t>Other Industrial Goods</t>
        </is>
      </c>
    </row>
    <row r="4630" ht="15" customHeight="1" s="109" thickBot="1">
      <c r="B4630" s="96" t="inlineStr">
        <is>
          <t>VESUVIUS INDIA LTD</t>
        </is>
      </c>
      <c r="C4630" s="97" t="n">
        <v>520113</v>
      </c>
      <c r="D4630" s="96" t="inlineStr">
        <is>
          <t>VESUVIUS</t>
        </is>
      </c>
      <c r="E4630" s="96" t="inlineStr">
        <is>
          <t>Other Industrial Goods</t>
        </is>
      </c>
    </row>
    <row r="4631" ht="15" customHeight="1" s="109" thickBot="1">
      <c r="B4631" s="96" t="inlineStr">
        <is>
          <t>VETO SWITCHGEARS AND CABLES LTD</t>
        </is>
      </c>
      <c r="C4631" s="97" t="n">
        <v>539331</v>
      </c>
      <c r="D4631" s="96" t="inlineStr">
        <is>
          <t>VETO</t>
        </is>
      </c>
      <c r="E4631" s="96" t="inlineStr">
        <is>
          <t>Other Elect.Equip./ Prod.</t>
        </is>
      </c>
    </row>
    <row r="4632" ht="15" customHeight="1" s="109" thickBot="1">
      <c r="B4632" s="96" t="inlineStr">
        <is>
          <t>V-GUARD INDUSTRIES LTD</t>
        </is>
      </c>
      <c r="C4632" s="97" t="n">
        <v>532953</v>
      </c>
      <c r="D4632" s="96" t="inlineStr">
        <is>
          <t>VGUARD</t>
        </is>
      </c>
      <c r="E4632" s="96" t="inlineStr">
        <is>
          <t>Other Elect.Equip./ Prod.</t>
        </is>
      </c>
    </row>
    <row r="4633" ht="15" customHeight="1" s="109" thickBot="1">
      <c r="B4633" s="96" t="inlineStr">
        <is>
          <t>VIAAN INDUSTRIES LTD</t>
        </is>
      </c>
      <c r="C4633" s="97" t="n">
        <v>537524</v>
      </c>
      <c r="D4633" s="96" t="inlineStr">
        <is>
          <t>Not Listed</t>
        </is>
      </c>
      <c r="E4633" s="96" t="inlineStr">
        <is>
          <t>Houseware</t>
        </is>
      </c>
    </row>
    <row r="4634" ht="15" customHeight="1" s="109" thickBot="1">
      <c r="B4634" s="96" t="inlineStr">
        <is>
          <t>VIBRANT GLOBAL CAPITAL LTD</t>
        </is>
      </c>
      <c r="C4634" s="97" t="n">
        <v>538732</v>
      </c>
      <c r="D4634" s="96" t="inlineStr">
        <is>
          <t>Not Listed</t>
        </is>
      </c>
      <c r="E4634" s="96" t="inlineStr">
        <is>
          <t>Finance (including NBFCs)</t>
        </is>
      </c>
    </row>
    <row r="4635" ht="15" customHeight="1" s="109" thickBot="1">
      <c r="B4635" s="96" t="inlineStr">
        <is>
          <t>VICEROY HOTELS LTD</t>
        </is>
      </c>
      <c r="C4635" s="97" t="n">
        <v>523796</v>
      </c>
      <c r="D4635" s="96" t="inlineStr">
        <is>
          <t>VICEROY</t>
        </is>
      </c>
      <c r="E4635" s="96" t="inlineStr">
        <is>
          <t>Hotels</t>
        </is>
      </c>
    </row>
    <row r="4636" ht="15" customHeight="1" s="109" thickBot="1">
      <c r="B4636" s="96" t="inlineStr">
        <is>
          <t>VICTORIA MILLS LTD</t>
        </is>
      </c>
      <c r="C4636" s="97" t="n">
        <v>503349</v>
      </c>
      <c r="D4636" s="96" t="inlineStr">
        <is>
          <t>Not Listed</t>
        </is>
      </c>
      <c r="E4636" s="96" t="inlineStr">
        <is>
          <t>Textiles</t>
        </is>
      </c>
    </row>
    <row r="4637" ht="15" customHeight="1" s="109" thickBot="1">
      <c r="B4637" s="96" t="inlineStr">
        <is>
          <t>VICTORY PAPER &amp; BOARDS (INDIA) LTD</t>
        </is>
      </c>
      <c r="C4637" s="97" t="n">
        <v>531234</v>
      </c>
      <c r="D4637" s="96" t="inlineStr">
        <is>
          <t>Not Listed</t>
        </is>
      </c>
      <c r="E4637" s="96" t="inlineStr">
        <is>
          <t>Paper &amp; Paper Products</t>
        </is>
      </c>
    </row>
    <row r="4638" ht="15" customHeight="1" s="109" thickBot="1">
      <c r="B4638" s="96" t="inlineStr">
        <is>
          <t>VICTORY PAPER &amp; BOARDS INDIA LTD</t>
        </is>
      </c>
      <c r="C4638" s="97" t="n">
        <v>531234</v>
      </c>
      <c r="D4638" s="96" t="inlineStr">
        <is>
          <t>Not Listed</t>
        </is>
      </c>
      <c r="E4638" s="96" t="inlineStr">
        <is>
          <t>Paper &amp; Paper Products</t>
        </is>
      </c>
    </row>
    <row r="4639" ht="15" customHeight="1" s="109" thickBot="1">
      <c r="B4639" s="96" t="inlineStr">
        <is>
          <t>VIDEOCON INDUSTRIES LTD</t>
        </is>
      </c>
      <c r="C4639" s="97" t="n">
        <v>511389</v>
      </c>
      <c r="D4639" s="96" t="inlineStr">
        <is>
          <t>VIDEOIND</t>
        </is>
      </c>
      <c r="E4639" s="96" t="inlineStr">
        <is>
          <t>Consumer Electronics</t>
        </is>
      </c>
    </row>
    <row r="4640" ht="15" customHeight="1" s="109" thickBot="1">
      <c r="B4640" s="96" t="inlineStr">
        <is>
          <t>VIDHI SPECIALTY FOOD INGREDIENTS LTD</t>
        </is>
      </c>
      <c r="C4640" s="97" t="n">
        <v>531717</v>
      </c>
      <c r="D4640" s="96" t="inlineStr">
        <is>
          <t>VIDHIING</t>
        </is>
      </c>
      <c r="E4640" s="96" t="inlineStr">
        <is>
          <t>Specialty Chemicals</t>
        </is>
      </c>
    </row>
    <row r="4641" ht="15" customHeight="1" s="109" thickBot="1">
      <c r="B4641" s="96" t="inlineStr">
        <is>
          <t>VIDLI RESTAURANTS LTD</t>
        </is>
      </c>
      <c r="C4641" s="97" t="n">
        <v>539659</v>
      </c>
      <c r="D4641" s="96" t="inlineStr">
        <is>
          <t>Not Listed</t>
        </is>
      </c>
      <c r="E4641" s="96" t="inlineStr">
        <is>
          <t>Restaurants</t>
        </is>
      </c>
    </row>
    <row r="4642" ht="15" customHeight="1" s="109" thickBot="1">
      <c r="B4642" s="96" t="inlineStr">
        <is>
          <t>VIJAY SHANTHI BUILDERS LTD</t>
        </is>
      </c>
      <c r="C4642" s="97" t="n">
        <v>523724</v>
      </c>
      <c r="D4642" s="96" t="inlineStr">
        <is>
          <t>VIJSHAN</t>
        </is>
      </c>
      <c r="E4642" s="96" t="inlineStr">
        <is>
          <t>Realty</t>
        </is>
      </c>
    </row>
    <row r="4643" ht="15" customHeight="1" s="109" thickBot="1">
      <c r="B4643" s="96" t="inlineStr">
        <is>
          <t>VIJAY SOLVEX LTD</t>
        </is>
      </c>
      <c r="C4643" s="97" t="n">
        <v>531069</v>
      </c>
      <c r="D4643" s="96" t="inlineStr">
        <is>
          <t>Not Listed</t>
        </is>
      </c>
      <c r="E4643" s="96" t="inlineStr">
        <is>
          <t>Edible Oils</t>
        </is>
      </c>
    </row>
    <row r="4644" ht="15" customHeight="1" s="109" thickBot="1">
      <c r="B4644" s="96" t="inlineStr">
        <is>
          <t>VIJAY TEXTILES LTD</t>
        </is>
      </c>
      <c r="C4644" s="97" t="n">
        <v>530151</v>
      </c>
      <c r="D4644" s="96" t="inlineStr">
        <is>
          <t>Not Listed</t>
        </is>
      </c>
      <c r="E4644" s="96" t="inlineStr">
        <is>
          <t>Comm.Trading &amp; Distribution</t>
        </is>
      </c>
    </row>
    <row r="4645" ht="15" customHeight="1" s="109" thickBot="1">
      <c r="B4645" s="96" t="inlineStr">
        <is>
          <t>VIJAYA BANK</t>
        </is>
      </c>
      <c r="C4645" s="97" t="n">
        <v>532401</v>
      </c>
      <c r="D4645" s="96" t="inlineStr">
        <is>
          <t>VIJAYABANK</t>
        </is>
      </c>
      <c r="E4645" s="96" t="inlineStr">
        <is>
          <t>Banks</t>
        </is>
      </c>
    </row>
    <row r="4646" ht="15" customHeight="1" s="109" thickBot="1">
      <c r="B4646" s="96" t="inlineStr">
        <is>
          <t>VIJI FINANCE LTD</t>
        </is>
      </c>
      <c r="C4646" s="97" t="n">
        <v>537820</v>
      </c>
      <c r="D4646" s="96" t="inlineStr">
        <is>
          <t>VIJIFIN</t>
        </is>
      </c>
      <c r="E4646" s="96" t="inlineStr">
        <is>
          <t>Finance (including NBFCs)</t>
        </is>
      </c>
    </row>
    <row r="4647" ht="15" customHeight="1" s="109" thickBot="1">
      <c r="B4647" s="96" t="inlineStr">
        <is>
          <t>VIKALP SECURITIES LTD</t>
        </is>
      </c>
      <c r="C4647" s="97" t="n">
        <v>531334</v>
      </c>
      <c r="D4647" s="96" t="inlineStr">
        <is>
          <t>Not Listed</t>
        </is>
      </c>
      <c r="E4647" s="96" t="inlineStr">
        <is>
          <t>Misc.Commercial Services</t>
        </is>
      </c>
    </row>
    <row r="4648" ht="15" customHeight="1" s="109" thickBot="1">
      <c r="B4648" s="96" t="inlineStr">
        <is>
          <t>VIKAS ECOTECH LTD</t>
        </is>
      </c>
      <c r="C4648" s="97" t="n">
        <v>530961</v>
      </c>
      <c r="D4648" s="96" t="inlineStr">
        <is>
          <t>VIKASECO</t>
        </is>
      </c>
      <c r="E4648" s="96" t="inlineStr">
        <is>
          <t>Specialty Chemicals</t>
        </is>
      </c>
    </row>
    <row r="4649" ht="15" customHeight="1" s="109" thickBot="1">
      <c r="B4649" s="96" t="inlineStr">
        <is>
          <t>Vikas Multicorp Ltd</t>
        </is>
      </c>
      <c r="C4649" s="97" t="n">
        <v>542655</v>
      </c>
      <c r="D4649" s="96" t="inlineStr">
        <is>
          <t>VIKASMCORP</t>
        </is>
      </c>
      <c r="E4649" s="96" t="inlineStr">
        <is>
          <t>Comm.Trading &amp;amp; Distribution</t>
        </is>
      </c>
    </row>
    <row r="4650" ht="15" customHeight="1" s="109" thickBot="1">
      <c r="B4650" s="96" t="inlineStr">
        <is>
          <t>VIKAS PROPPANT &amp; GRANITE LTD</t>
        </is>
      </c>
      <c r="C4650" s="97" t="n">
        <v>531518</v>
      </c>
      <c r="D4650" s="96" t="inlineStr">
        <is>
          <t>Not Listed</t>
        </is>
      </c>
      <c r="E4650" s="96" t="inlineStr">
        <is>
          <t>Other Agricultural Products</t>
        </is>
      </c>
    </row>
    <row r="4651" ht="15" customHeight="1" s="109" thickBot="1">
      <c r="B4651" s="96" t="inlineStr">
        <is>
          <t>VIKAS WSP LTD</t>
        </is>
      </c>
      <c r="C4651" s="97" t="n">
        <v>519307</v>
      </c>
      <c r="D4651" s="96" t="inlineStr">
        <is>
          <t>Not Listed</t>
        </is>
      </c>
      <c r="E4651" s="96" t="inlineStr">
        <is>
          <t>Specialty Chemicals</t>
        </is>
      </c>
    </row>
    <row r="4652" ht="15" customHeight="1" s="109" thickBot="1">
      <c r="B4652" s="96" t="inlineStr">
        <is>
          <t>VIKRAM THERMO (INDIA) LTD</t>
        </is>
      </c>
      <c r="C4652" s="97" t="n">
        <v>530477</v>
      </c>
      <c r="D4652" s="96" t="inlineStr">
        <is>
          <t>Not Listed</t>
        </is>
      </c>
      <c r="E4652" s="96" t="inlineStr">
        <is>
          <t>Pharmaceuticals</t>
        </is>
      </c>
    </row>
    <row r="4653" ht="15" customHeight="1" s="109" thickBot="1">
      <c r="B4653" s="96" t="inlineStr">
        <is>
          <t>VIKRAM THERMO INDIA LTD</t>
        </is>
      </c>
      <c r="C4653" s="97" t="n">
        <v>530477</v>
      </c>
      <c r="D4653" s="96" t="inlineStr">
        <is>
          <t>Not Listed</t>
        </is>
      </c>
      <c r="E4653" s="96" t="inlineStr">
        <is>
          <t>Pharmaceuticals</t>
        </is>
      </c>
    </row>
    <row r="4654" ht="15" customHeight="1" s="109" thickBot="1">
      <c r="B4654" s="96" t="inlineStr">
        <is>
          <t>VIKSIT ENGINEERING LTD</t>
        </is>
      </c>
      <c r="C4654" s="97" t="n">
        <v>506196</v>
      </c>
      <c r="D4654" s="96" t="inlineStr">
        <is>
          <t>Not Listed</t>
        </is>
      </c>
      <c r="E4654" s="96" t="inlineStr">
        <is>
          <t>Comm.Trading &amp; Distribution</t>
        </is>
      </c>
    </row>
    <row r="4655" ht="15" customHeight="1" s="109" thickBot="1">
      <c r="B4655" s="96" t="inlineStr">
        <is>
          <t>VIMAL OIL &amp; FOODS LTD</t>
        </is>
      </c>
      <c r="C4655" s="97" t="n">
        <v>519373</v>
      </c>
      <c r="D4655" s="96" t="inlineStr">
        <is>
          <t>VIMALOIL</t>
        </is>
      </c>
      <c r="E4655" s="96" t="inlineStr">
        <is>
          <t>Edible Oils</t>
        </is>
      </c>
    </row>
    <row r="4656" ht="15" customHeight="1" s="109" thickBot="1">
      <c r="B4656" s="96" t="inlineStr">
        <is>
          <t>VIMTA LABS LTD</t>
        </is>
      </c>
      <c r="C4656" s="97" t="n">
        <v>524394</v>
      </c>
      <c r="D4656" s="96" t="inlineStr">
        <is>
          <t>VIMTALABS</t>
        </is>
      </c>
      <c r="E4656" s="96" t="inlineStr">
        <is>
          <t>Healthcare Services</t>
        </is>
      </c>
    </row>
    <row r="4657" ht="15" customHeight="1" s="109" thickBot="1">
      <c r="B4657" s="96" t="inlineStr">
        <is>
          <t>VINADITYA TRADING CO LTD</t>
        </is>
      </c>
      <c r="C4657" s="97" t="n">
        <v>504380</v>
      </c>
      <c r="D4657" s="96" t="inlineStr">
        <is>
          <t>Not Listed</t>
        </is>
      </c>
      <c r="E4657" s="96" t="inlineStr">
        <is>
          <t>Comm.Trading &amp; Distribution</t>
        </is>
      </c>
    </row>
    <row r="4658" ht="15" customHeight="1" s="109" thickBot="1">
      <c r="B4658" s="96" t="inlineStr">
        <is>
          <t>VINATI ORGANICS LTD</t>
        </is>
      </c>
      <c r="C4658" s="97" t="n">
        <v>524200</v>
      </c>
      <c r="D4658" s="96" t="inlineStr">
        <is>
          <t>VINATIORGA</t>
        </is>
      </c>
      <c r="E4658" s="96" t="inlineStr">
        <is>
          <t>Commodity Chemicals</t>
        </is>
      </c>
    </row>
    <row r="4659" ht="15" customHeight="1" s="109" thickBot="1">
      <c r="B4659" s="96" t="inlineStr">
        <is>
          <t>VINAYAK POLYCON INTERNATIONAL LTD</t>
        </is>
      </c>
      <c r="C4659" s="97" t="n">
        <v>534639</v>
      </c>
      <c r="D4659" s="96" t="inlineStr">
        <is>
          <t>Not Listed</t>
        </is>
      </c>
      <c r="E4659" s="96" t="inlineStr">
        <is>
          <t>Containers &amp; Packaging</t>
        </is>
      </c>
    </row>
    <row r="4660" ht="15" customHeight="1" s="109" thickBot="1">
      <c r="B4660" s="96" t="inlineStr">
        <is>
          <t>VINDHYA TELELINKS LTD</t>
        </is>
      </c>
      <c r="C4660" s="97" t="n">
        <v>517015</v>
      </c>
      <c r="D4660" s="96" t="inlineStr">
        <is>
          <t>VINDHYATEL</t>
        </is>
      </c>
      <c r="E4660" s="96" t="inlineStr">
        <is>
          <t>Telecom Cables</t>
        </is>
      </c>
    </row>
    <row r="4661" ht="15" customHeight="1" s="109" thickBot="1">
      <c r="B4661" s="96" t="inlineStr">
        <is>
          <t>VINNY OVERSEAS LTD</t>
        </is>
      </c>
      <c r="C4661" s="96" t="inlineStr">
        <is>
          <t>Not Listed</t>
        </is>
      </c>
      <c r="D4661" s="96" t="inlineStr">
        <is>
          <t>VINNY</t>
        </is>
      </c>
      <c r="E4661" s="96" t="inlineStr">
        <is>
          <t>SME</t>
        </is>
      </c>
    </row>
    <row r="4662" ht="15" customHeight="1" s="109" thickBot="1">
      <c r="B4662" s="96" t="inlineStr">
        <is>
          <t>VINTAGE SECURITIES LTD</t>
        </is>
      </c>
      <c r="C4662" s="97" t="n">
        <v>531051</v>
      </c>
      <c r="D4662" s="96" t="inlineStr">
        <is>
          <t>Not Listed</t>
        </is>
      </c>
      <c r="E4662" s="96" t="inlineStr">
        <is>
          <t>Finance (including NBFCs)</t>
        </is>
      </c>
    </row>
    <row r="4663" ht="15" customHeight="1" s="109" thickBot="1">
      <c r="B4663" s="96" t="inlineStr">
        <is>
          <t>VINYL CHEMICALS (INDIA) LTD</t>
        </is>
      </c>
      <c r="C4663" s="97" t="n">
        <v>524129</v>
      </c>
      <c r="D4663" s="96" t="inlineStr">
        <is>
          <t>VINYL(INDIA)</t>
        </is>
      </c>
      <c r="E4663" s="96" t="inlineStr">
        <is>
          <t>Fibres &amp; Plastics</t>
        </is>
      </c>
    </row>
    <row r="4664" ht="15" customHeight="1" s="109" thickBot="1">
      <c r="B4664" s="96" t="inlineStr">
        <is>
          <t>VINYL CHEMICALS INDIA LTD</t>
        </is>
      </c>
      <c r="C4664" s="97" t="n">
        <v>524129</v>
      </c>
      <c r="D4664" s="96" t="inlineStr">
        <is>
          <t>VINYLINDIA</t>
        </is>
      </c>
      <c r="E4664" s="96" t="inlineStr">
        <is>
          <t>Fibres &amp; Plastics</t>
        </is>
      </c>
    </row>
    <row r="4665" ht="15" customHeight="1" s="109" thickBot="1">
      <c r="B4665" s="96" t="inlineStr">
        <is>
          <t>VINYOFLEX LTD</t>
        </is>
      </c>
      <c r="C4665" s="97" t="n">
        <v>530401</v>
      </c>
      <c r="D4665" s="96" t="inlineStr">
        <is>
          <t>Not Listed</t>
        </is>
      </c>
      <c r="E4665" s="96" t="inlineStr">
        <is>
          <t>Commodity Chemicals</t>
        </is>
      </c>
    </row>
    <row r="4666" ht="15" customHeight="1" s="109" thickBot="1">
      <c r="B4666" s="96" t="inlineStr">
        <is>
          <t>VIP CLOTHING LTD</t>
        </is>
      </c>
      <c r="C4666" s="97" t="n">
        <v>532613</v>
      </c>
      <c r="D4666" s="96" t="inlineStr">
        <is>
          <t>VIPCLOTHNG</t>
        </is>
      </c>
      <c r="E4666" s="96" t="inlineStr">
        <is>
          <t>Comm.Trading &amp; Distribution</t>
        </is>
      </c>
    </row>
    <row r="4667" ht="15" customHeight="1" s="109" thickBot="1">
      <c r="B4667" s="96" t="inlineStr">
        <is>
          <t>VIP INDUSTRIES LTD</t>
        </is>
      </c>
      <c r="C4667" s="97" t="n">
        <v>507880</v>
      </c>
      <c r="D4667" s="96" t="inlineStr">
        <is>
          <t>VIPIND</t>
        </is>
      </c>
      <c r="E4667" s="96" t="inlineStr">
        <is>
          <t>Other Apparels &amp; Accessories</t>
        </is>
      </c>
    </row>
    <row r="4668" ht="15" customHeight="1" s="109" thickBot="1">
      <c r="B4668" s="96" t="inlineStr">
        <is>
          <t>VIPPY SPINPRO LTD</t>
        </is>
      </c>
      <c r="C4668" s="97" t="n">
        <v>514302</v>
      </c>
      <c r="D4668" s="96" t="inlineStr">
        <is>
          <t>Not Listed</t>
        </is>
      </c>
      <c r="E4668" s="96" t="inlineStr">
        <is>
          <t>Textiles</t>
        </is>
      </c>
    </row>
    <row r="4669" ht="15" customHeight="1" s="109" thickBot="1">
      <c r="B4669" s="96" t="inlineStr">
        <is>
          <t>VIPUL LTD</t>
        </is>
      </c>
      <c r="C4669" s="97" t="n">
        <v>511726</v>
      </c>
      <c r="D4669" s="96" t="inlineStr">
        <is>
          <t>VIPULLTD</t>
        </is>
      </c>
      <c r="E4669" s="96" t="inlineStr">
        <is>
          <t>Realty</t>
        </is>
      </c>
    </row>
    <row r="4670" ht="15" customHeight="1" s="109" thickBot="1">
      <c r="B4670" s="96" t="inlineStr">
        <is>
          <t>VIPUL ORGANICS LTD</t>
        </is>
      </c>
      <c r="C4670" s="97" t="n">
        <v>530627</v>
      </c>
      <c r="D4670" s="96" t="inlineStr">
        <is>
          <t>Not Listed</t>
        </is>
      </c>
      <c r="E4670" s="96" t="inlineStr">
        <is>
          <t>Specialty Chemicals</t>
        </is>
      </c>
    </row>
    <row r="4671" ht="15" customHeight="1" s="109" thickBot="1">
      <c r="B4671" s="96" t="inlineStr">
        <is>
          <t>VIRAT CRANE INDUSTRIES LTD</t>
        </is>
      </c>
      <c r="C4671" s="97" t="n">
        <v>519457</v>
      </c>
      <c r="D4671" s="96" t="inlineStr">
        <is>
          <t>Not Listed</t>
        </is>
      </c>
      <c r="E4671" s="96" t="inlineStr">
        <is>
          <t>Packaged Foods</t>
        </is>
      </c>
    </row>
    <row r="4672" ht="15" customHeight="1" s="109" thickBot="1">
      <c r="B4672" s="96" t="inlineStr">
        <is>
          <t>VIRAT INDUSTRIES LTD</t>
        </is>
      </c>
      <c r="C4672" s="97" t="n">
        <v>530521</v>
      </c>
      <c r="D4672" s="96" t="inlineStr">
        <is>
          <t>Not Listed</t>
        </is>
      </c>
      <c r="E4672" s="96" t="inlineStr">
        <is>
          <t>Other Apparels &amp; Accessories</t>
        </is>
      </c>
    </row>
    <row r="4673" ht="15" customHeight="1" s="109" thickBot="1">
      <c r="B4673" s="96" t="inlineStr">
        <is>
          <t>VIRAT LEASING LTD</t>
        </is>
      </c>
      <c r="C4673" s="97" t="n">
        <v>539167</v>
      </c>
      <c r="D4673" s="96" t="inlineStr">
        <is>
          <t>Not Listed</t>
        </is>
      </c>
      <c r="E4673" s="96" t="inlineStr">
        <is>
          <t>Finance (including NBFCs)</t>
        </is>
      </c>
    </row>
    <row r="4674" ht="15" customHeight="1" s="109" thickBot="1">
      <c r="B4674" s="96" t="inlineStr">
        <is>
          <t>VIRGO GLOBAL LTD</t>
        </is>
      </c>
      <c r="C4674" s="97" t="n">
        <v>532354</v>
      </c>
      <c r="D4674" s="96" t="inlineStr">
        <is>
          <t>Not Listed</t>
        </is>
      </c>
      <c r="E4674" s="96" t="inlineStr">
        <is>
          <t>IT Software Products</t>
        </is>
      </c>
    </row>
    <row r="4675" ht="15" customHeight="1" s="109" thickBot="1">
      <c r="B4675" s="96" t="inlineStr">
        <is>
          <t>VIRINCHI LTD</t>
        </is>
      </c>
      <c r="C4675" s="97" t="n">
        <v>532372</v>
      </c>
      <c r="D4675" s="96" t="inlineStr">
        <is>
          <t>Not Listed</t>
        </is>
      </c>
      <c r="E4675" s="96" t="inlineStr">
        <is>
          <t>IT Software Products</t>
        </is>
      </c>
    </row>
    <row r="4676" ht="15" customHeight="1" s="109" thickBot="1">
      <c r="B4676" s="96" t="inlineStr">
        <is>
          <t>VIRTUAL GLOBAL EDUCATION LTD</t>
        </is>
      </c>
      <c r="C4676" s="97" t="n">
        <v>534741</v>
      </c>
      <c r="D4676" s="96" t="inlineStr">
        <is>
          <t>Not Listed</t>
        </is>
      </c>
      <c r="E4676" s="96" t="inlineStr">
        <is>
          <t>Education</t>
        </is>
      </c>
    </row>
    <row r="4677" ht="15" customHeight="1" s="109" thickBot="1">
      <c r="B4677" s="96" t="inlineStr">
        <is>
          <t>VIRTUALSOFT SYSTEMS LTD</t>
        </is>
      </c>
      <c r="C4677" s="97" t="n">
        <v>531126</v>
      </c>
      <c r="D4677" s="96" t="inlineStr">
        <is>
          <t>Not Listed</t>
        </is>
      </c>
      <c r="E4677" s="96" t="inlineStr">
        <is>
          <t>IT Software Products</t>
        </is>
      </c>
    </row>
    <row r="4678" ht="15" customHeight="1" s="109" thickBot="1">
      <c r="B4678" s="96" t="inlineStr">
        <is>
          <t>VISA STEEL LTD</t>
        </is>
      </c>
      <c r="C4678" s="97" t="n">
        <v>532721</v>
      </c>
      <c r="D4678" s="96" t="inlineStr">
        <is>
          <t>VISASTEEL</t>
        </is>
      </c>
      <c r="E4678" s="96" t="inlineStr">
        <is>
          <t>Iron &amp; Steel/Interm.Products</t>
        </is>
      </c>
    </row>
    <row r="4679" ht="15" customHeight="1" s="109" thickBot="1">
      <c r="B4679" s="96" t="inlineStr">
        <is>
          <t>VISAGAR FINANCIAL SERVICES LTD</t>
        </is>
      </c>
      <c r="C4679" s="97" t="n">
        <v>531025</v>
      </c>
      <c r="D4679" s="96" t="inlineStr">
        <is>
          <t>Not Listed</t>
        </is>
      </c>
      <c r="E4679" s="96" t="inlineStr">
        <is>
          <t>Other Financial Services</t>
        </is>
      </c>
    </row>
    <row r="4680" ht="15" customHeight="1" s="109" thickBot="1">
      <c r="B4680" s="96" t="inlineStr">
        <is>
          <t>VISAGAR POLYTEX LTD</t>
        </is>
      </c>
      <c r="C4680" s="97" t="n">
        <v>506146</v>
      </c>
      <c r="D4680" s="96" t="inlineStr">
        <is>
          <t>VIVIDHA</t>
        </is>
      </c>
      <c r="E4680" s="96" t="inlineStr">
        <is>
          <t>Textiles</t>
        </is>
      </c>
    </row>
    <row r="4681" ht="15" customHeight="1" s="109" thickBot="1">
      <c r="B4681" s="96" t="inlineStr">
        <is>
          <t>VISAKA INDUSTRIES LTD</t>
        </is>
      </c>
      <c r="C4681" s="97" t="n">
        <v>509055</v>
      </c>
      <c r="D4681" s="96" t="inlineStr">
        <is>
          <t>VISAKAIND</t>
        </is>
      </c>
      <c r="E4681" s="96" t="inlineStr">
        <is>
          <t>Cement &amp; Cement Products</t>
        </is>
      </c>
    </row>
    <row r="4682" ht="15" customHeight="1" s="109" thickBot="1">
      <c r="B4682" s="96" t="inlineStr">
        <is>
          <t>VISCO TRADE ASSOCIATES LTD</t>
        </is>
      </c>
      <c r="C4682" s="97" t="n">
        <v>540097</v>
      </c>
      <c r="D4682" s="96" t="inlineStr">
        <is>
          <t>Not Listed</t>
        </is>
      </c>
      <c r="E4682" s="96" t="inlineStr">
        <is>
          <t>Other Financial Services</t>
        </is>
      </c>
    </row>
    <row r="4683" ht="15" customHeight="1" s="109" thickBot="1">
      <c r="B4683" s="96" t="inlineStr">
        <is>
          <t>VISESH INFOTECNICS LTD</t>
        </is>
      </c>
      <c r="C4683" s="97" t="n">
        <v>532411</v>
      </c>
      <c r="D4683" s="96" t="inlineStr">
        <is>
          <t>VISESHINFO</t>
        </is>
      </c>
      <c r="E4683" s="96" t="inlineStr">
        <is>
          <t>IT Software Products</t>
        </is>
      </c>
    </row>
    <row r="4684" ht="15" customHeight="1" s="109" thickBot="1">
      <c r="B4684" s="96" t="inlineStr">
        <is>
          <t>VISHAL BEARINGS LTD</t>
        </is>
      </c>
      <c r="C4684" s="97" t="n">
        <v>539398</v>
      </c>
      <c r="D4684" s="96" t="inlineStr">
        <is>
          <t>Not Listed</t>
        </is>
      </c>
      <c r="E4684" s="96" t="inlineStr">
        <is>
          <t>Industrial Machinery</t>
        </is>
      </c>
    </row>
    <row r="4685" ht="15" customHeight="1" s="109" thickBot="1">
      <c r="B4685" s="96" t="inlineStr">
        <is>
          <t>VISHAL FABRICS LTD</t>
        </is>
      </c>
      <c r="C4685" s="97" t="n">
        <v>538598</v>
      </c>
      <c r="D4685" s="96" t="inlineStr">
        <is>
          <t>Not Listed</t>
        </is>
      </c>
      <c r="E4685" s="96" t="inlineStr">
        <is>
          <t>Textiles</t>
        </is>
      </c>
    </row>
    <row r="4686" ht="15" customHeight="1" s="109" thickBot="1">
      <c r="B4686" s="96" t="inlineStr">
        <is>
          <t>VISHNU CHEMICALS LTD</t>
        </is>
      </c>
      <c r="C4686" s="97" t="n">
        <v>516072</v>
      </c>
      <c r="D4686" s="96" t="inlineStr">
        <is>
          <t>VISHNU</t>
        </is>
      </c>
      <c r="E4686" s="96" t="inlineStr">
        <is>
          <t>Commodity Chemicals</t>
        </is>
      </c>
    </row>
    <row r="4687" ht="15" customHeight="1" s="109" thickBot="1">
      <c r="B4687" s="96" t="inlineStr">
        <is>
          <t>Vishvprabha Ventures Ltd</t>
        </is>
      </c>
      <c r="C4687" s="97" t="n">
        <v>512064</v>
      </c>
      <c r="D4687" s="96" t="inlineStr">
        <is>
          <t>VISVEN</t>
        </is>
      </c>
      <c r="E4687" s="96" t="inlineStr">
        <is>
          <t>Misc.Commercial Services</t>
        </is>
      </c>
    </row>
    <row r="4688" ht="15" customHeight="1" s="109" thickBot="1">
      <c r="B4688" s="96" t="inlineStr">
        <is>
          <t>VISION CINEMAS LTD</t>
        </is>
      </c>
      <c r="C4688" s="97" t="n">
        <v>526441</v>
      </c>
      <c r="D4688" s="96" t="inlineStr">
        <is>
          <t>Not Listed</t>
        </is>
      </c>
      <c r="E4688" s="96" t="inlineStr">
        <is>
          <t>Advertising &amp; Media</t>
        </is>
      </c>
    </row>
    <row r="4689" ht="15" customHeight="1" s="109" thickBot="1">
      <c r="B4689" s="96" t="inlineStr">
        <is>
          <t>VISION CORPORATION LTD</t>
        </is>
      </c>
      <c r="C4689" s="97" t="n">
        <v>531668</v>
      </c>
      <c r="D4689" s="96" t="inlineStr">
        <is>
          <t>Not Listed</t>
        </is>
      </c>
      <c r="E4689" s="96" t="inlineStr">
        <is>
          <t>Movies &amp; Entertainment</t>
        </is>
      </c>
    </row>
    <row r="4690" ht="15" customHeight="1" s="109" thickBot="1">
      <c r="B4690" s="96" t="inlineStr">
        <is>
          <t>VISTA PHARMACEUTICALS LTD</t>
        </is>
      </c>
      <c r="C4690" s="97" t="n">
        <v>524711</v>
      </c>
      <c r="D4690" s="96" t="inlineStr">
        <is>
          <t>Not Listed</t>
        </is>
      </c>
      <c r="E4690" s="96" t="inlineStr">
        <is>
          <t>Pharmaceuticals</t>
        </is>
      </c>
    </row>
    <row r="4691" ht="15" customHeight="1" s="109" thickBot="1">
      <c r="B4691" s="96" t="inlineStr">
        <is>
          <t>VISTAR AMAR LTD</t>
        </is>
      </c>
      <c r="C4691" s="97" t="n">
        <v>538565</v>
      </c>
      <c r="D4691" s="96" t="inlineStr">
        <is>
          <t>Not Listed</t>
        </is>
      </c>
      <c r="E4691" s="96" t="inlineStr">
        <is>
          <t>Finance (including NBFCs)</t>
        </is>
      </c>
    </row>
    <row r="4692" ht="15" customHeight="1" s="109" thickBot="1">
      <c r="B4692" s="96" t="inlineStr">
        <is>
          <t>VITESSE AGRO LTD</t>
        </is>
      </c>
      <c r="C4692" s="97" t="n">
        <v>540823</v>
      </c>
      <c r="D4692" s="96" t="inlineStr">
        <is>
          <t>Not Listed</t>
        </is>
      </c>
      <c r="E4692" s="96" t="inlineStr">
        <is>
          <t>Comm.Trading &amp; Distribution</t>
        </is>
      </c>
    </row>
    <row r="4693" ht="15" customHeight="1" s="109" thickBot="1">
      <c r="B4693" s="96" t="inlineStr">
        <is>
          <t>VIVANTA INDUSTRIES LTD</t>
        </is>
      </c>
      <c r="C4693" s="97" t="n">
        <v>541735</v>
      </c>
      <c r="D4693" s="96" t="inlineStr">
        <is>
          <t>Not Listed</t>
        </is>
      </c>
      <c r="E4693" s="96" t="inlineStr">
        <is>
          <t>Construction &amp; Engineering</t>
        </is>
      </c>
    </row>
    <row r="4694" ht="15" customHeight="1" s="109" thickBot="1">
      <c r="B4694" s="96" t="inlineStr">
        <is>
          <t>VIVANZA BIOSCIENCES LTD</t>
        </is>
      </c>
      <c r="C4694" s="97" t="n">
        <v>530057</v>
      </c>
      <c r="D4694" s="96" t="inlineStr">
        <is>
          <t>Not Listed</t>
        </is>
      </c>
      <c r="E4694" s="96" t="inlineStr">
        <is>
          <t>Pharmaceuticals</t>
        </is>
      </c>
    </row>
    <row r="4695" ht="15" customHeight="1" s="109" thickBot="1">
      <c r="B4695" s="96" t="inlineStr">
        <is>
          <t>VIVID GLOBAL INDUSTRIES LTD</t>
        </is>
      </c>
      <c r="C4695" s="97" t="n">
        <v>524576</v>
      </c>
      <c r="D4695" s="96" t="inlineStr">
        <is>
          <t>Not Listed</t>
        </is>
      </c>
      <c r="E4695" s="96" t="inlineStr">
        <is>
          <t>Commodity Chemicals</t>
        </is>
      </c>
    </row>
    <row r="4696" ht="15" customHeight="1" s="109" thickBot="1">
      <c r="B4696" s="96" t="inlineStr">
        <is>
          <t>VIVIMED LABS LTD</t>
        </is>
      </c>
      <c r="C4696" s="97" t="n">
        <v>532660</v>
      </c>
      <c r="D4696" s="96" t="inlineStr">
        <is>
          <t>VIVIMEDLAB</t>
        </is>
      </c>
      <c r="E4696" s="96" t="inlineStr">
        <is>
          <t>Pharmaceuticals</t>
        </is>
      </c>
    </row>
    <row r="4697" ht="15" customHeight="1" s="109" thickBot="1">
      <c r="B4697" s="96" t="inlineStr">
        <is>
          <t>VIVO BIO TECH LTD</t>
        </is>
      </c>
      <c r="C4697" s="97" t="n">
        <v>511509</v>
      </c>
      <c r="D4697" s="96" t="inlineStr">
        <is>
          <t>Not Listed</t>
        </is>
      </c>
      <c r="E4697" s="96" t="inlineStr">
        <is>
          <t>Biotechnology</t>
        </is>
      </c>
    </row>
    <row r="4698" ht="15" customHeight="1" s="109" thickBot="1">
      <c r="B4698" s="96" t="inlineStr">
        <is>
          <t>VJTF EDUSERVICES LTD</t>
        </is>
      </c>
      <c r="C4698" s="97" t="n">
        <v>509026</v>
      </c>
      <c r="D4698" s="96" t="inlineStr">
        <is>
          <t>Not Listed</t>
        </is>
      </c>
      <c r="E4698" s="96" t="inlineStr">
        <is>
          <t>Education</t>
        </is>
      </c>
    </row>
    <row r="4699" ht="15" customHeight="1" s="109" thickBot="1">
      <c r="B4699" s="96" t="inlineStr">
        <is>
          <t>VKJ INFRADEVELOPERS LTD</t>
        </is>
      </c>
      <c r="C4699" s="97" t="n">
        <v>536128</v>
      </c>
      <c r="D4699" s="96" t="inlineStr">
        <is>
          <t>Not Listed</t>
        </is>
      </c>
      <c r="E4699" s="96" t="inlineStr">
        <is>
          <t>Construction &amp; Engineering</t>
        </is>
      </c>
    </row>
    <row r="4700" ht="15" customHeight="1" s="109" thickBot="1">
      <c r="B4700" s="96" t="inlineStr">
        <is>
          <t>VLS FINANCE LTD</t>
        </is>
      </c>
      <c r="C4700" s="97" t="n">
        <v>511333</v>
      </c>
      <c r="D4700" s="96" t="inlineStr">
        <is>
          <t>VLSFINANCE</t>
        </is>
      </c>
      <c r="E4700" s="96" t="inlineStr">
        <is>
          <t>Other Financial Services</t>
        </is>
      </c>
    </row>
    <row r="4701" ht="15" customHeight="1" s="109" thickBot="1">
      <c r="B4701" s="96" t="inlineStr">
        <is>
          <t>V-MART RETAIL LTD</t>
        </is>
      </c>
      <c r="C4701" s="97" t="n">
        <v>534976</v>
      </c>
      <c r="D4701" s="96" t="inlineStr">
        <is>
          <t>VMART</t>
        </is>
      </c>
      <c r="E4701" s="96" t="inlineStr">
        <is>
          <t>Department Stores</t>
        </is>
      </c>
    </row>
    <row r="4702" ht="15" customHeight="1" s="109" thickBot="1">
      <c r="B4702" s="96" t="inlineStr">
        <is>
          <t>VMS INDUSTRIES LTD</t>
        </is>
      </c>
      <c r="C4702" s="97" t="n">
        <v>533427</v>
      </c>
      <c r="D4702" s="96" t="inlineStr">
        <is>
          <t>Not Listed</t>
        </is>
      </c>
      <c r="E4702" s="96" t="inlineStr">
        <is>
          <t>Marine Port &amp; Services</t>
        </is>
      </c>
    </row>
    <row r="4703" ht="15" customHeight="1" s="109" thickBot="1">
      <c r="B4703" s="96" t="inlineStr">
        <is>
          <t>VMV HOLIDAYS LTD</t>
        </is>
      </c>
      <c r="C4703" s="97" t="n">
        <v>539222</v>
      </c>
      <c r="D4703" s="96" t="inlineStr">
        <is>
          <t>Not Listed</t>
        </is>
      </c>
      <c r="E4703" s="96" t="inlineStr">
        <is>
          <t>Travel Support Services</t>
        </is>
      </c>
    </row>
    <row r="4704" ht="15" customHeight="1" s="109" thickBot="1">
      <c r="B4704" s="96" t="inlineStr">
        <is>
          <t>VODAFONE IDEA LTD</t>
        </is>
      </c>
      <c r="C4704" s="97" t="n">
        <v>532822</v>
      </c>
      <c r="D4704" s="96" t="inlineStr">
        <is>
          <t>IDEA</t>
        </is>
      </c>
      <c r="E4704" s="96" t="inlineStr">
        <is>
          <t>Telecom Services</t>
        </is>
      </c>
    </row>
    <row r="4705" ht="15" customHeight="1" s="109" thickBot="1">
      <c r="B4705" s="96" t="inlineStr">
        <is>
          <t>VOITH PAPER FABRICS (INDIA) LTD</t>
        </is>
      </c>
      <c r="C4705" s="97" t="n">
        <v>522122</v>
      </c>
      <c r="D4705" s="96" t="inlineStr">
        <is>
          <t>Not Listed</t>
        </is>
      </c>
      <c r="E4705" s="96" t="inlineStr">
        <is>
          <t>Textiles</t>
        </is>
      </c>
    </row>
    <row r="4706" ht="15" customHeight="1" s="109" thickBot="1">
      <c r="B4706" s="96" t="inlineStr">
        <is>
          <t>VOITH PAPER FABRICS INDIA LTD</t>
        </is>
      </c>
      <c r="C4706" s="97" t="n">
        <v>522122</v>
      </c>
      <c r="D4706" s="96" t="inlineStr">
        <is>
          <t>Not Listed</t>
        </is>
      </c>
      <c r="E4706" s="96" t="inlineStr">
        <is>
          <t>Textiles</t>
        </is>
      </c>
    </row>
    <row r="4707" ht="15" customHeight="1" s="109" thickBot="1">
      <c r="B4707" s="96" t="inlineStr">
        <is>
          <t>VOLTAIRE LEASING &amp; FINANCE LTD</t>
        </is>
      </c>
      <c r="C4707" s="97" t="n">
        <v>509038</v>
      </c>
      <c r="D4707" s="96" t="inlineStr">
        <is>
          <t>Not Listed</t>
        </is>
      </c>
      <c r="E4707" s="96" t="inlineStr">
        <is>
          <t>Finance (including NBFCs)</t>
        </is>
      </c>
    </row>
    <row r="4708" ht="15" customHeight="1" s="109" thickBot="1">
      <c r="B4708" s="96" t="inlineStr">
        <is>
          <t>VOLTAMP TRANSFORMERS LTD</t>
        </is>
      </c>
      <c r="C4708" s="97" t="n">
        <v>532757</v>
      </c>
      <c r="D4708" s="96" t="inlineStr">
        <is>
          <t>VOLTAMP</t>
        </is>
      </c>
      <c r="E4708" s="96" t="inlineStr">
        <is>
          <t>Heavy Electrical Equipment</t>
        </is>
      </c>
    </row>
    <row r="4709" ht="15" customHeight="1" s="109" thickBot="1">
      <c r="B4709" s="96" t="inlineStr">
        <is>
          <t>VOLTAS LTD</t>
        </is>
      </c>
      <c r="C4709" s="97" t="n">
        <v>500575</v>
      </c>
      <c r="D4709" s="96" t="inlineStr">
        <is>
          <t>VOLTAS</t>
        </is>
      </c>
      <c r="E4709" s="96" t="inlineStr">
        <is>
          <t>Consumer Electronics</t>
        </is>
      </c>
    </row>
    <row r="4710" ht="15" customHeight="1" s="109" thickBot="1">
      <c r="B4710" s="96" t="inlineStr">
        <is>
          <t>VORA CONSTRUCTIONS LTD</t>
        </is>
      </c>
      <c r="C4710" s="97" t="n">
        <v>512215</v>
      </c>
      <c r="D4710" s="96" t="inlineStr">
        <is>
          <t>Not Listed</t>
        </is>
      </c>
      <c r="E4710" s="96" t="inlineStr">
        <is>
          <t>Other Financial Services</t>
        </is>
      </c>
    </row>
    <row r="4711" ht="15" customHeight="1" s="109" thickBot="1">
      <c r="B4711" s="96" t="inlineStr">
        <is>
          <t>VRL LOGISTICS LTD</t>
        </is>
      </c>
      <c r="C4711" s="97" t="n">
        <v>539118</v>
      </c>
      <c r="D4711" s="96" t="inlineStr">
        <is>
          <t>VRLLOG</t>
        </is>
      </c>
      <c r="E4711" s="96" t="inlineStr">
        <is>
          <t>Transportation - Logistics</t>
        </is>
      </c>
    </row>
    <row r="4712" ht="15" customHeight="1" s="109" thickBot="1">
      <c r="B4712" s="96" t="inlineStr">
        <is>
          <t>VSF PROJECTS LTD</t>
        </is>
      </c>
      <c r="C4712" s="97" t="n">
        <v>519331</v>
      </c>
      <c r="D4712" s="96" t="inlineStr">
        <is>
          <t>Not Listed</t>
        </is>
      </c>
      <c r="E4712" s="96" t="inlineStr">
        <is>
          <t>Construction &amp; Engineering</t>
        </is>
      </c>
    </row>
    <row r="4713" ht="15" customHeight="1" s="109" thickBot="1">
      <c r="B4713" s="96" t="inlineStr">
        <is>
          <t>VST INDUSTRIES LTD</t>
        </is>
      </c>
      <c r="C4713" s="97" t="n">
        <v>509966</v>
      </c>
      <c r="D4713" s="96" t="inlineStr">
        <is>
          <t>VSTIND</t>
        </is>
      </c>
      <c r="E4713" s="96" t="inlineStr">
        <is>
          <t>Cigarettes-Tobacco Products</t>
        </is>
      </c>
    </row>
    <row r="4714" ht="15" customHeight="1" s="109" thickBot="1">
      <c r="B4714" s="96" t="inlineStr">
        <is>
          <t>VTM LTD</t>
        </is>
      </c>
      <c r="C4714" s="97" t="n">
        <v>532893</v>
      </c>
      <c r="D4714" s="96" t="inlineStr">
        <is>
          <t>Not Listed</t>
        </is>
      </c>
      <c r="E4714" s="96" t="inlineStr">
        <is>
          <t>Textiles</t>
        </is>
      </c>
    </row>
    <row r="4715" ht="15" customHeight="1" s="109" thickBot="1">
      <c r="B4715" s="96" t="inlineStr">
        <is>
          <t>VXL INSTRUMENTS LTD.</t>
        </is>
      </c>
      <c r="C4715" s="97" t="n">
        <v>517399</v>
      </c>
      <c r="D4715" s="96" t="inlineStr">
        <is>
          <t>VXLINSTR</t>
        </is>
      </c>
      <c r="E4715" s="96" t="inlineStr">
        <is>
          <t>Consumer Electronics</t>
        </is>
      </c>
    </row>
    <row r="4716" ht="15" customHeight="1" s="109" thickBot="1">
      <c r="B4716" s="96" t="inlineStr">
        <is>
          <t>VYAPAR INDUSTRIES LTD</t>
        </is>
      </c>
      <c r="C4716" s="97" t="n">
        <v>506142</v>
      </c>
      <c r="D4716" s="96" t="inlineStr">
        <is>
          <t>Not Listed</t>
        </is>
      </c>
      <c r="E4716" s="96" t="inlineStr">
        <is>
          <t>Other Financial Services</t>
        </is>
      </c>
    </row>
    <row r="4717" ht="15" customHeight="1" s="109" thickBot="1">
      <c r="B4717" s="96" t="inlineStr">
        <is>
          <t>W H BRADY &amp; CO LTD</t>
        </is>
      </c>
      <c r="C4717" s="97" t="n">
        <v>501391</v>
      </c>
      <c r="D4717" s="96" t="inlineStr">
        <is>
          <t>Not Listed</t>
        </is>
      </c>
      <c r="E4717" s="96" t="inlineStr">
        <is>
          <t>Comm.Trading &amp; Distribution</t>
        </is>
      </c>
    </row>
    <row r="4718" ht="15" customHeight="1" s="109" thickBot="1">
      <c r="B4718" s="96" t="inlineStr">
        <is>
          <t>W S INDUSTRIES (INDIA) LTD</t>
        </is>
      </c>
      <c r="C4718" s="97" t="n">
        <v>504220</v>
      </c>
      <c r="D4718" s="96" t="inlineStr">
        <is>
          <t>Not Listed</t>
        </is>
      </c>
      <c r="E4718" s="96" t="inlineStr">
        <is>
          <t>Industrial Machinery</t>
        </is>
      </c>
    </row>
    <row r="4719" ht="15" customHeight="1" s="109" thickBot="1">
      <c r="B4719" s="96" t="inlineStr">
        <is>
          <t>W S INDUSTRIES I LTD</t>
        </is>
      </c>
      <c r="C4719" s="96" t="inlineStr">
        <is>
          <t>Not Listed</t>
        </is>
      </c>
      <c r="D4719" s="96" t="inlineStr">
        <is>
          <t>WSI</t>
        </is>
      </c>
      <c r="E4719" s="96" t="inlineStr">
        <is>
          <t>Others</t>
        </is>
      </c>
    </row>
    <row r="4720" ht="15" customHeight="1" s="109" thickBot="1">
      <c r="B4720" s="96" t="inlineStr">
        <is>
          <t>W S INDUSTRIES INDIA LTD</t>
        </is>
      </c>
      <c r="C4720" s="97" t="n">
        <v>504220</v>
      </c>
      <c r="D4720" s="96" t="inlineStr">
        <is>
          <t>Not Listed</t>
        </is>
      </c>
      <c r="E4720" s="96" t="inlineStr">
        <is>
          <t>Industrial Machinery</t>
        </is>
      </c>
    </row>
    <row r="4721" ht="15" customHeight="1" s="109" thickBot="1">
      <c r="B4721" s="96" t="inlineStr">
        <is>
          <t>W W TECHNOLOGY HOLDINGS LTD</t>
        </is>
      </c>
      <c r="C4721" s="97" t="n">
        <v>505583</v>
      </c>
      <c r="D4721" s="96" t="inlineStr">
        <is>
          <t>Not Listed</t>
        </is>
      </c>
      <c r="E4721" s="96" t="inlineStr">
        <is>
          <t>Realty</t>
        </is>
      </c>
    </row>
    <row r="4722" ht="15" customHeight="1" s="109" thickBot="1">
      <c r="B4722" s="96" t="inlineStr">
        <is>
          <t>WAA SOLAR LTD</t>
        </is>
      </c>
      <c r="C4722" s="97" t="n">
        <v>541445</v>
      </c>
      <c r="D4722" s="96" t="inlineStr">
        <is>
          <t>Not Listed</t>
        </is>
      </c>
      <c r="E4722" s="96" t="inlineStr">
        <is>
          <t>Other Elect.Equip./ Prod.</t>
        </is>
      </c>
    </row>
    <row r="4723" ht="15" customHeight="1" s="109" thickBot="1">
      <c r="B4723" s="96" t="inlineStr">
        <is>
          <t>WABCO (INDIA) LTD</t>
        </is>
      </c>
      <c r="C4723" s="97" t="n">
        <v>533023</v>
      </c>
      <c r="D4723" s="96" t="inlineStr">
        <is>
          <t>WABCO(INDIA)</t>
        </is>
      </c>
      <c r="E4723" s="96" t="inlineStr">
        <is>
          <t>Auto Parts &amp; Equipment</t>
        </is>
      </c>
    </row>
    <row r="4724" ht="15" customHeight="1" s="109" thickBot="1">
      <c r="B4724" s="96" t="inlineStr">
        <is>
          <t>WABCO INDIA LTD</t>
        </is>
      </c>
      <c r="C4724" s="97" t="n">
        <v>533023</v>
      </c>
      <c r="D4724" s="96" t="inlineStr">
        <is>
          <t>WABCOINDIA</t>
        </is>
      </c>
      <c r="E4724" s="96" t="inlineStr">
        <is>
          <t>Auto Parts &amp; Equipment</t>
        </is>
      </c>
    </row>
    <row r="4725" ht="15" customHeight="1" s="109" thickBot="1">
      <c r="B4725" s="96" t="inlineStr">
        <is>
          <t>WAGEND INFRA VENTURE LTD</t>
        </is>
      </c>
      <c r="C4725" s="97" t="n">
        <v>503675</v>
      </c>
      <c r="D4725" s="96" t="inlineStr">
        <is>
          <t>Not Listed</t>
        </is>
      </c>
      <c r="E4725" s="96" t="inlineStr">
        <is>
          <t>Misc.Commercial Services</t>
        </is>
      </c>
    </row>
    <row r="4726" ht="15" customHeight="1" s="109" thickBot="1">
      <c r="B4726" s="96" t="inlineStr">
        <is>
          <t>WALCHAND PEOPLEFIRST LTD</t>
        </is>
      </c>
      <c r="C4726" s="97" t="n">
        <v>501370</v>
      </c>
      <c r="D4726" s="96" t="inlineStr">
        <is>
          <t>Not Listed</t>
        </is>
      </c>
      <c r="E4726" s="96" t="inlineStr">
        <is>
          <t>Consulting Services</t>
        </is>
      </c>
    </row>
    <row r="4727" ht="15" customHeight="1" s="109" thickBot="1">
      <c r="B4727" s="96" t="inlineStr">
        <is>
          <t>WALCHANDNAGAR INDUSTRIES LTD</t>
        </is>
      </c>
      <c r="C4727" s="97" t="n">
        <v>507410</v>
      </c>
      <c r="D4727" s="96" t="inlineStr">
        <is>
          <t>WALCHANNAG</t>
        </is>
      </c>
      <c r="E4727" s="96" t="inlineStr">
        <is>
          <t>Diversified</t>
        </is>
      </c>
    </row>
    <row r="4728" ht="15" customHeight="1" s="109" thickBot="1">
      <c r="B4728" s="96" t="inlineStr">
        <is>
          <t>WALL STREET FINANCE LTD</t>
        </is>
      </c>
      <c r="C4728" s="97" t="n">
        <v>511147</v>
      </c>
      <c r="D4728" s="96" t="inlineStr">
        <is>
          <t>Not Listed</t>
        </is>
      </c>
      <c r="E4728" s="96" t="inlineStr">
        <is>
          <t>Finance (including NBFCs)</t>
        </is>
      </c>
    </row>
    <row r="4729" ht="15" customHeight="1" s="109" thickBot="1">
      <c r="B4729" s="96" t="inlineStr">
        <is>
          <t>WALLFORT FINANCIAL SERVICES LTD</t>
        </is>
      </c>
      <c r="C4729" s="97" t="n">
        <v>532053</v>
      </c>
      <c r="D4729" s="96" t="inlineStr">
        <is>
          <t>Not Listed</t>
        </is>
      </c>
      <c r="E4729" s="96" t="inlineStr">
        <is>
          <t>Other Financial Services</t>
        </is>
      </c>
    </row>
    <row r="4730" ht="15" customHeight="1" s="109" thickBot="1">
      <c r="B4730" s="96" t="inlineStr">
        <is>
          <t>WANBURY LTD</t>
        </is>
      </c>
      <c r="C4730" s="97" t="n">
        <v>524212</v>
      </c>
      <c r="D4730" s="96" t="inlineStr">
        <is>
          <t>WANBURY</t>
        </is>
      </c>
      <c r="E4730" s="96" t="inlineStr">
        <is>
          <t>Pharmaceuticals</t>
        </is>
      </c>
    </row>
    <row r="4731" ht="15" customHeight="1" s="109" thickBot="1">
      <c r="B4731" s="96" t="inlineStr">
        <is>
          <t>WARNER MULTIMEDIA LTD</t>
        </is>
      </c>
      <c r="C4731" s="97" t="n">
        <v>511690</v>
      </c>
      <c r="D4731" s="96" t="inlineStr">
        <is>
          <t>Not Listed</t>
        </is>
      </c>
      <c r="E4731" s="96" t="inlineStr">
        <is>
          <t>Finance (including NBFCs)</t>
        </is>
      </c>
    </row>
    <row r="4732" ht="15" customHeight="1" s="109" thickBot="1">
      <c r="B4732" s="96" t="inlineStr">
        <is>
          <t>WARREN TEA LTD</t>
        </is>
      </c>
      <c r="C4732" s="97" t="n">
        <v>508494</v>
      </c>
      <c r="D4732" s="96" t="inlineStr">
        <is>
          <t>Not Listed</t>
        </is>
      </c>
      <c r="E4732" s="96" t="inlineStr">
        <is>
          <t>Tea &amp; Coffee</t>
        </is>
      </c>
    </row>
    <row r="4733" ht="15" customHeight="1" s="109" thickBot="1">
      <c r="B4733" s="96" t="inlineStr">
        <is>
          <t>WATERBASE LTD</t>
        </is>
      </c>
      <c r="C4733" s="97" t="n">
        <v>523660</v>
      </c>
      <c r="D4733" s="96" t="inlineStr">
        <is>
          <t>Not Listed</t>
        </is>
      </c>
      <c r="E4733" s="96" t="inlineStr">
        <is>
          <t>Other Food Products</t>
        </is>
      </c>
    </row>
    <row r="4734" ht="15" customHeight="1" s="109" thickBot="1">
      <c r="B4734" s="96" t="inlineStr">
        <is>
          <t>WEALTH FIRST PORTFOLIO MANAGERS LTD</t>
        </is>
      </c>
      <c r="C4734" s="96" t="inlineStr">
        <is>
          <t>Not Listed</t>
        </is>
      </c>
      <c r="D4734" s="96" t="inlineStr">
        <is>
          <t>WEALTH</t>
        </is>
      </c>
      <c r="E4734" s="96" t="inlineStr">
        <is>
          <t>SME</t>
        </is>
      </c>
    </row>
    <row r="4735" ht="15" customHeight="1" s="109" thickBot="1">
      <c r="B4735" s="96" t="inlineStr">
        <is>
          <t>WEB ELEMENT SOLUTIONS LTD</t>
        </is>
      </c>
      <c r="C4735" s="97" t="n">
        <v>780016</v>
      </c>
      <c r="D4735" s="96" t="inlineStr">
        <is>
          <t>Not Listed</t>
        </is>
      </c>
      <c r="E4735" s="96" t="inlineStr">
        <is>
          <t>Others</t>
        </is>
      </c>
    </row>
    <row r="4736" ht="15" customHeight="1" s="109" thickBot="1">
      <c r="B4736" s="96" t="inlineStr">
        <is>
          <t>WEBSOL ENERGY SYSTEM LTD</t>
        </is>
      </c>
      <c r="C4736" s="97" t="n">
        <v>517498</v>
      </c>
      <c r="D4736" s="96" t="inlineStr">
        <is>
          <t>WEBELSOLAR</t>
        </is>
      </c>
      <c r="E4736" s="96" t="inlineStr">
        <is>
          <t>Other Elect.Equip./ Prod.</t>
        </is>
      </c>
    </row>
    <row r="4737" ht="15" customHeight="1" s="109" thickBot="1">
      <c r="B4737" s="96" t="inlineStr">
        <is>
          <t>WEIZMANN FINCORP LTD</t>
        </is>
      </c>
      <c r="C4737" s="97" t="n">
        <v>511074</v>
      </c>
      <c r="D4737" s="96" t="inlineStr">
        <is>
          <t>Not Listed</t>
        </is>
      </c>
      <c r="E4737" s="96" t="inlineStr">
        <is>
          <t>Finance (including NBFCs)</t>
        </is>
      </c>
    </row>
    <row r="4738" ht="15" customHeight="1" s="109" thickBot="1">
      <c r="B4738" s="96" t="inlineStr">
        <is>
          <t>WEIZMANN FOREX LTD</t>
        </is>
      </c>
      <c r="C4738" s="97" t="n">
        <v>533452</v>
      </c>
      <c r="D4738" s="96" t="inlineStr">
        <is>
          <t>WEIZFOREX</t>
        </is>
      </c>
      <c r="E4738" s="96" t="inlineStr">
        <is>
          <t>Other Financial Services</t>
        </is>
      </c>
    </row>
    <row r="4739" ht="15" customHeight="1" s="109" thickBot="1">
      <c r="B4739" s="96" t="inlineStr">
        <is>
          <t>WEIZMANN LTD</t>
        </is>
      </c>
      <c r="C4739" s="97" t="n">
        <v>523011</v>
      </c>
      <c r="D4739" s="96" t="inlineStr">
        <is>
          <t>WEIZMANIND</t>
        </is>
      </c>
      <c r="E4739" s="96" t="inlineStr">
        <is>
          <t>Comm.Trading &amp; Distribution</t>
        </is>
      </c>
    </row>
    <row r="4740" ht="15" customHeight="1" s="109" thickBot="1">
      <c r="B4740" s="96" t="inlineStr">
        <is>
          <t>WELCAST STEELS LTD</t>
        </is>
      </c>
      <c r="C4740" s="97" t="n">
        <v>504988</v>
      </c>
      <c r="D4740" s="96" t="inlineStr">
        <is>
          <t>Not Listed</t>
        </is>
      </c>
      <c r="E4740" s="96" t="inlineStr">
        <is>
          <t>Other Industrial Products</t>
        </is>
      </c>
    </row>
    <row r="4741" ht="15" customHeight="1" s="109" thickBot="1">
      <c r="B4741" s="96" t="inlineStr">
        <is>
          <t>WELCURE DRUGS &amp; PHARMACEUTICALS LTD</t>
        </is>
      </c>
      <c r="C4741" s="97" t="n">
        <v>524661</v>
      </c>
      <c r="D4741" s="96" t="inlineStr">
        <is>
          <t>Not Listed</t>
        </is>
      </c>
      <c r="E4741" s="96" t="inlineStr">
        <is>
          <t>Pharmaceuticals</t>
        </is>
      </c>
    </row>
    <row r="4742" ht="15" customHeight="1" s="109" thickBot="1">
      <c r="B4742" s="96" t="inlineStr">
        <is>
          <t>WELLESLEY CORPORATION LTD</t>
        </is>
      </c>
      <c r="C4742" s="97" t="n">
        <v>532016</v>
      </c>
      <c r="D4742" s="96" t="inlineStr">
        <is>
          <t>Not Listed</t>
        </is>
      </c>
      <c r="E4742" s="96" t="inlineStr">
        <is>
          <t>Realty</t>
        </is>
      </c>
    </row>
    <row r="4743" ht="15" customHeight="1" s="109" thickBot="1">
      <c r="B4743" s="96" t="inlineStr">
        <is>
          <t>WELLNESS NONI LTD</t>
        </is>
      </c>
      <c r="C4743" s="97" t="n">
        <v>531211</v>
      </c>
      <c r="D4743" s="96" t="inlineStr">
        <is>
          <t>Not Listed</t>
        </is>
      </c>
      <c r="E4743" s="96" t="inlineStr">
        <is>
          <t>Other Financial Services</t>
        </is>
      </c>
    </row>
    <row r="4744" ht="15" customHeight="1" s="109" thickBot="1">
      <c r="B4744" s="96" t="inlineStr">
        <is>
          <t>WELSPUN (INDIA) LTD</t>
        </is>
      </c>
      <c r="C4744" s="97" t="n">
        <v>514162</v>
      </c>
      <c r="D4744" s="96" t="inlineStr">
        <is>
          <t>WELSPUNIND</t>
        </is>
      </c>
      <c r="E4744" s="96" t="inlineStr">
        <is>
          <t>Textiles</t>
        </is>
      </c>
    </row>
    <row r="4745" ht="15" customHeight="1" s="109" thickBot="1">
      <c r="B4745" s="96" t="inlineStr">
        <is>
          <t>WELSPUN CORP LTD</t>
        </is>
      </c>
      <c r="C4745" s="97" t="n">
        <v>532144</v>
      </c>
      <c r="D4745" s="96" t="inlineStr">
        <is>
          <t>WELCORP</t>
        </is>
      </c>
      <c r="E4745" s="96" t="inlineStr">
        <is>
          <t>Construction &amp; Engineering</t>
        </is>
      </c>
    </row>
    <row r="4746" ht="15" customHeight="1" s="109" thickBot="1">
      <c r="B4746" s="96" t="inlineStr">
        <is>
          <t>WELSPUN ENTERPRISES LTD</t>
        </is>
      </c>
      <c r="C4746" s="97" t="n">
        <v>532553</v>
      </c>
      <c r="D4746" s="96" t="inlineStr">
        <is>
          <t>WELENT</t>
        </is>
      </c>
      <c r="E4746" s="96" t="inlineStr">
        <is>
          <t>Construction &amp; Engineering</t>
        </is>
      </c>
    </row>
    <row r="4747" ht="15" customHeight="1" s="109" thickBot="1">
      <c r="B4747" s="96" t="inlineStr">
        <is>
          <t>WELSPUN INDIA LTD</t>
        </is>
      </c>
      <c r="C4747" s="97" t="n">
        <v>514162</v>
      </c>
      <c r="D4747" s="96" t="inlineStr">
        <is>
          <t>WELSPUNIND</t>
        </is>
      </c>
      <c r="E4747" s="96" t="inlineStr">
        <is>
          <t>Textiles</t>
        </is>
      </c>
    </row>
    <row r="4748" ht="15" customHeight="1" s="109" thickBot="1">
      <c r="B4748" s="96" t="inlineStr">
        <is>
          <t>WELSPUN INVESTMENTS AND COMMERCIALS LTD</t>
        </is>
      </c>
      <c r="C4748" s="97" t="n">
        <v>533252</v>
      </c>
      <c r="D4748" s="96" t="inlineStr">
        <is>
          <t>WELINV</t>
        </is>
      </c>
      <c r="E4748" s="96" t="inlineStr">
        <is>
          <t>Other Financial Services</t>
        </is>
      </c>
    </row>
    <row r="4749" ht="15" customHeight="1" s="109" thickBot="1">
      <c r="B4749" s="96" t="inlineStr">
        <is>
          <t>WELTERMAN INTERNATIONAL LTD</t>
        </is>
      </c>
      <c r="C4749" s="97" t="n">
        <v>526431</v>
      </c>
      <c r="D4749" s="96" t="inlineStr">
        <is>
          <t>Not Listed</t>
        </is>
      </c>
      <c r="E4749" s="96" t="inlineStr">
        <is>
          <t>Footwear</t>
        </is>
      </c>
    </row>
    <row r="4750" ht="15" customHeight="1" s="109" thickBot="1">
      <c r="B4750" s="96" t="inlineStr">
        <is>
          <t>WENDT (INDIA) LTD</t>
        </is>
      </c>
      <c r="C4750" s="97" t="n">
        <v>505412</v>
      </c>
      <c r="D4750" s="96" t="inlineStr">
        <is>
          <t>WENDT</t>
        </is>
      </c>
      <c r="E4750" s="96" t="inlineStr">
        <is>
          <t>Industrial Machinery</t>
        </is>
      </c>
    </row>
    <row r="4751" ht="15" customHeight="1" s="109" thickBot="1">
      <c r="B4751" s="96" t="inlineStr">
        <is>
          <t>WENDT INDIA LTD</t>
        </is>
      </c>
      <c r="C4751" s="97" t="n">
        <v>505412</v>
      </c>
      <c r="D4751" s="96" t="inlineStr">
        <is>
          <t>WENDT</t>
        </is>
      </c>
      <c r="E4751" s="96" t="inlineStr">
        <is>
          <t>Industrial Machinery</t>
        </is>
      </c>
    </row>
    <row r="4752" ht="15" customHeight="1" s="109" thickBot="1">
      <c r="B4752" s="96" t="inlineStr">
        <is>
          <t>WEP SOLUTIONS LTD</t>
        </is>
      </c>
      <c r="C4752" s="97" t="n">
        <v>532373</v>
      </c>
      <c r="D4752" s="96" t="inlineStr">
        <is>
          <t>Not Listed</t>
        </is>
      </c>
      <c r="E4752" s="96" t="inlineStr">
        <is>
          <t>Comm.Trading &amp; Distribution</t>
        </is>
      </c>
    </row>
    <row r="4753" ht="15" customHeight="1" s="109" thickBot="1">
      <c r="B4753" s="96" t="inlineStr">
        <is>
          <t>WEST COAST PAPER MILLS LTD</t>
        </is>
      </c>
      <c r="C4753" s="97" t="n">
        <v>500444</v>
      </c>
      <c r="D4753" s="96" t="inlineStr">
        <is>
          <t>WSTCSTPAPR</t>
        </is>
      </c>
      <c r="E4753" s="96" t="inlineStr">
        <is>
          <t>Paper &amp; Paper Products</t>
        </is>
      </c>
    </row>
    <row r="4754" ht="15" customHeight="1" s="109" thickBot="1">
      <c r="B4754" s="96" t="inlineStr">
        <is>
          <t>WEST LEISURE RESORTS LTD</t>
        </is>
      </c>
      <c r="C4754" s="97" t="n">
        <v>538382</v>
      </c>
      <c r="D4754" s="96" t="inlineStr">
        <is>
          <t>Not Listed</t>
        </is>
      </c>
      <c r="E4754" s="96" t="inlineStr">
        <is>
          <t>Comm.Trading &amp; Distribution</t>
        </is>
      </c>
    </row>
    <row r="4755" ht="15" customHeight="1" s="109" thickBot="1">
      <c r="B4755" s="96" t="inlineStr">
        <is>
          <t>WESTERN MINISTIL LTD</t>
        </is>
      </c>
      <c r="C4755" s="97" t="n">
        <v>504998</v>
      </c>
      <c r="D4755" s="96" t="inlineStr">
        <is>
          <t>Not Listed</t>
        </is>
      </c>
      <c r="E4755" s="96" t="inlineStr">
        <is>
          <t>Iron &amp; Steel/Interm.Products</t>
        </is>
      </c>
    </row>
    <row r="4756" ht="15" customHeight="1" s="109" thickBot="1">
      <c r="B4756" s="96" t="inlineStr">
        <is>
          <t>WESTLIFE DEVELOPMENT LTD</t>
        </is>
      </c>
      <c r="C4756" s="97" t="n">
        <v>505533</v>
      </c>
      <c r="D4756" s="96" t="inlineStr">
        <is>
          <t>Not Listed</t>
        </is>
      </c>
      <c r="E4756" s="96" t="inlineStr">
        <is>
          <t>Restaurants</t>
        </is>
      </c>
    </row>
    <row r="4757" ht="15" customHeight="1" s="109" thickBot="1">
      <c r="B4757" s="96" t="inlineStr">
        <is>
          <t>WHEELS (INDIA) LTD</t>
        </is>
      </c>
      <c r="C4757" s="97" t="n">
        <v>590073</v>
      </c>
      <c r="D4757" s="96" t="inlineStr">
        <is>
          <t>WHEELS</t>
        </is>
      </c>
      <c r="E4757" s="96" t="inlineStr">
        <is>
          <t>Auto Parts &amp; Equipment</t>
        </is>
      </c>
    </row>
    <row r="4758" ht="15" customHeight="1" s="109" thickBot="1">
      <c r="B4758" s="96" t="inlineStr">
        <is>
          <t>WHEELS INDIA LTD</t>
        </is>
      </c>
      <c r="C4758" s="97" t="n">
        <v>590073</v>
      </c>
      <c r="D4758" s="96" t="inlineStr">
        <is>
          <t>WHEELS</t>
        </is>
      </c>
      <c r="E4758" s="96" t="inlineStr">
        <is>
          <t>Auto Parts &amp; Equipment</t>
        </is>
      </c>
    </row>
    <row r="4759" ht="15" customHeight="1" s="109" thickBot="1">
      <c r="B4759" s="96" t="inlineStr">
        <is>
          <t>WHIRLPOOL OF (INDIA) LTD</t>
        </is>
      </c>
      <c r="C4759" s="97" t="n">
        <v>500238</v>
      </c>
      <c r="D4759" s="96" t="inlineStr">
        <is>
          <t>WHIRLPOOL</t>
        </is>
      </c>
      <c r="E4759" s="96" t="inlineStr">
        <is>
          <t>Consumer Electronics</t>
        </is>
      </c>
    </row>
    <row r="4760" ht="15" customHeight="1" s="109" thickBot="1">
      <c r="B4760" s="96" t="inlineStr">
        <is>
          <t>WHIRLPOOL OF INDIA LTD</t>
        </is>
      </c>
      <c r="C4760" s="97" t="n">
        <v>500238</v>
      </c>
      <c r="D4760" s="96" t="inlineStr">
        <is>
          <t>WHIRLPOOL</t>
        </is>
      </c>
      <c r="E4760" s="96" t="inlineStr">
        <is>
          <t>Consumer Electronics</t>
        </is>
      </c>
    </row>
    <row r="4761" ht="15" customHeight="1" s="109" thickBot="1">
      <c r="B4761" s="96" t="inlineStr">
        <is>
          <t>WHITE ORGANIC AGRO LTD</t>
        </is>
      </c>
      <c r="C4761" s="97" t="n">
        <v>513713</v>
      </c>
      <c r="D4761" s="96" t="inlineStr">
        <is>
          <t>Not Listed</t>
        </is>
      </c>
      <c r="E4761" s="96" t="inlineStr">
        <is>
          <t>Other Apparels &amp; Accessories</t>
        </is>
      </c>
    </row>
    <row r="4762" ht="15" customHeight="1" s="109" thickBot="1">
      <c r="B4762" s="96" t="inlineStr">
        <is>
          <t>White Organic Retail Ltd</t>
        </is>
      </c>
      <c r="C4762" s="97" t="n">
        <v>542667</v>
      </c>
      <c r="D4762" s="96" t="inlineStr">
        <is>
          <t>WORL</t>
        </is>
      </c>
      <c r="E4762" s="96" t="inlineStr">
        <is>
          <t>Comm.Trading &amp;amp; Distribution</t>
        </is>
      </c>
    </row>
    <row r="4763" ht="15" customHeight="1" s="109" thickBot="1">
      <c r="B4763" s="96" t="inlineStr">
        <is>
          <t>WILLIAMSON FINANCIAL SERVICES LTD</t>
        </is>
      </c>
      <c r="C4763" s="97" t="n">
        <v>519214</v>
      </c>
      <c r="D4763" s="96" t="inlineStr">
        <is>
          <t>Not Listed</t>
        </is>
      </c>
      <c r="E4763" s="96" t="inlineStr">
        <is>
          <t>Finance (including NBFCs)</t>
        </is>
      </c>
    </row>
    <row r="4764" ht="15" customHeight="1" s="109" thickBot="1">
      <c r="B4764" s="96" t="inlineStr">
        <is>
          <t>WILLIAMSON MAGOR &amp; COMPANY LTD</t>
        </is>
      </c>
      <c r="C4764" s="97" t="n">
        <v>519224</v>
      </c>
      <c r="D4764" s="96" t="inlineStr">
        <is>
          <t>WILLAMAGOR</t>
        </is>
      </c>
      <c r="E4764" s="96" t="inlineStr">
        <is>
          <t>Comm.Trading &amp; Distribution</t>
        </is>
      </c>
    </row>
    <row r="4765" ht="15" customHeight="1" s="109" thickBot="1">
      <c r="B4765" s="96" t="inlineStr">
        <is>
          <t>WIM PLAST LTD</t>
        </is>
      </c>
      <c r="C4765" s="97" t="n">
        <v>526586</v>
      </c>
      <c r="D4765" s="96" t="inlineStr">
        <is>
          <t>Not Listed</t>
        </is>
      </c>
      <c r="E4765" s="96" t="inlineStr">
        <is>
          <t>Plastic Products</t>
        </is>
      </c>
    </row>
    <row r="4766" ht="15" customHeight="1" s="109" thickBot="1">
      <c r="B4766" s="96" t="inlineStr">
        <is>
          <t>WINDSOR MACHINES LTD</t>
        </is>
      </c>
      <c r="C4766" s="97" t="n">
        <v>522029</v>
      </c>
      <c r="D4766" s="96" t="inlineStr">
        <is>
          <t>WINDMACHIN</t>
        </is>
      </c>
      <c r="E4766" s="96" t="inlineStr">
        <is>
          <t>Industrial Machinery</t>
        </is>
      </c>
    </row>
    <row r="4767" ht="15" customHeight="1" s="109" thickBot="1">
      <c r="B4767" s="96" t="inlineStr">
        <is>
          <t>WINRO COMMERCIAL (INDIA) LTD</t>
        </is>
      </c>
      <c r="C4767" s="97" t="n">
        <v>512022</v>
      </c>
      <c r="D4767" s="96" t="inlineStr">
        <is>
          <t>Not Listed</t>
        </is>
      </c>
      <c r="E4767" s="96" t="inlineStr">
        <is>
          <t>Other Financial Services</t>
        </is>
      </c>
    </row>
    <row r="4768" ht="15" customHeight="1" s="109" thickBot="1">
      <c r="B4768" s="96" t="inlineStr">
        <is>
          <t>WINRO COMMERCIAL INDIA LTD</t>
        </is>
      </c>
      <c r="C4768" s="97" t="n">
        <v>512022</v>
      </c>
      <c r="D4768" s="96" t="inlineStr">
        <is>
          <t>Not Listed</t>
        </is>
      </c>
      <c r="E4768" s="96" t="inlineStr">
        <is>
          <t>Other Financial Services</t>
        </is>
      </c>
    </row>
    <row r="4769" ht="15" customHeight="1" s="109" thickBot="1">
      <c r="B4769" s="96" t="inlineStr">
        <is>
          <t>WINSOME BREWERIES LTD</t>
        </is>
      </c>
      <c r="C4769" s="97" t="n">
        <v>526471</v>
      </c>
      <c r="D4769" s="96" t="inlineStr">
        <is>
          <t>Not Listed</t>
        </is>
      </c>
      <c r="E4769" s="96" t="inlineStr">
        <is>
          <t>Breweries &amp; Distilleries</t>
        </is>
      </c>
    </row>
    <row r="4770" ht="15" customHeight="1" s="109" thickBot="1">
      <c r="B4770" s="96" t="inlineStr">
        <is>
          <t>WINSOME TEXTILE INDUSTRIES LTD</t>
        </is>
      </c>
      <c r="C4770" s="97" t="n">
        <v>514470</v>
      </c>
      <c r="D4770" s="96" t="inlineStr">
        <is>
          <t>Not Listed</t>
        </is>
      </c>
      <c r="E4770" s="96" t="inlineStr">
        <is>
          <t>Textiles</t>
        </is>
      </c>
    </row>
    <row r="4771" ht="15" customHeight="1" s="109" thickBot="1">
      <c r="B4771" s="96" t="inlineStr">
        <is>
          <t>WINSOME YARNS LTD</t>
        </is>
      </c>
      <c r="C4771" s="97" t="n">
        <v>514348</v>
      </c>
      <c r="D4771" s="96" t="inlineStr">
        <is>
          <t>WINSOME</t>
        </is>
      </c>
      <c r="E4771" s="96" t="inlineStr">
        <is>
          <t>Textiles</t>
        </is>
      </c>
    </row>
    <row r="4772" ht="15" customHeight="1" s="109" thickBot="1">
      <c r="B4772" s="96" t="inlineStr">
        <is>
          <t>WINTAC LTD</t>
        </is>
      </c>
      <c r="C4772" s="97" t="n">
        <v>524758</v>
      </c>
      <c r="D4772" s="96" t="inlineStr">
        <is>
          <t>Not Listed</t>
        </is>
      </c>
      <c r="E4772" s="96" t="inlineStr">
        <is>
          <t>Pharmaceuticals</t>
        </is>
      </c>
    </row>
    <row r="4773" ht="15" customHeight="1" s="109" thickBot="1">
      <c r="B4773" s="96" t="inlineStr">
        <is>
          <t>WINY COMMERCIAL &amp; FISCAL SERVICES LTD</t>
        </is>
      </c>
      <c r="C4773" s="97" t="n">
        <v>538873</v>
      </c>
      <c r="D4773" s="96" t="inlineStr">
        <is>
          <t>Not Listed</t>
        </is>
      </c>
      <c r="E4773" s="96" t="inlineStr">
        <is>
          <t>Finance (including NBFCs)</t>
        </is>
      </c>
    </row>
    <row r="4774" ht="15" customHeight="1" s="109" thickBot="1">
      <c r="B4774" s="96" t="inlineStr">
        <is>
          <t>WIPRO LTD</t>
        </is>
      </c>
      <c r="C4774" s="97" t="n">
        <v>507685</v>
      </c>
      <c r="D4774" s="96" t="inlineStr">
        <is>
          <t>WIPRO</t>
        </is>
      </c>
      <c r="E4774" s="96" t="inlineStr">
        <is>
          <t>IT Consulting &amp; Software</t>
        </is>
      </c>
    </row>
    <row r="4775" ht="15" customHeight="1" s="109" thickBot="1">
      <c r="B4775" s="96" t="inlineStr">
        <is>
          <t>WIRES &amp; FABRIKS SA LTD</t>
        </is>
      </c>
      <c r="C4775" s="97" t="n">
        <v>507817</v>
      </c>
      <c r="D4775" s="96" t="inlineStr">
        <is>
          <t>Not Listed</t>
        </is>
      </c>
      <c r="E4775" s="96" t="inlineStr">
        <is>
          <t>Textiles</t>
        </is>
      </c>
    </row>
    <row r="4776" ht="15" customHeight="1" s="109" thickBot="1">
      <c r="B4776" s="96" t="inlineStr">
        <is>
          <t>WISEC GLOBAL LTD</t>
        </is>
      </c>
      <c r="C4776" s="97" t="n">
        <v>511642</v>
      </c>
      <c r="D4776" s="96" t="inlineStr">
        <is>
          <t>Not Listed</t>
        </is>
      </c>
      <c r="E4776" s="96" t="inlineStr">
        <is>
          <t>Finance (including NBFCs)</t>
        </is>
      </c>
    </row>
    <row r="4777" ht="15" customHeight="1" s="109" thickBot="1">
      <c r="B4777" s="96" t="inlineStr">
        <is>
          <t>WOCKHARDT LTD</t>
        </is>
      </c>
      <c r="C4777" s="97" t="n">
        <v>532300</v>
      </c>
      <c r="D4777" s="96" t="inlineStr">
        <is>
          <t>WOCKPHARMA</t>
        </is>
      </c>
      <c r="E4777" s="96" t="inlineStr">
        <is>
          <t>Pharmaceuticals</t>
        </is>
      </c>
    </row>
    <row r="4778" ht="15" customHeight="1" s="109" thickBot="1">
      <c r="B4778" s="96" t="inlineStr">
        <is>
          <t>WOMEN NETWORKS LTD</t>
        </is>
      </c>
      <c r="C4778" s="97" t="n">
        <v>531396</v>
      </c>
      <c r="D4778" s="96" t="inlineStr">
        <is>
          <t>Not Listed</t>
        </is>
      </c>
      <c r="E4778" s="96" t="inlineStr">
        <is>
          <t>IT Software Products</t>
        </is>
      </c>
    </row>
    <row r="4779" ht="15" customHeight="1" s="109" thickBot="1">
      <c r="B4779" s="96" t="inlineStr">
        <is>
          <t>WOMENS NEXT LOUNGERIES LTD</t>
        </is>
      </c>
      <c r="C4779" s="97" t="n">
        <v>538128</v>
      </c>
      <c r="D4779" s="96" t="inlineStr">
        <is>
          <t>Not Listed</t>
        </is>
      </c>
      <c r="E4779" s="96" t="inlineStr">
        <is>
          <t>Other Apparels &amp; Accessories</t>
        </is>
      </c>
    </row>
    <row r="4780" ht="15" customHeight="1" s="109" thickBot="1">
      <c r="B4780" s="96" t="inlineStr">
        <is>
          <t>WONDERLA HOLIDAYS LTD</t>
        </is>
      </c>
      <c r="C4780" s="97" t="n">
        <v>538268</v>
      </c>
      <c r="D4780" s="96" t="inlineStr">
        <is>
          <t>WONDERLA</t>
        </is>
      </c>
      <c r="E4780" s="96" t="inlineStr">
        <is>
          <t>Other Leisure Facilities</t>
        </is>
      </c>
    </row>
    <row r="4781" ht="15" customHeight="1" s="109" thickBot="1">
      <c r="B4781" s="96" t="inlineStr">
        <is>
          <t>WOODSVILLA LTD</t>
        </is>
      </c>
      <c r="C4781" s="97" t="n">
        <v>526959</v>
      </c>
      <c r="D4781" s="96" t="inlineStr">
        <is>
          <t>Not Listed</t>
        </is>
      </c>
      <c r="E4781" s="96" t="inlineStr">
        <is>
          <t>Hotels</t>
        </is>
      </c>
    </row>
    <row r="4782" ht="15" customHeight="1" s="109" thickBot="1">
      <c r="B4782" s="96" t="inlineStr">
        <is>
          <t>WORLDWIDE LEATHER EXPORTS LTD</t>
        </is>
      </c>
      <c r="C4782" s="97" t="n">
        <v>526525</v>
      </c>
      <c r="D4782" s="96" t="inlineStr">
        <is>
          <t>Not Listed</t>
        </is>
      </c>
      <c r="E4782" s="96" t="inlineStr">
        <is>
          <t>Other Apparels &amp; Accessories</t>
        </is>
      </c>
    </row>
    <row r="4783" ht="15" customHeight="1" s="109" thickBot="1">
      <c r="B4783" s="96" t="inlineStr">
        <is>
          <t>WORTH INVESTMENT &amp; TRADING CO LTD</t>
        </is>
      </c>
      <c r="C4783" s="97" t="n">
        <v>538451</v>
      </c>
      <c r="D4783" s="96" t="inlineStr">
        <is>
          <t>Not Listed</t>
        </is>
      </c>
      <c r="E4783" s="96" t="inlineStr">
        <is>
          <t>Investment Companies</t>
        </is>
      </c>
    </row>
    <row r="4784" ht="15" customHeight="1" s="109" thickBot="1">
      <c r="B4784" s="96" t="inlineStr">
        <is>
          <t>WORTH PERIPHERALS LTD</t>
        </is>
      </c>
      <c r="C4784" s="96" t="inlineStr">
        <is>
          <t>Not Listed</t>
        </is>
      </c>
      <c r="D4784" s="96" t="inlineStr">
        <is>
          <t>WORTH</t>
        </is>
      </c>
      <c r="E4784" s="96" t="inlineStr">
        <is>
          <t>SME</t>
        </is>
      </c>
    </row>
    <row r="4785" ht="15" customHeight="1" s="109" thickBot="1">
      <c r="B4785" s="96" t="inlineStr">
        <is>
          <t>WPIL LTD</t>
        </is>
      </c>
      <c r="C4785" s="97" t="n">
        <v>505872</v>
      </c>
      <c r="D4785" s="96" t="inlineStr">
        <is>
          <t>Not Listed</t>
        </is>
      </c>
      <c r="E4785" s="96" t="inlineStr">
        <is>
          <t>Industrial Machinery</t>
        </is>
      </c>
    </row>
    <row r="4786" ht="15" customHeight="1" s="109" thickBot="1">
      <c r="B4786" s="96" t="inlineStr">
        <is>
          <t>XCHANGING SOLUTIONS LTD</t>
        </is>
      </c>
      <c r="C4786" s="97" t="n">
        <v>532616</v>
      </c>
      <c r="D4786" s="96" t="inlineStr">
        <is>
          <t>XCHANGING</t>
        </is>
      </c>
      <c r="E4786" s="96" t="inlineStr">
        <is>
          <t>BPO/KPO</t>
        </is>
      </c>
    </row>
    <row r="4787" ht="15" customHeight="1" s="109" thickBot="1">
      <c r="B4787" s="96" t="inlineStr">
        <is>
          <t>Xelpmoc Design and Tech Ltd</t>
        </is>
      </c>
      <c r="C4787" s="97" t="n">
        <v>542367</v>
      </c>
      <c r="D4787" s="96" t="inlineStr">
        <is>
          <t>XELPMOC</t>
        </is>
      </c>
      <c r="E4787" s="96" t="inlineStr">
        <is>
          <t>Internet Software &amp;amp; Services</t>
        </is>
      </c>
    </row>
    <row r="4788" ht="15" customHeight="1" s="109" thickBot="1">
      <c r="B4788" s="96" t="inlineStr">
        <is>
          <t>XL ENERGY LTD</t>
        </is>
      </c>
      <c r="C4788" s="97" t="n">
        <v>532788</v>
      </c>
      <c r="D4788" s="96" t="inlineStr">
        <is>
          <t>XLENERGY</t>
        </is>
      </c>
      <c r="E4788" s="96" t="inlineStr">
        <is>
          <t>Telecom Equipment</t>
        </is>
      </c>
    </row>
    <row r="4789" ht="15" customHeight="1" s="109" thickBot="1">
      <c r="B4789" s="96" t="inlineStr">
        <is>
          <t>XPRO (INDIA) LTD</t>
        </is>
      </c>
      <c r="C4789" s="97" t="n">
        <v>590013</v>
      </c>
      <c r="D4789" s="96" t="inlineStr">
        <is>
          <t>XPRO(INDIA)</t>
        </is>
      </c>
      <c r="E4789" s="96" t="inlineStr">
        <is>
          <t>Commodity Chemicals</t>
        </is>
      </c>
    </row>
    <row r="4790" ht="15" customHeight="1" s="109" thickBot="1">
      <c r="B4790" s="96" t="inlineStr">
        <is>
          <t>XPRO INDIA LTD</t>
        </is>
      </c>
      <c r="C4790" s="97" t="n">
        <v>590013</v>
      </c>
      <c r="D4790" s="96" t="inlineStr">
        <is>
          <t>XPROINDIA</t>
        </is>
      </c>
      <c r="E4790" s="96" t="inlineStr">
        <is>
          <t>Commodity Chemicals</t>
        </is>
      </c>
    </row>
    <row r="4791" ht="15" customHeight="1" s="109" thickBot="1">
      <c r="B4791" s="96" t="inlineStr">
        <is>
          <t>YAMINI INVESTMENTS COMPANY LTD</t>
        </is>
      </c>
      <c r="C4791" s="97" t="n">
        <v>511012</v>
      </c>
      <c r="D4791" s="96" t="inlineStr">
        <is>
          <t>Not Listed</t>
        </is>
      </c>
      <c r="E4791" s="96" t="inlineStr">
        <is>
          <t>Investment Companies</t>
        </is>
      </c>
    </row>
    <row r="4792" ht="15" customHeight="1" s="109" thickBot="1">
      <c r="B4792" s="96" t="inlineStr">
        <is>
          <t>YARN SYNDICATE LTD</t>
        </is>
      </c>
      <c r="C4792" s="97" t="n">
        <v>514378</v>
      </c>
      <c r="D4792" s="96" t="inlineStr">
        <is>
          <t>Not Listed</t>
        </is>
      </c>
      <c r="E4792" s="96" t="inlineStr">
        <is>
          <t>Comm.Trading &amp; Distribution</t>
        </is>
      </c>
    </row>
    <row r="4793" ht="15" customHeight="1" s="109" thickBot="1">
      <c r="B4793" s="96" t="inlineStr">
        <is>
          <t>YASH CHEMEX LTD</t>
        </is>
      </c>
      <c r="C4793" s="97" t="n">
        <v>539939</v>
      </c>
      <c r="D4793" s="96" t="inlineStr">
        <is>
          <t>Not Listed</t>
        </is>
      </c>
      <c r="E4793" s="96" t="inlineStr">
        <is>
          <t>Specialty Chemicals</t>
        </is>
      </c>
    </row>
    <row r="4794" ht="15" customHeight="1" s="109" thickBot="1">
      <c r="B4794" s="96" t="inlineStr">
        <is>
          <t>YASH MANAGEMENT &amp; SATELLITE LTD</t>
        </is>
      </c>
      <c r="C4794" s="97" t="n">
        <v>511601</v>
      </c>
      <c r="D4794" s="96" t="inlineStr">
        <is>
          <t>Not Listed</t>
        </is>
      </c>
      <c r="E4794" s="96" t="inlineStr">
        <is>
          <t>Comm.Trading &amp; Distribution</t>
        </is>
      </c>
    </row>
    <row r="4795" ht="15" customHeight="1" s="109" thickBot="1">
      <c r="B4795" s="96" t="inlineStr">
        <is>
          <t>YASH PAPERS LTD</t>
        </is>
      </c>
      <c r="C4795" s="97" t="n">
        <v>516030</v>
      </c>
      <c r="D4795" s="96" t="inlineStr">
        <is>
          <t>Not Listed</t>
        </is>
      </c>
      <c r="E4795" s="96" t="inlineStr">
        <is>
          <t>Paper &amp; Paper Products</t>
        </is>
      </c>
    </row>
    <row r="4796" ht="15" customHeight="1" s="109" thickBot="1">
      <c r="B4796" s="96" t="inlineStr">
        <is>
          <t>YASHO INDUSTRIES LTD</t>
        </is>
      </c>
      <c r="C4796" s="97" t="n">
        <v>541167</v>
      </c>
      <c r="D4796" s="96" t="inlineStr">
        <is>
          <t>Not Listed</t>
        </is>
      </c>
      <c r="E4796" s="96" t="inlineStr">
        <is>
          <t>Specialty Chemicals</t>
        </is>
      </c>
    </row>
    <row r="4797" ht="15" customHeight="1" s="109" thickBot="1">
      <c r="B4797" s="96" t="inlineStr">
        <is>
          <t>YASHRAJ CONTAINEURS LTD</t>
        </is>
      </c>
      <c r="C4797" s="97" t="n">
        <v>530063</v>
      </c>
      <c r="D4797" s="96" t="inlineStr">
        <is>
          <t>Not Listed</t>
        </is>
      </c>
      <c r="E4797" s="96" t="inlineStr">
        <is>
          <t>Containers &amp; Packaging</t>
        </is>
      </c>
    </row>
    <row r="4798" ht="15" customHeight="1" s="109" thickBot="1">
      <c r="B4798" s="96" t="inlineStr">
        <is>
          <t>YES BANK LTD</t>
        </is>
      </c>
      <c r="C4798" s="97" t="n">
        <v>532648</v>
      </c>
      <c r="D4798" s="96" t="inlineStr">
        <is>
          <t>YESBANK</t>
        </is>
      </c>
      <c r="E4798" s="96" t="inlineStr">
        <is>
          <t>Banks</t>
        </is>
      </c>
    </row>
    <row r="4799" ht="15" customHeight="1" s="109" thickBot="1">
      <c r="B4799" s="96" t="inlineStr">
        <is>
          <t>YKM INDUSTRIES LTD</t>
        </is>
      </c>
      <c r="C4799" s="97" t="n">
        <v>531260</v>
      </c>
      <c r="D4799" s="96" t="inlineStr">
        <is>
          <t>Not Listed</t>
        </is>
      </c>
      <c r="E4799" s="96" t="inlineStr">
        <is>
          <t>Packaged Foods</t>
        </is>
      </c>
    </row>
    <row r="4800" ht="15" customHeight="1" s="109" thickBot="1">
      <c r="B4800" s="96" t="inlineStr">
        <is>
          <t>YOGI SUNG-WON (INDIA) LTD</t>
        </is>
      </c>
      <c r="C4800" s="97" t="n">
        <v>522209</v>
      </c>
      <c r="D4800" s="96" t="inlineStr">
        <is>
          <t>Not Listed</t>
        </is>
      </c>
      <c r="E4800" s="96" t="inlineStr">
        <is>
          <t>Other Financial Services</t>
        </is>
      </c>
    </row>
    <row r="4801" ht="15" customHeight="1" s="109" thickBot="1">
      <c r="B4801" s="96" t="inlineStr">
        <is>
          <t>YOGI SUNG-WON INDIA LTD</t>
        </is>
      </c>
      <c r="C4801" s="97" t="n">
        <v>522209</v>
      </c>
      <c r="D4801" s="96" t="inlineStr">
        <is>
          <t>Not Listed</t>
        </is>
      </c>
      <c r="E4801" s="96" t="inlineStr">
        <is>
          <t>Other Financial Services</t>
        </is>
      </c>
    </row>
    <row r="4802" ht="15" customHeight="1" s="109" thickBot="1">
      <c r="B4802" s="96" t="inlineStr">
        <is>
          <t>YOGYA ENTERPRISES LTD</t>
        </is>
      </c>
      <c r="C4802" s="97" t="n">
        <v>539097</v>
      </c>
      <c r="D4802" s="96" t="inlineStr">
        <is>
          <t>Not Listed</t>
        </is>
      </c>
      <c r="E4802" s="96" t="inlineStr">
        <is>
          <t>Comm.Trading &amp; Distribution</t>
        </is>
      </c>
    </row>
    <row r="4803" ht="15" customHeight="1" s="109" thickBot="1">
      <c r="B4803" s="96" t="inlineStr">
        <is>
          <t>YORK EXPORTS LTD</t>
        </is>
      </c>
      <c r="C4803" s="97" t="n">
        <v>530675</v>
      </c>
      <c r="D4803" s="96" t="inlineStr">
        <is>
          <t>Not Listed</t>
        </is>
      </c>
      <c r="E4803" s="96" t="inlineStr">
        <is>
          <t>Other Apparels &amp; Accessories</t>
        </is>
      </c>
    </row>
    <row r="4804" ht="15" customHeight="1" s="109" thickBot="1">
      <c r="B4804" s="96" t="inlineStr">
        <is>
          <t>YUG DECOR LTD</t>
        </is>
      </c>
      <c r="C4804" s="97" t="n">
        <v>540550</v>
      </c>
      <c r="D4804" s="96" t="inlineStr">
        <is>
          <t>Not Listed</t>
        </is>
      </c>
      <c r="E4804" s="96" t="inlineStr">
        <is>
          <t>Specialty Chemicals</t>
        </is>
      </c>
    </row>
    <row r="4805" ht="15" customHeight="1" s="109" thickBot="1">
      <c r="B4805" s="96" t="inlineStr">
        <is>
          <t>YUKEN (INDIA) LTD</t>
        </is>
      </c>
      <c r="C4805" s="97" t="n">
        <v>522108</v>
      </c>
      <c r="D4805" s="96" t="inlineStr">
        <is>
          <t>Not Listed</t>
        </is>
      </c>
      <c r="E4805" s="96" t="inlineStr">
        <is>
          <t>Auto Parts &amp; Equipment</t>
        </is>
      </c>
    </row>
    <row r="4806" ht="15" customHeight="1" s="109" thickBot="1">
      <c r="B4806" s="96" t="inlineStr">
        <is>
          <t>YUKEN INDIA LTD</t>
        </is>
      </c>
      <c r="C4806" s="97" t="n">
        <v>522108</v>
      </c>
      <c r="D4806" s="96" t="inlineStr">
        <is>
          <t>Not Listed</t>
        </is>
      </c>
      <c r="E4806" s="96" t="inlineStr">
        <is>
          <t>Auto Parts &amp; Equipment</t>
        </is>
      </c>
    </row>
    <row r="4807" ht="15" customHeight="1" s="109" thickBot="1">
      <c r="B4807" s="96" t="inlineStr">
        <is>
          <t>YURANUS INFRASTRUCTURE LTD</t>
        </is>
      </c>
      <c r="C4807" s="97" t="n">
        <v>536846</v>
      </c>
      <c r="D4807" s="96" t="inlineStr">
        <is>
          <t>Not Listed</t>
        </is>
      </c>
      <c r="E4807" s="96" t="inlineStr">
        <is>
          <t>Construction &amp; Engineering</t>
        </is>
      </c>
    </row>
    <row r="4808" ht="15" customHeight="1" s="109" thickBot="1">
      <c r="B4808" s="96" t="inlineStr">
        <is>
          <t>YUVRAAJ HYGIENE PRODUCTS LTD.</t>
        </is>
      </c>
      <c r="C4808" s="97" t="n">
        <v>531663</v>
      </c>
      <c r="D4808" s="96" t="inlineStr">
        <is>
          <t>YUVRAAJHPL</t>
        </is>
      </c>
      <c r="E4808" s="96" t="inlineStr">
        <is>
          <t>Household Products</t>
        </is>
      </c>
    </row>
    <row r="4809" ht="15" customHeight="1" s="109" thickBot="1">
      <c r="B4809" s="96" t="inlineStr">
        <is>
          <t>Z F STEERING GEAR (INDIA) LTD</t>
        </is>
      </c>
      <c r="C4809" s="97" t="n">
        <v>505163</v>
      </c>
      <c r="D4809" s="96" t="inlineStr">
        <is>
          <t>Not Listed</t>
        </is>
      </c>
      <c r="E4809" s="96" t="inlineStr">
        <is>
          <t>Auto Parts &amp; Equipment</t>
        </is>
      </c>
    </row>
    <row r="4810" ht="15" customHeight="1" s="109" thickBot="1">
      <c r="B4810" s="96" t="inlineStr">
        <is>
          <t>Z F STEERING GEAR INDIA LTD</t>
        </is>
      </c>
      <c r="C4810" s="97" t="n">
        <v>505163</v>
      </c>
      <c r="D4810" s="96" t="inlineStr">
        <is>
          <t>Not Listed</t>
        </is>
      </c>
      <c r="E4810" s="96" t="inlineStr">
        <is>
          <t>Auto Parts &amp; Equipment</t>
        </is>
      </c>
    </row>
    <row r="4811" ht="15" customHeight="1" s="109" thickBot="1">
      <c r="B4811" s="96" t="inlineStr">
        <is>
          <t>ZEAL AQUA LTD</t>
        </is>
      </c>
      <c r="C4811" s="97" t="n">
        <v>539963</v>
      </c>
      <c r="D4811" s="96" t="inlineStr">
        <is>
          <t>Not Listed</t>
        </is>
      </c>
      <c r="E4811" s="96" t="inlineStr">
        <is>
          <t>Other Food Products</t>
        </is>
      </c>
    </row>
    <row r="4812" ht="15" customHeight="1" s="109" thickBot="1">
      <c r="B4812" s="96" t="inlineStr">
        <is>
          <t>ZEE ENTERTAINMENT ENTERPRISES LTD</t>
        </is>
      </c>
      <c r="C4812" s="97" t="n">
        <v>505537</v>
      </c>
      <c r="D4812" s="96" t="inlineStr">
        <is>
          <t>ZEEL</t>
        </is>
      </c>
      <c r="E4812" s="96" t="inlineStr">
        <is>
          <t>Broadcasting &amp; Cable TV</t>
        </is>
      </c>
    </row>
    <row r="4813" ht="15" customHeight="1" s="109" thickBot="1">
      <c r="B4813" s="96" t="inlineStr">
        <is>
          <t>ZEE LEARN LTD</t>
        </is>
      </c>
      <c r="C4813" s="97" t="n">
        <v>533287</v>
      </c>
      <c r="D4813" s="96" t="inlineStr">
        <is>
          <t>ZEELEARN</t>
        </is>
      </c>
      <c r="E4813" s="96" t="inlineStr">
        <is>
          <t>Education</t>
        </is>
      </c>
    </row>
    <row r="4814" ht="15" customHeight="1" s="109" thickBot="1">
      <c r="B4814" s="96" t="inlineStr">
        <is>
          <t>ZEE MEDIA CORPORATION LTD</t>
        </is>
      </c>
      <c r="C4814" s="97" t="n">
        <v>532794</v>
      </c>
      <c r="D4814" s="96" t="inlineStr">
        <is>
          <t>ZEEMEDIA</t>
        </is>
      </c>
      <c r="E4814" s="96" t="inlineStr">
        <is>
          <t>Broadcasting &amp; Cable TV</t>
        </is>
      </c>
    </row>
    <row r="4815" ht="15" customHeight="1" s="109" thickBot="1">
      <c r="B4815" s="96" t="inlineStr">
        <is>
          <t>ZEN TECHNOLOGIES LTD</t>
        </is>
      </c>
      <c r="C4815" s="97" t="n">
        <v>533339</v>
      </c>
      <c r="D4815" s="96" t="inlineStr">
        <is>
          <t>ZENTEC</t>
        </is>
      </c>
      <c r="E4815" s="96" t="inlineStr">
        <is>
          <t>IT Software Products</t>
        </is>
      </c>
    </row>
    <row r="4816" ht="15" customHeight="1" s="109" thickBot="1">
      <c r="B4816" s="96" t="inlineStr">
        <is>
          <t>ZENITH BIRLA (INDIA) LTD</t>
        </is>
      </c>
      <c r="C4816" s="97" t="n">
        <v>531845</v>
      </c>
      <c r="D4816" s="96" t="inlineStr">
        <is>
          <t>ZENITHBIR</t>
        </is>
      </c>
      <c r="E4816" s="96" t="inlineStr">
        <is>
          <t>Construction &amp; Engineering</t>
        </is>
      </c>
    </row>
    <row r="4817" ht="15" customHeight="1" s="109" thickBot="1">
      <c r="B4817" s="96" t="inlineStr">
        <is>
          <t>ZENITH BIRLA INDIA LTD</t>
        </is>
      </c>
      <c r="C4817" s="97" t="n">
        <v>531845</v>
      </c>
      <c r="D4817" s="96" t="inlineStr">
        <is>
          <t>ZENITHBIR</t>
        </is>
      </c>
      <c r="E4817" s="96" t="inlineStr">
        <is>
          <t>Construction &amp; Engineering</t>
        </is>
      </c>
    </row>
    <row r="4818" ht="15" customHeight="1" s="109" thickBot="1">
      <c r="B4818" s="96" t="inlineStr">
        <is>
          <t>ZENITH EXPORTS LTD</t>
        </is>
      </c>
      <c r="C4818" s="97" t="n">
        <v>512553</v>
      </c>
      <c r="D4818" s="96" t="inlineStr">
        <is>
          <t>ZENITHEXPO</t>
        </is>
      </c>
      <c r="E4818" s="96" t="inlineStr">
        <is>
          <t>Textiles</t>
        </is>
      </c>
    </row>
    <row r="4819" ht="15" customHeight="1" s="109" thickBot="1">
      <c r="B4819" s="96" t="inlineStr">
        <is>
          <t>ZENITH FIBRES LTD</t>
        </is>
      </c>
      <c r="C4819" s="97" t="n">
        <v>514266</v>
      </c>
      <c r="D4819" s="96" t="inlineStr">
        <is>
          <t>Not Listed</t>
        </is>
      </c>
      <c r="E4819" s="96" t="inlineStr">
        <is>
          <t>Textiles</t>
        </is>
      </c>
    </row>
    <row r="4820" ht="15" customHeight="1" s="109" thickBot="1">
      <c r="B4820" s="96" t="inlineStr">
        <is>
          <t>ZENITH HEALTH CARE LTD</t>
        </is>
      </c>
      <c r="C4820" s="97" t="n">
        <v>530665</v>
      </c>
      <c r="D4820" s="96" t="inlineStr">
        <is>
          <t>Not Listed</t>
        </is>
      </c>
      <c r="E4820" s="96" t="inlineStr">
        <is>
          <t>Pharmaceuticals</t>
        </is>
      </c>
    </row>
    <row r="4821" ht="15" customHeight="1" s="109" thickBot="1">
      <c r="B4821" s="96" t="inlineStr">
        <is>
          <t>ZENLABS ETHICA LTD</t>
        </is>
      </c>
      <c r="C4821" s="97" t="n">
        <v>530697</v>
      </c>
      <c r="D4821" s="96" t="inlineStr">
        <is>
          <t>Not Listed</t>
        </is>
      </c>
      <c r="E4821" s="96" t="inlineStr">
        <is>
          <t>Misc.Commercial Services</t>
        </is>
      </c>
    </row>
    <row r="4822" ht="15" customHeight="1" s="109" thickBot="1">
      <c r="B4822" s="96" t="inlineStr">
        <is>
          <t>ZENOTECH LABORATORIES LTD</t>
        </is>
      </c>
      <c r="C4822" s="97" t="n">
        <v>532039</v>
      </c>
      <c r="D4822" s="96" t="inlineStr">
        <is>
          <t>Not Listed</t>
        </is>
      </c>
      <c r="E4822" s="96" t="inlineStr">
        <is>
          <t>Pharmaceuticals</t>
        </is>
      </c>
    </row>
    <row r="4823" ht="15" customHeight="1" s="109" thickBot="1">
      <c r="B4823" s="96" t="inlineStr">
        <is>
          <t>ZENSAR TECHNOLOGIES LTD</t>
        </is>
      </c>
      <c r="C4823" s="97" t="n">
        <v>504067</v>
      </c>
      <c r="D4823" s="96" t="inlineStr">
        <is>
          <t>ZENSARTECH</t>
        </is>
      </c>
      <c r="E4823" s="96" t="inlineStr">
        <is>
          <t>IT Consulting &amp; Software</t>
        </is>
      </c>
    </row>
    <row r="4824" ht="15" customHeight="1" s="109" thickBot="1">
      <c r="B4824" s="96" t="inlineStr">
        <is>
          <t>ZICOM ELECTRONIC SECURITY SYSTEMS LTD</t>
        </is>
      </c>
      <c r="C4824" s="97" t="n">
        <v>531404</v>
      </c>
      <c r="D4824" s="96" t="inlineStr">
        <is>
          <t>ZICOM</t>
        </is>
      </c>
      <c r="E4824" s="96" t="inlineStr">
        <is>
          <t>Electronic Components</t>
        </is>
      </c>
    </row>
    <row r="4825" ht="15" customHeight="1" s="109" thickBot="1">
      <c r="B4825" s="96" t="inlineStr">
        <is>
          <t>ZIM LABORATORIES LTD</t>
        </is>
      </c>
      <c r="C4825" s="97" t="n">
        <v>541400</v>
      </c>
      <c r="D4825" s="96" t="inlineStr">
        <is>
          <t>Not Listed</t>
        </is>
      </c>
      <c r="E4825" s="96" t="inlineStr">
        <is>
          <t>Pharmaceuticals</t>
        </is>
      </c>
    </row>
    <row r="4826" ht="15" customHeight="1" s="109" thickBot="1">
      <c r="B4826" s="96" t="inlineStr">
        <is>
          <t>ZODIAC CLOTHING COMPANY LTD</t>
        </is>
      </c>
      <c r="C4826" s="97" t="n">
        <v>521163</v>
      </c>
      <c r="D4826" s="96" t="inlineStr">
        <is>
          <t>ZODIACLOTH</t>
        </is>
      </c>
      <c r="E4826" s="96" t="inlineStr">
        <is>
          <t>Other Apparels &amp; Accessories</t>
        </is>
      </c>
    </row>
    <row r="4827" ht="15" customHeight="1" s="109" thickBot="1">
      <c r="B4827" s="96" t="inlineStr">
        <is>
          <t>ZODIAC ENERGY LTD</t>
        </is>
      </c>
      <c r="C4827" s="96" t="inlineStr">
        <is>
          <t>Not Listed</t>
        </is>
      </c>
      <c r="D4827" s="96" t="inlineStr">
        <is>
          <t>ZODIAC</t>
        </is>
      </c>
      <c r="E4827" s="96" t="inlineStr">
        <is>
          <t>SME</t>
        </is>
      </c>
    </row>
    <row r="4828" ht="15" customHeight="1" s="109" thickBot="1">
      <c r="B4828" s="96" t="inlineStr">
        <is>
          <t>ZODIAC JRD- MKJ LTD</t>
        </is>
      </c>
      <c r="C4828" s="97" t="n">
        <v>512587</v>
      </c>
      <c r="D4828" s="96" t="inlineStr">
        <is>
          <t>ZODJRDMKJ</t>
        </is>
      </c>
      <c r="E4828" s="96" t="inlineStr">
        <is>
          <t>Other Apparels &amp; Accessories</t>
        </is>
      </c>
    </row>
    <row r="4829" ht="15" customHeight="1" s="109" thickBot="1">
      <c r="B4829" s="96" t="inlineStr">
        <is>
          <t>Zodiac Ventures LTD</t>
        </is>
      </c>
      <c r="C4829" s="97" t="n">
        <v>503641</v>
      </c>
      <c r="D4829" s="96" t="inlineStr">
        <is>
          <t>ZODIACVEN</t>
        </is>
      </c>
      <c r="E4829" s="96" t="inlineStr">
        <is>
          <t>Consulting Services</t>
        </is>
      </c>
    </row>
    <row r="4830" ht="15" customHeight="1" s="109" thickBot="1">
      <c r="B4830" s="96" t="inlineStr">
        <is>
          <t>ZOTA HEALTH CARE LTD</t>
        </is>
      </c>
      <c r="C4830" s="96" t="inlineStr">
        <is>
          <t>Not Listed</t>
        </is>
      </c>
      <c r="D4830" s="96" t="inlineStr">
        <is>
          <t>ZOTA</t>
        </is>
      </c>
      <c r="E4830" s="96" t="inlineStr">
        <is>
          <t>SME</t>
        </is>
      </c>
    </row>
    <row r="4831" ht="15" customHeight="1" s="109" thickBot="1">
      <c r="B4831" s="96" t="inlineStr">
        <is>
          <t>ZUARI AGRO CHEMICALS LTD</t>
        </is>
      </c>
      <c r="C4831" s="97" t="n">
        <v>534742</v>
      </c>
      <c r="D4831" s="96" t="inlineStr">
        <is>
          <t>ZUARI</t>
        </is>
      </c>
      <c r="E4831" s="96" t="inlineStr">
        <is>
          <t>Fertilizers</t>
        </is>
      </c>
    </row>
    <row r="4832" ht="15" customHeight="1" s="109" thickBot="1">
      <c r="B4832" s="96" t="inlineStr">
        <is>
          <t>ZUARI GLOBAL LTD</t>
        </is>
      </c>
      <c r="C4832" s="97" t="n">
        <v>500780</v>
      </c>
      <c r="D4832" s="96" t="inlineStr">
        <is>
          <t>ZUARIGLOB</t>
        </is>
      </c>
      <c r="E4832" s="96" t="inlineStr">
        <is>
          <t>Fertilizers</t>
        </is>
      </c>
    </row>
    <row r="4833" ht="15" customHeight="1" s="109" thickBot="1">
      <c r="B4833" s="96" t="inlineStr">
        <is>
          <t>ZYDUS WELLNESS LTD</t>
        </is>
      </c>
      <c r="C4833" s="97" t="n">
        <v>531335</v>
      </c>
      <c r="D4833" s="96" t="inlineStr">
        <is>
          <t>ZYDUSWELL</t>
        </is>
      </c>
      <c r="E4833" s="96" t="inlineStr">
        <is>
          <t>Packaged Foods</t>
        </is>
      </c>
    </row>
    <row r="4834" ht="15" customHeight="1" s="109" thickBot="1">
      <c r="B4834" s="96" t="inlineStr">
        <is>
          <t>ZYLOG SYSTEMS LTD</t>
        </is>
      </c>
      <c r="C4834" s="97" t="n">
        <v>532883</v>
      </c>
      <c r="D4834" s="96" t="inlineStr">
        <is>
          <t>ZYLOG</t>
        </is>
      </c>
      <c r="E4834" s="96" t="inlineStr">
        <is>
          <t>IT Software Products</t>
        </is>
      </c>
    </row>
    <row r="4835" ht="15" customHeight="1" s="109" thickBot="1">
      <c r="B4835" s="96" t="inlineStr">
        <is>
          <t>INDIA LEASE DEVELOPMENT Ltd</t>
        </is>
      </c>
      <c r="C4835" s="97" t="n">
        <v>500202</v>
      </c>
      <c r="D4835" s="96" t="inlineStr">
        <is>
          <t>INDLEASE</t>
        </is>
      </c>
      <c r="E4835" s="96" t="inlineStr">
        <is>
          <t>Finance (including NBFCs)</t>
        </is>
      </c>
    </row>
    <row r="4836" ht="15" customHeight="1" s="109" thickBot="1">
      <c r="B4836" s="96" t="inlineStr">
        <is>
          <t>Kore Foods Ltd</t>
        </is>
      </c>
      <c r="C4836" s="97" t="n">
        <v>500458</v>
      </c>
      <c r="D4836" s="96" t="inlineStr">
        <is>
          <t>KORE</t>
        </is>
      </c>
      <c r="E4836" s="96" t="inlineStr">
        <is>
          <t>Other Food Products</t>
        </is>
      </c>
    </row>
    <row r="4837" ht="15" customHeight="1" s="109" thickBot="1">
      <c r="B4837" s="96" t="inlineStr">
        <is>
          <t>GOLD ROCK INVESTMENTS Ltd</t>
        </is>
      </c>
      <c r="C4837" s="97" t="n">
        <v>501111</v>
      </c>
      <c r="D4837" s="96" t="inlineStr">
        <is>
          <t>ZGOLDINV</t>
        </is>
      </c>
      <c r="E4837" s="96" t="inlineStr">
        <is>
          <t>Comm.Trading &amp; Distribution</t>
        </is>
      </c>
    </row>
    <row r="4838" ht="15" customHeight="1" s="109" thickBot="1">
      <c r="B4838" s="96" t="inlineStr">
        <is>
          <t>KARTIK INVESTMENTS TRUST Ltd</t>
        </is>
      </c>
      <c r="C4838" s="97" t="n">
        <v>501151</v>
      </c>
      <c r="D4838" s="96" t="inlineStr">
        <is>
          <t>KARTKIN</t>
        </is>
      </c>
      <c r="E4838" s="96" t="inlineStr">
        <is>
          <t>Other Financial Services</t>
        </is>
      </c>
    </row>
    <row r="4839" ht="15" customHeight="1" s="109" thickBot="1">
      <c r="B4839" s="96" t="inlineStr">
        <is>
          <t>JAYABHARAT CREDIT Ltd</t>
        </is>
      </c>
      <c r="C4839" s="97" t="n">
        <v>501311</v>
      </c>
      <c r="D4839" s="96" t="inlineStr">
        <is>
          <t>JAYBHCR</t>
        </is>
      </c>
      <c r="E4839" s="96" t="inlineStr">
        <is>
          <t>Finance (including NBFCs)</t>
        </is>
      </c>
    </row>
    <row r="4840" ht="15" customHeight="1" s="109" thickBot="1">
      <c r="B4840" s="96" t="inlineStr">
        <is>
          <t>AMALGAMATED ELECTRICITY CO.Ltd</t>
        </is>
      </c>
      <c r="C4840" s="97" t="n">
        <v>501622</v>
      </c>
      <c r="D4840" s="96" t="inlineStr">
        <is>
          <t>AMALGAM</t>
        </is>
      </c>
      <c r="E4840" s="96" t="inlineStr">
        <is>
          <t>Diversified Commercial Services</t>
        </is>
      </c>
    </row>
    <row r="4841" ht="15" customHeight="1" s="109" thickBot="1">
      <c r="B4841" s="96" t="inlineStr">
        <is>
          <t>GAEKWAR MILLS Ltd</t>
        </is>
      </c>
      <c r="C4841" s="97" t="n">
        <v>502850</v>
      </c>
      <c r="D4841" s="96" t="inlineStr">
        <is>
          <t>ZGAEKWAR</t>
        </is>
      </c>
      <c r="E4841" s="96" t="inlineStr">
        <is>
          <t>Textiles</t>
        </is>
      </c>
    </row>
    <row r="4842" ht="15" customHeight="1" s="109" thickBot="1">
      <c r="B4842" s="96" t="inlineStr">
        <is>
          <t>K K Fincorp Limited</t>
        </is>
      </c>
      <c r="C4842" s="97" t="n">
        <v>503669</v>
      </c>
      <c r="D4842" s="96" t="inlineStr">
        <is>
          <t>KKFIN</t>
        </is>
      </c>
      <c r="E4842" s="96" t="inlineStr">
        <is>
          <t>Diversified Commercial Services</t>
        </is>
      </c>
    </row>
    <row r="4843" ht="15" customHeight="1" s="109" thickBot="1">
      <c r="B4843" s="96" t="inlineStr">
        <is>
          <t>RAJASTHAN PETRO SYNTHETICS Ltd</t>
        </is>
      </c>
      <c r="C4843" s="97" t="n">
        <v>506975</v>
      </c>
      <c r="D4843" s="96" t="inlineStr">
        <is>
          <t>RAJSPTR</t>
        </is>
      </c>
      <c r="E4843" s="96" t="inlineStr">
        <is>
          <t>Textiles</t>
        </is>
      </c>
    </row>
    <row r="4844" ht="15" customHeight="1" s="109" thickBot="1">
      <c r="B4844" s="96" t="inlineStr">
        <is>
          <t>NORTHERN PROJECTS Ltd</t>
        </is>
      </c>
      <c r="C4844" s="97" t="n">
        <v>508924</v>
      </c>
      <c r="D4844" s="96" t="inlineStr">
        <is>
          <t>NORTHPR</t>
        </is>
      </c>
      <c r="E4844" s="96" t="inlineStr">
        <is>
          <t>Diversified Commercial Services</t>
        </is>
      </c>
    </row>
    <row r="4845" ht="15" customHeight="1" s="109" thickBot="1">
      <c r="B4845" s="96" t="inlineStr">
        <is>
          <t>ID Info Business Services Ltd</t>
        </is>
      </c>
      <c r="C4845" s="97" t="n">
        <v>511260</v>
      </c>
      <c r="D4845" s="96" t="inlineStr">
        <is>
          <t>IDINFO</t>
        </is>
      </c>
      <c r="E4845" s="96" t="inlineStr">
        <is>
          <t>Other Financial Services</t>
        </is>
      </c>
    </row>
    <row r="4846" ht="15" customHeight="1" s="109" thickBot="1">
      <c r="B4846" s="96" t="inlineStr">
        <is>
          <t>TRC FINANCIAL SERVICES Ltd</t>
        </is>
      </c>
      <c r="C4846" s="97" t="n">
        <v>511730</v>
      </c>
      <c r="D4846" s="96" t="inlineStr">
        <is>
          <t>TRCFIN</t>
        </is>
      </c>
      <c r="E4846" s="96" t="inlineStr">
        <is>
          <t>Finance (including NBFCs)</t>
        </is>
      </c>
    </row>
    <row r="4847" ht="15" customHeight="1" s="109" thickBot="1">
      <c r="B4847" s="96" t="inlineStr">
        <is>
          <t>SPV Global Trading Ltd</t>
        </is>
      </c>
      <c r="C4847" s="97" t="n">
        <v>512221</v>
      </c>
      <c r="D4847" s="96" t="inlineStr">
        <is>
          <t>SPVGLOBAL</t>
        </is>
      </c>
      <c r="E4847" s="96" t="inlineStr">
        <is>
          <t>Finance (including NBFCs)</t>
        </is>
      </c>
    </row>
    <row r="4848" ht="15" customHeight="1" s="109" thickBot="1">
      <c r="B4848" s="96" t="inlineStr">
        <is>
          <t>ARAVALI SECURITIES &amp; FINANCE Ltd</t>
        </is>
      </c>
      <c r="C4848" s="97" t="n">
        <v>512344</v>
      </c>
      <c r="D4848" s="96" t="inlineStr">
        <is>
          <t>ARAVALIS</t>
        </is>
      </c>
      <c r="E4848" s="96" t="inlineStr">
        <is>
          <t>Comm.Trading &amp; Distribution</t>
        </is>
      </c>
    </row>
    <row r="4849" ht="15" customHeight="1" s="109" thickBot="1">
      <c r="B4849" s="96" t="inlineStr">
        <is>
          <t>YASH TRADING &amp; FINANCE Ltd</t>
        </is>
      </c>
      <c r="C4849" s="97" t="n">
        <v>512345</v>
      </c>
      <c r="D4849" s="96" t="inlineStr">
        <is>
          <t>YASTF</t>
        </is>
      </c>
      <c r="E4849" s="96" t="inlineStr">
        <is>
          <t>Other Financial Services</t>
        </is>
      </c>
    </row>
    <row r="4850" ht="15" customHeight="1" s="109" thickBot="1">
      <c r="B4850" s="96" t="inlineStr">
        <is>
          <t>GAYATRI TISSUE &amp; PAPERS Ltd</t>
        </is>
      </c>
      <c r="C4850" s="97" t="n">
        <v>512479</v>
      </c>
      <c r="D4850" s="96" t="inlineStr">
        <is>
          <t>GYTRIPA</t>
        </is>
      </c>
      <c r="E4850" s="96" t="inlineStr">
        <is>
          <t>Realty</t>
        </is>
      </c>
    </row>
    <row r="4851" ht="15" customHeight="1" s="109" thickBot="1">
      <c r="B4851" s="96" t="inlineStr">
        <is>
          <t>GRAND FOUNDRY Ltd</t>
        </is>
      </c>
      <c r="C4851" s="97" t="n">
        <v>513343</v>
      </c>
      <c r="D4851" s="96" t="inlineStr">
        <is>
          <t>GRANDFONRY</t>
        </is>
      </c>
      <c r="E4851" s="96" t="inlineStr">
        <is>
          <t>Iron &amp; Steel Products</t>
        </is>
      </c>
    </row>
    <row r="4852" ht="15" customHeight="1" s="109" thickBot="1">
      <c r="B4852" s="96" t="inlineStr">
        <is>
          <t>Smiths &amp; Founders (India) Limited</t>
        </is>
      </c>
      <c r="C4852" s="97" t="n">
        <v>513418</v>
      </c>
      <c r="D4852" s="96" t="inlineStr">
        <is>
          <t>SMFIL</t>
        </is>
      </c>
      <c r="E4852" s="96" t="inlineStr">
        <is>
          <t>Other Industrial Products</t>
        </is>
      </c>
    </row>
    <row r="4853" ht="15" customHeight="1" s="109" thickBot="1">
      <c r="B4853" s="96" t="inlineStr">
        <is>
          <t>MODERN INSULATORS Ltd</t>
        </is>
      </c>
      <c r="C4853" s="97" t="n">
        <v>515008</v>
      </c>
      <c r="D4853" s="96" t="inlineStr">
        <is>
          <t>MODINSU</t>
        </is>
      </c>
      <c r="E4853" s="96" t="inlineStr">
        <is>
          <t>Other Elect.Equip./ Prod.</t>
        </is>
      </c>
    </row>
    <row r="4854" ht="15" customHeight="1" s="109" thickBot="1">
      <c r="B4854" s="96" t="inlineStr">
        <is>
          <t>S&amp;S POWER SWITCHGEAR Ltd</t>
        </is>
      </c>
      <c r="C4854" s="97" t="n">
        <v>517273</v>
      </c>
      <c r="D4854" s="96" t="inlineStr">
        <is>
          <t>S&amp;SPOWER</t>
        </is>
      </c>
      <c r="E4854" s="96" t="inlineStr">
        <is>
          <t>Other Elect.Equip./ Prod.</t>
        </is>
      </c>
    </row>
    <row r="4855" ht="15" customHeight="1" s="109" thickBot="1">
      <c r="B4855" s="96" t="inlineStr">
        <is>
          <t>SBEC SYSTEMS (INDIA) Ltd</t>
        </is>
      </c>
      <c r="C4855" s="97" t="n">
        <v>517360</v>
      </c>
      <c r="D4855" s="96" t="inlineStr">
        <is>
          <t>SBECSYS</t>
        </is>
      </c>
      <c r="E4855" s="96" t="inlineStr">
        <is>
          <t>Comm.Trading &amp; Distribution</t>
        </is>
      </c>
    </row>
    <row r="4856" ht="15" customHeight="1" s="109" thickBot="1">
      <c r="B4856" s="96" t="inlineStr">
        <is>
          <t>VINTRON INFORMATICS Ltd</t>
        </is>
      </c>
      <c r="C4856" s="97" t="n">
        <v>517393</v>
      </c>
      <c r="D4856" s="96" t="inlineStr">
        <is>
          <t>VINTRON</t>
        </is>
      </c>
      <c r="E4856" s="96" t="inlineStr">
        <is>
          <t>Computer Hardware</t>
        </is>
      </c>
    </row>
    <row r="4857" ht="15" customHeight="1" s="109" thickBot="1">
      <c r="B4857" s="96" t="inlineStr">
        <is>
          <t>SHARAT INDUSTRIES Ltd</t>
        </is>
      </c>
      <c r="C4857" s="97" t="n">
        <v>519397</v>
      </c>
      <c r="D4857" s="96" t="inlineStr">
        <is>
          <t>SHINDL</t>
        </is>
      </c>
      <c r="E4857" s="96" t="inlineStr">
        <is>
          <t>Packaged Foods</t>
        </is>
      </c>
    </row>
    <row r="4858" ht="15" customHeight="1" s="109" thickBot="1">
      <c r="B4858" s="96" t="inlineStr">
        <is>
          <t>BKV INDUSTRIES Ltd</t>
        </is>
      </c>
      <c r="C4858" s="97" t="n">
        <v>519500</v>
      </c>
      <c r="D4858" s="96" t="inlineStr">
        <is>
          <t>BKV</t>
        </is>
      </c>
      <c r="E4858" s="96" t="inlineStr">
        <is>
          <t>Packaged Foods</t>
        </is>
      </c>
    </row>
    <row r="4859" ht="15" customHeight="1" s="109" thickBot="1">
      <c r="B4859" s="96" t="inlineStr">
        <is>
          <t>TMT (INDIA) Ltd</t>
        </is>
      </c>
      <c r="C4859" s="97" t="n">
        <v>522171</v>
      </c>
      <c r="D4859" s="96" t="inlineStr">
        <is>
          <t>TMTIND-B1</t>
        </is>
      </c>
      <c r="E4859" s="96" t="inlineStr">
        <is>
          <t>Industrial Machinery</t>
        </is>
      </c>
    </row>
    <row r="4860" ht="15" customHeight="1" s="109" thickBot="1">
      <c r="B4860" s="96" t="inlineStr">
        <is>
          <t>PHARMAIDS PHARMACEUTICALS Ltd</t>
        </is>
      </c>
      <c r="C4860" s="97" t="n">
        <v>524572</v>
      </c>
      <c r="D4860" s="96" t="inlineStr">
        <is>
          <t>PHARMAID</t>
        </is>
      </c>
      <c r="E4860" s="96" t="inlineStr">
        <is>
          <t>Pharmaceuticals</t>
        </is>
      </c>
    </row>
    <row r="4861" ht="15" customHeight="1" s="109" thickBot="1">
      <c r="B4861" s="96" t="inlineStr">
        <is>
          <t>SURAJ INDUSTRIES Ltd</t>
        </is>
      </c>
      <c r="C4861" s="97" t="n">
        <v>526211</v>
      </c>
      <c r="D4861" s="96" t="inlineStr">
        <is>
          <t>SURJIND</t>
        </is>
      </c>
      <c r="E4861" s="96" t="inlineStr">
        <is>
          <t>Edible Oils</t>
        </is>
      </c>
    </row>
    <row r="4862" ht="15" customHeight="1" s="109" thickBot="1">
      <c r="B4862" s="96" t="inlineStr">
        <is>
          <t>TEXEL INDUSTRIES Ltd</t>
        </is>
      </c>
      <c r="C4862" s="97" t="n">
        <v>526638</v>
      </c>
      <c r="D4862" s="96" t="inlineStr">
        <is>
          <t>TEXELIN</t>
        </is>
      </c>
      <c r="E4862" s="96" t="inlineStr">
        <is>
          <t>Plastic Products</t>
        </is>
      </c>
    </row>
    <row r="4863" ht="15" customHeight="1" s="109" thickBot="1">
      <c r="B4863" s="96" t="inlineStr">
        <is>
          <t>Paos Industries Ltd</t>
        </is>
      </c>
      <c r="C4863" s="97" t="n">
        <v>530291</v>
      </c>
      <c r="D4863" s="96" t="inlineStr">
        <is>
          <t>PAOS</t>
        </is>
      </c>
      <c r="E4863" s="96" t="inlineStr">
        <is>
          <t>Edible Oils</t>
        </is>
      </c>
    </row>
    <row r="4864" ht="15" customHeight="1" s="109" thickBot="1">
      <c r="B4864" s="96" t="inlineStr">
        <is>
          <t>SIDDHA VENTURES Ltd</t>
        </is>
      </c>
      <c r="C4864" s="97" t="n">
        <v>530439</v>
      </c>
      <c r="D4864" s="96" t="inlineStr">
        <is>
          <t>SIDDHA</t>
        </is>
      </c>
      <c r="E4864" s="96" t="inlineStr">
        <is>
          <t>Finance (including NBFCs)</t>
        </is>
      </c>
    </row>
    <row r="4865" ht="15" customHeight="1" s="109" thickBot="1">
      <c r="B4865" s="96" t="inlineStr">
        <is>
          <t>KIRAN SYNTEX Ltd</t>
        </is>
      </c>
      <c r="C4865" s="97" t="n">
        <v>530443</v>
      </c>
      <c r="D4865" s="96" t="inlineStr">
        <is>
          <t>KIRANSY-B</t>
        </is>
      </c>
      <c r="E4865" s="96" t="inlineStr">
        <is>
          <t>Textiles</t>
        </is>
      </c>
    </row>
    <row r="4866" ht="15" customHeight="1" s="109" thickBot="1">
      <c r="B4866" s="96" t="inlineStr">
        <is>
          <t>KANSAL FIBRES Ltd</t>
        </is>
      </c>
      <c r="C4866" s="97" t="n">
        <v>531205</v>
      </c>
      <c r="D4866" s="96" t="inlineStr">
        <is>
          <t>KANSAFB</t>
        </is>
      </c>
      <c r="E4866" s="96" t="inlineStr">
        <is>
          <t>Comm.Trading &amp; Distribution</t>
        </is>
      </c>
    </row>
    <row r="4867" ht="15" customHeight="1" s="109" thickBot="1">
      <c r="B4867" s="96" t="inlineStr">
        <is>
          <t>Xtglobal Infotech Ltd</t>
        </is>
      </c>
      <c r="C4867" s="97" t="n">
        <v>531225</v>
      </c>
      <c r="D4867" s="96" t="inlineStr">
        <is>
          <t>XTGLOBAL</t>
        </is>
      </c>
      <c r="E4867" s="96" t="inlineStr">
        <is>
          <t>IT Software Products</t>
        </is>
      </c>
    </row>
    <row r="4868" ht="15" customHeight="1" s="109" thickBot="1">
      <c r="B4868" s="96" t="inlineStr">
        <is>
          <t>Saffron Industries Limited</t>
        </is>
      </c>
      <c r="C4868" s="97" t="n">
        <v>531436</v>
      </c>
      <c r="D4868" s="96" t="inlineStr">
        <is>
          <t>SAFFRON</t>
        </is>
      </c>
      <c r="E4868" s="96" t="inlineStr">
        <is>
          <t>Paper &amp; Paper Products</t>
        </is>
      </c>
    </row>
    <row r="4869" ht="15" customHeight="1" s="109" thickBot="1">
      <c r="B4869" s="96" t="inlineStr">
        <is>
          <t>CENTERAC TECHNOLOGIES Ltd</t>
        </is>
      </c>
      <c r="C4869" s="97" t="n">
        <v>531621</v>
      </c>
      <c r="D4869" s="96" t="inlineStr">
        <is>
          <t>CENTERAC</t>
        </is>
      </c>
      <c r="E4869" s="96" t="inlineStr">
        <is>
          <t>Internet Software &amp; Services</t>
        </is>
      </c>
    </row>
    <row r="4870" ht="15" customHeight="1" s="109" thickBot="1">
      <c r="B4870" s="96" t="inlineStr">
        <is>
          <t>Servoteach Industries Ltd</t>
        </is>
      </c>
      <c r="C4870" s="97" t="n">
        <v>531944</v>
      </c>
      <c r="D4870" s="96" t="inlineStr">
        <is>
          <t>SERVOTEACH</t>
        </is>
      </c>
      <c r="E4870" s="96" t="inlineStr">
        <is>
          <t>Industrial Machinery</t>
        </is>
      </c>
    </row>
    <row r="4871" ht="15" customHeight="1" s="109" thickBot="1">
      <c r="B4871" s="96" t="inlineStr">
        <is>
          <t>SMC CREDITS Ltd</t>
        </is>
      </c>
      <c r="C4871" s="97" t="n">
        <v>532138</v>
      </c>
      <c r="D4871" s="96" t="inlineStr">
        <is>
          <t>SMCREDT</t>
        </is>
      </c>
      <c r="E4871" s="96" t="inlineStr">
        <is>
          <t>Finance (including NBFCs)</t>
        </is>
      </c>
    </row>
    <row r="4872" ht="15" customHeight="1" s="109" thickBot="1">
      <c r="B4872" s="96" t="inlineStr">
        <is>
          <t>RAJ OIL MILLS Ltd</t>
        </is>
      </c>
      <c r="C4872" s="97" t="n">
        <v>533093</v>
      </c>
      <c r="D4872" s="96" t="inlineStr">
        <is>
          <t>RAJOIL</t>
        </is>
      </c>
      <c r="E4872" s="96" t="inlineStr">
        <is>
          <t>Edible Oils</t>
        </is>
      </c>
    </row>
    <row r="4873" ht="15" customHeight="1" s="109" thickBot="1">
      <c r="B4873" s="96" t="inlineStr">
        <is>
          <t>Axis Mutual Fund - Axis Gold Exchange Traded Fund</t>
        </is>
      </c>
      <c r="C4873" s="97" t="n">
        <v>533570</v>
      </c>
      <c r="D4873" s="96" t="inlineStr">
        <is>
          <t>AXISGOLD</t>
        </is>
      </c>
      <c r="E4873" s="96" t="n"/>
    </row>
    <row r="4874" ht="15" customHeight="1" s="109" thickBot="1">
      <c r="B4874" s="96" t="inlineStr">
        <is>
          <t>IDBI Mutual Fund - IDBI Gold ETF</t>
        </is>
      </c>
      <c r="C4874" s="97" t="n">
        <v>533719</v>
      </c>
      <c r="D4874" s="96" t="inlineStr">
        <is>
          <t>IDBIGOLD</t>
        </is>
      </c>
      <c r="E4874" s="96" t="n"/>
    </row>
    <row r="4875" ht="15" customHeight="1" s="109" thickBot="1">
      <c r="B4875" s="96" t="inlineStr">
        <is>
          <t>SBI Mutual Fund - SBI Sensex ETF</t>
        </is>
      </c>
      <c r="C4875" s="97" t="n">
        <v>535276</v>
      </c>
      <c r="D4875" s="96" t="inlineStr">
        <is>
          <t>SBISENSEX</t>
        </is>
      </c>
      <c r="E4875" s="96" t="n"/>
    </row>
    <row r="4876" ht="15" customHeight="1" s="109" thickBot="1">
      <c r="B4876" s="96" t="inlineStr">
        <is>
          <t>Motilal Oswal Mutual Fund - Motilal Oswal MOSt Shares Midcap 100 ETF- Growth option</t>
        </is>
      </c>
      <c r="C4876" s="97" t="n">
        <v>536960</v>
      </c>
      <c r="D4876" s="96" t="inlineStr">
        <is>
          <t>M100</t>
        </is>
      </c>
      <c r="E4876" s="96" t="n"/>
    </row>
    <row r="4877" ht="15" customHeight="1" s="109" thickBot="1">
      <c r="B4877" s="96" t="inlineStr">
        <is>
          <t>ICICI Prudential Nifty ETF</t>
        </is>
      </c>
      <c r="C4877" s="97" t="n">
        <v>537007</v>
      </c>
      <c r="D4877" s="96" t="inlineStr">
        <is>
          <t>ICICINIFTY</t>
        </is>
      </c>
      <c r="E4877" s="96" t="n"/>
    </row>
    <row r="4878" ht="15" customHeight="1" s="109" thickBot="1">
      <c r="B4878" s="96" t="inlineStr">
        <is>
          <t>ICICI Prudential Nifty 100 ETF</t>
        </is>
      </c>
      <c r="C4878" s="97" t="n">
        <v>537008</v>
      </c>
      <c r="D4878" s="96" t="inlineStr">
        <is>
          <t>ICICINF100</t>
        </is>
      </c>
      <c r="E4878" s="96" t="n"/>
    </row>
    <row r="4879" ht="15" customHeight="1" s="109" thickBot="1">
      <c r="B4879" s="96" t="inlineStr">
        <is>
          <t>NIPPON INDIA ETF NIFTY 100</t>
        </is>
      </c>
      <c r="C4879" s="97" t="n">
        <v>537483</v>
      </c>
      <c r="D4879" s="96" t="inlineStr">
        <is>
          <t>NETFNIF100</t>
        </is>
      </c>
      <c r="E4879" s="96" t="n"/>
    </row>
    <row r="4880" ht="15" customHeight="1" s="109" thickBot="1">
      <c r="B4880" s="96" t="inlineStr">
        <is>
          <t>Kotak Mahindra Mutual Fund - Kotak Nifty ETF</t>
        </is>
      </c>
      <c r="C4880" s="97" t="n">
        <v>537708</v>
      </c>
      <c r="D4880" s="96" t="inlineStr">
        <is>
          <t>KOTAKNIFTY</t>
        </is>
      </c>
      <c r="E4880" s="96" t="n"/>
    </row>
    <row r="4881" ht="15" customHeight="1" s="109" thickBot="1">
      <c r="B4881" s="96" t="inlineStr">
        <is>
          <t>CPSE ETF</t>
        </is>
      </c>
      <c r="C4881" s="97" t="n">
        <v>538057</v>
      </c>
      <c r="D4881" s="96" t="inlineStr">
        <is>
          <t>CPSEETF</t>
        </is>
      </c>
      <c r="E4881" s="96" t="n"/>
    </row>
    <row r="4882" ht="15" customHeight="1" s="109" thickBot="1">
      <c r="B4882" s="96" t="inlineStr">
        <is>
          <t>Response Informatics Ltd</t>
        </is>
      </c>
      <c r="C4882" s="97" t="n">
        <v>538273</v>
      </c>
      <c r="D4882" s="96" t="inlineStr">
        <is>
          <t>RESPONSINF</t>
        </is>
      </c>
      <c r="E4882" s="96" t="inlineStr">
        <is>
          <t>IT Software Products</t>
        </is>
      </c>
    </row>
    <row r="4883" ht="15" customHeight="1" s="109" thickBot="1">
      <c r="B4883" s="96" t="inlineStr">
        <is>
          <t>Quasar India Ltd</t>
        </is>
      </c>
      <c r="C4883" s="97" t="n">
        <v>538452</v>
      </c>
      <c r="D4883" s="96" t="inlineStr">
        <is>
          <t>QUASAR</t>
        </is>
      </c>
      <c r="E4883" s="96" t="inlineStr">
        <is>
          <t>Comm.Trading &amp; Distribution</t>
        </is>
      </c>
    </row>
    <row r="4884" ht="15" customHeight="1" s="109" thickBot="1">
      <c r="B4884" s="96" t="inlineStr">
        <is>
          <t>ICICI Prudential Growth Fund Series 1 (Regular Dividend Payout)</t>
        </is>
      </c>
      <c r="C4884" s="97" t="n">
        <v>538501</v>
      </c>
      <c r="D4884" s="96" t="inlineStr">
        <is>
          <t>IPRU2401</t>
        </is>
      </c>
      <c r="E4884" s="96" t="n"/>
    </row>
    <row r="4885" ht="15" customHeight="1" s="109" thickBot="1">
      <c r="B4885" s="96" t="inlineStr">
        <is>
          <t>ICICI Prudential Growth Fund Series 1 (Direct Dividend Option)</t>
        </is>
      </c>
      <c r="C4885" s="97" t="n">
        <v>538502</v>
      </c>
      <c r="D4885" s="96" t="inlineStr">
        <is>
          <t>IPRU8601</t>
        </is>
      </c>
      <c r="E4885" s="96" t="n"/>
    </row>
    <row r="4886" ht="15" customHeight="1" s="109" thickBot="1">
      <c r="B4886" s="96" t="inlineStr">
        <is>
          <t>ICICI Prudential Growth Fund Series 2 (Regular Plan - Dividend Payout Option)</t>
        </is>
      </c>
      <c r="C4886" s="97" t="n">
        <v>538577</v>
      </c>
      <c r="D4886" s="96" t="inlineStr">
        <is>
          <t>IPRU2428</t>
        </is>
      </c>
      <c r="E4886" s="96" t="n"/>
    </row>
    <row r="4887" ht="15" customHeight="1" s="109" thickBot="1">
      <c r="B4887" s="96" t="inlineStr">
        <is>
          <t>ICICI Prudential Growth Fund Series 2 (Direct Plan - Dividend Payout Option)</t>
        </is>
      </c>
      <c r="C4887" s="97" t="n">
        <v>538578</v>
      </c>
      <c r="D4887" s="96" t="inlineStr">
        <is>
          <t>IPRU8628</t>
        </is>
      </c>
      <c r="E4887" s="96" t="n"/>
    </row>
    <row r="4888" ht="15" customHeight="1" s="109" thickBot="1">
      <c r="B4888" s="96" t="inlineStr">
        <is>
          <t>QGO Finance Ltd</t>
        </is>
      </c>
      <c r="C4888" s="97" t="n">
        <v>538646</v>
      </c>
      <c r="D4888" s="96" t="inlineStr">
        <is>
          <t>QGO</t>
        </is>
      </c>
      <c r="E4888" s="96" t="inlineStr">
        <is>
          <t>Finance (including NBFCs)</t>
        </is>
      </c>
    </row>
    <row r="4889" ht="15" customHeight="1" s="109" thickBot="1">
      <c r="B4889" s="96" t="inlineStr">
        <is>
          <t>NIPPON INDIA ETF SENSEX</t>
        </is>
      </c>
      <c r="C4889" s="97" t="n">
        <v>538683</v>
      </c>
      <c r="D4889" s="96" t="inlineStr">
        <is>
          <t>NETFSENSEX</t>
        </is>
      </c>
      <c r="E4889" s="96" t="n"/>
    </row>
    <row r="4890" ht="15" customHeight="1" s="109" thickBot="1">
      <c r="B4890" s="96" t="inlineStr">
        <is>
          <t>ICICI Prudential Growth Fund Series 3 (Regular Plan - Dividend Payout Option)</t>
        </is>
      </c>
      <c r="C4890" s="97" t="n">
        <v>538728</v>
      </c>
      <c r="D4890" s="96" t="inlineStr">
        <is>
          <t>IPRU2511</t>
        </is>
      </c>
      <c r="E4890" s="96" t="n"/>
    </row>
    <row r="4891" ht="15" customHeight="1" s="109" thickBot="1">
      <c r="B4891" s="96" t="inlineStr">
        <is>
          <t>ICICI Prudential Growth Fund Series 3 (Direct Plan - Dividend Payout Option)</t>
        </is>
      </c>
      <c r="C4891" s="97" t="n">
        <v>538729</v>
      </c>
      <c r="D4891" s="96" t="inlineStr">
        <is>
          <t>IPRU8711</t>
        </is>
      </c>
      <c r="E4891" s="96" t="n"/>
    </row>
    <row r="4892" ht="15" customHeight="1" s="109" thickBot="1">
      <c r="B4892" s="96" t="inlineStr">
        <is>
          <t>DSP BlackRock 3 Years Close Ended Equity Fund-Regular- Growth</t>
        </is>
      </c>
      <c r="C4892" s="97" t="n">
        <v>538808</v>
      </c>
      <c r="D4892" s="96" t="inlineStr">
        <is>
          <t>D3YRCEERG</t>
        </is>
      </c>
      <c r="E4892" s="96" t="n"/>
    </row>
    <row r="4893" ht="15" customHeight="1" s="109" thickBot="1">
      <c r="B4893" s="96" t="inlineStr">
        <is>
          <t>DSP BlackRock 3 Years Close Ended Equity Fund-Regular- Dividend Payout</t>
        </is>
      </c>
      <c r="C4893" s="97" t="n">
        <v>538809</v>
      </c>
      <c r="D4893" s="96" t="inlineStr">
        <is>
          <t>D3YRCEERDP</t>
        </is>
      </c>
      <c r="E4893" s="96" t="n"/>
    </row>
    <row r="4894" ht="15" customHeight="1" s="109" thickBot="1">
      <c r="B4894" s="96" t="inlineStr">
        <is>
          <t>DSP BlackRock 3 Years Close Ended Equity Fund- Direct Plan - Growth</t>
        </is>
      </c>
      <c r="C4894" s="97" t="n">
        <v>538810</v>
      </c>
      <c r="D4894" s="96" t="inlineStr">
        <is>
          <t>D3YRCEEDG</t>
        </is>
      </c>
      <c r="E4894" s="96" t="n"/>
    </row>
    <row r="4895" ht="15" customHeight="1" s="109" thickBot="1">
      <c r="B4895" s="96" t="inlineStr">
        <is>
          <t>DSP BlackRock 3 Years Close Ended Equity Fund-Direct Plan - Dividend Payout</t>
        </is>
      </c>
      <c r="C4895" s="97" t="n">
        <v>538811</v>
      </c>
      <c r="D4895" s="96" t="inlineStr">
        <is>
          <t>D3YRCEEDDP</t>
        </is>
      </c>
      <c r="E4895" s="96" t="n"/>
    </row>
    <row r="4896" ht="15" customHeight="1" s="109" thickBot="1">
      <c r="B4896" s="96" t="inlineStr">
        <is>
          <t>SBI Mutual Fund - SBI - ETF BSE 100</t>
        </is>
      </c>
      <c r="C4896" s="97" t="n">
        <v>539031</v>
      </c>
      <c r="D4896" s="96" t="inlineStr">
        <is>
          <t>SETFBSE100</t>
        </is>
      </c>
      <c r="E4896" s="96" t="n"/>
    </row>
    <row r="4897" ht="15" customHeight="1" s="109" thickBot="1">
      <c r="B4897" s="96" t="inlineStr">
        <is>
          <t>Rajputana Investment and Finance Ltd</t>
        </is>
      </c>
      <c r="C4897" s="97" t="n">
        <v>539090</v>
      </c>
      <c r="D4897" s="96" t="inlineStr">
        <is>
          <t>RAJPUTANA</t>
        </is>
      </c>
      <c r="E4897" s="96" t="inlineStr">
        <is>
          <t>Finance (including NBFCs)</t>
        </is>
      </c>
    </row>
    <row r="4898" ht="15" customHeight="1" s="109" thickBot="1">
      <c r="B4898" s="96" t="inlineStr">
        <is>
          <t>Edelweiss Mutual Fund - Edelweiss Exchange Traded Scheme - Nifty ( Nifty EES )</t>
        </is>
      </c>
      <c r="C4898" s="97" t="n">
        <v>539142</v>
      </c>
      <c r="D4898" s="96" t="inlineStr">
        <is>
          <t>NIFTYEES</t>
        </is>
      </c>
      <c r="E4898" s="96" t="n"/>
    </row>
    <row r="4899" ht="15" customHeight="1" s="109" thickBot="1">
      <c r="B4899" s="96" t="inlineStr">
        <is>
          <t>Boston Leasing and Finance Ltd</t>
        </is>
      </c>
      <c r="C4899" s="97" t="n">
        <v>539274</v>
      </c>
      <c r="D4899" s="96" t="inlineStr">
        <is>
          <t>BLFL</t>
        </is>
      </c>
      <c r="E4899" s="96" t="inlineStr">
        <is>
          <t>Finance (including NBFCs)</t>
        </is>
      </c>
    </row>
    <row r="4900" ht="15" customHeight="1" s="109" thickBot="1">
      <c r="B4900" s="96" t="inlineStr">
        <is>
          <t>UTI- SENSEX ETF</t>
        </is>
      </c>
      <c r="C4900" s="97" t="n">
        <v>539312</v>
      </c>
      <c r="D4900" s="96" t="inlineStr">
        <is>
          <t>UTISENSETF</t>
        </is>
      </c>
      <c r="E4900" s="96" t="n"/>
    </row>
    <row r="4901" ht="15" customHeight="1" s="109" thickBot="1">
      <c r="B4901" s="96" t="inlineStr">
        <is>
          <t>UTI NIFTY ETF</t>
        </is>
      </c>
      <c r="C4901" s="97" t="n">
        <v>539313</v>
      </c>
      <c r="D4901" s="96" t="inlineStr">
        <is>
          <t>UTINIFTETF</t>
        </is>
      </c>
      <c r="E4901" s="96" t="n"/>
    </row>
    <row r="4902" ht="15" customHeight="1" s="109" thickBot="1">
      <c r="B4902" s="96" t="inlineStr">
        <is>
          <t>LIC MF EXCHANGE TRADED FUND- NIFTY 50</t>
        </is>
      </c>
      <c r="C4902" s="97" t="n">
        <v>539480</v>
      </c>
      <c r="D4902" s="96" t="inlineStr">
        <is>
          <t>LICNETFN50</t>
        </is>
      </c>
      <c r="E4902" s="96" t="n"/>
    </row>
    <row r="4903" ht="15" customHeight="1" s="109" thickBot="1">
      <c r="B4903" s="96" t="inlineStr">
        <is>
          <t>LIC MF EXCHANGE TRADED FUND- SENSEX</t>
        </is>
      </c>
      <c r="C4903" s="97" t="n">
        <v>539487</v>
      </c>
      <c r="D4903" s="96" t="inlineStr">
        <is>
          <t>LICNETFSEN</t>
        </is>
      </c>
      <c r="E4903" s="96" t="n"/>
    </row>
    <row r="4904" ht="15" customHeight="1" s="109" thickBot="1">
      <c r="B4904" s="96" t="inlineStr">
        <is>
          <t>HDFC Nifty ETF</t>
        </is>
      </c>
      <c r="C4904" s="97" t="n">
        <v>539516</v>
      </c>
      <c r="D4904" s="96" t="inlineStr">
        <is>
          <t>HDFCNIFETF</t>
        </is>
      </c>
      <c r="E4904" s="96" t="n"/>
    </row>
    <row r="4905" ht="15" customHeight="1" s="109" thickBot="1">
      <c r="B4905" s="96" t="inlineStr">
        <is>
          <t>HDFC Sensex ETF - Open Ended Traded Fund</t>
        </is>
      </c>
      <c r="C4905" s="97" t="n">
        <v>539517</v>
      </c>
      <c r="D4905" s="96" t="inlineStr">
        <is>
          <t>SXETF</t>
        </is>
      </c>
      <c r="E4905" s="96" t="n"/>
    </row>
    <row r="4906" ht="15" customHeight="1" s="109" thickBot="1">
      <c r="B4906" s="96" t="inlineStr">
        <is>
          <t>Roxy Exports Ltd</t>
        </is>
      </c>
      <c r="C4906" s="97" t="n">
        <v>539561</v>
      </c>
      <c r="D4906" s="96" t="inlineStr">
        <is>
          <t>ROXY</t>
        </is>
      </c>
      <c r="E4906" s="96" t="inlineStr">
        <is>
          <t>Comm.Trading &amp; Distribution</t>
        </is>
      </c>
    </row>
    <row r="4907" ht="15" customHeight="1" s="109" thickBot="1">
      <c r="B4907" s="96" t="inlineStr">
        <is>
          <t>LIC MF Exchange Traded Fund- NIFTY 100</t>
        </is>
      </c>
      <c r="C4907" s="97" t="n">
        <v>539784</v>
      </c>
      <c r="D4907" s="96" t="inlineStr">
        <is>
          <t>LICNFNHGP</t>
        </is>
      </c>
      <c r="E4907" s="96" t="n"/>
    </row>
    <row r="4908" ht="15" customHeight="1" s="109" thickBot="1">
      <c r="B4908" s="96" t="inlineStr">
        <is>
          <t>ICICI Prudential NV20 ETF</t>
        </is>
      </c>
      <c r="C4908" s="97" t="n">
        <v>539945</v>
      </c>
      <c r="D4908" s="96" t="inlineStr">
        <is>
          <t>ICICINV20</t>
        </is>
      </c>
      <c r="E4908" s="96" t="n"/>
    </row>
    <row r="4909" ht="15" customHeight="1" s="109" thickBot="1">
      <c r="B4909" s="96" t="inlineStr">
        <is>
          <t>ICICI Prudential Midcap Select ETF</t>
        </is>
      </c>
      <c r="C4909" s="97" t="n">
        <v>539980</v>
      </c>
      <c r="D4909" s="96" t="inlineStr">
        <is>
          <t>ICICIMCAP</t>
        </is>
      </c>
      <c r="E4909" s="96" t="n"/>
    </row>
    <row r="4910" ht="15" customHeight="1" s="109" thickBot="1">
      <c r="B4910" s="96" t="inlineStr">
        <is>
          <t>BIRLA SUN LIFE SENSEX ETF</t>
        </is>
      </c>
      <c r="C4910" s="97" t="n">
        <v>540008</v>
      </c>
      <c r="D4910" s="96" t="inlineStr">
        <is>
          <t>BSLSENETFG</t>
        </is>
      </c>
      <c r="E4910" s="96" t="n"/>
    </row>
    <row r="4911" ht="15" customHeight="1" s="109" thickBot="1">
      <c r="B4911" s="96" t="inlineStr">
        <is>
          <t>IDFC SENSEX ETF</t>
        </is>
      </c>
      <c r="C4911" s="97" t="n">
        <v>540154</v>
      </c>
      <c r="D4911" s="96" t="inlineStr">
        <is>
          <t>IDFSENSEXE</t>
        </is>
      </c>
      <c r="E4911" s="96" t="n"/>
    </row>
    <row r="4912" ht="15" customHeight="1" s="109" thickBot="1">
      <c r="B4912" s="96" t="inlineStr">
        <is>
          <t>Axis Emerging Opportunities Fund-SR 2 (1400 D)-Direct Plan-Dividend Payout</t>
        </is>
      </c>
      <c r="C4912" s="97" t="n">
        <v>540333</v>
      </c>
      <c r="D4912" s="96" t="inlineStr">
        <is>
          <t>AXISE2D1D</t>
        </is>
      </c>
      <c r="E4912" s="96" t="n"/>
    </row>
    <row r="4913" ht="15" customHeight="1" s="109" thickBot="1">
      <c r="B4913" s="96" t="inlineStr">
        <is>
          <t>Axis Emerging Opportunities Fund-SR 2 (1400 D)-Direct Plan-Growth</t>
        </is>
      </c>
      <c r="C4913" s="97" t="n">
        <v>540334</v>
      </c>
      <c r="D4913" s="96" t="inlineStr">
        <is>
          <t>AXISE2DGG</t>
        </is>
      </c>
      <c r="E4913" s="96" t="n"/>
    </row>
    <row r="4914" ht="15" customHeight="1" s="109" thickBot="1">
      <c r="B4914" s="96" t="inlineStr">
        <is>
          <t>Axis Emerging Opportunities Fund-SR 2 (1400 D)-Regular Plan-Dividend Payout</t>
        </is>
      </c>
      <c r="C4914" s="97" t="n">
        <v>540335</v>
      </c>
      <c r="D4914" s="96" t="inlineStr">
        <is>
          <t>AXISE2DPD</t>
        </is>
      </c>
      <c r="E4914" s="96" t="n"/>
    </row>
    <row r="4915" ht="15" customHeight="1" s="109" thickBot="1">
      <c r="B4915" s="96" t="inlineStr">
        <is>
          <t>Axis Emerging Opportunities Fund-SR 2 (1400 D)-Regular Plan-Growth</t>
        </is>
      </c>
      <c r="C4915" s="97" t="n">
        <v>540336</v>
      </c>
      <c r="D4915" s="96" t="inlineStr">
        <is>
          <t>AXISE2GPG</t>
        </is>
      </c>
      <c r="E4915" s="96" t="n"/>
    </row>
    <row r="4916" ht="15" customHeight="1" s="109" thickBot="1">
      <c r="B4916" s="96" t="inlineStr">
        <is>
          <t>ICICI Prudential Value Fund Series 12 - Dividend Payout Option</t>
        </is>
      </c>
      <c r="C4916" s="97" t="n">
        <v>540469</v>
      </c>
      <c r="D4916" s="96" t="inlineStr">
        <is>
          <t>IPRU2933</t>
        </is>
      </c>
      <c r="E4916" s="96" t="n"/>
    </row>
    <row r="4917" ht="15" customHeight="1" s="109" thickBot="1">
      <c r="B4917" s="96" t="inlineStr">
        <is>
          <t>ICICI Prudential Value Fund Series 12 - Direct Plan Dividend Payout Option</t>
        </is>
      </c>
      <c r="C4917" s="97" t="n">
        <v>540470</v>
      </c>
      <c r="D4917" s="96" t="inlineStr">
        <is>
          <t>IPRU9135</t>
        </is>
      </c>
      <c r="E4917" s="96" t="n"/>
    </row>
    <row r="4918" ht="15" customHeight="1" s="109" thickBot="1">
      <c r="B4918" s="96" t="inlineStr">
        <is>
          <t>ICICI Prudential Value Fund- Series 13- Dividend Payout Option</t>
        </is>
      </c>
      <c r="C4918" s="97" t="n">
        <v>540538</v>
      </c>
      <c r="D4918" s="96" t="inlineStr">
        <is>
          <t>IPRU2955</t>
        </is>
      </c>
      <c r="E4918" s="96" t="n"/>
    </row>
    <row r="4919" ht="15" customHeight="1" s="109" thickBot="1">
      <c r="B4919" s="96" t="inlineStr">
        <is>
          <t>ICICI Prudential Value Fund Series- 13- Direct Plan Dividend Payout Option</t>
        </is>
      </c>
      <c r="C4919" s="97" t="n">
        <v>540539</v>
      </c>
      <c r="D4919" s="96" t="inlineStr">
        <is>
          <t>IPRU9157</t>
        </is>
      </c>
      <c r="E4919" s="96" t="n"/>
    </row>
    <row r="4920" ht="15" customHeight="1" s="109" thickBot="1">
      <c r="B4920" s="96" t="inlineStr">
        <is>
          <t>Axis Equity Advantage Fund- Series 1 Direct Plan- Growth</t>
        </is>
      </c>
      <c r="C4920" s="97" t="n">
        <v>540551</v>
      </c>
      <c r="D4920" s="96" t="inlineStr">
        <is>
          <t>AXISAEDGG</t>
        </is>
      </c>
      <c r="E4920" s="96" t="n"/>
    </row>
    <row r="4921" ht="15" customHeight="1" s="109" thickBot="1">
      <c r="B4921" s="96" t="inlineStr">
        <is>
          <t>Axis Equity Advantage Fund- Series 1 Regular Plan- Growth</t>
        </is>
      </c>
      <c r="C4921" s="97" t="n">
        <v>540552</v>
      </c>
      <c r="D4921" s="96" t="inlineStr">
        <is>
          <t>AXISAEGPG</t>
        </is>
      </c>
      <c r="E4921" s="96" t="n"/>
    </row>
    <row r="4922" ht="15" customHeight="1" s="109" thickBot="1">
      <c r="B4922" s="96" t="inlineStr">
        <is>
          <t>ICICI Prudential Value Fund Series 14 - Cumulative</t>
        </is>
      </c>
      <c r="C4922" s="97" t="n">
        <v>540586</v>
      </c>
      <c r="D4922" s="96" t="inlineStr">
        <is>
          <t>IPRU2969</t>
        </is>
      </c>
      <c r="E4922" s="96" t="n"/>
    </row>
    <row r="4923" ht="15" customHeight="1" s="109" thickBot="1">
      <c r="B4923" s="96" t="inlineStr">
        <is>
          <t>ICICI Prudential Value Fund Series 14 - Dividend Payout</t>
        </is>
      </c>
      <c r="C4923" s="97" t="n">
        <v>540587</v>
      </c>
      <c r="D4923" s="96" t="inlineStr">
        <is>
          <t>IPRU2970</t>
        </is>
      </c>
      <c r="E4923" s="96" t="n"/>
    </row>
    <row r="4924" ht="15" customHeight="1" s="109" thickBot="1">
      <c r="B4924" s="96" t="inlineStr">
        <is>
          <t>ICICI Prudential Value Fund Series 14 - Direct Plan Cumulative</t>
        </is>
      </c>
      <c r="C4924" s="97" t="n">
        <v>540588</v>
      </c>
      <c r="D4924" s="96" t="inlineStr">
        <is>
          <t>IPRU9171</t>
        </is>
      </c>
      <c r="E4924" s="96" t="n"/>
    </row>
    <row r="4925" ht="15" customHeight="1" s="109" thickBot="1">
      <c r="B4925" s="96" t="inlineStr">
        <is>
          <t>ICICI Prudential Value Fund Series 14 - Direct Plan Dividend Payout</t>
        </is>
      </c>
      <c r="C4925" s="97" t="n">
        <v>540589</v>
      </c>
      <c r="D4925" s="96" t="inlineStr">
        <is>
          <t>IPRU9172</t>
        </is>
      </c>
      <c r="E4925" s="96" t="n"/>
    </row>
    <row r="4926" ht="15" customHeight="1" s="109" thickBot="1">
      <c r="B4926" s="96" t="inlineStr">
        <is>
          <t>HDFC EOF- II- 1126D May 2017(1) plan under HDFC Equity Opportunities Fund- Series 2- Direct</t>
        </is>
      </c>
      <c r="C4926" s="97" t="n">
        <v>540591</v>
      </c>
      <c r="D4926" s="96" t="inlineStr">
        <is>
          <t>HEOFDG1126</t>
        </is>
      </c>
      <c r="E4926" s="96" t="n"/>
    </row>
    <row r="4927" ht="15" customHeight="1" s="109" thickBot="1">
      <c r="B4927" s="96" t="inlineStr">
        <is>
          <t>HDFC EOF - II - 1126D May 2017(1) plan under HDFC Equity Opportunities Fund - Series 2 - Direct</t>
        </is>
      </c>
      <c r="C4927" s="97" t="n">
        <v>540592</v>
      </c>
      <c r="D4927" s="96" t="inlineStr">
        <is>
          <t>HEOFDD1126</t>
        </is>
      </c>
      <c r="E4927" s="96" t="n"/>
    </row>
    <row r="4928" ht="15" customHeight="1" s="109" thickBot="1">
      <c r="B4928" s="96" t="inlineStr">
        <is>
          <t>HDFC EOF- II - 1126D May 2017(1) plan under HDFC Equity Opportunities Fund - Series2 - Regular</t>
        </is>
      </c>
      <c r="C4928" s="97" t="n">
        <v>540593</v>
      </c>
      <c r="D4928" s="96" t="inlineStr">
        <is>
          <t>HEOFRG1126</t>
        </is>
      </c>
      <c r="E4928" s="96" t="n"/>
    </row>
    <row r="4929" ht="15" customHeight="1" s="109" thickBot="1">
      <c r="B4929" s="96" t="inlineStr">
        <is>
          <t>HDFC EOF - II - 1126D May 2017(1) plan under HDFC Equity Opportunities Fund - Series 2 - Regular</t>
        </is>
      </c>
      <c r="C4929" s="97" t="n">
        <v>540594</v>
      </c>
      <c r="D4929" s="96" t="inlineStr">
        <is>
          <t>HEOFRD1126</t>
        </is>
      </c>
      <c r="E4929" s="96" t="n"/>
    </row>
    <row r="4930" ht="15" customHeight="1" s="109" thickBot="1">
      <c r="B4930" s="96" t="inlineStr">
        <is>
          <t>ICICI Prudential Nifty Low Vol 30 ETF</t>
        </is>
      </c>
      <c r="C4930" s="97" t="n">
        <v>540612</v>
      </c>
      <c r="D4930" s="96" t="inlineStr">
        <is>
          <t>ICICILOVOL</t>
        </is>
      </c>
      <c r="E4930" s="96" t="n"/>
    </row>
    <row r="4931" ht="15" customHeight="1" s="109" thickBot="1">
      <c r="B4931" s="96" t="inlineStr">
        <is>
          <t>Aditya Birla Sun Life RESURGENT INDIA FUND â€“ SERIES 4 REGULAR GROWTH</t>
        </is>
      </c>
      <c r="C4931" s="97" t="n">
        <v>540617</v>
      </c>
      <c r="D4931" s="96" t="inlineStr">
        <is>
          <t>BSLRIFS4RG</t>
        </is>
      </c>
      <c r="E4931" s="96" t="n"/>
    </row>
    <row r="4932" ht="15" customHeight="1" s="109" thickBot="1">
      <c r="B4932" s="96" t="inlineStr">
        <is>
          <t>Aditya Birla Sun Life RESURGENT INDIA FUND â€“ SERIES 4 REGULAR DIVIDEND</t>
        </is>
      </c>
      <c r="C4932" s="97" t="n">
        <v>540618</v>
      </c>
      <c r="D4932" s="96" t="inlineStr">
        <is>
          <t>BSLRIFS4RD</t>
        </is>
      </c>
      <c r="E4932" s="96" t="n"/>
    </row>
    <row r="4933" ht="15" customHeight="1" s="109" thickBot="1">
      <c r="B4933" s="96" t="inlineStr">
        <is>
          <t>Aditya Birla Sun Life RESURGENT INDIA FUND â€“ SERIES 4 DIRECT GROWTH</t>
        </is>
      </c>
      <c r="C4933" s="97" t="n">
        <v>540619</v>
      </c>
      <c r="D4933" s="96" t="inlineStr">
        <is>
          <t>BSLRIFS4DG</t>
        </is>
      </c>
      <c r="E4933" s="96" t="n"/>
    </row>
    <row r="4934" ht="15" customHeight="1" s="109" thickBot="1">
      <c r="B4934" s="96" t="inlineStr">
        <is>
          <t>Aditya Birla Sun Life RESURGENT INDIA FUND â€“ SERIES 4 DIRECT DIVIDEND</t>
        </is>
      </c>
      <c r="C4934" s="97" t="n">
        <v>540620</v>
      </c>
      <c r="D4934" s="96" t="inlineStr">
        <is>
          <t>BSLRIFS4DD</t>
        </is>
      </c>
      <c r="E4934" s="96" t="n"/>
    </row>
    <row r="4935" ht="15" customHeight="1" s="109" thickBot="1">
      <c r="B4935" s="96" t="inlineStr">
        <is>
          <t>ICICI PRUDENTIAL VALUE FUND-SERIES 15-CUMULATIVE</t>
        </is>
      </c>
      <c r="C4935" s="97" t="n">
        <v>540626</v>
      </c>
      <c r="D4935" s="96" t="inlineStr">
        <is>
          <t>IPRU2987</t>
        </is>
      </c>
      <c r="E4935" s="96" t="n"/>
    </row>
    <row r="4936" ht="15" customHeight="1" s="109" thickBot="1">
      <c r="B4936" s="96" t="inlineStr">
        <is>
          <t>ICICI PRUDENTIAL VALUE FUND-SERIES 15-DIVIDEND PAYOUT</t>
        </is>
      </c>
      <c r="C4936" s="97" t="n">
        <v>540627</v>
      </c>
      <c r="D4936" s="96" t="inlineStr">
        <is>
          <t>IPRU2988</t>
        </is>
      </c>
      <c r="E4936" s="96" t="n"/>
    </row>
    <row r="4937" ht="15" customHeight="1" s="109" thickBot="1">
      <c r="B4937" s="96" t="inlineStr">
        <is>
          <t>ICICI PRUDENTIAL VALUE FUND-SERIES 15-DIRECT PLAN CUMULATIVE</t>
        </is>
      </c>
      <c r="C4937" s="97" t="n">
        <v>540629</v>
      </c>
      <c r="D4937" s="96" t="inlineStr">
        <is>
          <t>IPRU9189</t>
        </is>
      </c>
      <c r="E4937" s="96" t="n"/>
    </row>
    <row r="4938" ht="15" customHeight="1" s="109" thickBot="1">
      <c r="B4938" s="96" t="inlineStr">
        <is>
          <t>ICICI PRUDENTIAL VALUE FUND-SERIES 15-DIRECT PLAN DIVIDEND PAYOUT</t>
        </is>
      </c>
      <c r="C4938" s="97" t="n">
        <v>540631</v>
      </c>
      <c r="D4938" s="96" t="inlineStr">
        <is>
          <t>IPRU9190</t>
        </is>
      </c>
      <c r="E4938" s="96" t="n"/>
    </row>
    <row r="4939" ht="15" customHeight="1" s="109" thickBot="1">
      <c r="B4939" s="96" t="inlineStr">
        <is>
          <t>HDFC EQUITY OPPORTUNITIES FUND-II-1100D JUNE 2017(1) SERIES 2-DIRECT OPTION-GROWTH OPTION</t>
        </is>
      </c>
      <c r="C4939" s="97" t="n">
        <v>540634</v>
      </c>
      <c r="D4939" s="96" t="inlineStr">
        <is>
          <t>HEOFDG1100</t>
        </is>
      </c>
      <c r="E4939" s="96" t="n"/>
    </row>
    <row r="4940" ht="15" customHeight="1" s="109" thickBot="1">
      <c r="B4940" s="96" t="inlineStr">
        <is>
          <t>HDFC EQUITY OPPORTUNITIES FUND-II-1100D JUNE 2017(1) SERIES 2-DIRECT OPTION-DIVIDEND PAYOUT OPTION</t>
        </is>
      </c>
      <c r="C4940" s="97" t="n">
        <v>540635</v>
      </c>
      <c r="D4940" s="96" t="inlineStr">
        <is>
          <t>HEOFDD1100</t>
        </is>
      </c>
      <c r="E4940" s="96" t="n"/>
    </row>
    <row r="4941" ht="15" customHeight="1" s="109" thickBot="1">
      <c r="B4941" s="96" t="inlineStr">
        <is>
          <t>HDFC EQUITY OPPORTUNITIES FUND-II-1100D JUNE 2017(1) SERIES 2-REGULAR OPTION-GROWTH OPTION</t>
        </is>
      </c>
      <c r="C4941" s="97" t="n">
        <v>540636</v>
      </c>
      <c r="D4941" s="96" t="inlineStr">
        <is>
          <t>HEOFRG1100</t>
        </is>
      </c>
      <c r="E4941" s="96" t="n"/>
    </row>
    <row r="4942" ht="15" customHeight="1" s="109" thickBot="1">
      <c r="B4942" s="96" t="inlineStr">
        <is>
          <t>HDFC EQUITY OPPORTUNITIES FUND-II-1100D JUNE 2017(1) SERIES 2-REGULAR OPTION-DIVIDEND PAYOUT OPTION</t>
        </is>
      </c>
      <c r="C4942" s="97" t="n">
        <v>540637</v>
      </c>
      <c r="D4942" s="96" t="inlineStr">
        <is>
          <t>HEOFRD1100</t>
        </is>
      </c>
      <c r="E4942" s="96" t="n"/>
    </row>
    <row r="4943" ht="15" customHeight="1" s="109" thickBot="1">
      <c r="B4943" s="96" t="inlineStr">
        <is>
          <t>UTI Nifty Next 50 ETF</t>
        </is>
      </c>
      <c r="C4943" s="97" t="n">
        <v>540669</v>
      </c>
      <c r="D4943" s="96" t="inlineStr">
        <is>
          <t>UTINEXT50</t>
        </is>
      </c>
      <c r="E4943" s="96" t="n"/>
    </row>
    <row r="4944" ht="15" customHeight="1" s="109" thickBot="1">
      <c r="B4944" s="96" t="inlineStr">
        <is>
          <t>Axis Equity Advantage Fund - Series 2 Direct Plan - Growth</t>
        </is>
      </c>
      <c r="C4944" s="97" t="n">
        <v>540671</v>
      </c>
      <c r="D4944" s="96" t="inlineStr">
        <is>
          <t>AXISAHDGG</t>
        </is>
      </c>
      <c r="E4944" s="96" t="n"/>
    </row>
    <row r="4945" ht="15" customHeight="1" s="109" thickBot="1">
      <c r="B4945" s="96" t="inlineStr">
        <is>
          <t>Axis Equity Advantage Fund - Series 2 Regular Plan - Growth</t>
        </is>
      </c>
      <c r="C4945" s="97" t="n">
        <v>540672</v>
      </c>
      <c r="D4945" s="96" t="inlineStr">
        <is>
          <t>AXISAHGPG</t>
        </is>
      </c>
      <c r="E4945" s="96" t="n"/>
    </row>
    <row r="4946" ht="15" customHeight="1" s="109" thickBot="1">
      <c r="B4946" s="96" t="inlineStr">
        <is>
          <t>ICICI Prudential Value Fund - Series 16 - Cumulative Option</t>
        </is>
      </c>
      <c r="C4946" s="97" t="n">
        <v>540682</v>
      </c>
      <c r="D4946" s="96" t="inlineStr">
        <is>
          <t>IPRU2991</t>
        </is>
      </c>
      <c r="E4946" s="96" t="n"/>
    </row>
    <row r="4947" ht="15" customHeight="1" s="109" thickBot="1">
      <c r="B4947" s="96" t="inlineStr">
        <is>
          <t>ICICI Prudential Value Fund - Series 16 - Dividend Payout Option</t>
        </is>
      </c>
      <c r="C4947" s="97" t="n">
        <v>540683</v>
      </c>
      <c r="D4947" s="96" t="inlineStr">
        <is>
          <t>IPRU2992</t>
        </is>
      </c>
      <c r="E4947" s="96" t="n"/>
    </row>
    <row r="4948" ht="15" customHeight="1" s="109" thickBot="1">
      <c r="B4948" s="96" t="inlineStr">
        <is>
          <t>ICICI Prudential Value Fund - Series 16 - Direct Plan Cumulative Option</t>
        </is>
      </c>
      <c r="C4948" s="97" t="n">
        <v>540684</v>
      </c>
      <c r="D4948" s="96" t="inlineStr">
        <is>
          <t>IPRU9193</t>
        </is>
      </c>
      <c r="E4948" s="96" t="n"/>
    </row>
    <row r="4949" ht="15" customHeight="1" s="109" thickBot="1">
      <c r="B4949" s="96" t="inlineStr">
        <is>
          <t>ICICI Prudential Value Fund - Series 16 - Direct Plan Dividend Payout Option</t>
        </is>
      </c>
      <c r="C4949" s="97" t="n">
        <v>540685</v>
      </c>
      <c r="D4949" s="96" t="inlineStr">
        <is>
          <t>IPRU9194</t>
        </is>
      </c>
      <c r="E4949" s="96" t="n"/>
    </row>
    <row r="4950" ht="15" customHeight="1" s="109" thickBot="1">
      <c r="B4950" s="96" t="inlineStr">
        <is>
          <t>ICICI PRUDENTIAL VALUE FUND SERIES 17 - CUMULATIVE OPTION</t>
        </is>
      </c>
      <c r="C4950" s="97" t="n">
        <v>540711</v>
      </c>
      <c r="D4950" s="96" t="inlineStr">
        <is>
          <t>IPRU3003</t>
        </is>
      </c>
      <c r="E4950" s="96" t="n"/>
    </row>
    <row r="4951" ht="15" customHeight="1" s="109" thickBot="1">
      <c r="B4951" s="96" t="inlineStr">
        <is>
          <t>ICICI PRUDENTIAL VALUE FUND SERIES 17 - DIVIDEND OPTION</t>
        </is>
      </c>
      <c r="C4951" s="97" t="n">
        <v>540712</v>
      </c>
      <c r="D4951" s="96" t="inlineStr">
        <is>
          <t>IPRU3004</t>
        </is>
      </c>
      <c r="E4951" s="96" t="n"/>
    </row>
    <row r="4952" ht="15" customHeight="1" s="109" thickBot="1">
      <c r="B4952" s="96" t="inlineStr">
        <is>
          <t>ICICI PRUDENTIAL VALUE FUND SERIES 17 - DIRECT PLAN CUMULATIVE OPTION</t>
        </is>
      </c>
      <c r="C4952" s="97" t="n">
        <v>540713</v>
      </c>
      <c r="D4952" s="96" t="inlineStr">
        <is>
          <t>IPRU9205</t>
        </is>
      </c>
      <c r="E4952" s="96" t="n"/>
    </row>
    <row r="4953" ht="15" customHeight="1" s="109" thickBot="1">
      <c r="B4953" s="96" t="inlineStr">
        <is>
          <t>ICICI PRUDENTIAL VALUE FUND SERIES 17 - DIRECT PLAN DIVIDEND OPTION</t>
        </is>
      </c>
      <c r="C4953" s="97" t="n">
        <v>540714</v>
      </c>
      <c r="D4953" s="96" t="inlineStr">
        <is>
          <t>IPRU9206</t>
        </is>
      </c>
      <c r="E4953" s="96" t="n"/>
    </row>
    <row r="4954" ht="15" customHeight="1" s="109" thickBot="1">
      <c r="B4954" s="96" t="inlineStr">
        <is>
          <t>Aditya Birla Sun Life Resurgent India Fund - Series 5 - Regular Plan Growth</t>
        </is>
      </c>
      <c r="C4954" s="97" t="n">
        <v>540739</v>
      </c>
      <c r="D4954" s="96" t="inlineStr">
        <is>
          <t>ABSLRIF5RG</t>
        </is>
      </c>
      <c r="E4954" s="96" t="n"/>
    </row>
    <row r="4955" ht="15" customHeight="1" s="109" thickBot="1">
      <c r="B4955" s="96" t="inlineStr">
        <is>
          <t>Aditya Birla Sun Life Resurgent India Fund - Series 5 - Regular Plan Dividend Payout</t>
        </is>
      </c>
      <c r="C4955" s="97" t="n">
        <v>540740</v>
      </c>
      <c r="D4955" s="96" t="inlineStr">
        <is>
          <t>ABSLRIF5RD</t>
        </is>
      </c>
      <c r="E4955" s="96" t="n"/>
    </row>
    <row r="4956" ht="15" customHeight="1" s="109" thickBot="1">
      <c r="B4956" s="96" t="inlineStr">
        <is>
          <t>Aditya Birla Sun Life Resurgent India Fund - Series 5 - Direct Plan Growth</t>
        </is>
      </c>
      <c r="C4956" s="97" t="n">
        <v>540741</v>
      </c>
      <c r="D4956" s="96" t="inlineStr">
        <is>
          <t>ABSLRIF5DG</t>
        </is>
      </c>
      <c r="E4956" s="96" t="n"/>
    </row>
    <row r="4957" ht="15" customHeight="1" s="109" thickBot="1">
      <c r="B4957" s="96" t="inlineStr">
        <is>
          <t>Aditya Birla Sun Life Resurgent India Fund - Series 5 - Direct Plan Dividend Payout</t>
        </is>
      </c>
      <c r="C4957" s="97" t="n">
        <v>540742</v>
      </c>
      <c r="D4957" s="96" t="inlineStr">
        <is>
          <t>ABSLRIF5DD</t>
        </is>
      </c>
      <c r="E4957" s="96" t="n"/>
    </row>
    <row r="4958" ht="15" customHeight="1" s="109" thickBot="1">
      <c r="B4958" s="96" t="inlineStr">
        <is>
          <t>ICICI Prudential Value Fund Series 18 - Cumulative Option</t>
        </is>
      </c>
      <c r="C4958" s="97" t="n">
        <v>540763</v>
      </c>
      <c r="D4958" s="96" t="inlineStr">
        <is>
          <t>IPRU3013</t>
        </is>
      </c>
      <c r="E4958" s="96" t="n"/>
    </row>
    <row r="4959" ht="15" customHeight="1" s="109" thickBot="1">
      <c r="B4959" s="96" t="inlineStr">
        <is>
          <t>ICICI Prudential Value Fund Series 18 - Dividend Payout Option</t>
        </is>
      </c>
      <c r="C4959" s="97" t="n">
        <v>540764</v>
      </c>
      <c r="D4959" s="96" t="inlineStr">
        <is>
          <t>IPRU3014</t>
        </is>
      </c>
      <c r="E4959" s="96" t="n"/>
    </row>
    <row r="4960" ht="15" customHeight="1" s="109" thickBot="1">
      <c r="B4960" s="96" t="inlineStr">
        <is>
          <t>ICICI Prudential Value Fund Series 18 - Direct Plan Cumulative Option</t>
        </is>
      </c>
      <c r="C4960" s="97" t="n">
        <v>540765</v>
      </c>
      <c r="D4960" s="96" t="inlineStr">
        <is>
          <t>IPRU9215</t>
        </is>
      </c>
      <c r="E4960" s="96" t="n"/>
    </row>
    <row r="4961" ht="15" customHeight="1" s="109" thickBot="1">
      <c r="B4961" s="96" t="inlineStr">
        <is>
          <t>ICICI Prudential Value Fund Series 18 - Direct Plan Dividend Payout Option</t>
        </is>
      </c>
      <c r="C4961" s="97" t="n">
        <v>540766</v>
      </c>
      <c r="D4961" s="96" t="inlineStr">
        <is>
          <t>IPRU9216</t>
        </is>
      </c>
      <c r="E4961" s="96" t="n"/>
    </row>
    <row r="4962" ht="15" customHeight="1" s="109" thickBot="1">
      <c r="B4962" s="96" t="inlineStr">
        <is>
          <t>NIPPON INDIA MUTUAL FUND CAPITAL BUILDER FD SR B DR DVP 06JN21</t>
        </is>
      </c>
      <c r="C4962" s="97" t="n">
        <v>540778</v>
      </c>
      <c r="D4962" s="96" t="inlineStr">
        <is>
          <t>NCBFIVBDD</t>
        </is>
      </c>
      <c r="E4962" s="96" t="n"/>
    </row>
    <row r="4963" ht="15" customHeight="1" s="109" thickBot="1">
      <c r="B4963" s="96" t="inlineStr">
        <is>
          <t>NIPPON INDIA MUTUAL FUND CAPITAL BUILDER FD SR B DR GWTH 06JN21</t>
        </is>
      </c>
      <c r="C4963" s="97" t="n">
        <v>540779</v>
      </c>
      <c r="D4963" s="96" t="inlineStr">
        <is>
          <t>NCBFIVBDG</t>
        </is>
      </c>
      <c r="E4963" s="96" t="n"/>
    </row>
    <row r="4964" ht="15" customHeight="1" s="109" thickBot="1">
      <c r="B4964" s="96" t="inlineStr">
        <is>
          <t>NIPPON INDIA MUTUAL FUND CAPITAL BUILDER FD SR B RG DVP 06JN21</t>
        </is>
      </c>
      <c r="C4964" s="97" t="n">
        <v>540780</v>
      </c>
      <c r="D4964" s="96" t="inlineStr">
        <is>
          <t>NCBFIVBD</t>
        </is>
      </c>
      <c r="E4964" s="96" t="n"/>
    </row>
    <row r="4965" ht="15" customHeight="1" s="109" thickBot="1">
      <c r="B4965" s="96" t="inlineStr">
        <is>
          <t>NIPPON INDIA MUTUAL FUND CAPITAL BUILDER FD SR B RG GWTH 06JN21</t>
        </is>
      </c>
      <c r="C4965" s="97" t="n">
        <v>540781</v>
      </c>
      <c r="D4965" s="96" t="inlineStr">
        <is>
          <t>NCBFIVBG</t>
        </is>
      </c>
      <c r="E4965" s="96" t="n"/>
    </row>
    <row r="4966" ht="15" customHeight="1" s="109" thickBot="1">
      <c r="B4966" s="96" t="inlineStr">
        <is>
          <t>BHARAT 22 ETF - ICICI Prudential AMC</t>
        </is>
      </c>
      <c r="C4966" s="97" t="n">
        <v>540787</v>
      </c>
      <c r="D4966" s="96" t="inlineStr">
        <is>
          <t>ICICIB22</t>
        </is>
      </c>
      <c r="E4966" s="96" t="n"/>
    </row>
    <row r="4967" ht="15" customHeight="1" s="109" thickBot="1">
      <c r="B4967" s="96" t="inlineStr">
        <is>
          <t>HDFC HOF-I-1140D November 2017(1) - Direct Option - Growth Option</t>
        </is>
      </c>
      <c r="C4967" s="97" t="n">
        <v>540791</v>
      </c>
      <c r="D4967" s="96" t="inlineStr">
        <is>
          <t>HHOF1140DG</t>
        </is>
      </c>
      <c r="E4967" s="96" t="n"/>
    </row>
    <row r="4968" ht="15" customHeight="1" s="109" thickBot="1">
      <c r="B4968" s="96" t="inlineStr">
        <is>
          <t>HDFC HOF-I-1140D November 2017(1) - Direct Option - Dividend Payout Option</t>
        </is>
      </c>
      <c r="C4968" s="97" t="n">
        <v>540792</v>
      </c>
      <c r="D4968" s="96" t="inlineStr">
        <is>
          <t>HHOF1140DD</t>
        </is>
      </c>
      <c r="E4968" s="96" t="n"/>
    </row>
    <row r="4969" ht="15" customHeight="1" s="109" thickBot="1">
      <c r="B4969" s="96" t="inlineStr">
        <is>
          <t>HDFC HOF-I-1140D November 2017(1) - Regular Option - Growth Option</t>
        </is>
      </c>
      <c r="C4969" s="97" t="n">
        <v>540793</v>
      </c>
      <c r="D4969" s="96" t="inlineStr">
        <is>
          <t>HHOF1140RG</t>
        </is>
      </c>
      <c r="E4969" s="96" t="n"/>
    </row>
    <row r="4970" ht="15" customHeight="1" s="109" thickBot="1">
      <c r="B4970" s="96" t="inlineStr">
        <is>
          <t>HDFC HOF-I-1140D November 2017(1) - Regular Option - Dividend Payout Option</t>
        </is>
      </c>
      <c r="C4970" s="97" t="n">
        <v>540794</v>
      </c>
      <c r="D4970" s="96" t="inlineStr">
        <is>
          <t>HHOF1140RD</t>
        </is>
      </c>
      <c r="E4970" s="96" t="n"/>
    </row>
    <row r="4971" ht="15" customHeight="1" s="109" thickBot="1">
      <c r="B4971" s="96" t="inlineStr">
        <is>
          <t>DSP BLACKROCK A.C.E. Fund Series 1 - Regular Growth</t>
        </is>
      </c>
      <c r="C4971" s="97" t="n">
        <v>540799</v>
      </c>
      <c r="D4971" s="96" t="inlineStr">
        <is>
          <t>DACEFRG</t>
        </is>
      </c>
      <c r="E4971" s="96" t="n"/>
    </row>
    <row r="4972" ht="15" customHeight="1" s="109" thickBot="1">
      <c r="B4972" s="96" t="inlineStr">
        <is>
          <t>DSP BLACKROCK A.C.E. Fund Series 1 - Regular-Dividend Payout</t>
        </is>
      </c>
      <c r="C4972" s="97" t="n">
        <v>540800</v>
      </c>
      <c r="D4972" s="96" t="inlineStr">
        <is>
          <t>DACEFRDP</t>
        </is>
      </c>
      <c r="E4972" s="96" t="n"/>
    </row>
    <row r="4973" ht="15" customHeight="1" s="109" thickBot="1">
      <c r="B4973" s="96" t="inlineStr">
        <is>
          <t>DSP BLACKROCK A.C.E. Fund Series 1 - Direct Growth</t>
        </is>
      </c>
      <c r="C4973" s="97" t="n">
        <v>540801</v>
      </c>
      <c r="D4973" s="96" t="inlineStr">
        <is>
          <t>DACEFDG</t>
        </is>
      </c>
      <c r="E4973" s="96" t="n"/>
    </row>
    <row r="4974" ht="15" customHeight="1" s="109" thickBot="1">
      <c r="B4974" s="96" t="inlineStr">
        <is>
          <t>DSP BLACKROCK A.C.E. Fund Series 1 - Direct - Dividend Payout</t>
        </is>
      </c>
      <c r="C4974" s="97" t="n">
        <v>540802</v>
      </c>
      <c r="D4974" s="96" t="inlineStr">
        <is>
          <t>DACEFDDP</t>
        </is>
      </c>
      <c r="E4974" s="96" t="n"/>
    </row>
    <row r="4975" ht="15" customHeight="1" s="109" thickBot="1">
      <c r="B4975" s="96" t="inlineStr">
        <is>
          <t>NIPPON INDIA MUTUAL FUND CAPITAL BUILDER FD IV SR C DR DVP 20MR21</t>
        </is>
      </c>
      <c r="C4975" s="97" t="n">
        <v>540825</v>
      </c>
      <c r="D4975" s="96" t="inlineStr">
        <is>
          <t>NCBFIVBCD</t>
        </is>
      </c>
      <c r="E4975" s="96" t="n"/>
    </row>
    <row r="4976" ht="15" customHeight="1" s="109" thickBot="1">
      <c r="B4976" s="96" t="inlineStr">
        <is>
          <t>NIPPON INDIA MUTUAL FUND CAPITAL BUILDER FD IV SR C RG GWTH 20MR21</t>
        </is>
      </c>
      <c r="C4976" s="97" t="n">
        <v>540826</v>
      </c>
      <c r="D4976" s="96" t="inlineStr">
        <is>
          <t>NCBFIVCG</t>
        </is>
      </c>
      <c r="E4976" s="96" t="n"/>
    </row>
    <row r="4977" ht="15" customHeight="1" s="109" thickBot="1">
      <c r="B4977" s="96" t="inlineStr">
        <is>
          <t>NIPPON INDIA MUTUAL FUND CAPITAL BUILDER FD IV SR C DR GWTH 20MR21</t>
        </is>
      </c>
      <c r="C4977" s="97" t="n">
        <v>540827</v>
      </c>
      <c r="D4977" s="96" t="inlineStr">
        <is>
          <t>NCBFIVBCG</t>
        </is>
      </c>
      <c r="E4977" s="96" t="n"/>
    </row>
    <row r="4978" ht="15" customHeight="1" s="109" thickBot="1">
      <c r="B4978" s="96" t="inlineStr">
        <is>
          <t>NIPPON INDIA MUTUAL FUND CAPITAL BUILDER FD IV SR C RG DVP 20MR21</t>
        </is>
      </c>
      <c r="C4978" s="97" t="n">
        <v>540828</v>
      </c>
      <c r="D4978" s="96" t="inlineStr">
        <is>
          <t>NCBFIVCD</t>
        </is>
      </c>
      <c r="E4978" s="96" t="n"/>
    </row>
    <row r="4979" ht="15" customHeight="1" s="109" thickBot="1">
      <c r="B4979" s="96" t="inlineStr">
        <is>
          <t>ICICI PRUDENTIAL VALUE FUND - SERIES 19 - CUMULATIVE OPTION</t>
        </is>
      </c>
      <c r="C4979" s="97" t="n">
        <v>540861</v>
      </c>
      <c r="D4979" s="96" t="inlineStr">
        <is>
          <t>IPRU3018</t>
        </is>
      </c>
      <c r="E4979" s="96" t="n"/>
    </row>
    <row r="4980" ht="15" customHeight="1" s="109" thickBot="1">
      <c r="B4980" s="96" t="inlineStr">
        <is>
          <t>ICICI PRUDENTIAL VALUE FUND - SERIES 19 - DIVIDEND PAYOUT OPTION</t>
        </is>
      </c>
      <c r="C4980" s="97" t="n">
        <v>540862</v>
      </c>
      <c r="D4980" s="96" t="inlineStr">
        <is>
          <t>IPRU3019</t>
        </is>
      </c>
      <c r="E4980" s="96" t="n"/>
    </row>
    <row r="4981" ht="15" customHeight="1" s="109" thickBot="1">
      <c r="B4981" s="96" t="inlineStr">
        <is>
          <t>ICICI PRUDENTIAL VALUE FUND - SERIES 19 - DIRECT PLAN CUMULATIVE OPTION</t>
        </is>
      </c>
      <c r="C4981" s="97" t="n">
        <v>540863</v>
      </c>
      <c r="D4981" s="96" t="inlineStr">
        <is>
          <t>IPRU9220</t>
        </is>
      </c>
      <c r="E4981" s="96" t="n"/>
    </row>
    <row r="4982" ht="15" customHeight="1" s="109" thickBot="1">
      <c r="B4982" s="96" t="inlineStr">
        <is>
          <t>ICICI PRUDENTIAL VALUE FUND - SERIES 19 -DIRECT PLAN DIVIDEND PAYOUT OPTION</t>
        </is>
      </c>
      <c r="C4982" s="97" t="n">
        <v>540864</v>
      </c>
      <c r="D4982" s="96" t="inlineStr">
        <is>
          <t>IPRU9221</t>
        </is>
      </c>
      <c r="E4982" s="96" t="n"/>
    </row>
    <row r="4983" ht="15" customHeight="1" s="109" thickBot="1">
      <c r="B4983" s="96" t="inlineStr">
        <is>
          <t>NIPPON INDIA MUTUAL FUND CAPITAL BUILDER FD IV SRD DR DVP 18JN21</t>
        </is>
      </c>
      <c r="C4983" s="97" t="n">
        <v>540896</v>
      </c>
      <c r="D4983" s="96" t="inlineStr">
        <is>
          <t>NCBFIVDDD</t>
        </is>
      </c>
      <c r="E4983" s="96" t="n"/>
    </row>
    <row r="4984" ht="15" customHeight="1" s="109" thickBot="1">
      <c r="B4984" s="96" t="inlineStr">
        <is>
          <t>NIPPON INDIA MUTUAL FUND CAPITAL BUILDER FD IV SRD RG GWTH 18JN21</t>
        </is>
      </c>
      <c r="C4984" s="97" t="n">
        <v>540897</v>
      </c>
      <c r="D4984" s="96" t="inlineStr">
        <is>
          <t>NCBFIVDG</t>
        </is>
      </c>
      <c r="E4984" s="96" t="n"/>
    </row>
    <row r="4985" ht="15" customHeight="1" s="109" thickBot="1">
      <c r="B4985" s="96" t="inlineStr">
        <is>
          <t>NIPPON INDIA MUTUAL FUND CAPITAL BUILDER FD IV SRD DR GWTH 18JN21</t>
        </is>
      </c>
      <c r="C4985" s="97" t="n">
        <v>540898</v>
      </c>
      <c r="D4985" s="96" t="inlineStr">
        <is>
          <t>NCBFIVDDG</t>
        </is>
      </c>
      <c r="E4985" s="96" t="n"/>
    </row>
    <row r="4986" ht="15" customHeight="1" s="109" thickBot="1">
      <c r="B4986" s="96" t="inlineStr">
        <is>
          <t>NIPPON INDIA MUTUAL FUND CAPITAL BUILDER FD IV SRD RG DVP 18JN21</t>
        </is>
      </c>
      <c r="C4986" s="97" t="n">
        <v>540899</v>
      </c>
      <c r="D4986" s="96" t="inlineStr">
        <is>
          <t>NCBFIVDD</t>
        </is>
      </c>
      <c r="E4986" s="96" t="n"/>
    </row>
    <row r="4987" ht="15" customHeight="1" s="109" thickBot="1">
      <c r="B4987" s="96" t="inlineStr">
        <is>
          <t>ICICI Prudential Value Fund - Series 20 - Cumulative Option</t>
        </is>
      </c>
      <c r="C4987" s="97" t="n">
        <v>540947</v>
      </c>
      <c r="D4987" s="96" t="inlineStr">
        <is>
          <t>IPRU3034</t>
        </is>
      </c>
      <c r="E4987" s="96" t="n"/>
    </row>
    <row r="4988" ht="15" customHeight="1" s="109" thickBot="1">
      <c r="B4988" s="96" t="inlineStr">
        <is>
          <t>ICICI Prudential Value Fund - Series 20 - Dividend Option</t>
        </is>
      </c>
      <c r="C4988" s="97" t="n">
        <v>540949</v>
      </c>
      <c r="D4988" s="96" t="inlineStr">
        <is>
          <t>IPRU3035</t>
        </is>
      </c>
      <c r="E4988" s="96" t="n"/>
    </row>
    <row r="4989" ht="15" customHeight="1" s="109" thickBot="1">
      <c r="B4989" s="96" t="inlineStr">
        <is>
          <t>ICICI Prudential Value Fund - Series 20 - Direct Plan Cumulative Option</t>
        </is>
      </c>
      <c r="C4989" s="97" t="n">
        <v>540950</v>
      </c>
      <c r="D4989" s="96" t="inlineStr">
        <is>
          <t>IPRU9236</t>
        </is>
      </c>
      <c r="E4989" s="96" t="n"/>
    </row>
    <row r="4990" ht="15" customHeight="1" s="109" thickBot="1">
      <c r="B4990" s="96" t="inlineStr">
        <is>
          <t>ICICI Prudential Value Fund - Series 20 - Direct Plan Dividend Option</t>
        </is>
      </c>
      <c r="C4990" s="97" t="n">
        <v>540951</v>
      </c>
      <c r="D4990" s="96" t="inlineStr">
        <is>
          <t>IPRU9237</t>
        </is>
      </c>
      <c r="E4990" s="96" t="n"/>
    </row>
    <row r="4991" ht="15" customHeight="1" s="109" thickBot="1">
      <c r="B4991" s="96" t="inlineStr">
        <is>
          <t>Kotak India Growth Fund Series 4 - Regular Plan Growth Option</t>
        </is>
      </c>
      <c r="C4991" s="97" t="n">
        <v>540981</v>
      </c>
      <c r="D4991" s="96" t="inlineStr">
        <is>
          <t>KTKIND4RG</t>
        </is>
      </c>
      <c r="E4991" s="96" t="n"/>
    </row>
    <row r="4992" ht="15" customHeight="1" s="109" thickBot="1">
      <c r="B4992" s="96" t="inlineStr">
        <is>
          <t>Kotak India Growth Fund Series 4 - Regular Plan Dividend Option</t>
        </is>
      </c>
      <c r="C4992" s="97" t="n">
        <v>540982</v>
      </c>
      <c r="D4992" s="96" t="inlineStr">
        <is>
          <t>KTKIND4RD</t>
        </is>
      </c>
      <c r="E4992" s="96" t="n"/>
    </row>
    <row r="4993" ht="15" customHeight="1" s="109" thickBot="1">
      <c r="B4993" s="96" t="inlineStr">
        <is>
          <t>KOTAK INDIA GROWTH FUND SERIES 4 DIRECT PLAN DIVIDEND OPTION</t>
        </is>
      </c>
      <c r="C4993" s="97" t="n">
        <v>540983</v>
      </c>
      <c r="D4993" s="96" t="inlineStr">
        <is>
          <t>KTKIND4DD</t>
        </is>
      </c>
      <c r="E4993" s="96" t="n"/>
    </row>
    <row r="4994" ht="15" customHeight="1" s="109" thickBot="1">
      <c r="B4994" s="96" t="inlineStr">
        <is>
          <t>Kotak India Growth Fund Series 4 - Direct Plan Growth Option</t>
        </is>
      </c>
      <c r="C4994" s="97" t="n">
        <v>540984</v>
      </c>
      <c r="D4994" s="96" t="inlineStr">
        <is>
          <t>KTKIND4DG</t>
        </is>
      </c>
      <c r="E4994" s="96" t="n"/>
    </row>
    <row r="4995" ht="15" customHeight="1" s="109" thickBot="1">
      <c r="B4995" s="96" t="inlineStr">
        <is>
          <t>Axis Capital Builder Fund - Series 1 (1540 Days) - Direct Plan - Dividend Payout</t>
        </is>
      </c>
      <c r="C4995" s="97" t="n">
        <v>541068</v>
      </c>
      <c r="D4995" s="96" t="inlineStr">
        <is>
          <t>AXISCBD1D</t>
        </is>
      </c>
      <c r="E4995" s="96" t="n"/>
    </row>
    <row r="4996" ht="15" customHeight="1" s="109" thickBot="1">
      <c r="B4996" s="96" t="inlineStr">
        <is>
          <t>Axis Capital Builder Fund - Series 1 (1540 Days) - Direct Plan - Growth</t>
        </is>
      </c>
      <c r="C4996" s="97" t="n">
        <v>541069</v>
      </c>
      <c r="D4996" s="96" t="inlineStr">
        <is>
          <t>AXISCBDGG</t>
        </is>
      </c>
      <c r="E4996" s="96" t="n"/>
    </row>
    <row r="4997" ht="15" customHeight="1" s="109" thickBot="1">
      <c r="B4997" s="96" t="inlineStr">
        <is>
          <t>Axis Capital Builder Fund - Series 1 (1540 Days) - Regular Plan - Dividend Payout</t>
        </is>
      </c>
      <c r="C4997" s="97" t="n">
        <v>541070</v>
      </c>
      <c r="D4997" s="96" t="inlineStr">
        <is>
          <t>AXISCBDPD</t>
        </is>
      </c>
      <c r="E4997" s="96" t="n"/>
    </row>
    <row r="4998" ht="15" customHeight="1" s="109" thickBot="1">
      <c r="B4998" s="96" t="inlineStr">
        <is>
          <t>Axis Capital Builder Fund - Series 1 (1540 Days) - Regular Plan - Growth</t>
        </is>
      </c>
      <c r="C4998" s="97" t="n">
        <v>541071</v>
      </c>
      <c r="D4998" s="96" t="inlineStr">
        <is>
          <t>AXISCBGPG</t>
        </is>
      </c>
      <c r="E4998" s="96" t="n"/>
    </row>
    <row r="4999" ht="15" customHeight="1" s="109" thickBot="1">
      <c r="B4999" s="96" t="inlineStr">
        <is>
          <t>DSP BlackRock A C E Fund - Series 2 - Regular Plan - Growth Option</t>
        </is>
      </c>
      <c r="C4999" s="97" t="n">
        <v>541084</v>
      </c>
      <c r="D4999" s="96" t="inlineStr">
        <is>
          <t>DACE2RG</t>
        </is>
      </c>
      <c r="E4999" s="96" t="n"/>
    </row>
    <row r="5000" ht="15" customHeight="1" s="109" thickBot="1">
      <c r="B5000" s="96" t="inlineStr">
        <is>
          <t>DSP BlackRock A C E Fund - Series 2 - Regular Plan - Dividend Payout Option</t>
        </is>
      </c>
      <c r="C5000" s="97" t="n">
        <v>541085</v>
      </c>
      <c r="D5000" s="96" t="inlineStr">
        <is>
          <t>DACE2RDP</t>
        </is>
      </c>
      <c r="E5000" s="96" t="n"/>
    </row>
    <row r="5001" ht="15" customHeight="1" s="109" thickBot="1">
      <c r="B5001" s="96" t="inlineStr">
        <is>
          <t>DSP BlackRock A C E Fund - Series 2 - Direct Plan - Growth Option</t>
        </is>
      </c>
      <c r="C5001" s="97" t="n">
        <v>541086</v>
      </c>
      <c r="D5001" s="96" t="inlineStr">
        <is>
          <t>DACE2DG</t>
        </is>
      </c>
      <c r="E5001" s="96" t="n"/>
    </row>
    <row r="5002" ht="15" customHeight="1" s="109" thickBot="1">
      <c r="B5002" s="96" t="inlineStr">
        <is>
          <t>DSP BlackRock A C E Fund - Series 2 - Direct Plan - Dividend Payout Option</t>
        </is>
      </c>
      <c r="C5002" s="97" t="n">
        <v>541087</v>
      </c>
      <c r="D5002" s="96" t="inlineStr">
        <is>
          <t>DACE2DDP</t>
        </is>
      </c>
      <c r="E5002" s="96" t="n"/>
    </row>
    <row r="5003" ht="15" customHeight="1" s="109" thickBot="1">
      <c r="B5003" s="96" t="inlineStr">
        <is>
          <t>ADITYA BIRLA SUN LIFE RESURGENT INDIA FUND - SERIES 6- REGULAR PLAN- GROWTH</t>
        </is>
      </c>
      <c r="C5003" s="97" t="n">
        <v>541092</v>
      </c>
      <c r="D5003" s="96" t="inlineStr">
        <is>
          <t>ABSLRIF6RG</t>
        </is>
      </c>
      <c r="E5003" s="96" t="n"/>
    </row>
    <row r="5004" ht="15" customHeight="1" s="109" thickBot="1">
      <c r="B5004" s="96" t="inlineStr">
        <is>
          <t>ADITYA BIRLA SUN LIFE RESURGENT INDIA FUND - SERIES 6- REGULAR PLAN- DIVIDEND PAYOUT</t>
        </is>
      </c>
      <c r="C5004" s="97" t="n">
        <v>541093</v>
      </c>
      <c r="D5004" s="96" t="inlineStr">
        <is>
          <t>ABSLRIF6RD</t>
        </is>
      </c>
      <c r="E5004" s="96" t="n"/>
    </row>
    <row r="5005" ht="15" customHeight="1" s="109" thickBot="1">
      <c r="B5005" s="96" t="inlineStr">
        <is>
          <t>ADITYA BIRLA SUN LIFE RESURGENT INDIA FUND - SERIES 6- DIRECT PLAN- GROWTH</t>
        </is>
      </c>
      <c r="C5005" s="97" t="n">
        <v>541094</v>
      </c>
      <c r="D5005" s="96" t="inlineStr">
        <is>
          <t>ABSLRIF6DG</t>
        </is>
      </c>
      <c r="E5005" s="96" t="n"/>
    </row>
    <row r="5006" ht="15" customHeight="1" s="109" thickBot="1">
      <c r="B5006" s="96" t="inlineStr">
        <is>
          <t>ADITYA BIRLA SUN LIFE RESURGENT INDIA FUND - SERIES 6- DIRECT PLAN- DIVIDEND PAYOUT</t>
        </is>
      </c>
      <c r="C5006" s="97" t="n">
        <v>541095</v>
      </c>
      <c r="D5006" s="96" t="inlineStr">
        <is>
          <t>ABSLRIF6DD</t>
        </is>
      </c>
      <c r="E5006" s="96" t="n"/>
    </row>
    <row r="5007" ht="15" customHeight="1" s="109" thickBot="1">
      <c r="B5007" s="96" t="inlineStr">
        <is>
          <t>Aditya Birla Sun Life Resurgent India Fund - Series 7 - Regular Plan - Growth Option</t>
        </is>
      </c>
      <c r="C5007" s="97" t="n">
        <v>541252</v>
      </c>
      <c r="D5007" s="96" t="inlineStr">
        <is>
          <t>ABSLRIF7RG</t>
        </is>
      </c>
      <c r="E5007" s="96" t="n"/>
    </row>
    <row r="5008" ht="15" customHeight="1" s="109" thickBot="1">
      <c r="B5008" s="96" t="inlineStr">
        <is>
          <t>Aditya Birla Sun Life Resurgent India Fund - Series 7 - Regular Plan - Dividend Payout</t>
        </is>
      </c>
      <c r="C5008" s="97" t="n">
        <v>541253</v>
      </c>
      <c r="D5008" s="96" t="inlineStr">
        <is>
          <t>ABSLRIF7RD</t>
        </is>
      </c>
      <c r="E5008" s="96" t="n"/>
    </row>
    <row r="5009" ht="15" customHeight="1" s="109" thickBot="1">
      <c r="B5009" s="96" t="inlineStr">
        <is>
          <t>Aditya Birla Sun Life Resurgent India Fund - Series 7 - Direct Plan - Growth Option</t>
        </is>
      </c>
      <c r="C5009" s="97" t="n">
        <v>541254</v>
      </c>
      <c r="D5009" s="96" t="inlineStr">
        <is>
          <t>ABSLRIF7DG</t>
        </is>
      </c>
      <c r="E5009" s="96" t="n"/>
    </row>
    <row r="5010" ht="15" customHeight="1" s="109" thickBot="1">
      <c r="B5010" s="96" t="inlineStr">
        <is>
          <t>Aditya Birla Sun Life Resurgent India Fund - Series 7 - Direct Plan - Dividend Payout</t>
        </is>
      </c>
      <c r="C5010" s="97" t="n">
        <v>541255</v>
      </c>
      <c r="D5010" s="96" t="inlineStr">
        <is>
          <t>ABSLRIF7DD</t>
        </is>
      </c>
      <c r="E5010" s="96" t="n"/>
    </row>
    <row r="5011" ht="15" customHeight="1" s="109" thickBot="1">
      <c r="B5011" s="96" t="inlineStr">
        <is>
          <t>IndInfravit Trust</t>
        </is>
      </c>
      <c r="C5011" s="97" t="n">
        <v>541300</v>
      </c>
      <c r="D5011" s="96" t="inlineStr">
        <is>
          <t>INDINFR</t>
        </is>
      </c>
      <c r="E5011" s="96" t="n"/>
    </row>
    <row r="5012" ht="15" customHeight="1" s="109" thickBot="1">
      <c r="B5012" s="96" t="inlineStr">
        <is>
          <t>ICICI Prudential Bharat Consumption Fund - Series 2 - Cumulative Option</t>
        </is>
      </c>
      <c r="C5012" s="97" t="n">
        <v>541309</v>
      </c>
      <c r="D5012" s="96" t="inlineStr">
        <is>
          <t>IPRU3095</t>
        </is>
      </c>
      <c r="E5012" s="96" t="n"/>
    </row>
    <row r="5013" ht="15" customHeight="1" s="109" thickBot="1">
      <c r="B5013" s="96" t="inlineStr">
        <is>
          <t>ICICI Prudential Bharat Consumption Fund - Series 2 - Dividend Option</t>
        </is>
      </c>
      <c r="C5013" s="97" t="n">
        <v>541310</v>
      </c>
      <c r="D5013" s="96" t="inlineStr">
        <is>
          <t>IPRU3096</t>
        </is>
      </c>
      <c r="E5013" s="96" t="n"/>
    </row>
    <row r="5014" ht="15" customHeight="1" s="109" thickBot="1">
      <c r="B5014" s="96" t="inlineStr">
        <is>
          <t>ICICI Prudential Bharat Consumption Fund - Series 2 - Direct Plan Cumulative Option</t>
        </is>
      </c>
      <c r="C5014" s="97" t="n">
        <v>541311</v>
      </c>
      <c r="D5014" s="96" t="inlineStr">
        <is>
          <t>IPRU9297</t>
        </is>
      </c>
      <c r="E5014" s="96" t="n"/>
    </row>
    <row r="5015" ht="15" customHeight="1" s="109" thickBot="1">
      <c r="B5015" s="96" t="inlineStr">
        <is>
          <t>ICICI Prudential Bharat Consumption Fund - Series 2 - Direct Plan Dividend Option</t>
        </is>
      </c>
      <c r="C5015" s="97" t="n">
        <v>541312</v>
      </c>
      <c r="D5015" s="96" t="inlineStr">
        <is>
          <t>IPRU9298</t>
        </is>
      </c>
      <c r="E5015" s="96" t="n"/>
    </row>
    <row r="5016" ht="15" customHeight="1" s="109" thickBot="1">
      <c r="B5016" s="96" t="inlineStr">
        <is>
          <t>ICICI Prudential S&amp;P BSE 500 ETF</t>
        </is>
      </c>
      <c r="C5016" s="97" t="n">
        <v>541313</v>
      </c>
      <c r="D5016" s="96" t="inlineStr">
        <is>
          <t>ICICI500</t>
        </is>
      </c>
      <c r="E5016" s="96" t="n"/>
    </row>
    <row r="5017" ht="15" customHeight="1" s="109" thickBot="1">
      <c r="B5017" s="96" t="inlineStr">
        <is>
          <t>Kotak India Growth Fund Series 5 - Regular Plan - Growth Option</t>
        </is>
      </c>
      <c r="C5017" s="97" t="n">
        <v>541341</v>
      </c>
      <c r="D5017" s="96" t="inlineStr">
        <is>
          <t>KTKIND5RG</t>
        </is>
      </c>
      <c r="E5017" s="96" t="n"/>
    </row>
    <row r="5018" ht="15" customHeight="1" s="109" thickBot="1">
      <c r="B5018" s="96" t="inlineStr">
        <is>
          <t>Kotak India Growth Fund Series 5 - Regular Plan - Dividend Option</t>
        </is>
      </c>
      <c r="C5018" s="97" t="n">
        <v>541343</v>
      </c>
      <c r="D5018" s="96" t="inlineStr">
        <is>
          <t>KTKIND5RD</t>
        </is>
      </c>
      <c r="E5018" s="96" t="n"/>
    </row>
    <row r="5019" ht="15" customHeight="1" s="109" thickBot="1">
      <c r="B5019" s="96" t="inlineStr">
        <is>
          <t>Kotak India Growth Fund Series 5 - Direct Plan - Growth Option</t>
        </is>
      </c>
      <c r="C5019" s="97" t="n">
        <v>541345</v>
      </c>
      <c r="D5019" s="96" t="inlineStr">
        <is>
          <t>KTKIND5DG</t>
        </is>
      </c>
      <c r="E5019" s="96" t="n"/>
    </row>
    <row r="5020" ht="15" customHeight="1" s="109" thickBot="1">
      <c r="B5020" s="96" t="inlineStr">
        <is>
          <t>Kotak India Growth Fund Series 5 - Direct Plan - Dividend Option</t>
        </is>
      </c>
      <c r="C5020" s="97" t="n">
        <v>541346</v>
      </c>
      <c r="D5020" s="96" t="inlineStr">
        <is>
          <t>KTKIND5DD</t>
        </is>
      </c>
      <c r="E5020" s="96" t="n"/>
    </row>
    <row r="5021" ht="15" customHeight="1" s="109" thickBot="1">
      <c r="B5021" s="96" t="inlineStr">
        <is>
          <t>ICICI Prudential Bharat Consumption Fund - Series 3 - Cumulative Option</t>
        </is>
      </c>
      <c r="C5021" s="97" t="n">
        <v>541672</v>
      </c>
      <c r="D5021" s="96" t="inlineStr">
        <is>
          <t>IPRU3143</t>
        </is>
      </c>
      <c r="E5021" s="96" t="n"/>
    </row>
    <row r="5022" ht="15" customHeight="1" s="109" thickBot="1">
      <c r="B5022" s="96" t="inlineStr">
        <is>
          <t>ICICI Prudential Bharat Consumption Fund - Series 3 - Dividend Payout Option</t>
        </is>
      </c>
      <c r="C5022" s="97" t="n">
        <v>541673</v>
      </c>
      <c r="D5022" s="96" t="inlineStr">
        <is>
          <t>IPRU3144</t>
        </is>
      </c>
      <c r="E5022" s="96" t="n"/>
    </row>
    <row r="5023" ht="15" customHeight="1" s="109" thickBot="1">
      <c r="B5023" s="96" t="inlineStr">
        <is>
          <t>ICICI Prudential Bharat Consumption Fund - Series 3 - Direct Plan - Cumulative Option</t>
        </is>
      </c>
      <c r="C5023" s="97" t="n">
        <v>541674</v>
      </c>
      <c r="D5023" s="96" t="inlineStr">
        <is>
          <t>IPRU9345</t>
        </is>
      </c>
      <c r="E5023" s="96" t="n"/>
    </row>
    <row r="5024" ht="15" customHeight="1" s="109" thickBot="1">
      <c r="B5024" s="96" t="inlineStr">
        <is>
          <t>ICICI Prudential Bharat Consumption Fund - Series 3 - Direct Plan - Dividend Payout Option</t>
        </is>
      </c>
      <c r="C5024" s="97" t="n">
        <v>541675</v>
      </c>
      <c r="D5024" s="96" t="inlineStr">
        <is>
          <t>IPRU9346</t>
        </is>
      </c>
      <c r="E5024" s="96" t="n"/>
    </row>
    <row r="5025" ht="15" customHeight="1" s="109" thickBot="1">
      <c r="B5025" s="96" t="inlineStr">
        <is>
          <t>Tata Vaue Fund Series 1 - Regular Plan - Dividend Payout Option</t>
        </is>
      </c>
      <c r="C5025" s="97" t="n">
        <v>541676</v>
      </c>
      <c r="D5025" s="96" t="inlineStr">
        <is>
          <t>TVF1D</t>
        </is>
      </c>
      <c r="E5025" s="96" t="n"/>
    </row>
    <row r="5026" ht="15" customHeight="1" s="109" thickBot="1">
      <c r="B5026" s="96" t="inlineStr">
        <is>
          <t>Tata Vaue Fund Series 1 - Direct Plan - Dividend Payout Option</t>
        </is>
      </c>
      <c r="C5026" s="97" t="n">
        <v>541677</v>
      </c>
      <c r="D5026" s="96" t="inlineStr">
        <is>
          <t>TVF1DZ</t>
        </is>
      </c>
      <c r="E5026" s="96" t="n"/>
    </row>
    <row r="5027" ht="15" customHeight="1" s="109" thickBot="1">
      <c r="B5027" s="96" t="inlineStr">
        <is>
          <t>Tata Vaue Fund Series 1 - Regular Plan - Growth Option</t>
        </is>
      </c>
      <c r="C5027" s="97" t="n">
        <v>541678</v>
      </c>
      <c r="D5027" s="96" t="inlineStr">
        <is>
          <t>TVF1G</t>
        </is>
      </c>
      <c r="E5027" s="96" t="n"/>
    </row>
    <row r="5028" ht="15" customHeight="1" s="109" thickBot="1">
      <c r="B5028" s="96" t="inlineStr">
        <is>
          <t>Tata Vaue Fund Series 1 - Direct Plan - Growth Option</t>
        </is>
      </c>
      <c r="C5028" s="97" t="n">
        <v>541679</v>
      </c>
      <c r="D5028" s="96" t="inlineStr">
        <is>
          <t>TVF1GZ</t>
        </is>
      </c>
      <c r="E5028" s="96" t="n"/>
    </row>
    <row r="5029" ht="15" customHeight="1" s="109" thickBot="1">
      <c r="B5029" s="96" t="inlineStr">
        <is>
          <t>IDFC Equity Opportunity - Series 6 - Regular Plan - Growth Option</t>
        </is>
      </c>
      <c r="C5029" s="97" t="n">
        <v>541725</v>
      </c>
      <c r="D5029" s="96" t="inlineStr">
        <is>
          <t>IDFCEOS6RG</t>
        </is>
      </c>
      <c r="E5029" s="96" t="n"/>
    </row>
    <row r="5030" ht="15" customHeight="1" s="109" thickBot="1">
      <c r="B5030" s="96" t="inlineStr">
        <is>
          <t>IDFC Equity Opportunity - Series 6 - Regular Plan - Dividend Payout Option</t>
        </is>
      </c>
      <c r="C5030" s="97" t="n">
        <v>541726</v>
      </c>
      <c r="D5030" s="96" t="inlineStr">
        <is>
          <t>IDFCEOS6RD</t>
        </is>
      </c>
      <c r="E5030" s="96" t="n"/>
    </row>
    <row r="5031" ht="15" customHeight="1" s="109" thickBot="1">
      <c r="B5031" s="96" t="inlineStr">
        <is>
          <t>IDFC Equity Opportunity - Series 6 - Direct Plan - Growth Option</t>
        </is>
      </c>
      <c r="C5031" s="97" t="n">
        <v>541727</v>
      </c>
      <c r="D5031" s="96" t="inlineStr">
        <is>
          <t>IDFCEOS6DG</t>
        </is>
      </c>
      <c r="E5031" s="96" t="n"/>
    </row>
    <row r="5032" ht="15" customHeight="1" s="109" thickBot="1">
      <c r="B5032" s="96" t="inlineStr">
        <is>
          <t>IDFC Equity Opportunity - Series 6 - Direct Plan - Dividend Payout Option</t>
        </is>
      </c>
      <c r="C5032" s="97" t="n">
        <v>541728</v>
      </c>
      <c r="D5032" s="96" t="inlineStr">
        <is>
          <t>IDFCEOS6DD</t>
        </is>
      </c>
      <c r="E5032" s="96" t="n"/>
    </row>
    <row r="5033" ht="15" customHeight="1" s="109" thickBot="1">
      <c r="B5033" s="96" t="inlineStr">
        <is>
          <t>TATA Value Fund Series 2 - Regular Plan - Dividend Payout Option</t>
        </is>
      </c>
      <c r="C5033" s="97" t="n">
        <v>541742</v>
      </c>
      <c r="D5033" s="96" t="inlineStr">
        <is>
          <t>TVF2D</t>
        </is>
      </c>
      <c r="E5033" s="96" t="n"/>
    </row>
    <row r="5034" ht="15" customHeight="1" s="109" thickBot="1">
      <c r="B5034" s="96" t="inlineStr">
        <is>
          <t>TATA Value Fund Series 2 - Direct Plan - Dividend Payout Option</t>
        </is>
      </c>
      <c r="C5034" s="97" t="n">
        <v>541743</v>
      </c>
      <c r="D5034" s="96" t="inlineStr">
        <is>
          <t>TVF2DZ</t>
        </is>
      </c>
      <c r="E5034" s="96" t="n"/>
    </row>
    <row r="5035" ht="15" customHeight="1" s="109" thickBot="1">
      <c r="B5035" s="96" t="inlineStr">
        <is>
          <t>TATA Value Fund Series 2 - Regular Plan - Growth Option</t>
        </is>
      </c>
      <c r="C5035" s="97" t="n">
        <v>541744</v>
      </c>
      <c r="D5035" s="96" t="inlineStr">
        <is>
          <t>TVF2G</t>
        </is>
      </c>
      <c r="E5035" s="96" t="n"/>
    </row>
    <row r="5036" ht="15" customHeight="1" s="109" thickBot="1">
      <c r="B5036" s="96" t="inlineStr">
        <is>
          <t>TATA Value Fund Series 2 - Direct Plan - Growth Option</t>
        </is>
      </c>
      <c r="C5036" s="97" t="n">
        <v>541745</v>
      </c>
      <c r="D5036" s="96" t="inlineStr">
        <is>
          <t>TVF2GZ</t>
        </is>
      </c>
      <c r="E5036" s="96" t="n"/>
    </row>
    <row r="5037" ht="15" customHeight="1" s="109" thickBot="1">
      <c r="B5037" s="96" t="inlineStr">
        <is>
          <t>ICICI PRU Bharat Consumption Fund - Sr 4 - Cumulative</t>
        </is>
      </c>
      <c r="C5037" s="97" t="n">
        <v>541804</v>
      </c>
      <c r="D5037" s="96" t="inlineStr">
        <is>
          <t>IPRU3168</t>
        </is>
      </c>
      <c r="E5037" s="96" t="n"/>
    </row>
    <row r="5038" ht="15" customHeight="1" s="109" thickBot="1">
      <c r="B5038" s="96" t="inlineStr">
        <is>
          <t>ICICI PRU Bharat Consumption Fund - Sr 4 - Dividend Payout Option</t>
        </is>
      </c>
      <c r="C5038" s="97" t="n">
        <v>541805</v>
      </c>
      <c r="D5038" s="96" t="inlineStr">
        <is>
          <t>IPRU3169</t>
        </is>
      </c>
      <c r="E5038" s="96" t="n"/>
    </row>
    <row r="5039" ht="15" customHeight="1" s="109" thickBot="1">
      <c r="B5039" s="96" t="inlineStr">
        <is>
          <t>ICICI PRU Bharat Consumption Fund - Sr 4 - Direct Plan Cumulative</t>
        </is>
      </c>
      <c r="C5039" s="97" t="n">
        <v>541806</v>
      </c>
      <c r="D5039" s="96" t="inlineStr">
        <is>
          <t>IPRU9370</t>
        </is>
      </c>
      <c r="E5039" s="96" t="n"/>
    </row>
    <row r="5040" ht="15" customHeight="1" s="109" thickBot="1">
      <c r="B5040" s="96" t="inlineStr">
        <is>
          <t>ICICI PRU Bharat Consumption Fund - Sr 4 - Direct Plan Dividend Payout</t>
        </is>
      </c>
      <c r="C5040" s="97" t="n">
        <v>541807</v>
      </c>
      <c r="D5040" s="96" t="inlineStr">
        <is>
          <t>IPRU9371</t>
        </is>
      </c>
      <c r="E5040" s="96" t="n"/>
    </row>
    <row r="5041" ht="15" customHeight="1" s="109" thickBot="1">
      <c r="B5041" s="96" t="inlineStr">
        <is>
          <t>ICICI Prudential Nifty Next 50 ETF</t>
        </is>
      </c>
      <c r="C5041" s="97" t="n">
        <v>541809</v>
      </c>
      <c r="D5041" s="96" t="inlineStr">
        <is>
          <t>ICICINXT50</t>
        </is>
      </c>
      <c r="E5041" s="96" t="n"/>
    </row>
    <row r="5042" ht="15" customHeight="1" s="109" thickBot="1">
      <c r="B5042" s="96" t="inlineStr">
        <is>
          <t>Kotak India Growth Fund Series 7 - Regular Plan - Growth Option</t>
        </is>
      </c>
      <c r="C5042" s="97" t="n">
        <v>541879</v>
      </c>
      <c r="D5042" s="96" t="inlineStr">
        <is>
          <t>KTKIND7RG</t>
        </is>
      </c>
      <c r="E5042" s="96" t="n"/>
    </row>
    <row r="5043" ht="15" customHeight="1" s="109" thickBot="1">
      <c r="B5043" s="96" t="inlineStr">
        <is>
          <t>Kotak India Growth Fund Series 7 - Regular Plan - Dividend Option</t>
        </is>
      </c>
      <c r="C5043" s="97" t="n">
        <v>541881</v>
      </c>
      <c r="D5043" s="96" t="inlineStr">
        <is>
          <t>KTKIND7RD</t>
        </is>
      </c>
      <c r="E5043" s="96" t="n"/>
    </row>
    <row r="5044" ht="15" customHeight="1" s="109" thickBot="1">
      <c r="B5044" s="96" t="inlineStr">
        <is>
          <t>Kotak India Growth Fund Series 7 - Direct Plan - Growth Option</t>
        </is>
      </c>
      <c r="C5044" s="97" t="n">
        <v>541882</v>
      </c>
      <c r="D5044" s="96" t="inlineStr">
        <is>
          <t>KTKIND7DG</t>
        </is>
      </c>
      <c r="E5044" s="96" t="n"/>
    </row>
    <row r="5045" ht="15" customHeight="1" s="109" thickBot="1">
      <c r="B5045" s="96" t="inlineStr">
        <is>
          <t>Kotak India Growth Fund Series 7 - Direct Plan - Dividend Option</t>
        </is>
      </c>
      <c r="C5045" s="97" t="n">
        <v>541884</v>
      </c>
      <c r="D5045" s="96" t="inlineStr">
        <is>
          <t>KTKIND7DD</t>
        </is>
      </c>
      <c r="E5045" s="96" t="n"/>
    </row>
    <row r="5046" ht="15" customHeight="1" s="109" thickBot="1">
      <c r="B5046" s="96" t="inlineStr">
        <is>
          <t>SBI - ETF - SENSEX NEXT 50</t>
        </is>
      </c>
      <c r="C5046" s="97" t="n">
        <v>541972</v>
      </c>
      <c r="D5046" s="96" t="inlineStr">
        <is>
          <t>SETFSN50</t>
        </is>
      </c>
      <c r="E5046" s="96" t="n"/>
    </row>
    <row r="5047" ht="15" customHeight="1" s="109" thickBot="1">
      <c r="B5047" s="96" t="inlineStr">
        <is>
          <t>NIPPON INDIA MUTUAL FUND INDIA OPPT FD SR A RG GWTH31JN22</t>
        </is>
      </c>
      <c r="C5047" s="97" t="n">
        <v>541984</v>
      </c>
      <c r="D5047" s="96" t="inlineStr">
        <is>
          <t>NIOSAG</t>
        </is>
      </c>
      <c r="E5047" s="96" t="n"/>
    </row>
    <row r="5048" ht="15" customHeight="1" s="109" thickBot="1">
      <c r="B5048" s="96" t="inlineStr">
        <is>
          <t>NIPPON INDIA MUTUAL FUND INDIA OPPT FD SR A RG DVP31JN22</t>
        </is>
      </c>
      <c r="C5048" s="97" t="n">
        <v>541985</v>
      </c>
      <c r="D5048" s="96" t="inlineStr">
        <is>
          <t>NIOSAD</t>
        </is>
      </c>
      <c r="E5048" s="96" t="n"/>
    </row>
    <row r="5049" ht="15" customHeight="1" s="109" thickBot="1">
      <c r="B5049" s="96" t="inlineStr">
        <is>
          <t>NIPPON INDIA MUTUAL FUND INDIA OPPT FD SR A DR GWTH31JN22</t>
        </is>
      </c>
      <c r="C5049" s="97" t="n">
        <v>541986</v>
      </c>
      <c r="D5049" s="96" t="inlineStr">
        <is>
          <t>NIOSADG</t>
        </is>
      </c>
      <c r="E5049" s="96" t="n"/>
    </row>
    <row r="5050" ht="15" customHeight="1" s="109" thickBot="1">
      <c r="B5050" s="96" t="inlineStr">
        <is>
          <t>NIPPON INDIA MUTUAL FUND INDIA OPPT FD SR A DR DVP31JN22</t>
        </is>
      </c>
      <c r="C5050" s="97" t="n">
        <v>541987</v>
      </c>
      <c r="D5050" s="96" t="inlineStr">
        <is>
          <t>NIOSADD</t>
        </is>
      </c>
      <c r="E5050" s="96" t="n"/>
    </row>
    <row r="5051" ht="15" customHeight="1" s="109" thickBot="1">
      <c r="B5051" s="96" t="inlineStr">
        <is>
          <t>MIRAE ASSET NIFTY 50 ETF (MAN50ETF)</t>
        </is>
      </c>
      <c r="C5051" s="97" t="n">
        <v>542131</v>
      </c>
      <c r="D5051" s="96" t="inlineStr">
        <is>
          <t>MAN50ETF</t>
        </is>
      </c>
      <c r="E5051" s="96" t="n"/>
    </row>
    <row r="5052" ht="15" customHeight="1" s="109" thickBot="1">
      <c r="B5052" s="96" t="inlineStr">
        <is>
          <t>ICICI Prudential Bharat Consumption Fund - Series 5 - Cumulative Option</t>
        </is>
      </c>
      <c r="C5052" s="97" t="n">
        <v>542156</v>
      </c>
      <c r="D5052" s="96" t="inlineStr">
        <is>
          <t>IPRU3218</t>
        </is>
      </c>
      <c r="E5052" s="96" t="n"/>
    </row>
    <row r="5053" ht="15" customHeight="1" s="109" thickBot="1">
      <c r="B5053" s="96" t="inlineStr">
        <is>
          <t>ICICI Prudential Bharat Consumption Fund - Series 5 - Dividend Payout Option</t>
        </is>
      </c>
      <c r="C5053" s="97" t="n">
        <v>542158</v>
      </c>
      <c r="D5053" s="96" t="inlineStr">
        <is>
          <t>IPRU3219</t>
        </is>
      </c>
      <c r="E5053" s="96" t="n"/>
    </row>
    <row r="5054" ht="15" customHeight="1" s="109" thickBot="1">
      <c r="B5054" s="96" t="inlineStr">
        <is>
          <t>ICICI Prudential Bharat Consumption Fund - Series 5 - Direct Plan - Cumulative Option</t>
        </is>
      </c>
      <c r="C5054" s="97" t="n">
        <v>542160</v>
      </c>
      <c r="D5054" s="96" t="inlineStr">
        <is>
          <t>IPRU9420</t>
        </is>
      </c>
      <c r="E5054" s="96" t="n"/>
    </row>
    <row r="5055" ht="15" customHeight="1" s="109" thickBot="1">
      <c r="B5055" s="96" t="inlineStr">
        <is>
          <t>ICICI Prudential Bharat Consumption Fund - Series 5 - Direct Plan - Dividend Payout Option</t>
        </is>
      </c>
      <c r="C5055" s="97" t="n">
        <v>542163</v>
      </c>
      <c r="D5055" s="96" t="inlineStr">
        <is>
          <t>IPRU9421</t>
        </is>
      </c>
      <c r="E5055" s="96" t="n"/>
    </row>
    <row r="5056" ht="15" customHeight="1" s="109" thickBot="1">
      <c r="B5056" s="96" t="inlineStr">
        <is>
          <t>Aditya Birla Sun Life Nifty Next 50 ETF</t>
        </is>
      </c>
      <c r="C5056" s="97" t="n">
        <v>542230</v>
      </c>
      <c r="D5056" s="96" t="inlineStr">
        <is>
          <t>ABSLNN50ET</t>
        </is>
      </c>
      <c r="E5056" s="96" t="n"/>
    </row>
    <row r="5057" ht="15" customHeight="1" s="109" thickBot="1">
      <c r="B5057" s="96" t="inlineStr">
        <is>
          <t>Axis&amp;#160;Capital&amp;#160;Builder&amp;#160;Fund&amp;#160;-&amp;#160;Series&amp;#160;4&amp;#160;(1582&amp;#160;days)&amp;#160;-</t>
        </is>
      </c>
      <c r="C5057" s="97" t="n">
        <v>542244</v>
      </c>
      <c r="D5057" s="96" t="inlineStr">
        <is>
          <t>AXISCCDID</t>
        </is>
      </c>
      <c r="E5057" s="96" t="n"/>
    </row>
    <row r="5058" ht="15" customHeight="1" s="109" thickBot="1">
      <c r="B5058" s="96" t="inlineStr">
        <is>
          <t>Axis&amp;#160;Capital&amp;#160;Builder&amp;#160;Fund&amp;#160;-&amp;#160;Series&amp;#160;4&amp;#160;(1582&amp;#160;days)&amp;#160;-Direct&amp;#160;Plan&amp;#160;-&amp;#160;Growth&amp;#160;Option</t>
        </is>
      </c>
      <c r="C5058" s="97" t="n">
        <v>542245</v>
      </c>
      <c r="D5058" s="96" t="inlineStr">
        <is>
          <t>AXISCCDGG</t>
        </is>
      </c>
      <c r="E5058" s="96" t="n"/>
    </row>
    <row r="5059" ht="15" customHeight="1" s="109" thickBot="1">
      <c r="B5059" s="96" t="inlineStr">
        <is>
          <t>Axis&amp;#160;Capital&amp;#160;Builder&amp;#160;Fund&amp;#160;-&amp;#160;Series&amp;#160;4&amp;#160;(1582&amp;#160;days)&amp;#160;-Regular&amp;#160;Plan&amp;#160;-&amp;#160;Dividend&amp;#160;Payout&amp;#160;Option</t>
        </is>
      </c>
      <c r="C5059" s="97" t="n">
        <v>542246</v>
      </c>
      <c r="D5059" s="96" t="inlineStr">
        <is>
          <t>AXISCCDPD</t>
        </is>
      </c>
      <c r="E5059" s="96" t="n"/>
    </row>
    <row r="5060" ht="15" customHeight="1" s="109" thickBot="1">
      <c r="B5060" s="96" t="inlineStr">
        <is>
          <t>Axis&amp;#160;Capital&amp;#160;Builder&amp;#160;Fund&amp;#160;-&amp;#160;Series&amp;#160;4&amp;#160;(1582&amp;#160;days)&amp;#160;- Regular&amp;#160;Plan&amp;#160;-&amp;#160;Growth&amp;#160;Option</t>
        </is>
      </c>
      <c r="C5060" s="97" t="n">
        <v>542247</v>
      </c>
      <c r="D5060" s="96" t="inlineStr">
        <is>
          <t>AXISCCGPG</t>
        </is>
      </c>
      <c r="E5060" s="96" t="n"/>
    </row>
    <row r="5061" ht="15" customHeight="1" s="109" thickBot="1">
      <c r="B5061" s="96" t="inlineStr">
        <is>
          <t>UTI S&amp;P BSE Sensex Next 50 ETF</t>
        </is>
      </c>
      <c r="C5061" s="97" t="n">
        <v>542513</v>
      </c>
      <c r="D5061" s="96" t="inlineStr">
        <is>
          <t>UTISXN50</t>
        </is>
      </c>
      <c r="E5061" s="96" t="n"/>
    </row>
    <row r="5062" ht="15" customHeight="1" s="109" thickBot="1">
      <c r="B5062" s="96" t="inlineStr">
        <is>
          <t>India Infrastructure Trust</t>
        </is>
      </c>
      <c r="C5062" s="97" t="n">
        <v>542543</v>
      </c>
      <c r="D5062" s="96" t="inlineStr">
        <is>
          <t>INFRATRUST</t>
        </is>
      </c>
      <c r="E5062" s="96" t="n"/>
    </row>
    <row r="5063" ht="15" customHeight="1" s="109" thickBot="1">
      <c r="B5063" s="96" t="inlineStr">
        <is>
          <t>Parshva Enterprises Ltd</t>
        </is>
      </c>
      <c r="C5063" s="97" t="n">
        <v>542694</v>
      </c>
      <c r="D5063" s="96" t="inlineStr">
        <is>
          <t>PARSHVA</t>
        </is>
      </c>
      <c r="E5063" s="96" t="inlineStr">
        <is>
          <t>Comm.Trading &amp; Distribution</t>
        </is>
      </c>
    </row>
    <row r="5064" ht="15" customHeight="1" s="109" thickBot="1">
      <c r="B5064" s="96" t="inlineStr">
        <is>
          <t>Anand Rayons Ltd</t>
        </is>
      </c>
      <c r="C5064" s="97" t="n">
        <v>542721</v>
      </c>
      <c r="D5064" s="96" t="inlineStr">
        <is>
          <t>ARL</t>
        </is>
      </c>
      <c r="E5064" s="96" t="inlineStr">
        <is>
          <t>Comm.Trading &amp; Distribution</t>
        </is>
      </c>
    </row>
    <row r="5065" ht="15" customHeight="1" s="109" thickBot="1">
      <c r="B5065" s="96" t="inlineStr">
        <is>
          <t>Earum Pharmaceuticals Ltd</t>
        </is>
      </c>
      <c r="C5065" s="97" t="n">
        <v>542724</v>
      </c>
      <c r="D5065" s="96" t="inlineStr">
        <is>
          <t>EARUM</t>
        </is>
      </c>
      <c r="E5065" s="96" t="inlineStr">
        <is>
          <t>Pharmaceuticals</t>
        </is>
      </c>
    </row>
    <row r="5066" ht="15" customHeight="1" s="109" thickBot="1">
      <c r="B5066" s="96" t="inlineStr">
        <is>
          <t>SBC Exports Ltd</t>
        </is>
      </c>
      <c r="C5066" s="97" t="n">
        <v>542725</v>
      </c>
      <c r="D5066" s="96" t="inlineStr">
        <is>
          <t>SBC</t>
        </is>
      </c>
      <c r="E5066" s="96" t="inlineStr">
        <is>
          <t>Other Apparels &amp; Accessories</t>
        </is>
      </c>
    </row>
    <row r="5067" ht="15" customHeight="1" s="109" thickBot="1">
      <c r="B5067" s="96" t="inlineStr">
        <is>
          <t>IndiaMART InterMESH Ltd</t>
        </is>
      </c>
      <c r="C5067" s="97" t="n">
        <v>542726</v>
      </c>
      <c r="D5067" s="96" t="inlineStr">
        <is>
          <t>INDIAMART</t>
        </is>
      </c>
      <c r="E5067" s="96" t="inlineStr">
        <is>
          <t>Internet Software &amp; Services</t>
        </is>
      </c>
    </row>
    <row r="5068" ht="15" customHeight="1" s="109" thickBot="1">
      <c r="B5068" s="96" t="inlineStr">
        <is>
          <t>City Pulse Multiplex Ltd</t>
        </is>
      </c>
      <c r="C5068" s="97" t="n">
        <v>542727</v>
      </c>
      <c r="D5068" s="96" t="inlineStr">
        <is>
          <t>CPML</t>
        </is>
      </c>
      <c r="E5068" s="96" t="inlineStr">
        <is>
          <t>Specialty Retail</t>
        </is>
      </c>
    </row>
    <row r="5069" ht="15" customHeight="1" s="109" thickBot="1">
      <c r="B5069" s="96" t="inlineStr">
        <is>
          <t>SK International Export Ltd</t>
        </is>
      </c>
      <c r="C5069" s="97" t="n">
        <v>542728</v>
      </c>
      <c r="D5069" s="96" t="inlineStr">
        <is>
          <t>SKIEL</t>
        </is>
      </c>
      <c r="E5069" s="96" t="inlineStr">
        <is>
          <t>Other Apparels &amp; Accessories</t>
        </is>
      </c>
    </row>
    <row r="5070" ht="15" customHeight="1" s="109" thickBot="1">
      <c r="B5070" s="96" t="inlineStr">
        <is>
          <t>DCM Nouvelle Ltd</t>
        </is>
      </c>
      <c r="C5070" s="97" t="n">
        <v>542729</v>
      </c>
      <c r="D5070" s="96" t="inlineStr">
        <is>
          <t>DCMNVL</t>
        </is>
      </c>
      <c r="E5070" s="96" t="inlineStr">
        <is>
          <t>Textiles</t>
        </is>
      </c>
    </row>
    <row r="5071" ht="15" customHeight="1" s="109" thickBot="1">
      <c r="B5071" s="96" t="inlineStr">
        <is>
          <t>ICICI Prudential Bank ETF</t>
        </is>
      </c>
      <c r="C5071" s="97" t="n">
        <v>542730</v>
      </c>
      <c r="D5071" s="96" t="inlineStr">
        <is>
          <t>ICICIBANKN</t>
        </is>
      </c>
      <c r="E5071" s="96" t="n"/>
    </row>
    <row r="5072" ht="15" customHeight="1" s="109" thickBot="1">
      <c r="B5072" s="96" t="inlineStr">
        <is>
          <t>NIPPON INDIA ETF SENSEX NEXT 50</t>
        </is>
      </c>
      <c r="C5072" s="97" t="n">
        <v>542747</v>
      </c>
      <c r="D5072" s="96" t="inlineStr">
        <is>
          <t>NETFSNX150</t>
        </is>
      </c>
      <c r="E5072" s="96" t="n"/>
    </row>
    <row r="5073" ht="15" customHeight="1" s="109" thickBot="1">
      <c r="B5073" s="96" t="inlineStr">
        <is>
          <t>Affle (India) Ltd</t>
        </is>
      </c>
      <c r="C5073" s="97" t="n">
        <v>542752</v>
      </c>
      <c r="D5073" s="96" t="inlineStr">
        <is>
          <t>AFFLE</t>
        </is>
      </c>
      <c r="E5073" s="96" t="inlineStr">
        <is>
          <t>Advertising &amp; Media</t>
        </is>
      </c>
    </row>
    <row r="5074" ht="15" customHeight="1" s="109" thickBot="1">
      <c r="B5074" s="96" t="inlineStr">
        <is>
          <t>Seacoast Shipping Services Ltd</t>
        </is>
      </c>
      <c r="C5074" s="97" t="n">
        <v>542753</v>
      </c>
      <c r="D5074" s="96" t="inlineStr">
        <is>
          <t>SEACOAST</t>
        </is>
      </c>
      <c r="E5074" s="96" t="inlineStr">
        <is>
          <t>Distributors</t>
        </is>
      </c>
    </row>
    <row r="5075" ht="15" customHeight="1" s="109" thickBot="1">
      <c r="B5075" s="96" t="inlineStr">
        <is>
          <t>ICICI Prudential Private Banks ETF</t>
        </is>
      </c>
      <c r="C5075" s="97" t="n">
        <v>542758</v>
      </c>
      <c r="D5075" s="96" t="inlineStr">
        <is>
          <t>ICICIBANKP</t>
        </is>
      </c>
      <c r="E5075" s="96" t="n"/>
    </row>
    <row r="5076" ht="15" customHeight="1" s="109" thickBot="1">
      <c r="B5076" s="96" t="inlineStr">
        <is>
          <t>Spandana Sphoorty Financial Ltd</t>
        </is>
      </c>
      <c r="C5076" s="97" t="n">
        <v>542759</v>
      </c>
      <c r="D5076" s="96" t="inlineStr">
        <is>
          <t>SPANDANA</t>
        </is>
      </c>
      <c r="E5076" s="96" t="inlineStr">
        <is>
          <t>Finance (including NBFCs)</t>
        </is>
      </c>
    </row>
    <row r="5077" ht="15" customHeight="1" s="109" thickBot="1">
      <c r="B5077" s="96" t="inlineStr">
        <is>
          <t>Sterling and Wilson Solar Ltd</t>
        </is>
      </c>
      <c r="C5077" s="97" t="n">
        <v>542760</v>
      </c>
      <c r="D5077" s="96" t="inlineStr">
        <is>
          <t>SWSOLAR</t>
        </is>
      </c>
      <c r="E5077" s="96" t="inlineStr">
        <is>
          <t>Heavy Electrical Equipment</t>
        </is>
      </c>
    </row>
    <row r="5078" ht="15" customHeight="1" s="109" thickBot="1">
      <c r="B5078" s="96" t="inlineStr">
        <is>
          <t>Transpact Enterprises Ltd</t>
        </is>
      </c>
      <c r="C5078" s="97" t="n">
        <v>542765</v>
      </c>
      <c r="D5078" s="96" t="inlineStr">
        <is>
          <t>TRANSPACT</t>
        </is>
      </c>
      <c r="E5078" s="96" t="inlineStr">
        <is>
          <t>Medical Equipment</t>
        </is>
      </c>
    </row>
    <row r="5079" ht="15" customHeight="1" s="109" thickBot="1">
      <c r="B5079" s="96" t="inlineStr">
        <is>
          <t>Alphalogic Techsys Ltd</t>
        </is>
      </c>
      <c r="C5079" s="97" t="n">
        <v>542770</v>
      </c>
      <c r="D5079" s="96" t="inlineStr">
        <is>
          <t>ALPHALOGIC</t>
        </is>
      </c>
      <c r="E5079" s="96" t="inlineStr">
        <is>
          <t>IT Consulting &amp; Software</t>
        </is>
      </c>
    </row>
    <row r="5080" ht="15" customHeight="1" s="109" thickBot="1">
      <c r="B5080" s="96" t="inlineStr">
        <is>
          <t>Novateor Research Laboratories Ltd</t>
        </is>
      </c>
      <c r="C5080" s="97" t="n">
        <v>542771</v>
      </c>
      <c r="D5080" s="96" t="inlineStr">
        <is>
          <t>NOVATEOR</t>
        </is>
      </c>
      <c r="E5080" s="96" t="inlineStr">
        <is>
          <t>Personal Products</t>
        </is>
      </c>
    </row>
    <row r="5081" ht="15" customHeight="1" s="109" thickBot="1">
      <c r="B5081" s="96" t="inlineStr">
        <is>
          <t>IIFL Wealth Management Ltd</t>
        </is>
      </c>
      <c r="C5081" s="97" t="n">
        <v>542772</v>
      </c>
      <c r="D5081" s="96" t="inlineStr">
        <is>
          <t>IIFLWAM</t>
        </is>
      </c>
      <c r="E5081" s="96" t="inlineStr">
        <is>
          <t>Other Financial Services</t>
        </is>
      </c>
    </row>
    <row r="5082" ht="15" customHeight="1" s="109" thickBot="1">
      <c r="B5082" s="96" t="inlineStr">
        <is>
          <t>IIFL Securities Ltd</t>
        </is>
      </c>
      <c r="C5082" s="97" t="n">
        <v>542773</v>
      </c>
      <c r="D5082" s="96" t="inlineStr">
        <is>
          <t>IIFLSEC</t>
        </is>
      </c>
      <c r="E5082" s="96" t="inlineStr">
        <is>
          <t>Other Financial Services</t>
        </is>
      </c>
    </row>
    <row r="5083" ht="15" customHeight="1" s="109" thickBot="1">
      <c r="B5083" s="96" t="inlineStr">
        <is>
          <t>APM Finvest Ltd</t>
        </is>
      </c>
      <c r="C5083" s="97" t="n">
        <v>542774</v>
      </c>
      <c r="D5083" s="96" t="inlineStr">
        <is>
          <t>APMFINVEST</t>
        </is>
      </c>
      <c r="E5083" s="96" t="inlineStr">
        <is>
          <t>Finance (including NBFCs)</t>
        </is>
      </c>
    </row>
    <row r="5084" ht="15" customHeight="1" s="109" thickBot="1">
      <c r="B5084" s="96" t="inlineStr">
        <is>
          <t>Misquita Engineering Ltd</t>
        </is>
      </c>
      <c r="C5084" s="97" t="n">
        <v>542801</v>
      </c>
      <c r="D5084" s="96" t="inlineStr">
        <is>
          <t>MISQUITA</t>
        </is>
      </c>
      <c r="E5084" s="96" t="inlineStr">
        <is>
          <t>Industrial Machinery</t>
        </is>
      </c>
    </row>
    <row r="5085" ht="15" customHeight="1" s="109" thickBot="1">
      <c r="B5085" s="96" t="inlineStr">
        <is>
          <t>Galactico Corporate Services Ltd</t>
        </is>
      </c>
      <c r="C5085" s="97" t="n">
        <v>542802</v>
      </c>
      <c r="D5085" s="96" t="inlineStr">
        <is>
          <t>GALACTICO</t>
        </is>
      </c>
      <c r="E5085" s="96" t="inlineStr">
        <is>
          <t>Other Financial Services</t>
        </is>
      </c>
    </row>
    <row r="5086" ht="15" customHeight="1" s="109" thickBot="1">
      <c r="B5086" s="96" t="inlineStr">
        <is>
          <t>Ellora Trading Ltd</t>
        </is>
      </c>
      <c r="C5086" s="97" t="n">
        <v>542803</v>
      </c>
      <c r="D5086" s="96" t="inlineStr">
        <is>
          <t>ELLORATRAD</t>
        </is>
      </c>
      <c r="E5086" s="96" t="inlineStr">
        <is>
          <t>Comm.Trading &amp; Distribution</t>
        </is>
      </c>
    </row>
    <row r="5087" ht="15" customHeight="1" s="109" thickBot="1">
      <c r="B5087" s="96" t="inlineStr">
        <is>
          <t>NIPPON INDIA EQUITY SAVINGS FUND - SEGREGATED PORTFOLIO 1 - DIVIDEND PLANDIVIDEND PAYOUT</t>
        </is>
      </c>
      <c r="C5087" s="97" t="n">
        <v>542804</v>
      </c>
      <c r="D5087" s="96" t="inlineStr">
        <is>
          <t>NIESSPJ</t>
        </is>
      </c>
      <c r="E5087" s="96" t="n"/>
    </row>
    <row r="5088" ht="15" customHeight="1" s="109" thickBot="1">
      <c r="B5088" s="96" t="inlineStr">
        <is>
          <t>NIPPON INDIA EQUITY SAVINGS FUND - SEGREGATED PORTFOLIO 1 - DIRECT QUARTERLY DIVIDEND PLAN REINVESTMENT</t>
        </is>
      </c>
      <c r="C5088" s="97" t="n">
        <v>542805</v>
      </c>
      <c r="D5088" s="96" t="inlineStr">
        <is>
          <t>NIESSPI</t>
        </is>
      </c>
      <c r="E5088" s="96" t="n"/>
    </row>
    <row r="5089" ht="15" customHeight="1" s="109" thickBot="1">
      <c r="B5089" s="96" t="inlineStr">
        <is>
          <t>NIPPON INDIA EQUITY SAVINGS FUND - SEGREGATED PORTFOLIO 1 - DIRECT BONUS PLAN BONUS</t>
        </is>
      </c>
      <c r="C5089" s="97" t="n">
        <v>542806</v>
      </c>
      <c r="D5089" s="96" t="inlineStr">
        <is>
          <t>NIESSPB</t>
        </is>
      </c>
      <c r="E5089" s="96" t="n"/>
    </row>
    <row r="5090" ht="15" customHeight="1" s="109" thickBot="1">
      <c r="B5090" s="96" t="inlineStr">
        <is>
          <t>NIPPON INDIA EQUITY SAVINGS FUND - SEGREGATED PORTFOLIO 1 - QUARTERLY DIVIDEND PLANDIVIDEND PAYOUT</t>
        </is>
      </c>
      <c r="C5090" s="97" t="n">
        <v>542807</v>
      </c>
      <c r="D5090" s="96" t="inlineStr">
        <is>
          <t>NIESSPO</t>
        </is>
      </c>
      <c r="E5090" s="96" t="n"/>
    </row>
    <row r="5091" ht="15" customHeight="1" s="109" thickBot="1">
      <c r="B5091" s="96" t="inlineStr">
        <is>
          <t>NIPPON INDIA EQUITY SAVINGS FUND - SEGREGATED PORTFOLIO 1 - DIRECT DIVIDEND PLAN DIVIDEND PAYOUT</t>
        </is>
      </c>
      <c r="C5091" s="97" t="n">
        <v>542808</v>
      </c>
      <c r="D5091" s="96" t="inlineStr">
        <is>
          <t>NIESSPC</t>
        </is>
      </c>
      <c r="E5091" s="96" t="n"/>
    </row>
    <row r="5092" ht="15" customHeight="1" s="109" thickBot="1">
      <c r="B5092" s="96" t="inlineStr">
        <is>
          <t>NIPPON INDIA EQUITY SAVINGS FUND - SEGREGATED PORTFOLIO 1 - QUARTERLY DIVIDEND PLAN REINVESTMENT</t>
        </is>
      </c>
      <c r="C5092" s="97" t="n">
        <v>542809</v>
      </c>
      <c r="D5092" s="96" t="inlineStr">
        <is>
          <t>NIESSPP</t>
        </is>
      </c>
      <c r="E5092" s="96" t="n"/>
    </row>
    <row r="5093" ht="15" customHeight="1" s="109" thickBot="1">
      <c r="B5093" s="96" t="inlineStr">
        <is>
          <t>NIPPON INDIA EQUITY SAVINGS FUND - SEGREGATED PORTFOLIO 1 - BONUS PLANBONUS</t>
        </is>
      </c>
      <c r="C5093" s="97" t="n">
        <v>542810</v>
      </c>
      <c r="D5093" s="96" t="inlineStr">
        <is>
          <t>NIESSPA</t>
        </is>
      </c>
      <c r="E5093" s="96" t="n"/>
    </row>
    <row r="5094" ht="15" customHeight="1" s="109" thickBot="1">
      <c r="B5094" s="96" t="inlineStr">
        <is>
          <t>NIPPON INDIA EQUITY SAVINGS FUND - SEGREGATED PORTFOLIO 1 - DIRECT MONTHLY DIVIDEND PLAN REINVESTMENT</t>
        </is>
      </c>
      <c r="C5094" s="97" t="n">
        <v>542811</v>
      </c>
      <c r="D5094" s="96" t="inlineStr">
        <is>
          <t>NIESSPG</t>
        </is>
      </c>
      <c r="E5094" s="96" t="n"/>
    </row>
    <row r="5095" ht="15" customHeight="1" s="109" thickBot="1">
      <c r="B5095" s="96" t="inlineStr">
        <is>
          <t>Gujarat Fluorochemicals Ltd</t>
        </is>
      </c>
      <c r="C5095" s="97" t="n">
        <v>542812</v>
      </c>
      <c r="D5095" s="96" t="inlineStr">
        <is>
          <t>FLUOROCHEM</t>
        </is>
      </c>
      <c r="E5095" s="96" t="inlineStr">
        <is>
          <t>Specialty Chemicals</t>
        </is>
      </c>
    </row>
    <row r="5096" ht="15" customHeight="1" s="109" thickBot="1">
      <c r="B5096" s="96" t="inlineStr">
        <is>
          <t>NIPPON INDIA EQUITY HYBRID FUND -&amp;#160;SEGREGATED PORTFOLIO 1- DIRECT DIVIDEND PLAN REINVESTMENT</t>
        </is>
      </c>
      <c r="C5096" s="97" t="n">
        <v>542813</v>
      </c>
      <c r="D5096" s="96" t="inlineStr">
        <is>
          <t>NIEHSPA</t>
        </is>
      </c>
      <c r="E5096" s="96" t="n"/>
    </row>
    <row r="5097" ht="15" customHeight="1" s="109" thickBot="1">
      <c r="B5097" s="96" t="inlineStr">
        <is>
          <t>NIPPON INDIA EQUITY HYBRID FUND -&amp;#160;SEGREGATED PORTFOLIO 1 - DIRECT MONTHLY DIVIDEND PLAN DIVIDEND PAYOUT</t>
        </is>
      </c>
      <c r="C5097" s="97" t="n">
        <v>542814</v>
      </c>
      <c r="D5097" s="96" t="inlineStr">
        <is>
          <t>NIEHSPB</t>
        </is>
      </c>
      <c r="E5097" s="96" t="n"/>
    </row>
    <row r="5098" ht="15" customHeight="1" s="109" thickBot="1">
      <c r="B5098" s="96" t="inlineStr">
        <is>
          <t>NIPPON INDIA EQUITY HYBRID FUND -&amp;#160;SEGREGATED PORTFOLIO 1 - DIRECT MONTHLY DIVIDEND PLAN REINVESTMENT</t>
        </is>
      </c>
      <c r="C5098" s="97" t="n">
        <v>542815</v>
      </c>
      <c r="D5098" s="96" t="inlineStr">
        <is>
          <t>NIEHSPC</t>
        </is>
      </c>
      <c r="E5098" s="96" t="n"/>
    </row>
    <row r="5099" ht="15" customHeight="1" s="109" thickBot="1">
      <c r="B5099" s="96" t="inlineStr">
        <is>
          <t>NIPPON INDIA EQUITY HYBRID FUND -&amp;#160;SEGREGATED PORTFOLIO 1 - QUARTERLY DIVIDEND PLAN REINVESTMENT</t>
        </is>
      </c>
      <c r="C5099" s="97" t="n">
        <v>542816</v>
      </c>
      <c r="D5099" s="96" t="inlineStr">
        <is>
          <t>NIEHSPF</t>
        </is>
      </c>
      <c r="E5099" s="96" t="n"/>
    </row>
    <row r="5100" ht="15" customHeight="1" s="109" thickBot="1">
      <c r="B5100" s="96" t="inlineStr">
        <is>
          <t>NIPPON INDIA EQUITY HYBRID FUND -&amp;#160;SEGREGATED PORTFOLIO 1 - DIRECT QUARTERLY DIVIDEND PLAN DIVIDEND PAYOUT</t>
        </is>
      </c>
      <c r="C5100" s="97" t="n">
        <v>542817</v>
      </c>
      <c r="D5100" s="96" t="inlineStr">
        <is>
          <t>NIEHSPI</t>
        </is>
      </c>
      <c r="E5100" s="96" t="n"/>
    </row>
    <row r="5101" ht="15" customHeight="1" s="109" thickBot="1">
      <c r="B5101" s="96" t="inlineStr">
        <is>
          <t>NIPPON INDIA EQUITY HYBRID FUND -&amp;#160;SEGREGATED PORTFOLIO 1 - DIRECT QUARTERLY DIVIDEND PLAN REINVESTMENT</t>
        </is>
      </c>
      <c r="C5101" s="97" t="n">
        <v>542818</v>
      </c>
      <c r="D5101" s="96" t="inlineStr">
        <is>
          <t>NIEHSPK</t>
        </is>
      </c>
      <c r="E5101" s="96" t="n"/>
    </row>
    <row r="5102" ht="15" customHeight="1" s="109" thickBot="1">
      <c r="B5102" s="96" t="inlineStr">
        <is>
          <t>NIPPON INDIA EQUITY HYBRID FUND -&amp;#160;SEGREGATED PORTFOLIO 1 - DIRECT DIVIDEND PLAN DIVIDEND PAYOUT</t>
        </is>
      </c>
      <c r="C5102" s="97" t="n">
        <v>542819</v>
      </c>
      <c r="D5102" s="96" t="inlineStr">
        <is>
          <t>NIEHSPM</t>
        </is>
      </c>
      <c r="E5102" s="96" t="n"/>
    </row>
    <row r="5103" ht="15" customHeight="1" s="109" thickBot="1">
      <c r="B5103" s="96" t="inlineStr">
        <is>
          <t>NIPPON INDIA EQUITY HYBRID FUND -&amp;#160;SEGREGATED PORTFOLIO 1 - MONTHLY DIVIDEND PLAN REINVESTMENT</t>
        </is>
      </c>
      <c r="C5103" s="97" t="n">
        <v>542820</v>
      </c>
      <c r="D5103" s="96" t="inlineStr">
        <is>
          <t>NIEHSPN</t>
        </is>
      </c>
      <c r="E5103" s="96" t="n"/>
    </row>
    <row r="5104" ht="15" customHeight="1" s="109" thickBot="1">
      <c r="B5104" s="96" t="inlineStr">
        <is>
          <t>Indian Railway Catering and Tourism Corporation Ltd</t>
        </is>
      </c>
      <c r="C5104" s="97" t="n">
        <v>542830</v>
      </c>
      <c r="D5104" s="96" t="inlineStr">
        <is>
          <t>IRCTC</t>
        </is>
      </c>
      <c r="E5104" s="96" t="inlineStr">
        <is>
          <t>Travel Support Services</t>
        </is>
      </c>
    </row>
    <row r="5105" ht="15" customHeight="1" s="109" thickBot="1">
      <c r="B5105" s="96" t="inlineStr">
        <is>
          <t>NIPPON INDIA EQUITY SAVINGS FUND - SEGREGATED PORTFOLIO 1 - DIRECT DIVIDEND PLAN REINVESTMENT</t>
        </is>
      </c>
      <c r="C5105" s="97" t="n">
        <v>542836</v>
      </c>
      <c r="D5105" s="96" t="inlineStr">
        <is>
          <t>NIESSPD</t>
        </is>
      </c>
      <c r="E5105" s="96" t="n"/>
    </row>
    <row r="5106" ht="15" customHeight="1" s="109" thickBot="1">
      <c r="B5106" s="96" t="inlineStr">
        <is>
          <t>NIPPON INDIA EQUITY SAVINGS FUND - SEGREGATED PORTFOLIO 1 - DIRECT GROWTH PLAN GROWTH</t>
        </is>
      </c>
      <c r="C5106" s="97" t="n">
        <v>542837</v>
      </c>
      <c r="D5106" s="96" t="inlineStr">
        <is>
          <t>NIESSPE</t>
        </is>
      </c>
      <c r="E5106" s="96" t="n"/>
    </row>
    <row r="5107" ht="15" customHeight="1" s="109" thickBot="1">
      <c r="B5107" s="96" t="inlineStr">
        <is>
          <t>NIPPON INDIA EQUITY SAVINGS FUND - SEGREGATED PORTFOLIO 1 - DIRECT MONTHLY DIVIDEND PLAN DIVIDEND PAYOUT</t>
        </is>
      </c>
      <c r="C5107" s="97" t="n">
        <v>542838</v>
      </c>
      <c r="D5107" s="96" t="inlineStr">
        <is>
          <t>NIESSPF</t>
        </is>
      </c>
      <c r="E5107" s="96" t="n"/>
    </row>
    <row r="5108" ht="15" customHeight="1" s="109" thickBot="1">
      <c r="B5108" s="96" t="inlineStr">
        <is>
          <t>NIPPON INDIA EQUITY HYBRID FUND -&amp;#160;SEGREGATED PORTFOLIO 1 - GROWTH PLAN GROWTH</t>
        </is>
      </c>
      <c r="C5108" s="97" t="n">
        <v>542839</v>
      </c>
      <c r="D5108" s="96" t="inlineStr">
        <is>
          <t>NIEHSPD</t>
        </is>
      </c>
      <c r="E5108" s="96" t="n"/>
    </row>
    <row r="5109" ht="15" customHeight="1" s="109" thickBot="1">
      <c r="B5109" s="96" t="inlineStr">
        <is>
          <t>NIPPON INDIA EQUITY SAVINGS FUND - SEGREGATED PORTFOLIO 1 - DIRECT QUARTERLY DIVIDEND PLAN DIVIDEND PAYOUT</t>
        </is>
      </c>
      <c r="C5109" s="97" t="n">
        <v>542840</v>
      </c>
      <c r="D5109" s="96" t="inlineStr">
        <is>
          <t>NIESSPH</t>
        </is>
      </c>
      <c r="E5109" s="96" t="n"/>
    </row>
    <row r="5110" ht="15" customHeight="1" s="109" thickBot="1">
      <c r="B5110" s="96" t="inlineStr">
        <is>
          <t>NIPPON INDIA EQUITY HYBRID FUND -&amp;#160;SEGREGATED PORTFOLIO 1 - QUARTERLY DIVIDEND PLAN DIVIDEND PAYOUT</t>
        </is>
      </c>
      <c r="C5110" s="97" t="n">
        <v>542841</v>
      </c>
      <c r="D5110" s="96" t="inlineStr">
        <is>
          <t>NIEHSPE</t>
        </is>
      </c>
      <c r="E5110" s="96" t="n"/>
    </row>
    <row r="5111" ht="15" customHeight="1" s="109" thickBot="1">
      <c r="B5111" s="96" t="inlineStr">
        <is>
          <t>NIPPON INDIA EQUITY SAVINGS FUND - SEGREGATED PORTFOLIO 1 - DIVIDEND PLAN REINVESTMENT</t>
        </is>
      </c>
      <c r="C5111" s="97" t="n">
        <v>542842</v>
      </c>
      <c r="D5111" s="96" t="inlineStr">
        <is>
          <t>NIESSPK</t>
        </is>
      </c>
      <c r="E5111" s="96" t="n"/>
    </row>
    <row r="5112" ht="15" customHeight="1" s="109" thickBot="1">
      <c r="B5112" s="96" t="inlineStr">
        <is>
          <t>NIPPON INDIA EQUITY HYBRID FUND -&amp;#160;SEGREGATED PORTFOLIO 1 - DIRECT GROWTH PLAN GROWTH</t>
        </is>
      </c>
      <c r="C5112" s="97" t="n">
        <v>542843</v>
      </c>
      <c r="D5112" s="96" t="inlineStr">
        <is>
          <t>NIEHSPG</t>
        </is>
      </c>
      <c r="E5112" s="96" t="n"/>
    </row>
    <row r="5113" ht="15" customHeight="1" s="109" thickBot="1">
      <c r="B5113" s="96" t="inlineStr">
        <is>
          <t>NIPPON INDIA EQUITY HYBRID FUND -&amp;#160;SEGREGATED PORTFOLIO 1 - DIVIDEND PLAN DIVIDEND PAYOUT</t>
        </is>
      </c>
      <c r="C5113" s="97" t="n">
        <v>542844</v>
      </c>
      <c r="D5113" s="96" t="inlineStr">
        <is>
          <t>NIEHSPH</t>
        </is>
      </c>
      <c r="E5113" s="96" t="n"/>
    </row>
    <row r="5114" ht="15" customHeight="1" s="109" thickBot="1">
      <c r="B5114" s="96" t="inlineStr">
        <is>
          <t>NIPPON INDIA EQUITY HYBRID FUND -&amp;#160;SEGREGATED PORTFOLIO 1 - DIVIDEND PLAN REINVESTMENT</t>
        </is>
      </c>
      <c r="C5114" s="97" t="n">
        <v>542845</v>
      </c>
      <c r="D5114" s="96" t="inlineStr">
        <is>
          <t>NIEHSPJ</t>
        </is>
      </c>
      <c r="E5114" s="96" t="n"/>
    </row>
    <row r="5115" ht="15" customHeight="1" s="109" thickBot="1">
      <c r="B5115" s="96" t="inlineStr">
        <is>
          <t>NIPPON INDIA EQUITY HYBRID FUND -&amp;#160;SEGREGATED PORTFOLIO 1 - MONTHLY DIVIDEND PLAN DIVIDEND PAYOUT</t>
        </is>
      </c>
      <c r="C5115" s="97" t="n">
        <v>542846</v>
      </c>
      <c r="D5115" s="96" t="inlineStr">
        <is>
          <t>NIEHSPL</t>
        </is>
      </c>
      <c r="E5115" s="96" t="n"/>
    </row>
    <row r="5116" ht="15" customHeight="1" s="109" thickBot="1">
      <c r="B5116" s="96" t="inlineStr">
        <is>
          <t>NIPPON INDIA EQUITY SAVINGS FUND - SEGREGATED PORTFOLIO 1 - GROWTH PLAN GROWTH</t>
        </is>
      </c>
      <c r="C5116" s="97" t="n">
        <v>542847</v>
      </c>
      <c r="D5116" s="96" t="inlineStr">
        <is>
          <t>NIESSPL</t>
        </is>
      </c>
      <c r="E5116" s="96" t="n"/>
    </row>
    <row r="5117" ht="15" customHeight="1" s="109" thickBot="1">
      <c r="B5117" s="96" t="inlineStr">
        <is>
          <t>NIPPON INDIA EQUITY SAVINGS FUND - SEGREGATED PORTFOLIO 1 - MONTHLY DIVIDEND PLANDIVIDEND PAYOUT</t>
        </is>
      </c>
      <c r="C5117" s="97" t="n">
        <v>542848</v>
      </c>
      <c r="D5117" s="96" t="inlineStr">
        <is>
          <t>NIESSPM</t>
        </is>
      </c>
      <c r="E5117" s="96" t="n"/>
    </row>
    <row r="5118" ht="15" customHeight="1" s="109" thickBot="1">
      <c r="B5118" s="96" t="inlineStr">
        <is>
          <t>NIPPON INDIA EQUITY SAVINGS FUND - SEGREGATED PORTFOLIO 1 - MONTHLY DIVIDEND PLAN REINVESTMENT</t>
        </is>
      </c>
      <c r="C5118" s="97" t="n">
        <v>542849</v>
      </c>
      <c r="D5118" s="96" t="inlineStr">
        <is>
          <t>NIESSPN</t>
        </is>
      </c>
      <c r="E5118" s="96" t="n"/>
    </row>
    <row r="5119" ht="15" customHeight="1" s="109" thickBot="1">
      <c r="B5119" s="96" t="inlineStr">
        <is>
          <t>Goblin India Ltd</t>
        </is>
      </c>
      <c r="C5119" s="97" t="n">
        <v>542850</v>
      </c>
      <c r="D5119" s="96" t="inlineStr">
        <is>
          <t>GOBLIN</t>
        </is>
      </c>
      <c r="E5119" s="96" t="inlineStr">
        <is>
          <t>Other Apparels &amp; Accessories</t>
        </is>
      </c>
    </row>
    <row r="5120" ht="15" customHeight="1" s="109" thickBot="1">
      <c r="B5120" s="96" t="inlineStr">
        <is>
          <t>Gensol Engineering Ltd</t>
        </is>
      </c>
      <c r="C5120" s="97" t="n">
        <v>542851</v>
      </c>
      <c r="D5120" s="96" t="inlineStr">
        <is>
          <t>GENSOL</t>
        </is>
      </c>
      <c r="E5120" s="96" t="inlineStr">
        <is>
          <t>Consulting Services</t>
        </is>
      </c>
    </row>
    <row r="5121" ht="15" customHeight="1" s="109" thickBot="1">
      <c r="B5121" s="96" t="inlineStr">
        <is>
          <t>Vishwaraj Sugar Industries Ltd</t>
        </is>
      </c>
      <c r="C5121" s="97" t="n">
        <v>542852</v>
      </c>
      <c r="D5121" s="96" t="inlineStr">
        <is>
          <t>VISHWARAJ</t>
        </is>
      </c>
      <c r="E5121" s="96" t="inlineStr">
        <is>
          <t>Sugar</t>
        </is>
      </c>
    </row>
    <row r="5122" ht="15" customHeight="1" s="109" thickBot="1">
      <c r="B5122" s="96" t="inlineStr">
        <is>
          <t>Greenpanel Industries Ltd</t>
        </is>
      </c>
      <c r="C5122" s="97" t="n">
        <v>542857</v>
      </c>
      <c r="D5122" s="96" t="inlineStr">
        <is>
          <t>GREENPANEL</t>
        </is>
      </c>
      <c r="E5122" s="96" t="inlineStr">
        <is>
          <t>Forest Products</t>
        </is>
      </c>
    </row>
    <row r="5123" ht="15" customHeight="1" s="109" thickBot="1">
      <c r="B5123" s="96" t="inlineStr">
        <is>
          <t>Shahlon Silk Industries Ltd</t>
        </is>
      </c>
      <c r="C5123" s="97" t="n">
        <v>542862</v>
      </c>
      <c r="D5123" s="96" t="inlineStr">
        <is>
          <t>SHAHLON</t>
        </is>
      </c>
      <c r="E5123" s="96" t="inlineStr">
        <is>
          <t>Textiles</t>
        </is>
      </c>
    </row>
    <row r="5124" ht="15" customHeight="1" s="109" thickBot="1">
      <c r="B5124" s="96" t="inlineStr">
        <is>
          <t>ADITYA BIRLA SUN LIFE BANKING ETF</t>
        </is>
      </c>
      <c r="C5124" s="97" t="n">
        <v>542863</v>
      </c>
      <c r="D5124" s="96" t="inlineStr">
        <is>
          <t>ABSLBANETF</t>
        </is>
      </c>
      <c r="E5124" s="96" t="n"/>
    </row>
    <row r="5125" ht="15" customHeight="1" s="109" thickBot="1">
      <c r="B5125" s="96" t="inlineStr">
        <is>
          <t>Mount Housing and Infrastructure Ltd</t>
        </is>
      </c>
      <c r="C5125" s="97" t="n">
        <v>542864</v>
      </c>
      <c r="D5125" s="96" t="inlineStr">
        <is>
          <t>MOUNT</t>
        </is>
      </c>
      <c r="E5125" s="96" t="inlineStr">
        <is>
          <t>Realty</t>
        </is>
      </c>
    </row>
    <row r="5126" ht="15" customHeight="1" s="109" thickBot="1">
      <c r="B5126" s="96" t="inlineStr">
        <is>
          <t>Anuroop Packaging Ltd</t>
        </is>
      </c>
      <c r="C5126" s="97" t="n">
        <v>542865</v>
      </c>
      <c r="D5126" s="96" t="inlineStr">
        <is>
          <t>ANUROOP</t>
        </is>
      </c>
      <c r="E5126" s="96" t="inlineStr">
        <is>
          <t>Containers &amp; Packaging</t>
        </is>
      </c>
    </row>
    <row r="5127" ht="15" customHeight="1" s="109" thickBot="1">
      <c r="B5127" s="96" t="inlineStr">
        <is>
          <t>JSG Leasing Ltd</t>
        </is>
      </c>
      <c r="C5127" s="97" t="n">
        <v>542866</v>
      </c>
      <c r="D5127" s="96" t="inlineStr">
        <is>
          <t>JSGLEASING</t>
        </is>
      </c>
      <c r="E5127" s="96" t="inlineStr">
        <is>
          <t>Other Financial Services</t>
        </is>
      </c>
    </row>
    <row r="5128" ht="15" customHeight="1" s="109" thickBot="1">
      <c r="B5128" s="96" t="inlineStr">
        <is>
          <t>CSB Bank Ltd</t>
        </is>
      </c>
      <c r="C5128" s="97" t="n">
        <v>542867</v>
      </c>
      <c r="D5128" s="96" t="inlineStr">
        <is>
          <t>CSBBANK</t>
        </is>
      </c>
      <c r="E5128" s="96" t="inlineStr">
        <is>
          <t>Banks</t>
        </is>
      </c>
    </row>
    <row r="5129" ht="15" customHeight="1" s="109" thickBot="1">
      <c r="B5129" s="96" t="inlineStr">
        <is>
          <t>Ujjivan Small Finance Bank Ltd</t>
        </is>
      </c>
      <c r="C5129" s="97" t="n">
        <v>542904</v>
      </c>
      <c r="D5129" s="96" t="inlineStr">
        <is>
          <t>UJJIVANSFB</t>
        </is>
      </c>
      <c r="E5129" s="96" t="inlineStr">
        <is>
          <t>Banks</t>
        </is>
      </c>
    </row>
    <row r="5130" ht="15" customHeight="1" s="109" thickBot="1">
      <c r="B5130" s="96" t="inlineStr">
        <is>
          <t>Somany Home Innovation Ltd</t>
        </is>
      </c>
      <c r="C5130" s="97" t="n">
        <v>542905</v>
      </c>
      <c r="D5130" s="96" t="inlineStr">
        <is>
          <t>SHIL</t>
        </is>
      </c>
      <c r="E5130" s="96" t="inlineStr">
        <is>
          <t>Other Elect.Equip./ Prod.</t>
        </is>
      </c>
    </row>
    <row r="5131" ht="15" customHeight="1" s="109" thickBot="1">
      <c r="B5131" s="96" t="inlineStr">
        <is>
          <t>Easun Capital Markets Ltd</t>
        </is>
      </c>
      <c r="C5131" s="97" t="n">
        <v>542906</v>
      </c>
      <c r="D5131" s="96" t="inlineStr">
        <is>
          <t>EASUN</t>
        </is>
      </c>
      <c r="E5131" s="96" t="inlineStr">
        <is>
          <t>Finance (including NBFCs)</t>
        </is>
      </c>
    </row>
    <row r="5132" ht="15" customHeight="1" s="109" thickBot="1">
      <c r="B5132" s="96" t="inlineStr">
        <is>
          <t>Prince Pipes and Fittings Ltd</t>
        </is>
      </c>
      <c r="C5132" s="97" t="n">
        <v>542907</v>
      </c>
      <c r="D5132" s="96" t="inlineStr">
        <is>
          <t>PRINCEPIPE</t>
        </is>
      </c>
      <c r="E5132" s="96" t="inlineStr">
        <is>
          <t>Plastic Products</t>
        </is>
      </c>
    </row>
    <row r="5133" ht="15" customHeight="1" s="109" thickBot="1">
      <c r="B5133" s="96" t="inlineStr">
        <is>
          <t>Valencia Nutrition Ltd</t>
        </is>
      </c>
      <c r="C5133" s="97" t="n">
        <v>542910</v>
      </c>
      <c r="D5133" s="96" t="inlineStr">
        <is>
          <t>VALENCIA</t>
        </is>
      </c>
      <c r="E5133" s="96" t="inlineStr">
        <is>
          <t>Non-alcoholic Beverages</t>
        </is>
      </c>
    </row>
    <row r="5134" ht="15" customHeight="1" s="109" thickBot="1">
      <c r="B5134" s="96" t="inlineStr">
        <is>
          <t>Assam Entrade Ltd</t>
        </is>
      </c>
      <c r="C5134" s="97" t="n">
        <v>542911</v>
      </c>
      <c r="D5134" s="96" t="inlineStr">
        <is>
          <t>ASSAMENT</t>
        </is>
      </c>
      <c r="E5134" s="96" t="inlineStr">
        <is>
          <t>Finance (including NBFCs)</t>
        </is>
      </c>
    </row>
    <row r="5135" ht="15" customHeight="1" s="109" thickBot="1">
      <c r="B5135" s="96" t="inlineStr">
        <is>
          <t>Gian Life Care Ltd</t>
        </is>
      </c>
      <c r="C5135" s="97" t="n">
        <v>542918</v>
      </c>
      <c r="D5135" s="96" t="inlineStr">
        <is>
          <t>GIANLIFE</t>
        </is>
      </c>
      <c r="E5135" s="96" t="inlineStr">
        <is>
          <t>Healthcare Services</t>
        </is>
      </c>
    </row>
    <row r="5136" ht="15" customHeight="1" s="109" thickBot="1">
      <c r="B5136" s="96" t="inlineStr">
        <is>
          <t>Artemis Medicare Services Ltd</t>
        </is>
      </c>
      <c r="C5136" s="97" t="n">
        <v>542919</v>
      </c>
      <c r="D5136" s="96" t="inlineStr">
        <is>
          <t>ARTEMISMED</t>
        </is>
      </c>
      <c r="E5136" s="96" t="inlineStr">
        <is>
          <t>Healthcare Services</t>
        </is>
      </c>
    </row>
    <row r="5137" ht="15" customHeight="1" s="109" thickBot="1">
      <c r="B5137" s="96" t="inlineStr">
        <is>
          <t>Sumitomo Chemical India Ltd</t>
        </is>
      </c>
      <c r="C5137" s="97" t="n">
        <v>542920</v>
      </c>
      <c r="D5137" s="96" t="inlineStr">
        <is>
          <t>SUMICHEM</t>
        </is>
      </c>
      <c r="E5137" s="96" t="inlineStr">
        <is>
          <t>Agrochemicals</t>
        </is>
      </c>
    </row>
    <row r="5138" ht="15" customHeight="1" s="109" thickBot="1">
      <c r="B5138" s="96" t="inlineStr">
        <is>
          <t>ICICI Prudential Midcap 150 ETF</t>
        </is>
      </c>
      <c r="C5138" s="97" t="n">
        <v>542921</v>
      </c>
      <c r="D5138" s="96" t="inlineStr">
        <is>
          <t>ICICIM150</t>
        </is>
      </c>
      <c r="E5138" s="96" t="n"/>
    </row>
    <row r="5139" ht="15" customHeight="1" s="109" thickBot="1">
      <c r="B5139" s="96" t="inlineStr">
        <is>
          <t>Mirae Asset Nifty Next 50 ETF (MANXT50ETF)</t>
        </is>
      </c>
      <c r="C5139" s="97" t="n">
        <v>542922</v>
      </c>
      <c r="D5139" s="96" t="inlineStr">
        <is>
          <t>MANXT50ETF</t>
        </is>
      </c>
      <c r="E5139" s="96" t="n"/>
    </row>
    <row r="5140" ht="15" customHeight="1" s="109" thickBot="1">
      <c r="B5140" s="96" t="inlineStr">
        <is>
          <t>Tranway Technologies Ltd</t>
        </is>
      </c>
      <c r="C5140" s="97" t="n">
        <v>542923</v>
      </c>
      <c r="D5140" s="96" t="inlineStr">
        <is>
          <t>TRANWAY</t>
        </is>
      </c>
      <c r="E5140" s="96" t="inlineStr">
        <is>
          <t>IT Consulting &amp; Software</t>
        </is>
      </c>
    </row>
    <row r="5141" ht="15" customHeight="1" s="109" thickBot="1">
      <c r="B5141" s="96" t="inlineStr">
        <is>
          <t>Janus Corporation Ltd</t>
        </is>
      </c>
      <c r="C5141" s="97" t="n">
        <v>542924</v>
      </c>
      <c r="D5141" s="96" t="inlineStr">
        <is>
          <t>JANUSCORP</t>
        </is>
      </c>
      <c r="E5141" s="96" t="inlineStr">
        <is>
          <t>Diversified</t>
        </is>
      </c>
    </row>
    <row r="5142" ht="15" customHeight="1" s="109" thickBot="1">
      <c r="B5142" s="96" t="inlineStr">
        <is>
          <t>Vardhan Capital &amp; Finance Ltd</t>
        </is>
      </c>
      <c r="C5142" s="97" t="n">
        <v>542931</v>
      </c>
      <c r="D5142" s="96" t="inlineStr">
        <is>
          <t>VARDHANCFL</t>
        </is>
      </c>
      <c r="E5142" s="96" t="inlineStr">
        <is>
          <t>Finance (including NBFCs)</t>
        </is>
      </c>
    </row>
    <row r="5143" ht="15" customHeight="1" s="109" thickBot="1">
      <c r="B5143" s="96" t="inlineStr">
        <is>
          <t>Birla Tyres Ltd</t>
        </is>
      </c>
      <c r="C5143" s="97" t="n">
        <v>542932</v>
      </c>
      <c r="D5143" s="96" t="inlineStr">
        <is>
          <t>BIRLATYRES</t>
        </is>
      </c>
      <c r="E5143" s="96" t="inlineStr">
        <is>
          <t>Auto Tyres &amp; Rubber Products</t>
        </is>
      </c>
    </row>
    <row r="5144" ht="15" customHeight="1" s="109" thickBot="1">
      <c r="B5144" s="96" t="inlineStr">
        <is>
          <t>Universus Photo Imagings Ltd</t>
        </is>
      </c>
      <c r="C5144" s="97" t="n">
        <v>542933</v>
      </c>
      <c r="D5144" s="96" t="inlineStr">
        <is>
          <t>UNIVPHOTO</t>
        </is>
      </c>
      <c r="E5144" s="96" t="inlineStr">
        <is>
          <t>Photographic Products</t>
        </is>
      </c>
    </row>
    <row r="5145" ht="15" customHeight="1" s="109" thickBot="1">
      <c r="B5145" s="96" t="inlineStr">
        <is>
          <t>Chandra Bhagat Pharma Ltd</t>
        </is>
      </c>
      <c r="C5145" s="97" t="n">
        <v>542934</v>
      </c>
      <c r="D5145" s="96" t="inlineStr">
        <is>
          <t>CBPL</t>
        </is>
      </c>
      <c r="E5145" s="96" t="inlineStr">
        <is>
          <t>Pharmaceuticals</t>
        </is>
      </c>
    </row>
    <row r="5146" ht="15" customHeight="1" s="109" thickBot="1">
      <c r="B5146" s="96" t="inlineStr">
        <is>
          <t>ICL Organic Dairy Products Ltd</t>
        </is>
      </c>
      <c r="C5146" s="97" t="n">
        <v>542935</v>
      </c>
      <c r="D5146" s="96" t="inlineStr">
        <is>
          <t>ICLORGANIC</t>
        </is>
      </c>
      <c r="E5146" s="96" t="inlineStr">
        <is>
          <t>Packaged Foods</t>
        </is>
      </c>
    </row>
    <row r="5147" ht="15" customHeight="1" s="109" thickBot="1">
      <c r="B5147" s="96" t="inlineStr">
        <is>
          <t>Octavius Plantations Ltd</t>
        </is>
      </c>
      <c r="C5147" s="97" t="n">
        <v>542938</v>
      </c>
      <c r="D5147" s="96" t="inlineStr">
        <is>
          <t>OCTAVIUSPL</t>
        </is>
      </c>
      <c r="E5147" s="96" t="inlineStr">
        <is>
          <t>Tea &amp; Coffee</t>
        </is>
      </c>
    </row>
    <row r="5148" ht="15" customHeight="1" s="109" thickBot="1">
      <c r="B5148" s="96" t="inlineStr">
        <is>
          <t>Suven Pharmaceuticals Ltd</t>
        </is>
      </c>
      <c r="C5148" s="97" t="n">
        <v>543064</v>
      </c>
      <c r="D5148" s="96" t="inlineStr">
        <is>
          <t>SUVENPHAR</t>
        </is>
      </c>
      <c r="E5148" s="96" t="inlineStr">
        <is>
          <t>Pharmaceuticals</t>
        </is>
      </c>
    </row>
    <row r="5149" ht="15" customHeight="1" s="109" thickBot="1">
      <c r="B5149" s="96" t="inlineStr">
        <is>
          <t>SM Auto Stamping Ltd</t>
        </is>
      </c>
      <c r="C5149" s="97" t="n">
        <v>543065</v>
      </c>
      <c r="D5149" s="96" t="inlineStr">
        <is>
          <t>SMAUTO</t>
        </is>
      </c>
      <c r="E5149" s="96" t="inlineStr">
        <is>
          <t>Other Industrial Goods</t>
        </is>
      </c>
    </row>
    <row r="5150" ht="15" customHeight="1" s="109" thickBot="1">
      <c r="B5150" s="96" t="inlineStr">
        <is>
          <t>SBI Cards and Payment Services Ltd</t>
        </is>
      </c>
      <c r="C5150" s="97" t="n">
        <v>543066</v>
      </c>
      <c r="D5150" s="96" t="inlineStr">
        <is>
          <t>SBICARD</t>
        </is>
      </c>
      <c r="E5150" s="96" t="inlineStr">
        <is>
          <t>Finance (including NBFCs)</t>
        </is>
      </c>
    </row>
    <row r="5151" ht="15" customHeight="1" s="109" thickBot="1">
      <c r="B5151" s="96" t="inlineStr">
        <is>
          <t>NIPPON INDIA EQUITY SAVINGS FUND - SEGREGATED PORTFOLIO 2 - MONTHLY DIVIDEND PLAN(Issue Price: 0.01)</t>
        </is>
      </c>
      <c r="C5151" s="97" t="n">
        <v>543144</v>
      </c>
      <c r="D5151" s="96" t="inlineStr">
        <is>
          <t>08MPD</t>
        </is>
      </c>
      <c r="E5151" s="96" t="n"/>
    </row>
    <row r="5152" ht="15" customHeight="1" s="109" thickBot="1">
      <c r="B5152" s="96" t="inlineStr">
        <is>
          <t>NIPPON INDIA EQUITY SAVINGS FUND - SEGREGATED PORTFOLIO 2 - DIRECT DIVIDEND PLAN(Issue Price: 0.01)</t>
        </is>
      </c>
      <c r="C5152" s="97" t="n">
        <v>543145</v>
      </c>
      <c r="D5152" s="96" t="inlineStr">
        <is>
          <t>08ADR</t>
        </is>
      </c>
      <c r="E5152" s="96" t="n"/>
    </row>
    <row r="5153" ht="15" customHeight="1" s="109" thickBot="1">
      <c r="B5153" s="96" t="inlineStr">
        <is>
          <t>NIPPON INDIA EQUITY SAVINGS FUND - SEGREGATED PORTFOLIO 2 - MONTHLY DIVIDEND PLAN(Issue Price: 0.01)</t>
        </is>
      </c>
      <c r="C5153" s="97" t="n">
        <v>543146</v>
      </c>
      <c r="D5153" s="96" t="inlineStr">
        <is>
          <t>08MPR</t>
        </is>
      </c>
      <c r="E5153" s="96" t="n"/>
    </row>
    <row r="5154" ht="15" customHeight="1" s="109" thickBot="1">
      <c r="B5154" s="96" t="inlineStr">
        <is>
          <t>NIPPON INDIA EQUITY SAVINGS FUND - SEGREGATED PORTFOLIO 2 - DIRECT MONTHLY DIVIDEND PLAN(Issue Price: 0.01)</t>
        </is>
      </c>
      <c r="C5154" s="97" t="n">
        <v>543147</v>
      </c>
      <c r="D5154" s="96" t="inlineStr">
        <is>
          <t>08AMD</t>
        </is>
      </c>
      <c r="E5154" s="96" t="n"/>
    </row>
    <row r="5155" ht="15" customHeight="1" s="109" thickBot="1">
      <c r="B5155" s="96" t="inlineStr">
        <is>
          <t>NIPPON INDIA EQUITY SAVINGS FUND - SEGREGATED PORTFOLIO 2 - DIRECT MONTHLY DIVIDEND PLAN(Issue Price: 0.01)</t>
        </is>
      </c>
      <c r="C5155" s="97" t="n">
        <v>543148</v>
      </c>
      <c r="D5155" s="96" t="inlineStr">
        <is>
          <t>08AMR</t>
        </is>
      </c>
      <c r="E5155" s="96" t="n"/>
    </row>
    <row r="5156" ht="15" customHeight="1" s="109" thickBot="1">
      <c r="B5156" s="96" t="inlineStr">
        <is>
          <t>NIPPON INDIA EQUITY SAVINGS FUND - SEGREGATED PORTFOLIO 2 - BONUS PLAN(Issue Price: 0.01)</t>
        </is>
      </c>
      <c r="C5156" s="97" t="n">
        <v>543149</v>
      </c>
      <c r="D5156" s="96" t="inlineStr">
        <is>
          <t>08BPB</t>
        </is>
      </c>
      <c r="E5156" s="96" t="n"/>
    </row>
    <row r="5157" ht="15" customHeight="1" s="109" thickBot="1">
      <c r="B5157" s="96" t="inlineStr">
        <is>
          <t>NIPPON INDIA EQUITY SAVINGS FUND - SEGREGATED PORTFOLIO 2 - GROWTH PLAN(Issue Price: 0.01)</t>
        </is>
      </c>
      <c r="C5157" s="97" t="n">
        <v>543150</v>
      </c>
      <c r="D5157" s="96" t="inlineStr">
        <is>
          <t>08GPG</t>
        </is>
      </c>
      <c r="E5157" s="96" t="n"/>
    </row>
    <row r="5158" ht="15" customHeight="1" s="109" thickBot="1">
      <c r="B5158" s="96" t="inlineStr">
        <is>
          <t>NIPPON INDIA EQUITY SAVINGS FUND - SEGREGATED PORTFOLIO 2 - DIRECT BONUS PLAN(Issue Price: 0.01)</t>
        </is>
      </c>
      <c r="C5158" s="97" t="n">
        <v>543151</v>
      </c>
      <c r="D5158" s="96" t="inlineStr">
        <is>
          <t>08ABB</t>
        </is>
      </c>
      <c r="E5158" s="96" t="n"/>
    </row>
    <row r="5159" ht="15" customHeight="1" s="109" thickBot="1">
      <c r="B5159" s="96" t="inlineStr">
        <is>
          <t>NIPPON INDIA EQUITY SAVINGS FUND - SEGREGATED PORTFOLIO 2 - QUARTERLY DIVIDEND PLAN(Issue Price: 0.01)</t>
        </is>
      </c>
      <c r="C5159" s="97" t="n">
        <v>543152</v>
      </c>
      <c r="D5159" s="96" t="inlineStr">
        <is>
          <t>08QPD</t>
        </is>
      </c>
      <c r="E5159" s="96" t="n"/>
    </row>
    <row r="5160" ht="15" customHeight="1" s="109" thickBot="1">
      <c r="B5160" s="96" t="inlineStr">
        <is>
          <t>NIPPON INDIA EQUITY SAVINGS FUND - SEGREGATED PORTFOLIO 2 - DIRECT GROWTH PLAN(Issue Price: 0.01)</t>
        </is>
      </c>
      <c r="C5160" s="97" t="n">
        <v>543153</v>
      </c>
      <c r="D5160" s="96" t="inlineStr">
        <is>
          <t>08AGG</t>
        </is>
      </c>
      <c r="E5160" s="96" t="n"/>
    </row>
    <row r="5161" ht="15" customHeight="1" s="109" thickBot="1">
      <c r="B5161" s="96" t="inlineStr">
        <is>
          <t>NIPPON INDIA EQUITY SAVINGS FUND - SEGREGATED PORTFOLIO 2 - QUARTERLY DIVIDEND PLAN(Issue Price: 0.01)</t>
        </is>
      </c>
      <c r="C5161" s="97" t="n">
        <v>543154</v>
      </c>
      <c r="D5161" s="96" t="inlineStr">
        <is>
          <t>08QPR</t>
        </is>
      </c>
      <c r="E5161" s="96" t="n"/>
    </row>
    <row r="5162" ht="15" customHeight="1" s="109" thickBot="1">
      <c r="B5162" s="96" t="inlineStr">
        <is>
          <t>NIPPON INDIA EQUITY SAVINGS FUND - SEGREGATED PORTFOLIO 2 - DIRECT QUARTERLY DIVIDEND PLAN(Issue Price: 0.01)</t>
        </is>
      </c>
      <c r="C5162" s="97" t="n">
        <v>543155</v>
      </c>
      <c r="D5162" s="96" t="inlineStr">
        <is>
          <t>08AQD</t>
        </is>
      </c>
      <c r="E5162" s="96" t="n"/>
    </row>
    <row r="5163" ht="15" customHeight="1" s="109" thickBot="1">
      <c r="B5163" s="96" t="inlineStr">
        <is>
          <t>NIPPON INDIA EQUITY SAVINGS FUND - SEGREGATED PORTFOLIO 2 - DIVIDEND PLAN(Issue Price: 0.01)</t>
        </is>
      </c>
      <c r="C5163" s="97" t="n">
        <v>543156</v>
      </c>
      <c r="D5163" s="96" t="inlineStr">
        <is>
          <t>08DPD</t>
        </is>
      </c>
      <c r="E5163" s="96" t="n"/>
    </row>
    <row r="5164" ht="15" customHeight="1" s="109" thickBot="1">
      <c r="B5164" s="96" t="inlineStr">
        <is>
          <t>NIPPON INDIA EQUITY SAVINGS FUND - SEGREGATED PORTFOLIO 2 - DIRECT QUARTERLY DIVIDEND PLAN(Issue Price: 0.01)</t>
        </is>
      </c>
      <c r="C5164" s="97" t="n">
        <v>543168</v>
      </c>
      <c r="D5164" s="96" t="inlineStr">
        <is>
          <t>08AQR</t>
        </is>
      </c>
      <c r="E5164" s="96" t="n"/>
    </row>
    <row r="5165" ht="15" customHeight="1" s="109" thickBot="1">
      <c r="B5165" s="96" t="inlineStr">
        <is>
          <t>NIPPON INDIA EQUITY SAVINGS FUND - SEGREGATED PORTFOLIO 2 - DIVIDEND PLAN(Issue Price: 0.01)</t>
        </is>
      </c>
      <c r="C5165" s="97" t="n">
        <v>543169</v>
      </c>
      <c r="D5165" s="96" t="inlineStr">
        <is>
          <t>08DPR</t>
        </is>
      </c>
      <c r="E5165" s="96" t="n"/>
    </row>
    <row r="5166" ht="15" customHeight="1" s="109" thickBot="1">
      <c r="B5166" s="96" t="inlineStr">
        <is>
          <t>NIPPON INDIA EQUITY SAVINGS FUND - SEGREGATED PORTFOLIO 2 - DIRECT DIVIDEND PLAN(Issue Price: 0.01)</t>
        </is>
      </c>
      <c r="C5166" s="97" t="n">
        <v>543170</v>
      </c>
      <c r="D5166" s="96" t="inlineStr">
        <is>
          <t>08ADD</t>
        </is>
      </c>
      <c r="E5166" s="96" t="n"/>
    </row>
    <row r="5167" ht="15" customHeight="1" s="109" thickBot="1">
      <c r="B5167" s="96" t="inlineStr">
        <is>
          <t>RO Jewels Ltd</t>
        </is>
      </c>
      <c r="C5167" s="97" t="n">
        <v>543171</v>
      </c>
      <c r="D5167" s="96" t="inlineStr">
        <is>
          <t>ROJL</t>
        </is>
      </c>
      <c r="E5167" s="96" t="inlineStr">
        <is>
          <t>Other Apparels &amp; Accessories</t>
        </is>
      </c>
    </row>
    <row r="5168" ht="15" customHeight="1" s="109" thickBot="1">
      <c r="B5168" s="96" t="inlineStr">
        <is>
          <t>Cospower Engineering Ltd</t>
        </is>
      </c>
      <c r="C5168" s="97" t="n">
        <v>543172</v>
      </c>
      <c r="D5168" s="96" t="inlineStr">
        <is>
          <t>COSPOWER</t>
        </is>
      </c>
      <c r="E5168" s="96" t="inlineStr">
        <is>
          <t>Industrial Machinery</t>
        </is>
      </c>
    </row>
    <row r="5169" ht="15" customHeight="1" s="109" thickBot="1">
      <c r="B5169" s="96" t="inlineStr">
        <is>
          <t>NIPPON INDIA EQUITY HYBRID FUND - SEGREGATED PORTFOLIO 2DIVIDEND PLANDIVIDEND REINVESTMENT</t>
        </is>
      </c>
      <c r="C5169" s="97" t="n">
        <v>543173</v>
      </c>
      <c r="D5169" s="96" t="inlineStr">
        <is>
          <t>11DPR</t>
        </is>
      </c>
      <c r="E5169" s="96" t="n"/>
    </row>
    <row r="5170" ht="15" customHeight="1" s="109" thickBot="1">
      <c r="B5170" s="96" t="inlineStr">
        <is>
          <t>NIPPON INDIA EQUITY HYBRID FUND - SEGREGATED PORTFOLIO 2GROWTH PLAN GROWTH OPTIONGROWTH</t>
        </is>
      </c>
      <c r="C5170" s="97" t="n">
        <v>543174</v>
      </c>
      <c r="D5170" s="96" t="inlineStr">
        <is>
          <t>11GPG</t>
        </is>
      </c>
      <c r="E5170" s="96" t="n"/>
    </row>
    <row r="5171" ht="15" customHeight="1" s="109" thickBot="1">
      <c r="B5171" s="96" t="inlineStr">
        <is>
          <t>NIPPON INDIA EQUITY HYBRID FUND - SEGREGATED PORTFOLIO 2MONTHLY DIVIDEND PLANDIVIDEND PAYOUT</t>
        </is>
      </c>
      <c r="C5171" s="97" t="n">
        <v>543175</v>
      </c>
      <c r="D5171" s="96" t="inlineStr">
        <is>
          <t>11MPD</t>
        </is>
      </c>
      <c r="E5171" s="96" t="n"/>
    </row>
    <row r="5172" ht="15" customHeight="1" s="109" thickBot="1">
      <c r="B5172" s="96" t="inlineStr">
        <is>
          <t>NIPPON INDIA EQUITY HYBRID FUND - SEGREGATED PORTFOLIO 2MONTHLY DIVIDEND PLANREINVESTMENT</t>
        </is>
      </c>
      <c r="C5172" s="97" t="n">
        <v>543176</v>
      </c>
      <c r="D5172" s="96" t="inlineStr">
        <is>
          <t>11MPR</t>
        </is>
      </c>
      <c r="E5172" s="96" t="n"/>
    </row>
    <row r="5173" ht="15" customHeight="1" s="109" thickBot="1">
      <c r="B5173" s="96" t="inlineStr">
        <is>
          <t>NIPPON INDIA EQUITY HYBRID FUND - SEGREGATED PORTFOLIO 2QUARTERLY DIVIDEND PLANDIVIDEND PAYOUT</t>
        </is>
      </c>
      <c r="C5173" s="97" t="n">
        <v>543177</v>
      </c>
      <c r="D5173" s="96" t="inlineStr">
        <is>
          <t>11QPD</t>
        </is>
      </c>
      <c r="E5173" s="96" t="n"/>
    </row>
    <row r="5174" ht="15" customHeight="1" s="109" thickBot="1">
      <c r="B5174" s="96" t="inlineStr">
        <is>
          <t>NIPPON INDIA EQUITY HYBRID FUND - SEGREGATED PORTFOLIO 2QUARTERLY DIVIDEND PLANREINVESTMENT</t>
        </is>
      </c>
      <c r="C5174" s="97" t="n">
        <v>543178</v>
      </c>
      <c r="D5174" s="96" t="inlineStr">
        <is>
          <t>11QPR</t>
        </is>
      </c>
      <c r="E5174" s="96" t="n"/>
    </row>
    <row r="5175" ht="15" customHeight="1" s="109" thickBot="1">
      <c r="B5175" s="96" t="inlineStr">
        <is>
          <t>NIPPON INDIA EQUITY HYBRID FUND - SEGREGATED PORTFOLIO 2DIRECT PLAN DIVIDEND PLANDIVIDEND PAYOUT</t>
        </is>
      </c>
      <c r="C5175" s="97" t="n">
        <v>543179</v>
      </c>
      <c r="D5175" s="96" t="inlineStr">
        <is>
          <t>11ADD</t>
        </is>
      </c>
      <c r="E5175" s="96" t="n"/>
    </row>
    <row r="5176" ht="15" customHeight="1" s="109" thickBot="1">
      <c r="B5176" s="96" t="inlineStr">
        <is>
          <t>NIPPON INDIA EQUITY HYBRID FUND - SEGREGATED PORTFOLIO 2DIRECT PLAN DIVIDEND PLANDIVIDEND REINVESTMENT</t>
        </is>
      </c>
      <c r="C5176" s="97" t="n">
        <v>543180</v>
      </c>
      <c r="D5176" s="96" t="inlineStr">
        <is>
          <t>11ADR</t>
        </is>
      </c>
      <c r="E5176" s="96" t="n"/>
    </row>
    <row r="5177" ht="15" customHeight="1" s="109" thickBot="1">
      <c r="B5177" s="96" t="inlineStr">
        <is>
          <t>NIPPON INDIA EQUITY HYBRID FUND - SEGREGATED PORTFOLIO 2DIRECT GROWTH PLAN GROWTH OPTIONGROWTH</t>
        </is>
      </c>
      <c r="C5177" s="97" t="n">
        <v>543181</v>
      </c>
      <c r="D5177" s="96" t="inlineStr">
        <is>
          <t>11AGG</t>
        </is>
      </c>
      <c r="E5177" s="96" t="n"/>
    </row>
    <row r="5178" ht="15" customHeight="1" s="109" thickBot="1">
      <c r="B5178" s="96" t="inlineStr">
        <is>
          <t>NIPPON INDIA EQUITY HYBRID FUND - SEGREGATED PORTFOLIO 2DIRECT MONTHLY DIVIDEND PLANDIVIDEND PAYOUT</t>
        </is>
      </c>
      <c r="C5178" s="97" t="n">
        <v>543182</v>
      </c>
      <c r="D5178" s="96" t="inlineStr">
        <is>
          <t>11AMD</t>
        </is>
      </c>
      <c r="E5178" s="96" t="n"/>
    </row>
    <row r="5179" ht="15" customHeight="1" s="109" thickBot="1">
      <c r="B5179" s="96" t="inlineStr">
        <is>
          <t>NIPPON INDIA EQUITY HYBRID FUND - SEGREGATED PORTFOLIO 2DIRECT MONTHLY DIVIDEND PLANREINVESTMENT</t>
        </is>
      </c>
      <c r="C5179" s="97" t="n">
        <v>543183</v>
      </c>
      <c r="D5179" s="96" t="inlineStr">
        <is>
          <t>11AMR</t>
        </is>
      </c>
      <c r="E5179" s="96" t="n"/>
    </row>
    <row r="5180" ht="15" customHeight="1" s="109" thickBot="1">
      <c r="B5180" s="96" t="inlineStr">
        <is>
          <t>NIPPON INDIA EQUITY HYBRID FUND - SEGREGATED PORTFOLIO 2DIRECT QUARTERLY DIVIDEND PLANDIVIDEND PAYOUT</t>
        </is>
      </c>
      <c r="C5180" s="97" t="n">
        <v>543184</v>
      </c>
      <c r="D5180" s="96" t="inlineStr">
        <is>
          <t>11AQD</t>
        </is>
      </c>
      <c r="E5180" s="96" t="n"/>
    </row>
    <row r="5181" ht="15" customHeight="1" s="109" thickBot="1">
      <c r="B5181" s="96" t="inlineStr">
        <is>
          <t>NIPPON INDIA EQUITY HYBRID FUND - SEGREGATED PORTFOLIO 2DIRECT QUARTERLY DIVIDEND PLANREINVESTMENT</t>
        </is>
      </c>
      <c r="C5181" s="97" t="n">
        <v>543185</v>
      </c>
      <c r="D5181" s="96" t="inlineStr">
        <is>
          <t>11AQR</t>
        </is>
      </c>
      <c r="E5181" s="96" t="n"/>
    </row>
    <row r="5182" ht="15" customHeight="1" s="109" thickBot="1">
      <c r="B5182" s="96" t="inlineStr">
        <is>
          <t>NIPPON INDIA EQUITY HYBRID FUND - SEGREGATED PORTFOLIO 2DIVIDEND PLANDIVIDEND PAYOUT</t>
        </is>
      </c>
      <c r="C5182" s="97" t="n">
        <v>543186</v>
      </c>
      <c r="D5182" s="96" t="inlineStr">
        <is>
          <t>11DPD</t>
        </is>
      </c>
      <c r="E5182" s="96" t="n"/>
    </row>
    <row r="5183" ht="15" customHeight="1" s="109" thickBot="1">
      <c r="B5183" s="96" t="inlineStr">
        <is>
          <t>ABB Power Products and Systems India Ltd</t>
        </is>
      </c>
      <c r="C5183" s="97" t="n">
        <v>543187</v>
      </c>
      <c r="D5183" s="96" t="inlineStr">
        <is>
          <t>POWERINDIA</t>
        </is>
      </c>
      <c r="E5183" s="96" t="inlineStr">
        <is>
          <t>Heavy Electrical Equipment</t>
        </is>
      </c>
    </row>
    <row r="5184" ht="15" customHeight="1" s="109" thickBot="1">
      <c r="B5184" s="96" t="inlineStr">
        <is>
          <t>DJ Mediaprint &amp; Logistics Ltd</t>
        </is>
      </c>
      <c r="C5184" s="97" t="n">
        <v>543193</v>
      </c>
      <c r="D5184" s="96" t="inlineStr">
        <is>
          <t>DJML</t>
        </is>
      </c>
      <c r="E5184" s="96" t="inlineStr">
        <is>
          <t>Transportation - Logistics</t>
        </is>
      </c>
    </row>
    <row r="5185" ht="15" customHeight="1" s="109" thickBot="1">
      <c r="B5185" s="96" t="inlineStr">
        <is>
          <t>Nirmitee Robotics India Ltd</t>
        </is>
      </c>
      <c r="C5185" s="97" t="n">
        <v>543194</v>
      </c>
      <c r="D5185" s="96" t="inlineStr">
        <is>
          <t>NIRMITEE</t>
        </is>
      </c>
      <c r="E5185" s="96" t="inlineStr">
        <is>
          <t>Diversified Commercial Services</t>
        </is>
      </c>
    </row>
    <row r="5186" ht="15" customHeight="1" s="109" thickBot="1">
      <c r="B5186" s="96" t="inlineStr">
        <is>
          <t>Natural Biocon (India) Ltd</t>
        </is>
      </c>
      <c r="C5186" s="97" t="n">
        <v>543207</v>
      </c>
      <c r="D5186" s="96" t="inlineStr">
        <is>
          <t>NATURAL</t>
        </is>
      </c>
      <c r="E5186" s="96" t="inlineStr">
        <is>
          <t>Agrochemicals</t>
        </is>
      </c>
    </row>
    <row r="5187" ht="15" customHeight="1" s="109" thickBot="1">
      <c r="B5187" s="96" t="inlineStr">
        <is>
          <t>Bhartia Bachat Ltd</t>
        </is>
      </c>
      <c r="C5187" s="97" t="n">
        <v>543208</v>
      </c>
      <c r="D5187" s="96" t="inlineStr">
        <is>
          <t>BHARTIA</t>
        </is>
      </c>
      <c r="E5187" s="96" t="inlineStr">
        <is>
          <t>Finance (including NBFCs)</t>
        </is>
      </c>
    </row>
    <row r="5188" ht="15" customHeight="1" s="109" thickBot="1">
      <c r="B5188" s="96" t="inlineStr">
        <is>
          <t>Billwin Industries Ltd</t>
        </is>
      </c>
      <c r="C5188" s="97" t="n">
        <v>543209</v>
      </c>
      <c r="D5188" s="96" t="inlineStr">
        <is>
          <t>BILLWIN</t>
        </is>
      </c>
      <c r="E5188" s="96" t="inlineStr">
        <is>
          <t>Diversified</t>
        </is>
      </c>
    </row>
    <row r="5189" ht="15" customHeight="1" s="109" thickBot="1">
      <c r="B5189" s="96" t="inlineStr">
        <is>
          <t>Aarti Surfactants Ltd</t>
        </is>
      </c>
      <c r="C5189" s="97" t="n">
        <v>543210</v>
      </c>
      <c r="D5189" s="96" t="inlineStr">
        <is>
          <t>AARTISURF</t>
        </is>
      </c>
      <c r="E5189" s="96" t="inlineStr">
        <is>
          <t>Specialty Chemicals</t>
        </is>
      </c>
    </row>
    <row r="5190" ht="15" customHeight="1" s="109" thickBot="1">
      <c r="B5190" s="96" t="inlineStr">
        <is>
          <t>Bonlon Industries Ltd</t>
        </is>
      </c>
      <c r="C5190" s="97" t="n">
        <v>543211</v>
      </c>
      <c r="D5190" s="96" t="inlineStr">
        <is>
          <t>BONLON</t>
        </is>
      </c>
      <c r="E5190" s="96" t="inlineStr">
        <is>
          <t>Other Industrial Products</t>
        </is>
      </c>
    </row>
    <row r="5191" ht="15" customHeight="1" s="109" thickBot="1">
      <c r="B5191" s="96" t="inlineStr">
        <is>
          <t>Borosil Ltd</t>
        </is>
      </c>
      <c r="C5191" s="97" t="n">
        <v>543212</v>
      </c>
      <c r="D5191" s="96" t="inlineStr">
        <is>
          <t>BOROLTD</t>
        </is>
      </c>
      <c r="E5191" s="96" t="inlineStr">
        <is>
          <t>Houseware</t>
        </is>
      </c>
    </row>
    <row r="5192" ht="15" customHeight="1" s="109" thickBot="1">
      <c r="B5192" s="96" t="inlineStr">
        <is>
          <t>Rossari Biotech Ltd</t>
        </is>
      </c>
      <c r="C5192" s="97" t="n">
        <v>543213</v>
      </c>
      <c r="D5192" s="96" t="inlineStr">
        <is>
          <t>ROSSARI</t>
        </is>
      </c>
      <c r="E5192" s="96" t="inlineStr">
        <is>
          <t>Specialty Chemicals</t>
        </is>
      </c>
    </row>
    <row r="5193" ht="15" customHeight="1" s="109" thickBot="1">
      <c r="B5193" s="96" t="inlineStr">
        <is>
          <t>NDR Auto Components Ltd</t>
        </is>
      </c>
      <c r="C5193" s="97" t="n">
        <v>543214</v>
      </c>
      <c r="D5193" s="96" t="inlineStr">
        <is>
          <t>NDRAUTO</t>
        </is>
      </c>
      <c r="E5193" s="96" t="inlineStr">
        <is>
          <t>Auto Parts &amp; Equipment</t>
        </is>
      </c>
    </row>
    <row r="5194" ht="15" customHeight="1" s="109" thickBot="1">
      <c r="B5194" s="96" t="inlineStr">
        <is>
          <t>Mindspace Business Parks REIT</t>
        </is>
      </c>
      <c r="C5194" s="97" t="n">
        <v>543217</v>
      </c>
      <c r="D5194" s="96" t="inlineStr">
        <is>
          <t>MINDSPACE</t>
        </is>
      </c>
      <c r="E5194" s="96" t="n"/>
    </row>
    <row r="5195" ht="15" customHeight="1" s="109" thickBot="1">
      <c r="B5195" s="96" t="inlineStr">
        <is>
          <t>Suratwwala Business Group Ltd</t>
        </is>
      </c>
      <c r="C5195" s="97" t="n">
        <v>543218</v>
      </c>
      <c r="D5195" s="96" t="inlineStr">
        <is>
          <t>SBGLP</t>
        </is>
      </c>
      <c r="E5195" s="96" t="inlineStr">
        <is>
          <t>Realty</t>
        </is>
      </c>
    </row>
    <row r="5196" ht="15" customHeight="1" s="109" thickBot="1">
      <c r="B5196" s="96" t="inlineStr">
        <is>
          <t>&amp;#160;ICICI Prudential Alpha Low Vol 30 ETF&amp;#160;</t>
        </is>
      </c>
      <c r="C5196" s="97" t="n">
        <v>543219</v>
      </c>
      <c r="D5196" s="96" t="inlineStr">
        <is>
          <t>ICICIALPLV</t>
        </is>
      </c>
      <c r="E5196" s="96" t="n"/>
    </row>
    <row r="5197" ht="15" customHeight="1" s="109" thickBot="1">
      <c r="B5197" s="96" t="inlineStr">
        <is>
          <t>Max Healthcare Institute Ltd</t>
        </is>
      </c>
      <c r="C5197" s="97" t="n">
        <v>543220</v>
      </c>
      <c r="D5197" s="96" t="inlineStr">
        <is>
          <t>MAXHEALTH</t>
        </is>
      </c>
      <c r="E5197" s="96" t="inlineStr">
        <is>
          <t>Healthcare Facilities</t>
        </is>
      </c>
    </row>
    <row r="5198" ht="15" customHeight="1" s="109" thickBot="1">
      <c r="B5198" s="96" t="inlineStr">
        <is>
          <t>ICICI Prudential IT ETF</t>
        </is>
      </c>
      <c r="C5198" s="97" t="n">
        <v>543221</v>
      </c>
      <c r="D5198" s="96" t="inlineStr">
        <is>
          <t>ICICITECH</t>
        </is>
      </c>
      <c r="E5198" s="96" t="n"/>
    </row>
    <row r="5199" ht="15" customHeight="1" s="109" thickBot="1">
      <c r="B5199" s="96" t="inlineStr">
        <is>
          <t>Trekkingtoes.com Ltd</t>
        </is>
      </c>
      <c r="C5199" s="97" t="n">
        <v>543222</v>
      </c>
      <c r="D5199" s="96" t="inlineStr">
        <is>
          <t>HIPPOCABS</t>
        </is>
      </c>
      <c r="E5199" s="96" t="inlineStr">
        <is>
          <t>Transport Related Services</t>
        </is>
      </c>
    </row>
    <row r="5200" ht="15" customHeight="1" s="109" thickBot="1">
      <c r="B5200" s="96" t="inlineStr">
        <is>
          <t>Max India Ltd</t>
        </is>
      </c>
      <c r="C5200" s="97" t="n">
        <v>543223</v>
      </c>
      <c r="D5200" s="96" t="inlineStr">
        <is>
          <t>MAXINDIA</t>
        </is>
      </c>
      <c r="E5200" s="96" t="inlineStr">
        <is>
          <t>Holding Companies</t>
        </is>
      </c>
    </row>
    <row r="5201" ht="15" customHeight="1" s="109" thickBot="1">
      <c r="B5201" s="96" t="inlineStr">
        <is>
          <t>HDFC Banking ETF</t>
        </is>
      </c>
      <c r="C5201" s="97" t="n">
        <v>543224</v>
      </c>
      <c r="D5201" s="96" t="inlineStr">
        <is>
          <t>HBANKETF</t>
        </is>
      </c>
      <c r="E5201" s="96" t="n"/>
    </row>
    <row r="5202" ht="15" customHeight="1" s="109" thickBot="1">
      <c r="B5202" s="96" t="inlineStr">
        <is>
          <t>Tower Infrastructure Trust</t>
        </is>
      </c>
      <c r="C5202" s="97" t="n">
        <v>543225</v>
      </c>
      <c r="D5202" s="96" t="inlineStr">
        <is>
          <t>TOWERINFRA</t>
        </is>
      </c>
      <c r="E5202" s="96" t="n"/>
    </row>
    <row r="5203" ht="15" customHeight="1" s="109" thickBot="1">
      <c r="B5203" s="96" t="inlineStr">
        <is>
          <t>UTI Bank Exchange Traded Fund (UTI Bank ETF)</t>
        </is>
      </c>
      <c r="C5203" s="97" t="n">
        <v>543226</v>
      </c>
      <c r="D5203" s="96" t="inlineStr">
        <is>
          <t>UTIBANKETF</t>
        </is>
      </c>
      <c r="E5203" s="96" t="n"/>
    </row>
    <row r="5204" ht="15" customHeight="1" s="109" thickBot="1">
      <c r="B5204" s="96" t="inlineStr">
        <is>
          <t>Happiest Minds Technologies Ltd</t>
        </is>
      </c>
      <c r="C5204" s="97" t="n">
        <v>543227</v>
      </c>
      <c r="D5204" s="96" t="inlineStr">
        <is>
          <t>HAPPSTMNDS</t>
        </is>
      </c>
      <c r="E5204" s="96" t="inlineStr">
        <is>
          <t>IT Consulting &amp; Software</t>
        </is>
      </c>
    </row>
    <row r="5205" ht="15" customHeight="1" s="109" thickBot="1">
      <c r="B5205" s="96" t="inlineStr">
        <is>
          <t>Route Mobile Ltd</t>
        </is>
      </c>
      <c r="C5205" s="97" t="n">
        <v>543228</v>
      </c>
      <c r="D5205" s="96" t="inlineStr">
        <is>
          <t>ROUTE</t>
        </is>
      </c>
      <c r="E5205" s="96" t="inlineStr">
        <is>
          <t>Internet Software &amp; Services</t>
        </is>
      </c>
    </row>
    <row r="5206" ht="15" customHeight="1" s="109" thickBot="1">
      <c r="B5206" s="96" t="inlineStr">
        <is>
          <t>Advait Infratech Ltd</t>
        </is>
      </c>
      <c r="C5206" s="97" t="n">
        <v>543230</v>
      </c>
      <c r="D5206" s="96" t="inlineStr">
        <is>
          <t>ADVAIT</t>
        </is>
      </c>
      <c r="E5206" s="96" t="inlineStr">
        <is>
          <t>Other Elect.Equip./ Prod.</t>
        </is>
      </c>
    </row>
    <row r="5207" ht="15" customHeight="1" s="109" thickBot="1">
      <c r="B5207" s="96" t="inlineStr">
        <is>
          <t>Archidply Decor Ltd</t>
        </is>
      </c>
      <c r="C5207" s="97" t="n">
        <v>543231</v>
      </c>
      <c r="D5207" s="96" t="inlineStr">
        <is>
          <t>ADL</t>
        </is>
      </c>
      <c r="E5207" s="96" t="inlineStr">
        <is>
          <t>Forest Products</t>
        </is>
      </c>
    </row>
    <row r="5208" ht="15" customHeight="1" s="109" thickBot="1">
      <c r="B5208" s="96" t="inlineStr">
        <is>
          <t>Computer Age Management Services Ltd</t>
        </is>
      </c>
      <c r="C5208" s="97" t="n">
        <v>543232</v>
      </c>
      <c r="D5208" s="96" t="inlineStr">
        <is>
          <t>CAMS</t>
        </is>
      </c>
      <c r="E5208" s="96" t="inlineStr">
        <is>
          <t>Other Financial Services</t>
        </is>
      </c>
    </row>
    <row r="5209" ht="15" customHeight="1" s="109" thickBot="1">
      <c r="B5209" s="96" t="inlineStr">
        <is>
          <t>Chemcon Speciality Chemicals Ltd</t>
        </is>
      </c>
      <c r="C5209" s="97" t="n">
        <v>543233</v>
      </c>
      <c r="D5209" s="96" t="inlineStr">
        <is>
          <t>CHEMCON</t>
        </is>
      </c>
      <c r="E5209" s="96" t="inlineStr">
        <is>
          <t>Specialty Chemicals</t>
        </is>
      </c>
    </row>
    <row r="5210" ht="15" customHeight="1" s="109" thickBot="1">
      <c r="B5210" s="96" t="inlineStr">
        <is>
          <t>SecMark Consultancy Ltd</t>
        </is>
      </c>
      <c r="C5210" s="97" t="n">
        <v>543234</v>
      </c>
      <c r="D5210" s="96" t="inlineStr">
        <is>
          <t>SECMARK</t>
        </is>
      </c>
      <c r="E5210" s="96" t="inlineStr">
        <is>
          <t>IT Consulting &amp; Software</t>
        </is>
      </c>
    </row>
    <row r="5211" ht="15" customHeight="1" s="109" thickBot="1">
      <c r="B5211" s="96" t="inlineStr">
        <is>
          <t>Angel Broking Ltd</t>
        </is>
      </c>
      <c r="C5211" s="97" t="n">
        <v>543235</v>
      </c>
      <c r="D5211" s="96" t="inlineStr">
        <is>
          <t>ANGELBRKG</t>
        </is>
      </c>
      <c r="E5211" s="96" t="inlineStr">
        <is>
          <t>Other Financial Services</t>
        </is>
      </c>
    </row>
    <row r="5212" ht="15" customHeight="1" s="109" thickBot="1">
      <c r="B5212" s="96" t="inlineStr">
        <is>
          <t>Atam Valves Ltd</t>
        </is>
      </c>
      <c r="C5212" s="97" t="n">
        <v>543236</v>
      </c>
      <c r="D5212" s="96" t="inlineStr">
        <is>
          <t>ATAM</t>
        </is>
      </c>
      <c r="E5212" s="96" t="inlineStr">
        <is>
          <t>Industrial Machinery</t>
        </is>
      </c>
    </row>
    <row r="5213" ht="15" customHeight="1" s="109" thickBot="1">
      <c r="B5213" s="96" t="inlineStr">
        <is>
          <t>Mazagon Dock Shipbuilders Ltd</t>
        </is>
      </c>
      <c r="C5213" s="97" t="n">
        <v>543237</v>
      </c>
      <c r="D5213" s="96" t="inlineStr">
        <is>
          <t>MAZDOCK</t>
        </is>
      </c>
      <c r="E5213" s="96" t="inlineStr">
        <is>
          <t>Defence</t>
        </is>
      </c>
    </row>
    <row r="5214" ht="15" customHeight="1" s="109" thickBot="1">
      <c r="B5214" s="96" t="inlineStr">
        <is>
          <t>UTI Asset Management Company Ltd</t>
        </is>
      </c>
      <c r="C5214" s="97" t="n">
        <v>543238</v>
      </c>
      <c r="D5214" s="96" t="inlineStr">
        <is>
          <t>UTIAMC</t>
        </is>
      </c>
      <c r="E5214" s="96" t="inlineStr">
        <is>
          <t>Asset Management Cos.</t>
        </is>
      </c>
    </row>
    <row r="5215" ht="15" customHeight="1" s="109" thickBot="1">
      <c r="B5215" s="96" t="inlineStr">
        <is>
          <t>G M Polyplast Ltd</t>
        </is>
      </c>
      <c r="C5215" s="97" t="n">
        <v>543239</v>
      </c>
      <c r="D5215" s="96" t="inlineStr">
        <is>
          <t>GMPL</t>
        </is>
      </c>
      <c r="E5215" s="96" t="inlineStr">
        <is>
          <t>Plastic Products</t>
        </is>
      </c>
    </row>
    <row r="5216" ht="15" customHeight="1" s="109" thickBot="1">
      <c r="B5216" s="96" t="inlineStr">
        <is>
          <t>Likhitha Infrastructure Ltd</t>
        </is>
      </c>
      <c r="C5216" s="97" t="n">
        <v>543240</v>
      </c>
      <c r="D5216" s="96" t="inlineStr">
        <is>
          <t>LIKHITHA</t>
        </is>
      </c>
      <c r="E5216" s="96" t="inlineStr">
        <is>
          <t>Construction &amp; Engineering</t>
        </is>
      </c>
    </row>
    <row r="5217" ht="15" customHeight="1" s="109" thickBot="1">
      <c r="B5217" s="96" t="inlineStr">
        <is>
          <t>Veer Global Infraconstruction Ltd</t>
        </is>
      </c>
      <c r="C5217" s="97" t="n">
        <v>543241</v>
      </c>
      <c r="D5217" s="96" t="inlineStr">
        <is>
          <t>VGIL</t>
        </is>
      </c>
      <c r="E5217" s="96" t="inlineStr">
        <is>
          <t>Realty</t>
        </is>
      </c>
    </row>
    <row r="5218" ht="15" customHeight="1" s="109" thickBot="1">
      <c r="B5218" s="96" t="inlineStr">
        <is>
          <t>Hemisphere Properties India Ltd</t>
        </is>
      </c>
      <c r="C5218" s="97" t="n">
        <v>543242</v>
      </c>
      <c r="D5218" s="96" t="inlineStr">
        <is>
          <t>HEMIPROP</t>
        </is>
      </c>
      <c r="E5218" s="96" t="inlineStr">
        <is>
          <t>Realty</t>
        </is>
      </c>
    </row>
    <row r="5219" ht="15" customHeight="1" s="109" thickBot="1">
      <c r="B5219" s="96" t="inlineStr">
        <is>
          <t>Equitas Small Finance Bank Ltd</t>
        </is>
      </c>
      <c r="C5219" s="97" t="n">
        <v>543243</v>
      </c>
      <c r="D5219" s="96" t="inlineStr">
        <is>
          <t>EQUITASBNK</t>
        </is>
      </c>
      <c r="E5219" s="96" t="inlineStr">
        <is>
          <t>Banks</t>
        </is>
      </c>
    </row>
    <row r="5220" ht="15" customHeight="1" s="109" thickBot="1">
      <c r="B5220" s="96" t="inlineStr">
        <is>
          <t>Shine Fashions (India) Ltd</t>
        </is>
      </c>
      <c r="C5220" s="97" t="n">
        <v>543244</v>
      </c>
      <c r="D5220" s="96" t="inlineStr">
        <is>
          <t>SHINEFASH</t>
        </is>
      </c>
      <c r="E5220" s="96" t="inlineStr">
        <is>
          <t>Textiles</t>
        </is>
      </c>
    </row>
    <row r="5221" ht="15" customHeight="1" s="109" thickBot="1">
      <c r="B5221" s="96" t="inlineStr">
        <is>
          <t>BARODA RAYON CORPORATION LTD</t>
        </is>
      </c>
      <c r="C5221" s="97" t="n">
        <v>500270</v>
      </c>
      <c r="D5221" s="96" t="inlineStr">
        <is>
          <t>BARODARY</t>
        </is>
      </c>
      <c r="E5221" s="96" t="inlineStr">
        <is>
          <t>Other Textile Products</t>
        </is>
      </c>
    </row>
    <row r="5222" ht="15" customHeight="1" s="109" thickBot="1">
      <c r="B5222" s="96" t="inlineStr">
        <is>
          <t>MEDIAONE GLOBAL ENTERTAINMENT LTD</t>
        </is>
      </c>
      <c r="C5222" s="97" t="n">
        <v>503685</v>
      </c>
      <c r="D5222" s="96" t="inlineStr">
        <is>
          <t>MEDIAONE</t>
        </is>
      </c>
      <c r="E5222" s="96" t="inlineStr">
        <is>
          <t>Film Production- Distribution &amp; Exhibition</t>
        </is>
      </c>
    </row>
    <row r="5223" ht="15" customHeight="1" s="109" thickBot="1">
      <c r="B5223" s="96" t="inlineStr">
        <is>
          <t>INDIA RADIATORS LTD</t>
        </is>
      </c>
      <c r="C5223" s="97" t="n">
        <v>505100</v>
      </c>
      <c r="D5223" s="96" t="inlineStr">
        <is>
          <t>INRADIA</t>
        </is>
      </c>
      <c r="E5223" s="96" t="inlineStr">
        <is>
          <t>Auto Components &amp; Equipments</t>
        </is>
      </c>
    </row>
    <row r="5224" ht="15" customHeight="1" s="109" thickBot="1">
      <c r="B5224" s="96" t="inlineStr">
        <is>
          <t>PB Global Ltd</t>
        </is>
      </c>
      <c r="C5224" s="97" t="n">
        <v>506580</v>
      </c>
      <c r="D5224" s="96" t="inlineStr">
        <is>
          <t>PBGLOBAL</t>
        </is>
      </c>
      <c r="E5224" s="96" t="inlineStr">
        <is>
          <t>Pesticides &amp; Agrochemicals</t>
        </is>
      </c>
    </row>
    <row r="5225" ht="15" customHeight="1" s="109" thickBot="1">
      <c r="B5225" s="96" t="inlineStr">
        <is>
          <t>INFOMEDIA PRESS LTD</t>
        </is>
      </c>
      <c r="C5225" s="97" t="n">
        <v>509069</v>
      </c>
      <c r="D5225" s="96" t="inlineStr">
        <is>
          <t>INFOMEDIA</t>
        </is>
      </c>
      <c r="E5225" s="96" t="inlineStr">
        <is>
          <t>Printing &amp; Publication</t>
        </is>
      </c>
    </row>
    <row r="5226" ht="15" customHeight="1" s="109" thickBot="1">
      <c r="B5226" s="96" t="inlineStr">
        <is>
          <t>U.P.HOTELS LTD</t>
        </is>
      </c>
      <c r="C5226" s="97" t="n">
        <v>509960</v>
      </c>
      <c r="D5226" s="96" t="inlineStr">
        <is>
          <t>UPHOT</t>
        </is>
      </c>
      <c r="E5226" s="96" t="inlineStr">
        <is>
          <t>Hotels &amp; Resorts</t>
        </is>
      </c>
    </row>
    <row r="5227" ht="15" customHeight="1" s="109" thickBot="1">
      <c r="B5227" s="96" t="inlineStr">
        <is>
          <t>PREMIER CAPITAL SERVICES LTD</t>
        </is>
      </c>
      <c r="C5227" s="97" t="n">
        <v>511016</v>
      </c>
      <c r="D5227" s="96" t="inlineStr">
        <is>
          <t>PREMCAP</t>
        </is>
      </c>
      <c r="E5227" s="96" t="inlineStr">
        <is>
          <t>Other Electrical Equipment</t>
        </is>
      </c>
    </row>
    <row r="5228" ht="15" customHeight="1" s="109" thickBot="1">
      <c r="B5228" s="96" t="inlineStr">
        <is>
          <t>ICDS LTD</t>
        </is>
      </c>
      <c r="C5228" s="97" t="n">
        <v>511194</v>
      </c>
      <c r="D5228" s="96" t="inlineStr">
        <is>
          <t>ICDSLTD</t>
        </is>
      </c>
      <c r="E5228" s="96" t="inlineStr">
        <is>
          <t>Diversified Commercial Services</t>
        </is>
      </c>
    </row>
    <row r="5229" ht="15" customHeight="1" s="109" thickBot="1">
      <c r="B5229" s="96" t="inlineStr">
        <is>
          <t>Saianand Commercial Limited</t>
        </is>
      </c>
      <c r="C5229" s="97" t="n">
        <v>512097</v>
      </c>
      <c r="D5229" s="96" t="inlineStr">
        <is>
          <t>SAICOM</t>
        </is>
      </c>
      <c r="E5229" s="96" t="inlineStr">
        <is>
          <t>Trading &amp; Distributors</t>
        </is>
      </c>
    </row>
    <row r="5230" ht="15" customHeight="1" s="109" thickBot="1">
      <c r="B5230" s="96" t="inlineStr">
        <is>
          <t>ROSE MERC.LTD</t>
        </is>
      </c>
      <c r="C5230" s="97" t="n">
        <v>512115</v>
      </c>
      <c r="D5230" s="96" t="inlineStr">
        <is>
          <t>ROSEMER</t>
        </is>
      </c>
      <c r="E5230" s="96" t="inlineStr">
        <is>
          <t>Trading &amp; Distributors</t>
        </is>
      </c>
    </row>
    <row r="5231" ht="15" customHeight="1" s="109" thickBot="1">
      <c r="B5231" s="96" t="inlineStr">
        <is>
          <t>SURBHI INDUSTRIES LTD</t>
        </is>
      </c>
      <c r="C5231" s="97" t="n">
        <v>514260</v>
      </c>
      <c r="D5231" s="96" t="inlineStr">
        <is>
          <t>SURBHIN</t>
        </is>
      </c>
      <c r="E5231" s="96" t="inlineStr">
        <is>
          <t>Other Textile Products</t>
        </is>
      </c>
    </row>
    <row r="5232" ht="15" customHeight="1" s="109" thickBot="1">
      <c r="B5232" s="96" t="inlineStr">
        <is>
          <t>SHRI GANG INDUSTRIES AND ALLIED PRODUCTS LTD</t>
        </is>
      </c>
      <c r="C5232" s="97" t="n">
        <v>523309</v>
      </c>
      <c r="D5232" s="96" t="inlineStr">
        <is>
          <t>SHRIGANG</t>
        </is>
      </c>
      <c r="E5232" s="96" t="inlineStr">
        <is>
          <t>Edible Oil</t>
        </is>
      </c>
    </row>
    <row r="5233" ht="15" customHeight="1" s="109" thickBot="1">
      <c r="B5233" s="96" t="inlineStr">
        <is>
          <t>UBE INDUSTRIES LTD</t>
        </is>
      </c>
      <c r="C5233" s="97" t="n">
        <v>523868</v>
      </c>
      <c r="D5233" s="96" t="inlineStr">
        <is>
          <t>UBEINDL</t>
        </is>
      </c>
      <c r="E5233" s="96" t="inlineStr">
        <is>
          <t>Industrial Machinery</t>
        </is>
      </c>
    </row>
    <row r="5234" ht="15" customHeight="1" s="109" thickBot="1">
      <c r="B5234" s="96" t="inlineStr">
        <is>
          <t>PET PLASTICS LTD</t>
        </is>
      </c>
      <c r="C5234" s="97" t="n">
        <v>524046</v>
      </c>
      <c r="D5234" s="96" t="inlineStr">
        <is>
          <t>PETPLST</t>
        </is>
      </c>
      <c r="E5234" s="96" t="inlineStr">
        <is>
          <t>Plastic Products - Industrial</t>
        </is>
      </c>
    </row>
    <row r="5235" ht="15" customHeight="1" s="109" thickBot="1">
      <c r="B5235" s="96" t="inlineStr">
        <is>
          <t>PANJON LTD</t>
        </is>
      </c>
      <c r="C5235" s="97" t="n">
        <v>526345</v>
      </c>
      <c r="D5235" s="96" t="inlineStr">
        <is>
          <t>PANJON</t>
        </is>
      </c>
      <c r="E5235" s="96" t="inlineStr">
        <is>
          <t>Packaged Foods</t>
        </is>
      </c>
    </row>
    <row r="5236" ht="15" customHeight="1" s="109" thickBot="1">
      <c r="B5236" s="96" t="inlineStr">
        <is>
          <t>EURO LEDER FASHION LTD</t>
        </is>
      </c>
      <c r="C5236" s="97" t="n">
        <v>526468</v>
      </c>
      <c r="D5236" s="96" t="inlineStr">
        <is>
          <t>EUROLED</t>
        </is>
      </c>
      <c r="E5236" s="96" t="inlineStr">
        <is>
          <t>Gems- Jewellery And Watches</t>
        </is>
      </c>
    </row>
    <row r="5237" ht="15" customHeight="1" s="109" thickBot="1">
      <c r="B5237" s="96" t="inlineStr">
        <is>
          <t>DSJ keep Learning Ltd</t>
        </is>
      </c>
      <c r="C5237" s="97" t="n">
        <v>526677</v>
      </c>
      <c r="D5237" s="96" t="inlineStr">
        <is>
          <t>KEEPLEARN</t>
        </is>
      </c>
      <c r="E5237" s="96" t="inlineStr">
        <is>
          <t>Education</t>
        </is>
      </c>
    </row>
    <row r="5238" ht="15" customHeight="1" s="109" thickBot="1">
      <c r="B5238" s="96" t="inlineStr">
        <is>
          <t>SIDDHESWARI GARMENTS LTD</t>
        </is>
      </c>
      <c r="C5238" s="97" t="n">
        <v>526877</v>
      </c>
      <c r="D5238" s="96" t="inlineStr">
        <is>
          <t>SIDDHEGA</t>
        </is>
      </c>
      <c r="E5238" s="96" t="inlineStr">
        <is>
          <t>Trading &amp; Distributors</t>
        </is>
      </c>
    </row>
    <row r="5239" ht="15" customHeight="1" s="109" thickBot="1">
      <c r="B5239" s="96" t="inlineStr">
        <is>
          <t>AADI INDUSTRIES LTD</t>
        </is>
      </c>
      <c r="C5239" s="97" t="n">
        <v>530027</v>
      </c>
      <c r="D5239" s="96" t="inlineStr">
        <is>
          <t>AADIIND</t>
        </is>
      </c>
      <c r="E5239" s="96" t="inlineStr">
        <is>
          <t>Petrochemicals</t>
        </is>
      </c>
    </row>
    <row r="5240" ht="15" customHeight="1" s="109" thickBot="1">
      <c r="B5240" s="96" t="inlineStr">
        <is>
          <t>SHAMROCK INDUSTRIAL CO.LTD</t>
        </is>
      </c>
      <c r="C5240" s="97" t="n">
        <v>531240</v>
      </c>
      <c r="D5240" s="96" t="inlineStr">
        <is>
          <t>SHAMROIN</t>
        </is>
      </c>
      <c r="E5240" s="96" t="inlineStr">
        <is>
          <t>Trading &amp; Distributors</t>
        </is>
      </c>
    </row>
    <row r="5241" ht="15" customHeight="1" s="109" thickBot="1">
      <c r="B5241" s="96" t="inlineStr">
        <is>
          <t>G.G.AUTOMOTIVE GEARS LTD</t>
        </is>
      </c>
      <c r="C5241" s="97" t="n">
        <v>531399</v>
      </c>
      <c r="D5241" s="96" t="inlineStr">
        <is>
          <t>GGAUTO</t>
        </is>
      </c>
      <c r="E5241" s="96" t="inlineStr">
        <is>
          <t>Auto Components &amp; Equipments</t>
        </is>
      </c>
    </row>
    <row r="5242" ht="15" customHeight="1" s="109" thickBot="1">
      <c r="B5242" s="96" t="inlineStr">
        <is>
          <t>SGN TELECOMS LTD</t>
        </is>
      </c>
      <c r="C5242" s="97" t="n">
        <v>531812</v>
      </c>
      <c r="D5242" s="96" t="inlineStr">
        <is>
          <t>SGNTE</t>
        </is>
      </c>
      <c r="E5242" s="96" t="inlineStr">
        <is>
          <t>Other Electrical Equipment</t>
        </is>
      </c>
    </row>
    <row r="5243" ht="15" customHeight="1" s="109" thickBot="1">
      <c r="B5243" s="96" t="inlineStr">
        <is>
          <t>LCC INFOTECH LTD</t>
        </is>
      </c>
      <c r="C5243" s="97" t="n">
        <v>532019</v>
      </c>
      <c r="D5243" s="96" t="inlineStr">
        <is>
          <t>LCCINFOTEC</t>
        </is>
      </c>
      <c r="E5243" s="96" t="inlineStr">
        <is>
          <t>E-Learning</t>
        </is>
      </c>
    </row>
    <row r="5244" ht="15" customHeight="1" s="109" thickBot="1">
      <c r="B5244" s="96" t="inlineStr">
        <is>
          <t>AMBICA AGARBATHIES &amp; AROMA INDUSTRIES LTD</t>
        </is>
      </c>
      <c r="C5244" s="97" t="n">
        <v>532335</v>
      </c>
      <c r="D5244" s="96" t="inlineStr">
        <is>
          <t>AMBICAAGAR</t>
        </is>
      </c>
      <c r="E5244" s="96" t="inlineStr">
        <is>
          <t>Household Products</t>
        </is>
      </c>
    </row>
    <row r="5245" ht="15" customHeight="1" s="109" thickBot="1">
      <c r="B5245" s="96" t="inlineStr">
        <is>
          <t>Shree Hanuman Sugar &amp; Industries Ltd</t>
        </is>
      </c>
      <c r="C5245" s="97" t="n">
        <v>537709</v>
      </c>
      <c r="D5245" s="96" t="inlineStr">
        <is>
          <t>HANSUGAR</t>
        </is>
      </c>
      <c r="E5245" s="96" t="inlineStr">
        <is>
          <t>Sugar</t>
        </is>
      </c>
    </row>
    <row r="5246" ht="15" customHeight="1" s="109" thickBot="1">
      <c r="B5246" s="96" t="inlineStr">
        <is>
          <t>Samrat Forgings Ltd</t>
        </is>
      </c>
      <c r="C5246" s="97" t="n">
        <v>543229</v>
      </c>
      <c r="D5246" s="96" t="inlineStr">
        <is>
          <t>SAMRATFORG</t>
        </is>
      </c>
      <c r="E5246" s="96" t="inlineStr">
        <is>
          <t>Castings &amp; Forgings</t>
        </is>
      </c>
    </row>
    <row r="5247" ht="15" customHeight="1" s="109" thickBot="1">
      <c r="B5247" s="96" t="inlineStr">
        <is>
          <t>Gland Pharma Ltd</t>
        </is>
      </c>
      <c r="C5247" s="97" t="n">
        <v>543245</v>
      </c>
      <c r="D5247" s="96" t="inlineStr">
        <is>
          <t>GLAND</t>
        </is>
      </c>
      <c r="E5247" s="96" t="inlineStr">
        <is>
          <t>Pharmaceuticals</t>
        </is>
      </c>
    </row>
    <row r="5248" ht="15" customHeight="1" s="109" thickBot="1">
      <c r="B5248" s="96" t="inlineStr">
        <is>
          <t>Mirae Asset ESG Sector Leaders ETF</t>
        </is>
      </c>
      <c r="C5248" s="97" t="n">
        <v>543246</v>
      </c>
      <c r="D5248" s="96" t="inlineStr">
        <is>
          <t>MAESGETF</t>
        </is>
      </c>
      <c r="E5248" s="96" t="n"/>
    </row>
    <row r="5249" ht="15" customHeight="1" s="109" thickBot="1">
      <c r="B5249" s="96" t="inlineStr">
        <is>
          <t>Net Pix Shorts Digital Media Ltd</t>
        </is>
      </c>
      <c r="C5249" s="97" t="n">
        <v>543247</v>
      </c>
      <c r="D5249" s="96" t="inlineStr">
        <is>
          <t>NETPIX</t>
        </is>
      </c>
      <c r="E5249" s="96" t="inlineStr">
        <is>
          <t>Film Production- Distribution &amp; Exhibition</t>
        </is>
      </c>
    </row>
    <row r="5250" ht="15" customHeight="1" s="109" thickBot="1">
      <c r="B5250" s="96" t="inlineStr">
        <is>
          <t>Restaurant Brands Asia Ltd</t>
        </is>
      </c>
      <c r="C5250" s="97" t="n">
        <v>543248</v>
      </c>
      <c r="D5250" s="96" t="inlineStr">
        <is>
          <t>RBA</t>
        </is>
      </c>
      <c r="E5250" s="96" t="inlineStr">
        <is>
          <t>Restaurants</t>
        </is>
      </c>
    </row>
    <row r="5251" ht="15" customHeight="1" s="109" thickBot="1">
      <c r="B5251" s="96" t="inlineStr">
        <is>
          <t>Tarc Ltd</t>
        </is>
      </c>
      <c r="C5251" s="97" t="n">
        <v>543249</v>
      </c>
      <c r="D5251" s="96" t="inlineStr">
        <is>
          <t>TARC</t>
        </is>
      </c>
      <c r="E5251" s="96" t="inlineStr">
        <is>
          <t>Residential- Commercial Projects</t>
        </is>
      </c>
    </row>
    <row r="5252" ht="15" customHeight="1" s="109" thickBot="1">
      <c r="B5252" s="96" t="inlineStr">
        <is>
          <t>Ravinder Heights Ltd</t>
        </is>
      </c>
      <c r="C5252" s="97" t="n">
        <v>543251</v>
      </c>
      <c r="D5252" s="96" t="inlineStr">
        <is>
          <t>RVHL</t>
        </is>
      </c>
      <c r="E5252" s="96" t="inlineStr">
        <is>
          <t>Residential- Commercial Projects</t>
        </is>
      </c>
    </row>
    <row r="5253" ht="15" customHeight="1" s="109" thickBot="1">
      <c r="B5253" s="96" t="inlineStr">
        <is>
          <t>Fairchem Organics Ltd</t>
        </is>
      </c>
      <c r="C5253" s="97" t="n">
        <v>543252</v>
      </c>
      <c r="D5253" s="96" t="inlineStr">
        <is>
          <t>FAIRCHEMOR</t>
        </is>
      </c>
      <c r="E5253" s="96" t="inlineStr">
        <is>
          <t>Specialty Chemicals</t>
        </is>
      </c>
    </row>
    <row r="5254" ht="15" customHeight="1" s="109" thickBot="1">
      <c r="B5254" s="96" t="inlineStr">
        <is>
          <t>Mrs. Bectors Food Specialities Ltd</t>
        </is>
      </c>
      <c r="C5254" s="97" t="n">
        <v>543253</v>
      </c>
      <c r="D5254" s="96" t="inlineStr">
        <is>
          <t>BECTORFOOD</t>
        </is>
      </c>
      <c r="E5254" s="96" t="inlineStr">
        <is>
          <t>Packaged Foods</t>
        </is>
      </c>
    </row>
    <row r="5255" ht="15" customHeight="1" s="109" thickBot="1">
      <c r="B5255" s="96" t="inlineStr">
        <is>
          <t>Antony Waste Handling Cell Ltd</t>
        </is>
      </c>
      <c r="C5255" s="97" t="n">
        <v>543254</v>
      </c>
      <c r="D5255" s="96" t="inlineStr">
        <is>
          <t>AWHCL</t>
        </is>
      </c>
      <c r="E5255" s="96" t="inlineStr">
        <is>
          <t>Waste Management</t>
        </is>
      </c>
    </row>
    <row r="5256" ht="15" customHeight="1" s="109" thickBot="1">
      <c r="B5256" s="96" t="inlineStr">
        <is>
          <t>NIPPON INDIA ETF INFRA BeES</t>
        </is>
      </c>
      <c r="C5256" s="97" t="n">
        <v>543255</v>
      </c>
      <c r="D5256" s="96" t="inlineStr">
        <is>
          <t>INFRABEES</t>
        </is>
      </c>
      <c r="E5256" s="96" t="n"/>
    </row>
    <row r="5257" ht="15" customHeight="1" s="109" thickBot="1">
      <c r="B5257" s="96" t="inlineStr">
        <is>
          <t>Rita Finance and Leasing Ltd</t>
        </is>
      </c>
      <c r="C5257" s="97" t="n">
        <v>543256</v>
      </c>
      <c r="D5257" s="96" t="inlineStr">
        <is>
          <t>RFLL</t>
        </is>
      </c>
      <c r="E5257" s="96" t="inlineStr">
        <is>
          <t>Non Banking Financial Company (NBFC)</t>
        </is>
      </c>
    </row>
    <row r="5258" ht="15" customHeight="1" s="109" thickBot="1">
      <c r="B5258" s="96" t="inlineStr">
        <is>
          <t>Indian Railway Finance Corporation Ltd</t>
        </is>
      </c>
      <c r="C5258" s="97" t="n">
        <v>543257</v>
      </c>
      <c r="D5258" s="96" t="inlineStr">
        <is>
          <t>IRFC</t>
        </is>
      </c>
      <c r="E5258" s="96" t="inlineStr">
        <is>
          <t>Financial Institution</t>
        </is>
      </c>
    </row>
    <row r="5259" ht="15" customHeight="1" s="109" thickBot="1">
      <c r="B5259" s="96" t="inlineStr">
        <is>
          <t>Indigo Paints Ltd</t>
        </is>
      </c>
      <c r="C5259" s="97" t="n">
        <v>543258</v>
      </c>
      <c r="D5259" s="96" t="inlineStr">
        <is>
          <t>INDIGOPNTS</t>
        </is>
      </c>
      <c r="E5259" s="96" t="inlineStr">
        <is>
          <t>Paints</t>
        </is>
      </c>
    </row>
    <row r="5260" ht="15" customHeight="1" s="109" thickBot="1">
      <c r="B5260" s="96" t="inlineStr">
        <is>
          <t>Home First Finance Company India Ltd</t>
        </is>
      </c>
      <c r="C5260" s="97" t="n">
        <v>543259</v>
      </c>
      <c r="D5260" s="96" t="inlineStr">
        <is>
          <t>HOMEFIRST</t>
        </is>
      </c>
      <c r="E5260" s="96" t="inlineStr">
        <is>
          <t>Housing Finance Company</t>
        </is>
      </c>
    </row>
    <row r="5261" ht="15" customHeight="1" s="109" thickBot="1">
      <c r="B5261" s="96" t="inlineStr">
        <is>
          <t>Stove Kraft Ltd</t>
        </is>
      </c>
      <c r="C5261" s="97" t="n">
        <v>543260</v>
      </c>
      <c r="D5261" s="96" t="inlineStr">
        <is>
          <t>STOVEKRAFT</t>
        </is>
      </c>
      <c r="E5261" s="96" t="inlineStr">
        <is>
          <t>Household Appliances</t>
        </is>
      </c>
    </row>
    <row r="5262" ht="15" customHeight="1" s="109" thickBot="1">
      <c r="B5262" s="96" t="inlineStr">
        <is>
          <t>Brookfield India Real Estate Trust REIT</t>
        </is>
      </c>
      <c r="C5262" s="97" t="n">
        <v>543261</v>
      </c>
      <c r="D5262" s="96" t="inlineStr">
        <is>
          <t>BIRET</t>
        </is>
      </c>
      <c r="E5262" s="96" t="inlineStr">
        <is>
          <t>Real Estate Investment Trusts (REITs)</t>
        </is>
      </c>
    </row>
    <row r="5263" ht="15" customHeight="1" s="109" thickBot="1">
      <c r="B5263" s="96" t="inlineStr">
        <is>
          <t>MRP Agro Ltd</t>
        </is>
      </c>
      <c r="C5263" s="97" t="n">
        <v>543262</v>
      </c>
      <c r="D5263" s="96" t="inlineStr">
        <is>
          <t>MRP</t>
        </is>
      </c>
      <c r="E5263" s="96" t="inlineStr">
        <is>
          <t>Distributors</t>
        </is>
      </c>
    </row>
    <row r="5264" ht="15" customHeight="1" s="109" thickBot="1">
      <c r="B5264" s="96" t="inlineStr">
        <is>
          <t>SMC Global Securities Ltd</t>
        </is>
      </c>
      <c r="C5264" s="97" t="n">
        <v>543263</v>
      </c>
      <c r="D5264" s="96" t="inlineStr">
        <is>
          <t>SMCGLOBAL*</t>
        </is>
      </c>
      <c r="E5264" s="96" t="inlineStr">
        <is>
          <t>Stockbroking &amp; Allied</t>
        </is>
      </c>
    </row>
    <row r="5265" ht="15" customHeight="1" s="109" thickBot="1">
      <c r="B5265" s="96" t="inlineStr">
        <is>
          <t>Nureca Ltd</t>
        </is>
      </c>
      <c r="C5265" s="97" t="n">
        <v>543264</v>
      </c>
      <c r="D5265" s="96" t="inlineStr">
        <is>
          <t>NURECA</t>
        </is>
      </c>
      <c r="E5265" s="96" t="inlineStr">
        <is>
          <t>Medical Equipment &amp; Supplies</t>
        </is>
      </c>
    </row>
    <row r="5266" ht="15" customHeight="1" s="109" thickBot="1">
      <c r="B5266" s="96" t="inlineStr">
        <is>
          <t>RailTel Corporation of India Ltd</t>
        </is>
      </c>
      <c r="C5266" s="97" t="n">
        <v>543265</v>
      </c>
      <c r="D5266" s="96" t="inlineStr">
        <is>
          <t>RAILTEL</t>
        </is>
      </c>
      <c r="E5266" s="96" t="inlineStr">
        <is>
          <t>Other Telecom Services</t>
        </is>
      </c>
    </row>
    <row r="5267" ht="15" customHeight="1" s="109" thickBot="1">
      <c r="B5267" s="96" t="inlineStr">
        <is>
          <t>Heranba Industries Ltd</t>
        </is>
      </c>
      <c r="C5267" s="97" t="n">
        <v>543266</v>
      </c>
      <c r="D5267" s="96" t="inlineStr">
        <is>
          <t>HERANBA</t>
        </is>
      </c>
      <c r="E5267" s="96" t="inlineStr">
        <is>
          <t>Pesticides &amp; Agrochemicals</t>
        </is>
      </c>
    </row>
    <row r="5268" ht="15" customHeight="1" s="109" thickBot="1">
      <c r="B5268" s="96" t="inlineStr">
        <is>
          <t>Davangere Sugar Company Ltd</t>
        </is>
      </c>
      <c r="C5268" s="97" t="n">
        <v>543267</v>
      </c>
      <c r="D5268" s="96" t="inlineStr">
        <is>
          <t>DAVANGERE</t>
        </is>
      </c>
      <c r="E5268" s="96" t="inlineStr">
        <is>
          <t>Sugar</t>
        </is>
      </c>
    </row>
    <row r="5269" ht="15" customHeight="1" s="109" thickBot="1">
      <c r="B5269" s="96" t="inlineStr">
        <is>
          <t>Adjia Technologies Ltd</t>
        </is>
      </c>
      <c r="C5269" s="97" t="n">
        <v>543269</v>
      </c>
      <c r="D5269" s="96" t="inlineStr">
        <is>
          <t>ADJIA</t>
        </is>
      </c>
      <c r="E5269" s="96" t="inlineStr">
        <is>
          <t>Computers - Software &amp; Consulting</t>
        </is>
      </c>
    </row>
    <row r="5270" ht="15" customHeight="1" s="109" thickBot="1">
      <c r="B5270" s="96" t="inlineStr">
        <is>
          <t>MTAR Technologies Ltd</t>
        </is>
      </c>
      <c r="C5270" s="97" t="n">
        <v>543270</v>
      </c>
      <c r="D5270" s="96" t="inlineStr">
        <is>
          <t>MTARTECH</t>
        </is>
      </c>
      <c r="E5270" s="96" t="inlineStr">
        <is>
          <t>Aerospace &amp; Defense</t>
        </is>
      </c>
    </row>
    <row r="5271" ht="15" customHeight="1" s="109" thickBot="1">
      <c r="B5271" s="96" t="inlineStr">
        <is>
          <t>Jubilant Ingrevia Ltd</t>
        </is>
      </c>
      <c r="C5271" s="97" t="n">
        <v>543271</v>
      </c>
      <c r="D5271" s="96" t="inlineStr">
        <is>
          <t>JUBLINGREA</t>
        </is>
      </c>
      <c r="E5271" s="96" t="inlineStr">
        <is>
          <t>Specialty Chemicals</t>
        </is>
      </c>
    </row>
    <row r="5272" ht="15" customHeight="1" s="109" thickBot="1">
      <c r="B5272" s="96" t="inlineStr">
        <is>
          <t>Easy Trip Planners Ltd</t>
        </is>
      </c>
      <c r="C5272" s="97" t="n">
        <v>543272</v>
      </c>
      <c r="D5272" s="96" t="inlineStr">
        <is>
          <t>EASEMYTRIP</t>
        </is>
      </c>
      <c r="E5272" s="96" t="inlineStr">
        <is>
          <t>Tour- Travel Related Services</t>
        </is>
      </c>
    </row>
    <row r="5273" ht="15" customHeight="1" s="109" thickBot="1">
      <c r="B5273" s="96" t="inlineStr">
        <is>
          <t>Knowledge Marine &amp; Engineering Works Ltd</t>
        </is>
      </c>
      <c r="C5273" s="97" t="n">
        <v>543273</v>
      </c>
      <c r="D5273" s="96" t="inlineStr">
        <is>
          <t>KMEW</t>
        </is>
      </c>
      <c r="E5273" s="96" t="inlineStr">
        <is>
          <t>Shipping</t>
        </is>
      </c>
    </row>
    <row r="5274" ht="15" customHeight="1" s="109" thickBot="1">
      <c r="B5274" s="96" t="inlineStr">
        <is>
          <t>Suumaya Corporation Ltd</t>
        </is>
      </c>
      <c r="C5274" s="97" t="n">
        <v>543274</v>
      </c>
      <c r="D5274" s="96" t="inlineStr">
        <is>
          <t>SUUMAYA</t>
        </is>
      </c>
      <c r="E5274" s="96" t="inlineStr">
        <is>
          <t>Other Textile Products</t>
        </is>
      </c>
    </row>
    <row r="5275" ht="15" customHeight="1" s="109" thickBot="1">
      <c r="B5275" s="96" t="inlineStr">
        <is>
          <t>Anupam Rasayan India Ltd</t>
        </is>
      </c>
      <c r="C5275" s="97" t="n">
        <v>543275</v>
      </c>
      <c r="D5275" s="96" t="inlineStr">
        <is>
          <t>ANURAS</t>
        </is>
      </c>
      <c r="E5275" s="96" t="inlineStr">
        <is>
          <t>Specialty Chemicals</t>
        </is>
      </c>
    </row>
    <row r="5276" ht="15" customHeight="1" s="109" thickBot="1">
      <c r="B5276" s="96" t="inlineStr">
        <is>
          <t>Craftsman Automation Ltd</t>
        </is>
      </c>
      <c r="C5276" s="97" t="n">
        <v>543276</v>
      </c>
      <c r="D5276" s="96" t="inlineStr">
        <is>
          <t>CRAFTSMAN</t>
        </is>
      </c>
      <c r="E5276" s="96" t="inlineStr">
        <is>
          <t>Auto Components &amp; Equipments</t>
        </is>
      </c>
    </row>
    <row r="5277" ht="15" customHeight="1" s="109" thickBot="1">
      <c r="B5277" s="96" t="inlineStr">
        <is>
          <t>Laxmi Organic Industries Ltd</t>
        </is>
      </c>
      <c r="C5277" s="97" t="n">
        <v>543277</v>
      </c>
      <c r="D5277" s="96" t="inlineStr">
        <is>
          <t>LXCHEM</t>
        </is>
      </c>
      <c r="E5277" s="96" t="inlineStr">
        <is>
          <t>Specialty Chemicals</t>
        </is>
      </c>
    </row>
    <row r="5278" ht="15" customHeight="1" s="109" thickBot="1">
      <c r="B5278" s="96" t="inlineStr">
        <is>
          <t>Kalyan Jewellers India Ltd</t>
        </is>
      </c>
      <c r="C5278" s="97" t="n">
        <v>543278</v>
      </c>
      <c r="D5278" s="96" t="inlineStr">
        <is>
          <t>KALYANKJIL</t>
        </is>
      </c>
      <c r="E5278" s="96" t="inlineStr">
        <is>
          <t>Gems- Jewellery And Watches</t>
        </is>
      </c>
    </row>
    <row r="5279" ht="15" customHeight="1" s="109" thickBot="1">
      <c r="B5279" s="96" t="inlineStr">
        <is>
          <t>Suryoday Small Finance Bank Ltd</t>
        </is>
      </c>
      <c r="C5279" s="97" t="n">
        <v>543279</v>
      </c>
      <c r="D5279" s="96" t="inlineStr">
        <is>
          <t>SURYODAY</t>
        </is>
      </c>
      <c r="E5279" s="96" t="inlineStr">
        <is>
          <t>Other Bank</t>
        </is>
      </c>
    </row>
    <row r="5280" ht="15" customHeight="1" s="109" thickBot="1">
      <c r="B5280" s="96" t="inlineStr">
        <is>
          <t>Nazara Technologies Ltd</t>
        </is>
      </c>
      <c r="C5280" s="97" t="n">
        <v>543280</v>
      </c>
      <c r="D5280" s="96" t="inlineStr">
        <is>
          <t>NAZARA</t>
        </is>
      </c>
      <c r="E5280" s="96" t="inlineStr">
        <is>
          <t>Digital Entertainment</t>
        </is>
      </c>
    </row>
    <row r="5281" ht="15" customHeight="1" s="109" thickBot="1">
      <c r="B5281" s="96" t="inlineStr">
        <is>
          <t>Suvidhaa Infoserve Ltd</t>
        </is>
      </c>
      <c r="C5281" s="97" t="n">
        <v>543281</v>
      </c>
      <c r="D5281" s="96" t="inlineStr">
        <is>
          <t>SUVIDHAA</t>
        </is>
      </c>
      <c r="E5281" s="96" t="inlineStr">
        <is>
          <t>Financial Technology (Fintech)</t>
        </is>
      </c>
    </row>
    <row r="5282" ht="15" customHeight="1" s="109" thickBot="1">
      <c r="B5282" s="96" t="inlineStr">
        <is>
          <t>Niks Technology Ltd</t>
        </is>
      </c>
      <c r="C5282" s="97" t="n">
        <v>543282</v>
      </c>
      <c r="D5282" s="96" t="inlineStr">
        <is>
          <t>NIKSTECH</t>
        </is>
      </c>
      <c r="E5282" s="96" t="inlineStr">
        <is>
          <t>Computers - Software &amp; Consulting</t>
        </is>
      </c>
    </row>
    <row r="5283" ht="15" customHeight="1" s="109" thickBot="1">
      <c r="B5283" s="96" t="inlineStr">
        <is>
          <t>Barbeque-Nation Hospitality Ltd</t>
        </is>
      </c>
      <c r="C5283" s="97" t="n">
        <v>543283</v>
      </c>
      <c r="D5283" s="96" t="inlineStr">
        <is>
          <t>BARBEQUE</t>
        </is>
      </c>
      <c r="E5283" s="96" t="inlineStr">
        <is>
          <t>Restaurants</t>
        </is>
      </c>
    </row>
    <row r="5284" ht="15" customHeight="1" s="109" thickBot="1">
      <c r="B5284" s="96" t="inlineStr">
        <is>
          <t>EKI Energy Services Ltd</t>
        </is>
      </c>
      <c r="C5284" s="97" t="n">
        <v>543284</v>
      </c>
      <c r="D5284" s="96" t="inlineStr">
        <is>
          <t>EKI</t>
        </is>
      </c>
      <c r="E5284" s="96" t="inlineStr">
        <is>
          <t>Consulting Services</t>
        </is>
      </c>
    </row>
    <row r="5285" ht="15" customHeight="1" s="109" thickBot="1">
      <c r="B5285" s="96" t="inlineStr">
        <is>
          <t>Rajeshwari Cans Ltd</t>
        </is>
      </c>
      <c r="C5285" s="97" t="n">
        <v>543285</v>
      </c>
      <c r="D5285" s="96" t="inlineStr">
        <is>
          <t>RCAN</t>
        </is>
      </c>
      <c r="E5285" s="96" t="inlineStr">
        <is>
          <t>Packaging</t>
        </is>
      </c>
    </row>
    <row r="5286" ht="15" customHeight="1" s="109" thickBot="1">
      <c r="B5286" s="96" t="inlineStr">
        <is>
          <t>Jetmall Spices and Masala Ltd</t>
        </is>
      </c>
      <c r="C5286" s="97" t="n">
        <v>543286</v>
      </c>
      <c r="D5286" s="96" t="inlineStr">
        <is>
          <t>JETMALL</t>
        </is>
      </c>
      <c r="E5286" s="96" t="inlineStr">
        <is>
          <t>Other Food Products</t>
        </is>
      </c>
    </row>
    <row r="5287" ht="15" customHeight="1" s="109" thickBot="1">
      <c r="B5287" s="96" t="inlineStr">
        <is>
          <t>Macrotech Developers Ltd</t>
        </is>
      </c>
      <c r="C5287" s="97" t="n">
        <v>543287</v>
      </c>
      <c r="D5287" s="96" t="inlineStr">
        <is>
          <t>LODHA</t>
        </is>
      </c>
      <c r="E5287" s="96" t="inlineStr">
        <is>
          <t>Residential- Commercial Projects</t>
        </is>
      </c>
    </row>
    <row r="5288" ht="15" customHeight="1" s="109" thickBot="1">
      <c r="B5288" s="96" t="inlineStr">
        <is>
          <t>Deep Industries Ltd</t>
        </is>
      </c>
      <c r="C5288" s="97" t="n">
        <v>543288</v>
      </c>
      <c r="D5288" s="96" t="inlineStr">
        <is>
          <t>DEEPIND</t>
        </is>
      </c>
      <c r="E5288" s="96" t="inlineStr">
        <is>
          <t>Offshore Support Solution Drilling</t>
        </is>
      </c>
    </row>
    <row r="5289" ht="15" customHeight="1" s="109" thickBot="1">
      <c r="B5289" s="96" t="inlineStr">
        <is>
          <t>Kuberan Global Edu Solutions Ltd</t>
        </is>
      </c>
      <c r="C5289" s="97" t="n">
        <v>543289</v>
      </c>
      <c r="D5289" s="96" t="inlineStr">
        <is>
          <t>KGES</t>
        </is>
      </c>
      <c r="E5289" s="96" t="inlineStr">
        <is>
          <t>Education</t>
        </is>
      </c>
    </row>
    <row r="5290" ht="15" customHeight="1" s="109" thickBot="1">
      <c r="B5290" s="96" t="inlineStr">
        <is>
          <t>POWERGRID Infrastructure Investment Trust</t>
        </is>
      </c>
      <c r="C5290" s="97" t="n">
        <v>543290</v>
      </c>
      <c r="D5290" s="96" t="inlineStr">
        <is>
          <t>PGINVIT</t>
        </is>
      </c>
      <c r="E5290" s="96" t="inlineStr">
        <is>
          <t>Power - Transmission</t>
        </is>
      </c>
    </row>
    <row r="5291" ht="15" customHeight="1" s="109" thickBot="1">
      <c r="B5291" s="96" t="inlineStr">
        <is>
          <t>Mirae Asset NYSE FANG+ ETF</t>
        </is>
      </c>
      <c r="C5291" s="97" t="n">
        <v>543291</v>
      </c>
      <c r="D5291" s="96" t="inlineStr">
        <is>
          <t>MAFANG</t>
        </is>
      </c>
      <c r="E5291" s="96" t="n"/>
    </row>
    <row r="5292" ht="15" customHeight="1" s="109" thickBot="1">
      <c r="B5292" s="96" t="inlineStr">
        <is>
          <t>ICICI Prudential Healthcare ETF</t>
        </is>
      </c>
      <c r="C5292" s="97" t="n">
        <v>543292</v>
      </c>
      <c r="D5292" s="96" t="inlineStr">
        <is>
          <t>ICICIPHARM</t>
        </is>
      </c>
      <c r="E5292" s="96" t="n"/>
    </row>
    <row r="5293" ht="15" customHeight="1" s="109" thickBot="1">
      <c r="B5293" s="96" t="inlineStr">
        <is>
          <t>Inox Wind Energy Ltd</t>
        </is>
      </c>
      <c r="C5293" s="97" t="n">
        <v>543297</v>
      </c>
      <c r="D5293" s="96" t="inlineStr">
        <is>
          <t>IWEL</t>
        </is>
      </c>
      <c r="E5293" s="96" t="inlineStr">
        <is>
          <t>Heavy Electrical Equipment</t>
        </is>
      </c>
    </row>
    <row r="5294" ht="15" customHeight="1" s="109" thickBot="1">
      <c r="B5294" s="96" t="inlineStr">
        <is>
          <t>Vineet Laboratories Ltd</t>
        </is>
      </c>
      <c r="C5294" s="97" t="n">
        <v>543298</v>
      </c>
      <c r="D5294" s="96" t="inlineStr">
        <is>
          <t>VINEETLAB</t>
        </is>
      </c>
      <c r="E5294" s="96" t="inlineStr">
        <is>
          <t>Pharmaceuticals</t>
        </is>
      </c>
    </row>
    <row r="5295" ht="15" customHeight="1" s="109" thickBot="1">
      <c r="B5295" s="96" t="inlineStr">
        <is>
          <t>Shyam Metalics and Energy Ltd</t>
        </is>
      </c>
      <c r="C5295" s="97" t="n">
        <v>543299</v>
      </c>
      <c r="D5295" s="96" t="inlineStr">
        <is>
          <t>SHYAMMETL</t>
        </is>
      </c>
      <c r="E5295" s="96" t="inlineStr">
        <is>
          <t>Iron &amp; Steel</t>
        </is>
      </c>
    </row>
    <row r="5296" ht="15" customHeight="1" s="109" thickBot="1">
      <c r="B5296" s="96" t="inlineStr">
        <is>
          <t>Sona BLW Precision Forgings Ltd</t>
        </is>
      </c>
      <c r="C5296" s="97" t="n">
        <v>543300</v>
      </c>
      <c r="D5296" s="96" t="inlineStr">
        <is>
          <t>SONACOMS</t>
        </is>
      </c>
      <c r="E5296" s="96" t="inlineStr">
        <is>
          <t>Auto Components &amp; Equipments</t>
        </is>
      </c>
    </row>
    <row r="5297" ht="15" customHeight="1" s="109" thickBot="1">
      <c r="B5297" s="96" t="inlineStr">
        <is>
          <t>Navoday Enterprises Ltd</t>
        </is>
      </c>
      <c r="C5297" s="97" t="n">
        <v>543305</v>
      </c>
      <c r="D5297" s="96" t="inlineStr">
        <is>
          <t>NAVODAYENT</t>
        </is>
      </c>
      <c r="E5297" s="96" t="inlineStr">
        <is>
          <t>Consulting Services</t>
        </is>
      </c>
    </row>
    <row r="5298" ht="15" customHeight="1" s="109" thickBot="1">
      <c r="B5298" s="96" t="inlineStr">
        <is>
          <t>Dodla Dairy Ltd</t>
        </is>
      </c>
      <c r="C5298" s="97" t="n">
        <v>543306</v>
      </c>
      <c r="D5298" s="96" t="inlineStr">
        <is>
          <t>DODLA</t>
        </is>
      </c>
      <c r="E5298" s="96" t="inlineStr">
        <is>
          <t>Dairy Products</t>
        </is>
      </c>
    </row>
    <row r="5299" ht="15" customHeight="1" s="109" thickBot="1">
      <c r="B5299" s="96" t="inlineStr">
        <is>
          <t>Krishna Institute of Medical Sciences Ltd</t>
        </is>
      </c>
      <c r="C5299" s="97" t="n">
        <v>543308</v>
      </c>
      <c r="D5299" s="96" t="inlineStr">
        <is>
          <t>KIMS</t>
        </is>
      </c>
      <c r="E5299" s="96" t="inlineStr">
        <is>
          <t>Hospital</t>
        </is>
      </c>
    </row>
    <row r="5300" ht="15" customHeight="1" s="109" thickBot="1">
      <c r="B5300" s="96" t="inlineStr">
        <is>
          <t>Adeshwar Meditex Ltd</t>
        </is>
      </c>
      <c r="C5300" s="97" t="n">
        <v>543309</v>
      </c>
      <c r="D5300" s="96" t="inlineStr">
        <is>
          <t>ADESHWAR</t>
        </is>
      </c>
      <c r="E5300" s="96" t="inlineStr">
        <is>
          <t>Healthcare Research- Analytics &amp; Technology</t>
        </is>
      </c>
    </row>
    <row r="5301" ht="15" customHeight="1" s="109" thickBot="1">
      <c r="B5301" s="96" t="inlineStr">
        <is>
          <t>Times Green Energy (India) Ltd</t>
        </is>
      </c>
      <c r="C5301" s="97" t="n">
        <v>543310</v>
      </c>
      <c r="D5301" s="96" t="inlineStr">
        <is>
          <t>TIMESGREEN</t>
        </is>
      </c>
      <c r="E5301" s="96" t="inlineStr">
        <is>
          <t>Other Agricultural Products</t>
        </is>
      </c>
    </row>
    <row r="5302" ht="15" customHeight="1" s="109" thickBot="1">
      <c r="B5302" s="96" t="inlineStr">
        <is>
          <t>India Pesticides Ltd</t>
        </is>
      </c>
      <c r="C5302" s="97" t="n">
        <v>543311</v>
      </c>
      <c r="D5302" s="96" t="inlineStr">
        <is>
          <t>IPL</t>
        </is>
      </c>
      <c r="E5302" s="96" t="inlineStr">
        <is>
          <t>Pesticides &amp; Agrochemicals</t>
        </is>
      </c>
    </row>
    <row r="5303" ht="15" customHeight="1" s="109" thickBot="1">
      <c r="B5303" s="96" t="inlineStr">
        <is>
          <t>Focus Business Solution Ltd</t>
        </is>
      </c>
      <c r="C5303" s="97" t="n">
        <v>543312</v>
      </c>
      <c r="D5303" s="96" t="inlineStr">
        <is>
          <t>FOCUS</t>
        </is>
      </c>
      <c r="E5303" s="96" t="inlineStr">
        <is>
          <t>Computers - Software &amp; Consulting</t>
        </is>
      </c>
    </row>
    <row r="5304" ht="15" customHeight="1" s="109" thickBot="1">
      <c r="B5304" s="96" t="inlineStr">
        <is>
          <t>G R Infraprojects Ltd</t>
        </is>
      </c>
      <c r="C5304" s="97" t="n">
        <v>543317</v>
      </c>
      <c r="D5304" s="96" t="inlineStr">
        <is>
          <t>GRINFRA</t>
        </is>
      </c>
      <c r="E5304" s="96" t="inlineStr">
        <is>
          <t>Civil Construction</t>
        </is>
      </c>
    </row>
    <row r="5305" ht="15" customHeight="1" s="109" thickBot="1">
      <c r="B5305" s="96" t="inlineStr">
        <is>
          <t>Clean Science and Technology Ltd</t>
        </is>
      </c>
      <c r="C5305" s="97" t="n">
        <v>543318</v>
      </c>
      <c r="D5305" s="96" t="inlineStr">
        <is>
          <t>CLEAN</t>
        </is>
      </c>
      <c r="E5305" s="96" t="inlineStr">
        <is>
          <t>Commodity Chemicals</t>
        </is>
      </c>
    </row>
    <row r="5306" ht="15" customHeight="1" s="109" thickBot="1">
      <c r="B5306" s="96" t="inlineStr">
        <is>
          <t>AA Plus Tradelink Ltd</t>
        </is>
      </c>
      <c r="C5306" s="97" t="n">
        <v>543319</v>
      </c>
      <c r="D5306" s="96" t="inlineStr">
        <is>
          <t>AAPLUSTRAD</t>
        </is>
      </c>
      <c r="E5306" s="96" t="inlineStr">
        <is>
          <t>Trading &amp; Distributors</t>
        </is>
      </c>
    </row>
    <row r="5307" ht="15" customHeight="1" s="109" thickBot="1">
      <c r="B5307" s="96" t="inlineStr">
        <is>
          <t>Zomato Ltd</t>
        </is>
      </c>
      <c r="C5307" s="97" t="n">
        <v>543320</v>
      </c>
      <c r="D5307" s="96" t="inlineStr">
        <is>
          <t>ZOMATO</t>
        </is>
      </c>
      <c r="E5307" s="96" t="inlineStr">
        <is>
          <t>E-Retail/ E-Commerce</t>
        </is>
      </c>
    </row>
    <row r="5308" ht="15" customHeight="1" s="109" thickBot="1">
      <c r="B5308" s="96" t="inlineStr">
        <is>
          <t>Tatva Chintan Pharma Chem Ltd</t>
        </is>
      </c>
      <c r="C5308" s="97" t="n">
        <v>543321</v>
      </c>
      <c r="D5308" s="96" t="inlineStr">
        <is>
          <t>TATVA</t>
        </is>
      </c>
      <c r="E5308" s="96" t="inlineStr">
        <is>
          <t>Specialty Chemicals</t>
        </is>
      </c>
    </row>
    <row r="5309" ht="15" customHeight="1" s="109" thickBot="1">
      <c r="B5309" s="96" t="inlineStr">
        <is>
          <t>Glenmark Life Sciences Ltd</t>
        </is>
      </c>
      <c r="C5309" s="97" t="n">
        <v>543322</v>
      </c>
      <c r="D5309" s="96" t="inlineStr">
        <is>
          <t>GLS</t>
        </is>
      </c>
      <c r="E5309" s="96" t="inlineStr">
        <is>
          <t>Pharmaceuticals</t>
        </is>
      </c>
    </row>
    <row r="5310" ht="15" customHeight="1" s="109" thickBot="1">
      <c r="B5310" s="96" t="inlineStr">
        <is>
          <t>Mirae Asset Nifty Financial Services ETF</t>
        </is>
      </c>
      <c r="C5310" s="97" t="n">
        <v>543323</v>
      </c>
      <c r="D5310" s="96" t="inlineStr">
        <is>
          <t>MAFSETF</t>
        </is>
      </c>
      <c r="E5310" s="96" t="n"/>
    </row>
    <row r="5311" ht="15" customHeight="1" s="109" thickBot="1">
      <c r="B5311" s="96" t="inlineStr">
        <is>
          <t>Gretex Corporate Services Ltd</t>
        </is>
      </c>
      <c r="C5311" s="97" t="n">
        <v>543324</v>
      </c>
      <c r="D5311" s="96" t="inlineStr">
        <is>
          <t>GCSL</t>
        </is>
      </c>
      <c r="E5311" s="96" t="inlineStr">
        <is>
          <t>Other Capital Market related Services</t>
        </is>
      </c>
    </row>
    <row r="5312" ht="15" customHeight="1" s="109" thickBot="1">
      <c r="B5312" s="96" t="inlineStr">
        <is>
          <t>Rolex Rings Ltd</t>
        </is>
      </c>
      <c r="C5312" s="97" t="n">
        <v>543325</v>
      </c>
      <c r="D5312" s="96" t="inlineStr">
        <is>
          <t>ROLEXRINGS</t>
        </is>
      </c>
      <c r="E5312" s="96" t="inlineStr">
        <is>
          <t>Auto Components &amp; Equipments</t>
        </is>
      </c>
    </row>
    <row r="5313" ht="15" customHeight="1" s="109" thickBot="1">
      <c r="B5313" s="96" t="inlineStr">
        <is>
          <t>ICICI Prudential FMCG ETF</t>
        </is>
      </c>
      <c r="C5313" s="97" t="n">
        <v>543326</v>
      </c>
      <c r="D5313" s="96" t="inlineStr">
        <is>
          <t>ICICIFMCG</t>
        </is>
      </c>
      <c r="E5313" s="96" t="n"/>
    </row>
    <row r="5314" ht="15" customHeight="1" s="109" thickBot="1">
      <c r="B5314" s="96" t="inlineStr">
        <is>
          <t>Exxaro Tiles Ltd</t>
        </is>
      </c>
      <c r="C5314" s="97" t="n">
        <v>543327</v>
      </c>
      <c r="D5314" s="96" t="inlineStr">
        <is>
          <t>EXXARO</t>
        </is>
      </c>
      <c r="E5314" s="96" t="inlineStr">
        <is>
          <t>Furniture- Home Furnishing- Flooring</t>
        </is>
      </c>
    </row>
    <row r="5315" ht="15" customHeight="1" s="109" thickBot="1">
      <c r="B5315" s="96" t="inlineStr">
        <is>
          <t>Krsnaa Diagnostics Ltd</t>
        </is>
      </c>
      <c r="C5315" s="97" t="n">
        <v>543328</v>
      </c>
      <c r="D5315" s="96" t="inlineStr">
        <is>
          <t>KRSNAA</t>
        </is>
      </c>
      <c r="E5315" s="96" t="inlineStr">
        <is>
          <t>Healthcare Service Provider</t>
        </is>
      </c>
    </row>
    <row r="5316" ht="15" customHeight="1" s="109" thickBot="1">
      <c r="B5316" s="96" t="inlineStr">
        <is>
          <t>Windlas Biotech Ltd</t>
        </is>
      </c>
      <c r="C5316" s="97" t="n">
        <v>543329</v>
      </c>
      <c r="D5316" s="96" t="inlineStr">
        <is>
          <t>WINDLAS</t>
        </is>
      </c>
      <c r="E5316" s="96" t="inlineStr">
        <is>
          <t>Pharmaceuticals</t>
        </is>
      </c>
    </row>
    <row r="5317" ht="15" customHeight="1" s="109" thickBot="1">
      <c r="B5317" s="96" t="inlineStr">
        <is>
          <t>Devyani International Ltd</t>
        </is>
      </c>
      <c r="C5317" s="97" t="n">
        <v>543330</v>
      </c>
      <c r="D5317" s="96" t="inlineStr">
        <is>
          <t>DEVYANI</t>
        </is>
      </c>
      <c r="E5317" s="96" t="inlineStr">
        <is>
          <t>Restaurants</t>
        </is>
      </c>
    </row>
    <row r="5318" ht="15" customHeight="1" s="109" thickBot="1">
      <c r="B5318" s="96" t="inlineStr">
        <is>
          <t>Meghmani Organics Ltd</t>
        </is>
      </c>
      <c r="C5318" s="97" t="n">
        <v>543331</v>
      </c>
      <c r="D5318" s="96" t="inlineStr">
        <is>
          <t>MOL</t>
        </is>
      </c>
      <c r="E5318" s="96" t="inlineStr">
        <is>
          <t>Pesticides &amp; Agrochemicals</t>
        </is>
      </c>
    </row>
    <row r="5319" ht="15" customHeight="1" s="109" thickBot="1">
      <c r="B5319" s="96" t="inlineStr">
        <is>
          <t>Meghmani Finechem Ltd</t>
        </is>
      </c>
      <c r="C5319" s="97" t="n">
        <v>543332</v>
      </c>
      <c r="D5319" s="96" t="inlineStr">
        <is>
          <t>MFL</t>
        </is>
      </c>
      <c r="E5319" s="96" t="inlineStr">
        <is>
          <t>Specialty Chemicals</t>
        </is>
      </c>
    </row>
    <row r="5320" ht="15" customHeight="1" s="109" thickBot="1">
      <c r="B5320" s="96" t="inlineStr">
        <is>
          <t>CarTrade Tech Ltd</t>
        </is>
      </c>
      <c r="C5320" s="97" t="n">
        <v>543333</v>
      </c>
      <c r="D5320" s="96" t="inlineStr">
        <is>
          <t>CARTRADE</t>
        </is>
      </c>
      <c r="E5320" s="96" t="inlineStr">
        <is>
          <t>E-Retail/ E-Commerce</t>
        </is>
      </c>
    </row>
    <row r="5321" ht="15" customHeight="1" s="109" thickBot="1">
      <c r="B5321" s="96" t="inlineStr">
        <is>
          <t>Nuvoco Vistas Corporation Ltd</t>
        </is>
      </c>
      <c r="C5321" s="97" t="n">
        <v>543334</v>
      </c>
      <c r="D5321" s="96" t="inlineStr">
        <is>
          <t>NUVOCO</t>
        </is>
      </c>
      <c r="E5321" s="96" t="inlineStr">
        <is>
          <t>Cement &amp; Cement Products</t>
        </is>
      </c>
    </row>
    <row r="5322" ht="15" customHeight="1" s="109" thickBot="1">
      <c r="B5322" s="96" t="inlineStr">
        <is>
          <t>Aptus Value Housing Finance India Ltd</t>
        </is>
      </c>
      <c r="C5322" s="97" t="n">
        <v>543335</v>
      </c>
      <c r="D5322" s="96" t="inlineStr">
        <is>
          <t>APTUS</t>
        </is>
      </c>
      <c r="E5322" s="96" t="inlineStr">
        <is>
          <t>Housing Finance Company</t>
        </is>
      </c>
    </row>
    <row r="5323" ht="15" customHeight="1" s="109" thickBot="1">
      <c r="B5323" s="96" t="inlineStr">
        <is>
          <t>Chemplast Sanmar Ltd</t>
        </is>
      </c>
      <c r="C5323" s="97" t="n">
        <v>543336</v>
      </c>
      <c r="D5323" s="96" t="inlineStr">
        <is>
          <t>CHEMPLASTS</t>
        </is>
      </c>
      <c r="E5323" s="96" t="inlineStr">
        <is>
          <t>Commodity Chemicals</t>
        </is>
      </c>
    </row>
    <row r="5324" ht="15" customHeight="1" s="109" thickBot="1">
      <c r="B5324" s="96" t="inlineStr">
        <is>
          <t>Sharpline Broadcast Ltd</t>
        </is>
      </c>
      <c r="C5324" s="97" t="n">
        <v>543341</v>
      </c>
      <c r="D5324" s="96" t="inlineStr">
        <is>
          <t>SHARPLINE</t>
        </is>
      </c>
      <c r="E5324" s="96" t="inlineStr">
        <is>
          <t>Advertising &amp; Media Agencies</t>
        </is>
      </c>
    </row>
    <row r="5325" ht="15" customHeight="1" s="109" thickBot="1">
      <c r="B5325" s="96" t="inlineStr">
        <is>
          <t>Aashka Hospitals Ltd</t>
        </is>
      </c>
      <c r="C5325" s="97" t="n">
        <v>543346</v>
      </c>
      <c r="D5325" s="96" t="inlineStr">
        <is>
          <t>AASHKA</t>
        </is>
      </c>
      <c r="E5325" s="96" t="inlineStr">
        <is>
          <t>Hospital</t>
        </is>
      </c>
    </row>
    <row r="5326" ht="15" customHeight="1" s="109" thickBot="1">
      <c r="B5326" s="96" t="inlineStr">
        <is>
          <t>AXIS TECHNOLOGY ETF</t>
        </is>
      </c>
      <c r="C5326" s="97" t="n">
        <v>543347</v>
      </c>
      <c r="D5326" s="96" t="inlineStr">
        <is>
          <t>AXISTECETF</t>
        </is>
      </c>
      <c r="E5326" s="96" t="n"/>
    </row>
    <row r="5327" ht="15" customHeight="1" s="109" thickBot="1">
      <c r="B5327" s="96" t="inlineStr">
        <is>
          <t>AXIS HEALTHCARE ETF</t>
        </is>
      </c>
      <c r="C5327" s="97" t="n">
        <v>543348</v>
      </c>
      <c r="D5327" s="96" t="inlineStr">
        <is>
          <t>AXISHETF</t>
        </is>
      </c>
      <c r="E5327" s="96" t="n"/>
    </row>
    <row r="5328" ht="15" customHeight="1" s="109" thickBot="1">
      <c r="B5328" s="96" t="inlineStr">
        <is>
          <t>Ami Organics Ltd</t>
        </is>
      </c>
      <c r="C5328" s="97" t="n">
        <v>543349</v>
      </c>
      <c r="D5328" s="96" t="inlineStr">
        <is>
          <t>AMIORG</t>
        </is>
      </c>
      <c r="E5328" s="96" t="inlineStr">
        <is>
          <t>Pharmaceuticals</t>
        </is>
      </c>
    </row>
    <row r="5329" ht="15" customHeight="1" s="109" thickBot="1">
      <c r="B5329" s="96" t="inlineStr">
        <is>
          <t>Vijaya Diagnostic Centre Ltd</t>
        </is>
      </c>
      <c r="C5329" s="97" t="n">
        <v>543350</v>
      </c>
      <c r="D5329" s="96" t="inlineStr">
        <is>
          <t>VIJAYA</t>
        </is>
      </c>
      <c r="E5329" s="96" t="inlineStr">
        <is>
          <t>Healthcare Service Provider</t>
        </is>
      </c>
    </row>
    <row r="5330" ht="15" customHeight="1" s="109" thickBot="1">
      <c r="B5330" s="96" t="inlineStr">
        <is>
          <t>Naapbooks Ltd</t>
        </is>
      </c>
      <c r="C5330" s="97" t="n">
        <v>543351</v>
      </c>
      <c r="D5330" s="96" t="inlineStr">
        <is>
          <t>NBL</t>
        </is>
      </c>
      <c r="E5330" s="96" t="inlineStr">
        <is>
          <t>Computers - Software &amp; Consulting</t>
        </is>
      </c>
    </row>
    <row r="5331" ht="15" customHeight="1" s="109" thickBot="1">
      <c r="B5331" s="96" t="inlineStr">
        <is>
          <t>PlatinumOne Business Services Ltd</t>
        </is>
      </c>
      <c r="C5331" s="97" t="n">
        <v>543352</v>
      </c>
      <c r="D5331" s="96" t="inlineStr">
        <is>
          <t>POBS</t>
        </is>
      </c>
      <c r="E5331" s="96" t="inlineStr">
        <is>
          <t>Business Process Outsourcing (BPO)/ Knowledge Process Outsourcing (KPO)</t>
        </is>
      </c>
    </row>
    <row r="5332" ht="15" customHeight="1" s="109" thickBot="1">
      <c r="B5332" s="96" t="inlineStr">
        <is>
          <t>AXIS CONSUMPTION ETF</t>
        </is>
      </c>
      <c r="C5332" s="97" t="n">
        <v>543357</v>
      </c>
      <c r="D5332" s="96" t="inlineStr">
        <is>
          <t>AXISCETF</t>
        </is>
      </c>
      <c r="E5332" s="96" t="n"/>
    </row>
    <row r="5333" ht="15" customHeight="1" s="109" thickBot="1">
      <c r="B5333" s="96" t="inlineStr">
        <is>
          <t>Sansera Engineering Ltd</t>
        </is>
      </c>
      <c r="C5333" s="97" t="n">
        <v>543358</v>
      </c>
      <c r="D5333" s="96" t="inlineStr">
        <is>
          <t>SANSERA</t>
        </is>
      </c>
      <c r="E5333" s="96" t="inlineStr">
        <is>
          <t>Auto Components &amp; Equipments</t>
        </is>
      </c>
    </row>
    <row r="5334" ht="15" customHeight="1" s="109" thickBot="1">
      <c r="B5334" s="96" t="inlineStr">
        <is>
          <t>Prevest Denpro Ltd</t>
        </is>
      </c>
      <c r="C5334" s="97" t="n">
        <v>543363</v>
      </c>
      <c r="D5334" s="96" t="inlineStr">
        <is>
          <t>PREVEST</t>
        </is>
      </c>
      <c r="E5334" s="96" t="inlineStr">
        <is>
          <t>Medical Equipment &amp; Supplies</t>
        </is>
      </c>
    </row>
    <row r="5335" ht="15" customHeight="1" s="109" thickBot="1">
      <c r="B5335" s="96" t="inlineStr">
        <is>
          <t>Markolines Traffic Controls Ltd</t>
        </is>
      </c>
      <c r="C5335" s="97" t="n">
        <v>543364</v>
      </c>
      <c r="D5335" s="96" t="inlineStr">
        <is>
          <t>MTCL</t>
        </is>
      </c>
      <c r="E5335" s="96" t="inlineStr">
        <is>
          <t>Civil Construction</t>
        </is>
      </c>
    </row>
    <row r="5336" ht="15" customHeight="1" s="109" thickBot="1">
      <c r="B5336" s="96" t="inlineStr">
        <is>
          <t>Mirae Asset S&amp;P 500 Top 50 ETF</t>
        </is>
      </c>
      <c r="C5336" s="97" t="n">
        <v>543365</v>
      </c>
      <c r="D5336" s="96" t="inlineStr">
        <is>
          <t>MASPTOP50</t>
        </is>
      </c>
      <c r="E5336" s="96" t="n"/>
    </row>
    <row r="5337" ht="15" customHeight="1" s="109" thickBot="1">
      <c r="B5337" s="96" t="inlineStr">
        <is>
          <t>SBL Infratech Ltd</t>
        </is>
      </c>
      <c r="C5337" s="97" t="n">
        <v>543366</v>
      </c>
      <c r="D5337" s="96" t="inlineStr">
        <is>
          <t>SBLI</t>
        </is>
      </c>
      <c r="E5337" s="96" t="inlineStr">
        <is>
          <t>Residential- Commercial Projects</t>
        </is>
      </c>
    </row>
    <row r="5338" ht="15" customHeight="1" s="109" thickBot="1">
      <c r="B5338" s="96" t="inlineStr">
        <is>
          <t>Paras Defence and Space Technologies Ltd</t>
        </is>
      </c>
      <c r="C5338" s="97" t="n">
        <v>543367</v>
      </c>
      <c r="D5338" s="96" t="inlineStr">
        <is>
          <t>PARAS</t>
        </is>
      </c>
      <c r="E5338" s="96" t="inlineStr">
        <is>
          <t>Aerospace &amp; Defense</t>
        </is>
      </c>
    </row>
    <row r="5339" ht="15" customHeight="1" s="109" thickBot="1">
      <c r="B5339" s="96" t="inlineStr">
        <is>
          <t>Getalong Enterprise Ltd</t>
        </is>
      </c>
      <c r="C5339" s="97" t="n">
        <v>543372</v>
      </c>
      <c r="D5339" s="96" t="inlineStr">
        <is>
          <t>GETALONG</t>
        </is>
      </c>
      <c r="E5339" s="96" t="inlineStr">
        <is>
          <t>Trading - Textile Products</t>
        </is>
      </c>
    </row>
    <row r="5340" ht="15" customHeight="1" s="109" thickBot="1">
      <c r="B5340" s="96" t="inlineStr">
        <is>
          <t>Shri Venkatesh Refineries Ltd</t>
        </is>
      </c>
      <c r="C5340" s="97" t="n">
        <v>543373</v>
      </c>
      <c r="D5340" s="96" t="inlineStr">
        <is>
          <t>SVRL</t>
        </is>
      </c>
      <c r="E5340" s="96" t="inlineStr">
        <is>
          <t>Edible Oil</t>
        </is>
      </c>
    </row>
    <row r="5341" ht="15" customHeight="1" s="109" thickBot="1">
      <c r="B5341" s="96" t="inlineStr">
        <is>
          <t>Aditya Birla Sun Life AMC Ltd</t>
        </is>
      </c>
      <c r="C5341" s="97" t="n">
        <v>543374</v>
      </c>
      <c r="D5341" s="96" t="inlineStr">
        <is>
          <t>ABSLAMC</t>
        </is>
      </c>
      <c r="E5341" s="96" t="inlineStr">
        <is>
          <t>Asset Management Company</t>
        </is>
      </c>
    </row>
    <row r="5342" ht="15" customHeight="1" s="109" thickBot="1">
      <c r="B5342" s="96" t="inlineStr">
        <is>
          <t>Promax Power Ltd</t>
        </is>
      </c>
      <c r="C5342" s="97" t="n">
        <v>543375</v>
      </c>
      <c r="D5342" s="96" t="inlineStr">
        <is>
          <t>PROMAX</t>
        </is>
      </c>
      <c r="E5342" s="96" t="inlineStr">
        <is>
          <t>Engineering- Designing &amp; Construction</t>
        </is>
      </c>
    </row>
    <row r="5343" ht="15" customHeight="1" s="109" thickBot="1">
      <c r="B5343" s="96" t="inlineStr">
        <is>
          <t>Samor Reality Ltd</t>
        </is>
      </c>
      <c r="C5343" s="97" t="n">
        <v>543376</v>
      </c>
      <c r="D5343" s="96" t="inlineStr">
        <is>
          <t>SAMOR</t>
        </is>
      </c>
      <c r="E5343" s="96" t="inlineStr">
        <is>
          <t>Residential- Commercial Projects</t>
        </is>
      </c>
    </row>
    <row r="5344" ht="15" customHeight="1" s="109" thickBot="1">
      <c r="B5344" s="96" t="inlineStr">
        <is>
          <t>Adishakti Loha and Ispat Ltd</t>
        </is>
      </c>
      <c r="C5344" s="97" t="n">
        <v>543377</v>
      </c>
      <c r="D5344" s="96" t="inlineStr">
        <is>
          <t>ADISHAKTI</t>
        </is>
      </c>
      <c r="E5344" s="96" t="inlineStr">
        <is>
          <t>Iron &amp; Steel Products</t>
        </is>
      </c>
    </row>
    <row r="5345" ht="15" customHeight="1" s="109" thickBot="1">
      <c r="B5345" s="96" t="inlineStr">
        <is>
          <t>CWD Ltd</t>
        </is>
      </c>
      <c r="C5345" s="97" t="n">
        <v>543378</v>
      </c>
      <c r="D5345" s="96" t="inlineStr">
        <is>
          <t>CWD</t>
        </is>
      </c>
      <c r="E5345" s="96" t="inlineStr">
        <is>
          <t>Consumer Electronics</t>
        </is>
      </c>
    </row>
    <row r="5346" ht="15" customHeight="1" s="109" thickBot="1">
      <c r="B5346" s="96" t="inlineStr">
        <is>
          <t>ICICI Prudential Consumption ETF</t>
        </is>
      </c>
      <c r="C5346" s="97" t="n">
        <v>543383</v>
      </c>
      <c r="D5346" s="96" t="inlineStr">
        <is>
          <t>ICICICONSU</t>
        </is>
      </c>
      <c r="E5346" s="96" t="n"/>
    </row>
    <row r="5347" ht="15" customHeight="1" s="109" thickBot="1">
      <c r="B5347" s="96" t="inlineStr">
        <is>
          <t>FSN E-Commerce Ventures Ltd</t>
        </is>
      </c>
      <c r="C5347" s="97" t="n">
        <v>543384</v>
      </c>
      <c r="D5347" s="96" t="inlineStr">
        <is>
          <t>NYKAA</t>
        </is>
      </c>
      <c r="E5347" s="96" t="inlineStr">
        <is>
          <t>E-Retail/ E-Commerce</t>
        </is>
      </c>
    </row>
    <row r="5348" ht="15" customHeight="1" s="109" thickBot="1">
      <c r="B5348" s="96" t="inlineStr">
        <is>
          <t>National Highways Infra Trust</t>
        </is>
      </c>
      <c r="C5348" s="97" t="n">
        <v>543385</v>
      </c>
      <c r="D5348" s="96" t="inlineStr">
        <is>
          <t>NHIT</t>
        </is>
      </c>
      <c r="E5348" s="96" t="inlineStr">
        <is>
          <t>Civil Construction</t>
        </is>
      </c>
    </row>
    <row r="5349" ht="15" customHeight="1" s="109" thickBot="1">
      <c r="B5349" s="96" t="inlineStr">
        <is>
          <t>Fino Payments Bank Ltd</t>
        </is>
      </c>
      <c r="C5349" s="97" t="n">
        <v>543386</v>
      </c>
      <c r="D5349" s="96" t="inlineStr">
        <is>
          <t>FINOPB</t>
        </is>
      </c>
      <c r="E5349" s="96" t="inlineStr">
        <is>
          <t>Other Bank</t>
        </is>
      </c>
    </row>
    <row r="5350" ht="15" customHeight="1" s="109" thickBot="1">
      <c r="B5350" s="96" t="inlineStr">
        <is>
          <t>S.J.S. Enterprises Ltd</t>
        </is>
      </c>
      <c r="C5350" s="97" t="n">
        <v>543387</v>
      </c>
      <c r="D5350" s="96" t="inlineStr">
        <is>
          <t>SJS</t>
        </is>
      </c>
      <c r="E5350" s="96" t="inlineStr">
        <is>
          <t>Auto Components &amp; Equipments</t>
        </is>
      </c>
    </row>
    <row r="5351" ht="15" customHeight="1" s="109" thickBot="1">
      <c r="B5351" s="96" t="inlineStr">
        <is>
          <t>DSP Nifty 50 Equal Weight ETF</t>
        </is>
      </c>
      <c r="C5351" s="97" t="n">
        <v>543388</v>
      </c>
      <c r="D5351" s="96" t="inlineStr">
        <is>
          <t>DSPNEWETF</t>
        </is>
      </c>
      <c r="E5351" s="96" t="n"/>
    </row>
    <row r="5352" ht="15" customHeight="1" s="109" thickBot="1">
      <c r="B5352" s="96" t="inlineStr">
        <is>
          <t>Sigachi Industries Ltd</t>
        </is>
      </c>
      <c r="C5352" s="97" t="n">
        <v>543389</v>
      </c>
      <c r="D5352" s="96" t="inlineStr">
        <is>
          <t>SIGACHI</t>
        </is>
      </c>
      <c r="E5352" s="96" t="inlineStr">
        <is>
          <t>Pharmaceuticals</t>
        </is>
      </c>
    </row>
    <row r="5353" ht="15" customHeight="1" s="109" thickBot="1">
      <c r="B5353" s="96" t="inlineStr">
        <is>
          <t>PB Fintech Ltd</t>
        </is>
      </c>
      <c r="C5353" s="97" t="n">
        <v>543390</v>
      </c>
      <c r="D5353" s="96" t="inlineStr">
        <is>
          <t>POLICYBZR</t>
        </is>
      </c>
      <c r="E5353" s="96" t="inlineStr">
        <is>
          <t>Financial Technology (Fintech)</t>
        </is>
      </c>
    </row>
    <row r="5354" ht="15" customHeight="1" s="109" thickBot="1">
      <c r="B5354" s="96" t="inlineStr">
        <is>
          <t>Suyog Gurbaxani Funicular Ropeways Ltd</t>
        </is>
      </c>
      <c r="C5354" s="97" t="n">
        <v>543391</v>
      </c>
      <c r="D5354" s="96" t="inlineStr">
        <is>
          <t>SGFRL</t>
        </is>
      </c>
      <c r="E5354" s="96" t="inlineStr">
        <is>
          <t>Civil Construction</t>
        </is>
      </c>
    </row>
    <row r="5355" ht="15" customHeight="1" s="109" thickBot="1">
      <c r="B5355" s="96" t="inlineStr">
        <is>
          <t>One 97 Communications Ltd</t>
        </is>
      </c>
      <c r="C5355" s="97" t="n">
        <v>543396</v>
      </c>
      <c r="D5355" s="96" t="inlineStr">
        <is>
          <t>PAYTM</t>
        </is>
      </c>
      <c r="E5355" s="96" t="inlineStr">
        <is>
          <t>Financial Technology (Fintech)</t>
        </is>
      </c>
    </row>
    <row r="5356" ht="15" customHeight="1" s="109" thickBot="1">
      <c r="B5356" s="96" t="inlineStr">
        <is>
          <t>Sapphire Foods India Ltd</t>
        </is>
      </c>
      <c r="C5356" s="97" t="n">
        <v>543397</v>
      </c>
      <c r="D5356" s="96" t="inlineStr">
        <is>
          <t>SAPPHIRE</t>
        </is>
      </c>
      <c r="E5356" s="96" t="inlineStr">
        <is>
          <t>Restaurants</t>
        </is>
      </c>
    </row>
    <row r="5357" ht="15" customHeight="1" s="109" thickBot="1">
      <c r="B5357" s="96" t="inlineStr">
        <is>
          <t>Latent View Analytics Ltd</t>
        </is>
      </c>
      <c r="C5357" s="97" t="n">
        <v>543398</v>
      </c>
      <c r="D5357" s="96" t="inlineStr">
        <is>
          <t>LATENTVIEW</t>
        </is>
      </c>
      <c r="E5357" s="96" t="inlineStr">
        <is>
          <t>Computers - Software &amp; Consulting</t>
        </is>
      </c>
    </row>
    <row r="5358" ht="15" customHeight="1" s="109" thickBot="1">
      <c r="B5358" s="96" t="inlineStr">
        <is>
          <t>Tarsons Products Ltd</t>
        </is>
      </c>
      <c r="C5358" s="97" t="n">
        <v>543399</v>
      </c>
      <c r="D5358" s="96" t="inlineStr">
        <is>
          <t>TARSONS</t>
        </is>
      </c>
      <c r="E5358" s="96" t="inlineStr">
        <is>
          <t>Medical Equipment &amp; Supplies</t>
        </is>
      </c>
    </row>
    <row r="5359" ht="15" customHeight="1" s="109" thickBot="1">
      <c r="B5359" s="96" t="inlineStr">
        <is>
          <t>Omnipotent Industries Ltd</t>
        </is>
      </c>
      <c r="C5359" s="97" t="n">
        <v>543400</v>
      </c>
      <c r="D5359" s="96" t="inlineStr">
        <is>
          <t>OMNIPOTENT</t>
        </is>
      </c>
      <c r="E5359" s="96" t="inlineStr">
        <is>
          <t>Refineries &amp; Marketing</t>
        </is>
      </c>
    </row>
    <row r="5360" ht="15" customHeight="1" s="109" thickBot="1">
      <c r="B5360" s="96" t="inlineStr">
        <is>
          <t>Go Fashion (India) Ltd</t>
        </is>
      </c>
      <c r="C5360" s="97" t="n">
        <v>543401</v>
      </c>
      <c r="D5360" s="96" t="inlineStr">
        <is>
          <t>GOCOLORS</t>
        </is>
      </c>
      <c r="E5360" s="96" t="inlineStr">
        <is>
          <t>Speciality Retail</t>
        </is>
      </c>
    </row>
    <row r="5361" ht="15" customHeight="1" s="109" thickBot="1">
      <c r="B5361" s="96" t="inlineStr">
        <is>
          <t>DMR Hydroengineering &amp; Infrastructures Ltd</t>
        </is>
      </c>
      <c r="C5361" s="97" t="n">
        <v>543410</v>
      </c>
      <c r="D5361" s="96" t="inlineStr">
        <is>
          <t>DMR</t>
        </is>
      </c>
      <c r="E5361" s="96" t="inlineStr">
        <is>
          <t>Consulting Services</t>
        </is>
      </c>
    </row>
    <row r="5362" ht="15" customHeight="1" s="109" thickBot="1">
      <c r="B5362" s="96" t="inlineStr">
        <is>
          <t>Hi-Tech Pipes Ltd</t>
        </is>
      </c>
      <c r="C5362" s="97" t="n">
        <v>543411</v>
      </c>
      <c r="D5362" s="96" t="inlineStr">
        <is>
          <t>HITECH</t>
        </is>
      </c>
      <c r="E5362" s="96" t="inlineStr">
        <is>
          <t>Iron &amp; Steel Products</t>
        </is>
      </c>
    </row>
    <row r="5363" ht="15" customHeight="1" s="109" thickBot="1">
      <c r="B5363" s="96" t="inlineStr">
        <is>
          <t>Star Health and Allied Insurance Company Ltd</t>
        </is>
      </c>
      <c r="C5363" s="97" t="n">
        <v>543412</v>
      </c>
      <c r="D5363" s="96" t="inlineStr">
        <is>
          <t>STARHEALTH</t>
        </is>
      </c>
      <c r="E5363" s="96" t="inlineStr">
        <is>
          <t>General Insurance</t>
        </is>
      </c>
    </row>
    <row r="5364" ht="15" customHeight="1" s="109" thickBot="1">
      <c r="B5364" s="96" t="inlineStr">
        <is>
          <t>Tega Industries Ltd</t>
        </is>
      </c>
      <c r="C5364" s="97" t="n">
        <v>543413</v>
      </c>
      <c r="D5364" s="96" t="inlineStr">
        <is>
          <t>TEGA</t>
        </is>
      </c>
      <c r="E5364" s="96" t="inlineStr">
        <is>
          <t>Industrial Equipments</t>
        </is>
      </c>
    </row>
    <row r="5365" ht="15" customHeight="1" s="109" thickBot="1">
      <c r="B5365" s="96" t="inlineStr">
        <is>
          <t>Mirae Asset Hang Seng TECH ETF</t>
        </is>
      </c>
      <c r="C5365" s="97" t="n">
        <v>543414</v>
      </c>
      <c r="D5365" s="96" t="inlineStr">
        <is>
          <t>MAHKTECH</t>
        </is>
      </c>
      <c r="E5365" s="96" t="n"/>
    </row>
    <row r="5366" ht="15" customHeight="1" s="109" thickBot="1">
      <c r="B5366" s="96" t="inlineStr">
        <is>
          <t>Anand Rathi Wealth Ltd</t>
        </is>
      </c>
      <c r="C5366" s="97" t="n">
        <v>543415</v>
      </c>
      <c r="D5366" s="96" t="inlineStr">
        <is>
          <t>ANANDRATHI</t>
        </is>
      </c>
      <c r="E5366" s="96" t="inlineStr">
        <is>
          <t>Financial Products Distributor</t>
        </is>
      </c>
    </row>
    <row r="5367" ht="15" customHeight="1" s="109" thickBot="1">
      <c r="B5367" s="96" t="inlineStr">
        <is>
          <t>Zodiac Energy Ltd</t>
        </is>
      </c>
      <c r="C5367" s="97" t="n">
        <v>543416</v>
      </c>
      <c r="D5367" s="96" t="inlineStr">
        <is>
          <t>ZODIAC</t>
        </is>
      </c>
      <c r="E5367" s="96" t="inlineStr">
        <is>
          <t>Engineering- Designing &amp; Construction</t>
        </is>
      </c>
    </row>
    <row r="5368" ht="15" customHeight="1" s="109" thickBot="1">
      <c r="B5368" s="96" t="inlineStr">
        <is>
          <t>RateGain Travel Technologies Ltd</t>
        </is>
      </c>
      <c r="C5368" s="97" t="n">
        <v>543417</v>
      </c>
      <c r="D5368" s="96" t="inlineStr">
        <is>
          <t>RATEGAIN</t>
        </is>
      </c>
      <c r="E5368" s="96" t="inlineStr">
        <is>
          <t>Computers - Software &amp; Consulting</t>
        </is>
      </c>
    </row>
    <row r="5369" ht="15" customHeight="1" s="109" thickBot="1">
      <c r="B5369" s="96" t="inlineStr">
        <is>
          <t>Shriram Properties Ltd</t>
        </is>
      </c>
      <c r="C5369" s="97" t="n">
        <v>543419</v>
      </c>
      <c r="D5369" s="96" t="inlineStr">
        <is>
          <t>SHRIRAMPPS</t>
        </is>
      </c>
      <c r="E5369" s="96" t="inlineStr">
        <is>
          <t>Residential- Commercial Projects</t>
        </is>
      </c>
    </row>
    <row r="5370" ht="15" customHeight="1" s="109" thickBot="1">
      <c r="B5370" s="96" t="inlineStr">
        <is>
          <t>Jet Freight Logistics Ltd</t>
        </is>
      </c>
      <c r="C5370" s="97" t="n">
        <v>543420</v>
      </c>
      <c r="D5370" s="96" t="inlineStr">
        <is>
          <t>JETFREIGHT</t>
        </is>
      </c>
      <c r="E5370" s="96" t="inlineStr">
        <is>
          <t>Logistics Solution Provider</t>
        </is>
      </c>
    </row>
    <row r="5371" ht="15" customHeight="1" s="109" thickBot="1">
      <c r="B5371" s="96" t="inlineStr">
        <is>
          <t>C.E. Info Systems Ltd</t>
        </is>
      </c>
      <c r="C5371" s="97" t="n">
        <v>543425</v>
      </c>
      <c r="D5371" s="96" t="inlineStr">
        <is>
          <t>MAPMYINDIA</t>
        </is>
      </c>
      <c r="E5371" s="96" t="inlineStr">
        <is>
          <t>Software Products</t>
        </is>
      </c>
    </row>
    <row r="5372" ht="15" customHeight="1" s="109" thickBot="1">
      <c r="B5372" s="96" t="inlineStr">
        <is>
          <t>Metro Brands Ltd</t>
        </is>
      </c>
      <c r="C5372" s="97" t="n">
        <v>543426</v>
      </c>
      <c r="D5372" s="96" t="inlineStr">
        <is>
          <t>METROBRAND</t>
        </is>
      </c>
      <c r="E5372" s="96" t="inlineStr">
        <is>
          <t>Footwear</t>
        </is>
      </c>
    </row>
    <row r="5373" ht="15" customHeight="1" s="109" thickBot="1">
      <c r="B5373" s="96" t="inlineStr">
        <is>
          <t>Medplus Health Services Ltd</t>
        </is>
      </c>
      <c r="C5373" s="97" t="n">
        <v>543427</v>
      </c>
      <c r="D5373" s="96" t="inlineStr">
        <is>
          <t>MEDPLUS</t>
        </is>
      </c>
      <c r="E5373" s="96" t="inlineStr">
        <is>
          <t>Pharmacy Retail</t>
        </is>
      </c>
    </row>
    <row r="5374" ht="15" customHeight="1" s="109" thickBot="1">
      <c r="B5374" s="96" t="inlineStr">
        <is>
          <t>Data Patterns (India) Ltd</t>
        </is>
      </c>
      <c r="C5374" s="97" t="n">
        <v>543428</v>
      </c>
      <c r="D5374" s="96" t="inlineStr">
        <is>
          <t>DATAPATTNS</t>
        </is>
      </c>
      <c r="E5374" s="96" t="inlineStr">
        <is>
          <t>Aerospace &amp; Defense</t>
        </is>
      </c>
    </row>
    <row r="5375" ht="15" customHeight="1" s="109" thickBot="1">
      <c r="B5375" s="96" t="inlineStr">
        <is>
          <t>HP Adhesives Ltd</t>
        </is>
      </c>
      <c r="C5375" s="97" t="n">
        <v>543433</v>
      </c>
      <c r="D5375" s="96" t="inlineStr">
        <is>
          <t>HPAL</t>
        </is>
      </c>
      <c r="E5375" s="96" t="inlineStr">
        <is>
          <t>Specialty Chemicals</t>
        </is>
      </c>
    </row>
    <row r="5376" ht="15" customHeight="1" s="109" thickBot="1">
      <c r="B5376" s="96" t="inlineStr">
        <is>
          <t>Supriya Lifescience Ltd</t>
        </is>
      </c>
      <c r="C5376" s="97" t="n">
        <v>543434</v>
      </c>
      <c r="D5376" s="96" t="inlineStr">
        <is>
          <t>SUPRIYA</t>
        </is>
      </c>
      <c r="E5376" s="96" t="inlineStr">
        <is>
          <t>Pharmaceuticals</t>
        </is>
      </c>
    </row>
    <row r="5377" ht="15" customHeight="1" s="109" thickBot="1">
      <c r="B5377" s="96" t="inlineStr">
        <is>
          <t>Clara Industries Ltd</t>
        </is>
      </c>
      <c r="C5377" s="97" t="n">
        <v>543435</v>
      </c>
      <c r="D5377" s="96" t="inlineStr">
        <is>
          <t>CLARA</t>
        </is>
      </c>
      <c r="E5377" s="96" t="inlineStr">
        <is>
          <t>Packaging</t>
        </is>
      </c>
    </row>
    <row r="5378" ht="15" customHeight="1" s="109" thickBot="1">
      <c r="B5378" s="96" t="inlineStr">
        <is>
          <t>Wherrelz IT Solutions Ltd</t>
        </is>
      </c>
      <c r="C5378" s="97" t="n">
        <v>543436</v>
      </c>
      <c r="D5378" s="96" t="inlineStr">
        <is>
          <t>WITS</t>
        </is>
      </c>
      <c r="E5378" s="96" t="inlineStr">
        <is>
          <t>Computers - Software &amp; Consulting</t>
        </is>
      </c>
    </row>
    <row r="5379" ht="15" customHeight="1" s="109" thickBot="1">
      <c r="B5379" s="96" t="inlineStr">
        <is>
          <t>Motilal Oswal Nasdaq Q 50 ETF</t>
        </is>
      </c>
      <c r="C5379" s="97" t="n">
        <v>543437</v>
      </c>
      <c r="D5379" s="96" t="inlineStr">
        <is>
          <t>MONQ50</t>
        </is>
      </c>
      <c r="E5379" s="96" t="n"/>
    </row>
    <row r="5380" ht="15" customHeight="1" s="109" thickBot="1">
      <c r="B5380" s="96" t="inlineStr">
        <is>
          <t>DSP Nifty Midcap 150 Quality 50 ETF</t>
        </is>
      </c>
      <c r="C5380" s="97" t="n">
        <v>543438</v>
      </c>
      <c r="D5380" s="96" t="inlineStr">
        <is>
          <t>DSPQ50ETF</t>
        </is>
      </c>
      <c r="E5380" s="96" t="n"/>
    </row>
    <row r="5381" ht="15" customHeight="1" s="109" thickBot="1">
      <c r="B5381" s="96" t="inlineStr">
        <is>
          <t>Brandbucket Media &amp; Technology Ltd</t>
        </is>
      </c>
      <c r="C5381" s="97" t="n">
        <v>543439</v>
      </c>
      <c r="D5381" s="96" t="inlineStr">
        <is>
          <t>BRANDBUCKT</t>
        </is>
      </c>
      <c r="E5381" s="96" t="inlineStr">
        <is>
          <t>Advertising &amp; Media Agencies</t>
        </is>
      </c>
    </row>
    <row r="5382" ht="15" customHeight="1" s="109" thickBot="1">
      <c r="B5382" s="96" t="inlineStr">
        <is>
          <t>DSP Nifty 50 ETF</t>
        </is>
      </c>
      <c r="C5382" s="97" t="n">
        <v>543440</v>
      </c>
      <c r="D5382" s="96" t="inlineStr">
        <is>
          <t>DSPN50ETF</t>
        </is>
      </c>
      <c r="E5382" s="96" t="n"/>
    </row>
    <row r="5383" ht="15" customHeight="1" s="109" thickBot="1">
      <c r="B5383" s="96" t="inlineStr">
        <is>
          <t>CMS Info Systems Ltd</t>
        </is>
      </c>
      <c r="C5383" s="97" t="n">
        <v>543441</v>
      </c>
      <c r="D5383" s="96" t="inlineStr">
        <is>
          <t>CMSINFO</t>
        </is>
      </c>
      <c r="E5383" s="96" t="inlineStr">
        <is>
          <t>Diversified Commercial Services</t>
        </is>
      </c>
    </row>
    <row r="5384" ht="15" customHeight="1" s="109" thickBot="1">
      <c r="B5384" s="96" t="inlineStr">
        <is>
          <t>Brand Concepts Ltd</t>
        </is>
      </c>
      <c r="C5384" s="97" t="n">
        <v>543442</v>
      </c>
      <c r="D5384" s="96" t="inlineStr">
        <is>
          <t>BCONCEPTS</t>
        </is>
      </c>
      <c r="E5384" s="96" t="inlineStr">
        <is>
          <t>Speciality Retail</t>
        </is>
      </c>
    </row>
    <row r="5385" ht="15" customHeight="1" s="109" thickBot="1">
      <c r="B5385" s="96" t="inlineStr">
        <is>
          <t>Ascensive Educare Ltd</t>
        </is>
      </c>
      <c r="C5385" s="97" t="n">
        <v>543443</v>
      </c>
      <c r="D5385" s="96" t="inlineStr">
        <is>
          <t>ASCENSIVE</t>
        </is>
      </c>
      <c r="E5385" s="96" t="inlineStr">
        <is>
          <t>Education</t>
        </is>
      </c>
    </row>
    <row r="5386" ht="15" customHeight="1" s="109" thickBot="1">
      <c r="B5386" s="96" t="inlineStr">
        <is>
          <t>Fabino Life Sciences Ltd</t>
        </is>
      </c>
      <c r="C5386" s="97" t="n">
        <v>543444</v>
      </c>
      <c r="D5386" s="96" t="inlineStr">
        <is>
          <t>FABINO</t>
        </is>
      </c>
      <c r="E5386" s="96" t="inlineStr">
        <is>
          <t>Pharmaceuticals</t>
        </is>
      </c>
    </row>
    <row r="5387" ht="15" customHeight="1" s="109" thickBot="1">
      <c r="B5387" s="96" t="inlineStr">
        <is>
          <t>Wonder Fibromats Ltd</t>
        </is>
      </c>
      <c r="C5387" s="97" t="n">
        <v>543449</v>
      </c>
      <c r="D5387" s="96" t="inlineStr">
        <is>
          <t>WFL</t>
        </is>
      </c>
      <c r="E5387" s="96" t="inlineStr">
        <is>
          <t>Household Appliances</t>
        </is>
      </c>
    </row>
    <row r="5388" ht="15" customHeight="1" s="109" thickBot="1">
      <c r="B5388" s="96" t="inlineStr">
        <is>
          <t>ICICI Prudential Nifty Auto ETF</t>
        </is>
      </c>
      <c r="C5388" s="97" t="n">
        <v>543450</v>
      </c>
      <c r="D5388" s="96" t="inlineStr">
        <is>
          <t>ICICIAUTO</t>
        </is>
      </c>
      <c r="E5388" s="96" t="n"/>
    </row>
    <row r="5389" ht="15" customHeight="1" s="109" thickBot="1">
      <c r="B5389" s="96" t="inlineStr">
        <is>
          <t>AGS Transact Technologies Ltd</t>
        </is>
      </c>
      <c r="C5389" s="97" t="n">
        <v>543451</v>
      </c>
      <c r="D5389" s="96" t="inlineStr">
        <is>
          <t>AGSTRA</t>
        </is>
      </c>
      <c r="E5389" s="96" t="inlineStr">
        <is>
          <t>Diversified Commercial Services</t>
        </is>
      </c>
    </row>
    <row r="5390" ht="15" customHeight="1" s="109" thickBot="1">
      <c r="B5390" s="96" t="inlineStr">
        <is>
          <t>ICICI Prudential Silver ETF</t>
        </is>
      </c>
      <c r="C5390" s="97" t="n">
        <v>543452</v>
      </c>
      <c r="D5390" s="96" t="inlineStr">
        <is>
          <t>ICICISILVE</t>
        </is>
      </c>
      <c r="E5390" s="96" t="n"/>
    </row>
    <row r="5391" ht="15" customHeight="1" s="109" thickBot="1">
      <c r="B5391" s="96" t="inlineStr">
        <is>
          <t>Alkosign Ltd</t>
        </is>
      </c>
      <c r="C5391" s="97" t="n">
        <v>543453</v>
      </c>
      <c r="D5391" s="96" t="inlineStr">
        <is>
          <t>ALKOSIGN</t>
        </is>
      </c>
      <c r="E5391" s="96" t="inlineStr">
        <is>
          <t>Stationary</t>
        </is>
      </c>
    </row>
    <row r="5392" ht="15" customHeight="1" s="109" thickBot="1">
      <c r="B5392" s="96" t="inlineStr">
        <is>
          <t>Mirae Asset Nifty India Manufacturing ETF</t>
        </is>
      </c>
      <c r="C5392" s="97" t="n">
        <v>543454</v>
      </c>
      <c r="D5392" s="96" t="inlineStr">
        <is>
          <t>MAMFGETF</t>
        </is>
      </c>
      <c r="E5392" s="96" t="n"/>
    </row>
    <row r="5393" ht="15" customHeight="1" s="109" thickBot="1">
      <c r="B5393" s="96" t="inlineStr">
        <is>
          <t>Adani Wilmar Ltd</t>
        </is>
      </c>
      <c r="C5393" s="97" t="n">
        <v>543458</v>
      </c>
      <c r="D5393" s="96" t="inlineStr">
        <is>
          <t>AWL</t>
        </is>
      </c>
      <c r="E5393" s="96" t="inlineStr">
        <is>
          <t>Edible Oil</t>
        </is>
      </c>
    </row>
    <row r="5394" ht="15" customHeight="1" s="109" thickBot="1">
      <c r="B5394" s="96" t="inlineStr">
        <is>
          <t>Quality RO Industries Ltd</t>
        </is>
      </c>
      <c r="C5394" s="97" t="n">
        <v>543460</v>
      </c>
      <c r="D5394" s="96" t="inlineStr">
        <is>
          <t>QRIL</t>
        </is>
      </c>
      <c r="E5394" s="96" t="inlineStr">
        <is>
          <t>Industrial Machinery</t>
        </is>
      </c>
    </row>
    <row r="5395" ht="15" customHeight="1" s="109" thickBot="1">
      <c r="B5395" s="96" t="inlineStr">
        <is>
          <t>Safa Systems &amp; Technologies Ltd</t>
        </is>
      </c>
      <c r="C5395" s="97" t="n">
        <v>543461</v>
      </c>
      <c r="D5395" s="96" t="inlineStr">
        <is>
          <t>SSTL</t>
        </is>
      </c>
      <c r="E5395" s="96" t="inlineStr">
        <is>
          <t>Trading &amp; Distributors</t>
        </is>
      </c>
    </row>
    <row r="5396" ht="15" customHeight="1" s="109" thickBot="1">
      <c r="B5396" s="96" t="inlineStr">
        <is>
          <t>Dev Information Technology Ltd</t>
        </is>
      </c>
      <c r="C5396" s="97" t="n">
        <v>543462</v>
      </c>
      <c r="D5396" s="96" t="inlineStr">
        <is>
          <t>DEVIT</t>
        </is>
      </c>
      <c r="E5396" s="96" t="inlineStr">
        <is>
          <t>IT Enabled Services</t>
        </is>
      </c>
    </row>
    <row r="5397" ht="15" customHeight="1" s="109" thickBot="1">
      <c r="B5397" s="96" t="inlineStr">
        <is>
          <t>Vedant Fashions Ltd</t>
        </is>
      </c>
      <c r="C5397" s="97" t="n">
        <v>543463</v>
      </c>
      <c r="D5397" s="96" t="inlineStr">
        <is>
          <t>MANYAVAR</t>
        </is>
      </c>
      <c r="E5397" s="96" t="inlineStr">
        <is>
          <t>Speciality Retail</t>
        </is>
      </c>
    </row>
    <row r="5398" ht="15" customHeight="1" s="109" thickBot="1">
      <c r="B5398" s="96" t="inlineStr">
        <is>
          <t>Maruti Interior Products Ltd</t>
        </is>
      </c>
      <c r="C5398" s="97" t="n">
        <v>543464</v>
      </c>
      <c r="D5398" s="96" t="inlineStr">
        <is>
          <t>MARUTIIPL</t>
        </is>
      </c>
      <c r="E5398" s="96" t="inlineStr">
        <is>
          <t>Houseware</t>
        </is>
      </c>
    </row>
    <row r="5399" ht="15" customHeight="1" s="109" thickBot="1">
      <c r="B5399" s="96" t="inlineStr">
        <is>
          <t>Motilal Oswal Nifty 200 Momentum 30 ETF</t>
        </is>
      </c>
      <c r="C5399" s="97" t="n">
        <v>543465</v>
      </c>
      <c r="D5399" s="96" t="inlineStr">
        <is>
          <t>MOMOMENTUM</t>
        </is>
      </c>
      <c r="E5399" s="96" t="n"/>
    </row>
    <row r="5400" ht="15" customHeight="1" s="109" thickBot="1">
      <c r="B5400" s="96" t="inlineStr">
        <is>
          <t>Softtech Engineers Ltd</t>
        </is>
      </c>
      <c r="C5400" s="97" t="n">
        <v>543470</v>
      </c>
      <c r="D5400" s="96" t="inlineStr">
        <is>
          <t>SOFTTECH</t>
        </is>
      </c>
      <c r="E5400" s="96" t="inlineStr">
        <is>
          <t>Computers - Software &amp; Consulting</t>
        </is>
      </c>
    </row>
    <row r="5401" ht="15" customHeight="1" s="109" thickBot="1">
      <c r="B5401" s="96" t="inlineStr">
        <is>
          <t>Aditya Birla Sun Life Silver ETF</t>
        </is>
      </c>
      <c r="C5401" s="97" t="n">
        <v>543471</v>
      </c>
      <c r="D5401" s="96" t="inlineStr">
        <is>
          <t>SILVER</t>
        </is>
      </c>
      <c r="E5401" s="96" t="n"/>
    </row>
    <row r="5402" ht="15" customHeight="1" s="109" thickBot="1">
      <c r="B5402" s="96" t="inlineStr">
        <is>
          <t>Aditya Birla Sunlife Nifty IT ETF</t>
        </is>
      </c>
      <c r="C5402" s="97" t="n">
        <v>543472</v>
      </c>
      <c r="D5402" s="96" t="inlineStr">
        <is>
          <t>TECH</t>
        </is>
      </c>
      <c r="E5402" s="96" t="n"/>
    </row>
    <row r="5403" ht="15" customHeight="1" s="109" thickBot="1">
      <c r="B5403" s="96" t="inlineStr">
        <is>
          <t>Aditya Birla Sun Life Nifty Healthcare ETF</t>
        </is>
      </c>
      <c r="C5403" s="97" t="n">
        <v>543473</v>
      </c>
      <c r="D5403" s="96" t="inlineStr">
        <is>
          <t>HEALTHY</t>
        </is>
      </c>
      <c r="E5403" s="96" t="n"/>
    </row>
    <row r="5404" ht="15" customHeight="1" s="109" thickBot="1">
      <c r="B5404" s="96" t="inlineStr">
        <is>
          <t>Aditya Birla Sun Life Nifty ETF</t>
        </is>
      </c>
      <c r="C5404" s="97" t="n">
        <v>543474</v>
      </c>
      <c r="D5404" s="96" t="inlineStr">
        <is>
          <t>BSLNIFTY</t>
        </is>
      </c>
      <c r="E5404" s="96" t="n"/>
    </row>
    <row r="5405" ht="15" customHeight="1" s="109" thickBot="1">
      <c r="B5405" s="96" t="inlineStr">
        <is>
          <t>Ekennis Software Service Ltd</t>
        </is>
      </c>
      <c r="C5405" s="97" t="n">
        <v>543475</v>
      </c>
      <c r="D5405" s="96" t="inlineStr">
        <is>
          <t>EKENNIS</t>
        </is>
      </c>
      <c r="E5405" s="96" t="inlineStr">
        <is>
          <t>IT Enabled Services</t>
        </is>
      </c>
    </row>
    <row r="5406" ht="15" customHeight="1" s="109" thickBot="1">
      <c r="B5406" s="96" t="inlineStr">
        <is>
          <t>Mirae Asset Nifty Midcap 150 ETF</t>
        </is>
      </c>
      <c r="C5406" s="97" t="n">
        <v>543481</v>
      </c>
      <c r="D5406" s="96" t="inlineStr">
        <is>
          <t>MAM150ETF</t>
        </is>
      </c>
      <c r="E5406" s="96" t="n"/>
    </row>
    <row r="5407" ht="15" customHeight="1" s="109" thickBot="1">
      <c r="B5407" s="96" t="inlineStr">
        <is>
          <t>Eureka Forbes Ltd</t>
        </is>
      </c>
      <c r="C5407" s="97" t="n">
        <v>543482</v>
      </c>
      <c r="D5407" s="96" t="inlineStr">
        <is>
          <t>EUREKAFORBE</t>
        </is>
      </c>
      <c r="E5407" s="96" t="inlineStr">
        <is>
          <t>Household Appliances</t>
        </is>
      </c>
    </row>
    <row r="5408" ht="15" customHeight="1" s="109" thickBot="1">
      <c r="B5408" s="96" t="inlineStr">
        <is>
          <t>Gateway Distriparks Ltd</t>
        </is>
      </c>
      <c r="C5408" s="97" t="n">
        <v>543489</v>
      </c>
      <c r="D5408" s="96" t="inlineStr">
        <is>
          <t>GATEWAY</t>
        </is>
      </c>
      <c r="E5408" s="96" t="inlineStr">
        <is>
          <t>Logistics Solution Provider</t>
        </is>
      </c>
    </row>
    <row r="5409" ht="15" customHeight="1" s="109" thickBot="1">
      <c r="B5409" s="96" t="inlineStr">
        <is>
          <t>GMR Power and Urban Infra Ltd</t>
        </is>
      </c>
      <c r="C5409" s="97" t="n">
        <v>543490</v>
      </c>
      <c r="D5409" s="96" t="inlineStr">
        <is>
          <t>GMRP&amp;UI</t>
        </is>
      </c>
      <c r="E5409" s="96" t="inlineStr">
        <is>
          <t>Engineering- Designing &amp; Construction</t>
        </is>
      </c>
    </row>
    <row r="5410" ht="15" customHeight="1" s="109" thickBot="1">
      <c r="B5410" s="96" t="inlineStr">
        <is>
          <t>Bhatia Colour Chem Ltd</t>
        </is>
      </c>
      <c r="C5410" s="97" t="n">
        <v>543497</v>
      </c>
      <c r="D5410" s="96" t="inlineStr">
        <is>
          <t>BCCL</t>
        </is>
      </c>
      <c r="E5410" s="96" t="inlineStr">
        <is>
          <t>Specialty Chemicals</t>
        </is>
      </c>
    </row>
    <row r="5411" ht="15" customHeight="1" s="109" thickBot="1">
      <c r="B5411" s="96" t="inlineStr">
        <is>
          <t>Motherson Sumi Wiring India Ltd</t>
        </is>
      </c>
      <c r="C5411" s="97" t="n">
        <v>543498</v>
      </c>
      <c r="D5411" s="96" t="inlineStr">
        <is>
          <t>MSUMI</t>
        </is>
      </c>
      <c r="E5411" s="96" t="inlineStr">
        <is>
          <t>Auto Components &amp; Equipments</t>
        </is>
      </c>
    </row>
    <row r="5412" ht="15" customHeight="1" s="109" thickBot="1">
      <c r="B5412" s="96" t="inlineStr">
        <is>
          <t>Achyut Healthcare Ltd</t>
        </is>
      </c>
      <c r="C5412" s="97" t="n">
        <v>543499</v>
      </c>
      <c r="D5412" s="96" t="inlineStr">
        <is>
          <t>ACHYUT</t>
        </is>
      </c>
      <c r="E5412" s="96" t="inlineStr">
        <is>
          <t>Pharmaceuticals</t>
        </is>
      </c>
    </row>
    <row r="5413" ht="15" customHeight="1" s="109" thickBot="1">
      <c r="B5413" s="96" t="inlineStr">
        <is>
          <t>Evoq Remedies Ltd</t>
        </is>
      </c>
      <c r="C5413" s="97" t="n">
        <v>543500</v>
      </c>
      <c r="D5413" s="96" t="inlineStr">
        <is>
          <t>EVOQ</t>
        </is>
      </c>
      <c r="E5413" s="96" t="inlineStr">
        <is>
          <t>Trading &amp; Distributors</t>
        </is>
      </c>
    </row>
    <row r="5414" ht="15" customHeight="1" s="109" thickBot="1">
      <c r="B5414" s="96" t="inlineStr">
        <is>
          <t>Motilal Oswal S&amp;P BSE Low Volatility ETF</t>
        </is>
      </c>
      <c r="C5414" s="97" t="n">
        <v>543501</v>
      </c>
      <c r="D5414" s="96" t="inlineStr">
        <is>
          <t>MOLOWVOL</t>
        </is>
      </c>
      <c r="E5414" s="96" t="n"/>
    </row>
    <row r="5415" ht="15" customHeight="1" s="109" thickBot="1">
      <c r="B5415" s="96" t="inlineStr">
        <is>
          <t>Avro India Ltd</t>
        </is>
      </c>
      <c r="C5415" s="97" t="n">
        <v>543512</v>
      </c>
      <c r="D5415" s="96" t="inlineStr">
        <is>
          <t>AVROIND</t>
        </is>
      </c>
      <c r="E5415" s="96" t="inlineStr">
        <is>
          <t>Plastic Products - Consumer</t>
        </is>
      </c>
    </row>
    <row r="5416" ht="15" customHeight="1" s="109" thickBot="1">
      <c r="B5416" s="96" t="inlineStr">
        <is>
          <t>Uma Exports Ltd</t>
        </is>
      </c>
      <c r="C5416" s="97" t="n">
        <v>543513</v>
      </c>
      <c r="D5416" s="96" t="inlineStr">
        <is>
          <t>UMAEXPORTS</t>
        </is>
      </c>
      <c r="E5416" s="96" t="inlineStr">
        <is>
          <t>Trading &amp; Distributors</t>
        </is>
      </c>
    </row>
    <row r="5417" ht="15" customHeight="1" s="109" thickBot="1">
      <c r="B5417" s="96" t="inlineStr">
        <is>
          <t>Veranda Learning Solutions Ltd</t>
        </is>
      </c>
      <c r="C5417" s="97" t="n">
        <v>543514</v>
      </c>
      <c r="D5417" s="96" t="inlineStr">
        <is>
          <t>VERANDA</t>
        </is>
      </c>
      <c r="E5417" s="96" t="inlineStr">
        <is>
          <t>E-Learning</t>
        </is>
      </c>
    </row>
    <row r="5418" ht="15" customHeight="1" s="109" thickBot="1">
      <c r="B5418" s="96" t="inlineStr">
        <is>
          <t>Sunrise Efficient Marketing Ltd</t>
        </is>
      </c>
      <c r="C5418" s="97" t="n">
        <v>543515</v>
      </c>
      <c r="D5418" s="96" t="inlineStr">
        <is>
          <t>SEML</t>
        </is>
      </c>
      <c r="E5418" s="96" t="inlineStr">
        <is>
          <t>Trading &amp; Distributors</t>
        </is>
      </c>
    </row>
    <row r="5419" ht="15" customHeight="1" s="109" thickBot="1">
      <c r="B5419" s="96" t="inlineStr">
        <is>
          <t>Dhyaani Tile and Marblez Ltd</t>
        </is>
      </c>
      <c r="C5419" s="97" t="n">
        <v>543516</v>
      </c>
      <c r="D5419" s="96" t="inlineStr">
        <is>
          <t>DHYAANI</t>
        </is>
      </c>
      <c r="E5419" s="96" t="inlineStr">
        <is>
          <t>Trading &amp; Distributors</t>
        </is>
      </c>
    </row>
    <row r="5420" ht="15" customHeight="1" s="109" thickBot="1">
      <c r="B5420" s="96" t="inlineStr">
        <is>
          <t>Hariom Pipe Industries Ltd</t>
        </is>
      </c>
      <c r="C5420" s="97" t="n">
        <v>543517</v>
      </c>
      <c r="D5420" s="96" t="inlineStr">
        <is>
          <t>HARIOMPIPE</t>
        </is>
      </c>
      <c r="E5420" s="96" t="inlineStr">
        <is>
          <t>Iron &amp; Steel Products</t>
        </is>
      </c>
    </row>
    <row r="5421" ht="15" customHeight="1" s="109" thickBot="1">
      <c r="B5421" s="96" t="inlineStr">
        <is>
          <t>Eighty Jewellers Ltd</t>
        </is>
      </c>
      <c r="C5421" s="97" t="n">
        <v>543518</v>
      </c>
      <c r="D5421" s="96" t="inlineStr">
        <is>
          <t>EIGHTY</t>
        </is>
      </c>
      <c r="E5421" s="96" t="inlineStr">
        <is>
          <t>Gems- Jewellery And Watches</t>
        </is>
      </c>
    </row>
    <row r="5422" ht="15" customHeight="1" s="109" thickBot="1">
      <c r="B5422" s="96" t="inlineStr">
        <is>
          <t>Shashwat Furnishing Solutions Ltd</t>
        </is>
      </c>
      <c r="C5422" s="97" t="n">
        <v>543519</v>
      </c>
      <c r="D5422" s="96" t="inlineStr">
        <is>
          <t>SFSL</t>
        </is>
      </c>
      <c r="E5422" s="96" t="inlineStr">
        <is>
          <t>Furniture- Home Furnishing- Flooring</t>
        </is>
      </c>
    </row>
    <row r="5423" ht="15" customHeight="1" s="109" thickBot="1">
      <c r="B5423" s="96" t="inlineStr">
        <is>
          <t>Global Longlife Hospital and Research Ltd</t>
        </is>
      </c>
      <c r="C5423" s="97" t="n">
        <v>543520</v>
      </c>
      <c r="D5423" s="96" t="inlineStr">
        <is>
          <t>GLHRL</t>
        </is>
      </c>
      <c r="E5423" s="96" t="inlineStr">
        <is>
          <t>Hospital</t>
        </is>
      </c>
    </row>
    <row r="5424" ht="15" customHeight="1" s="109" thickBot="1">
      <c r="B5424" s="96" t="inlineStr">
        <is>
          <t>Fone4 Communications (India) Ltd</t>
        </is>
      </c>
      <c r="C5424" s="97" t="n">
        <v>543521</v>
      </c>
      <c r="D5424" s="96" t="inlineStr">
        <is>
          <t>FONE4</t>
        </is>
      </c>
      <c r="E5424" s="96" t="inlineStr">
        <is>
          <t>E-Retail/ E-Commerce</t>
        </is>
      </c>
    </row>
    <row r="5425" ht="15" customHeight="1" s="109" thickBot="1">
      <c r="B5425" s="96" t="inlineStr">
        <is>
          <t>Nanavati Ventures Ltd</t>
        </is>
      </c>
      <c r="C5425" s="97" t="n">
        <v>543522</v>
      </c>
      <c r="D5425" s="96" t="inlineStr">
        <is>
          <t>NVENTURES</t>
        </is>
      </c>
      <c r="E5425" s="96" t="inlineStr">
        <is>
          <t>Precious Metals</t>
        </is>
      </c>
    </row>
    <row r="5426" ht="15" customHeight="1" s="109" thickBot="1">
      <c r="B5426" s="96" t="inlineStr">
        <is>
          <t>Campus Activewear Ltd</t>
        </is>
      </c>
      <c r="C5426" s="97" t="n">
        <v>543523</v>
      </c>
      <c r="D5426" s="96" t="inlineStr">
        <is>
          <t>CAMPUS</t>
        </is>
      </c>
      <c r="E5426" s="96" t="inlineStr">
        <is>
          <t>Footwear</t>
        </is>
      </c>
    </row>
    <row r="5427" ht="15" customHeight="1" s="109" thickBot="1">
      <c r="B5427" s="96" t="inlineStr">
        <is>
          <t>Rainbow Children's Medicare Ltd</t>
        </is>
      </c>
      <c r="C5427" s="97" t="n">
        <v>543524</v>
      </c>
      <c r="D5427" s="96" t="inlineStr">
        <is>
          <t>RAINBOW</t>
        </is>
      </c>
      <c r="E5427" s="96" t="inlineStr">
        <is>
          <t>Hospital</t>
        </is>
      </c>
    </row>
    <row r="5428" ht="15" customHeight="1" s="109" thickBot="1">
      <c r="B5428" s="96" t="inlineStr">
        <is>
          <t>Silver Touch Technologies Ltd</t>
        </is>
      </c>
      <c r="C5428" s="97" t="n">
        <v>543525</v>
      </c>
      <c r="D5428" s="96" t="inlineStr">
        <is>
          <t>SILVERTUC</t>
        </is>
      </c>
      <c r="E5428" s="96" t="inlineStr">
        <is>
          <t>IT Enabled Services</t>
        </is>
      </c>
    </row>
    <row r="5429" ht="15" customHeight="1" s="109" thickBot="1">
      <c r="B5429" s="96" t="inlineStr">
        <is>
          <t>Life Insurance Corporation of India</t>
        </is>
      </c>
      <c r="C5429" s="97" t="n">
        <v>543526</v>
      </c>
      <c r="D5429" s="96" t="inlineStr">
        <is>
          <t>LICI</t>
        </is>
      </c>
      <c r="E5429" s="96" t="inlineStr">
        <is>
          <t>Life Insurance</t>
        </is>
      </c>
    </row>
    <row r="5430" ht="15" customHeight="1" s="109" thickBot="1">
      <c r="B5430" s="96" t="inlineStr">
        <is>
          <t>Prudent Corporate Advisory Services Ltd</t>
        </is>
      </c>
      <c r="C5430" s="97" t="n">
        <v>543527</v>
      </c>
      <c r="D5430" s="96" t="inlineStr">
        <is>
          <t>PRUDENT</t>
        </is>
      </c>
      <c r="E5430" s="96" t="inlineStr">
        <is>
          <t>Financial Products Distributor</t>
        </is>
      </c>
    </row>
    <row r="5431" ht="15" customHeight="1" s="109" thickBot="1">
      <c r="B5431" s="96" t="inlineStr">
        <is>
          <t>Venus Pipes &amp; Tubes Ltd</t>
        </is>
      </c>
      <c r="C5431" s="97" t="n">
        <v>543528</v>
      </c>
      <c r="D5431" s="96" t="inlineStr">
        <is>
          <t>VENUSPIPES</t>
        </is>
      </c>
      <c r="E5431" s="96" t="inlineStr">
        <is>
          <t>Iron &amp; Steel Products</t>
        </is>
      </c>
    </row>
    <row r="5432" ht="15" customHeight="1" s="109" thickBot="1">
      <c r="B5432" s="96" t="inlineStr">
        <is>
          <t>Delhivery Ltd</t>
        </is>
      </c>
      <c r="C5432" s="97" t="n">
        <v>543529</v>
      </c>
      <c r="D5432" s="96" t="inlineStr">
        <is>
          <t>DELHIVERY</t>
        </is>
      </c>
      <c r="E5432" s="96" t="inlineStr">
        <is>
          <t>Logistics Solution Provider</t>
        </is>
      </c>
    </row>
    <row r="5433" ht="15" customHeight="1" s="109" thickBot="1">
      <c r="B5433" s="96" t="inlineStr">
        <is>
          <t>Paradeep Phosphates Ltd</t>
        </is>
      </c>
      <c r="C5433" s="97" t="n">
        <v>543530</v>
      </c>
      <c r="D5433" s="96" t="inlineStr">
        <is>
          <t>PARADEEP</t>
        </is>
      </c>
      <c r="E5433" s="96" t="inlineStr">
        <is>
          <t>Fertilizers</t>
        </is>
      </c>
    </row>
    <row r="5434" ht="15" customHeight="1" s="109" thickBot="1">
      <c r="B5434" s="96" t="inlineStr">
        <is>
          <t>Tierra Agrotech Ltd</t>
        </is>
      </c>
      <c r="C5434" s="97" t="n">
        <v>543531</v>
      </c>
      <c r="D5434" s="96" t="inlineStr">
        <is>
          <t>TIERRA</t>
        </is>
      </c>
      <c r="E5434" s="96" t="inlineStr">
        <is>
          <t>Other Agricultural Products</t>
        </is>
      </c>
    </row>
    <row r="5435" ht="15" customHeight="1" s="109" thickBot="1">
      <c r="B5435" s="96" t="inlineStr">
        <is>
          <t>Ethos Ltd</t>
        </is>
      </c>
      <c r="C5435" s="97" t="n">
        <v>543532</v>
      </c>
      <c r="D5435" s="96" t="inlineStr">
        <is>
          <t>ETHOSLTD</t>
        </is>
      </c>
      <c r="E5435" s="96" t="inlineStr">
        <is>
          <t>Gems- Jewellery And Watches</t>
        </is>
      </c>
    </row>
    <row r="5436" ht="15" customHeight="1" s="109" thickBot="1">
      <c r="B5436" s="96" t="inlineStr">
        <is>
          <t>eMudhra Ltd</t>
        </is>
      </c>
      <c r="C5436" s="97" t="n">
        <v>543533</v>
      </c>
      <c r="D5436" s="96" t="inlineStr">
        <is>
          <t>EMUDHRA</t>
        </is>
      </c>
      <c r="E5436" s="96" t="inlineStr">
        <is>
          <t>IT Enabled Services</t>
        </is>
      </c>
    </row>
    <row r="5437" ht="15" customHeight="1" s="109" thickBot="1">
      <c r="B5437" s="96" t="inlineStr">
        <is>
          <t>Aether Industries Ltd</t>
        </is>
      </c>
      <c r="C5437" s="97" t="n">
        <v>543534</v>
      </c>
      <c r="D5437" s="96" t="inlineStr">
        <is>
          <t>AETHER</t>
        </is>
      </c>
      <c r="E5437" s="96" t="inlineStr">
        <is>
          <t>Specialty Chemicals</t>
        </is>
      </c>
    </row>
    <row r="5438" ht="15" customHeight="1" s="109" thickBot="1">
      <c r="B5438" s="96" t="inlineStr">
        <is>
          <t>We Win Ltd</t>
        </is>
      </c>
      <c r="C5438" s="97" t="n">
        <v>543535</v>
      </c>
      <c r="D5438" s="96" t="inlineStr">
        <is>
          <t>WEWIN</t>
        </is>
      </c>
      <c r="E5438" s="96" t="inlineStr">
        <is>
          <t>Business Process Outsourcing (BPO)/ Knowledge Process Outsourcing (KPO)</t>
        </is>
      </c>
    </row>
    <row r="5439" ht="15" customHeight="1" s="109" thickBot="1">
      <c r="B5439" s="96" t="inlineStr">
        <is>
          <t>Silver Pearl Hospitality &amp; Luxury Spaces Ltd</t>
        </is>
      </c>
      <c r="C5439" s="97" t="n">
        <v>543536</v>
      </c>
      <c r="D5439" s="96" t="inlineStr">
        <is>
          <t>SILVERPRL</t>
        </is>
      </c>
      <c r="E5439" s="96" t="inlineStr">
        <is>
          <t>Hotels &amp; Resorts</t>
        </is>
      </c>
    </row>
    <row r="5440" ht="15" customHeight="1" s="109" thickBot="1">
      <c r="B5440" s="96" t="inlineStr">
        <is>
          <t>Kotak Banking ETF - Dividend Payout Option</t>
        </is>
      </c>
      <c r="C5440" s="97" t="n">
        <v>590136</v>
      </c>
      <c r="D5440" s="96" t="inlineStr">
        <is>
          <t>KOTAKBKETF</t>
        </is>
      </c>
      <c r="E5440" s="96" t="n"/>
    </row>
    <row r="5441" ht="15" customHeight="1" s="109" thickBot="1">
      <c r="B5441" s="96" t="inlineStr">
        <is>
          <t>SBI-ETF NIFTY BANK</t>
        </is>
      </c>
      <c r="C5441" s="97" t="n">
        <v>590137</v>
      </c>
      <c r="D5441" s="96" t="inlineStr">
        <is>
          <t>SETFNIFBK</t>
        </is>
      </c>
      <c r="E5441" s="96" t="n"/>
    </row>
    <row r="5442" ht="15" customHeight="1" s="109" thickBot="1">
      <c r="B5442" s="96" t="inlineStr">
        <is>
          <t>SBI-ETF NIFTY 50</t>
        </is>
      </c>
      <c r="C5442" s="97" t="n">
        <v>590138</v>
      </c>
      <c r="D5442" s="96" t="inlineStr">
        <is>
          <t>SETFNIF50</t>
        </is>
      </c>
      <c r="E5442" s="96" t="n"/>
    </row>
  </sheetData>
  <autoFilter ref="B2:E5442"/>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Pratyush</dc:creator>
  <dcterms:created xmlns:dcterms="http://purl.org/dc/terms/" xmlns:xsi="http://www.w3.org/2001/XMLSchema-instance" xsi:type="dcterms:W3CDTF">2012-08-17T09:55:37Z</dcterms:created>
  <dcterms:modified xmlns:dcterms="http://purl.org/dc/terms/" xmlns:xsi="http://www.w3.org/2001/XMLSchema-instance" xsi:type="dcterms:W3CDTF">2026-09-19T12:33:40Z</dcterms:modified>
  <cp:lastModifiedBy>Loveish</cp:lastModifiedBy>
  <cp:lastPrinted>2012-12-06T18:14:13Z</cp:lastPrinted>
</cp:coreProperties>
</file>