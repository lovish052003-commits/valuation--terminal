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definedNames>
    <definedName name="UPDATE">'Data Sheet'!$E$1</definedName>
    <definedName name="UPDATE" localSheetId="22">#REF!</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3">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s>
  <fills count="16">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10">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0" fontId="3" fillId="0" borderId="13" pivotButton="0" quotePrefix="0" xfId="0"/>
    <xf numFmtId="172" fontId="3" fillId="0" borderId="13" pivotButton="0" quotePrefix="0" xfId="0"/>
    <xf numFmtId="170" fontId="3" fillId="0" borderId="13" pivotButton="0" quotePrefix="0" xfId="0"/>
    <xf numFmtId="0" fontId="3" fillId="10" borderId="0" pivotButton="0" quotePrefix="0" xfId="0"/>
    <xf numFmtId="170" fontId="3" fillId="10" borderId="0" pivotButton="0" quotePrefix="0" xfId="0"/>
    <xf numFmtId="171" fontId="3" fillId="10" borderId="0" pivotButton="0" quotePrefix="0" xfId="0"/>
    <xf numFmtId="164" fontId="3" fillId="0" borderId="13" pivotButton="0" quotePrefix="0" xfId="0"/>
    <xf numFmtId="164" fontId="13" fillId="8" borderId="0" pivotButton="0" quotePrefix="0" xfId="0"/>
    <xf numFmtId="10" fontId="23" fillId="14" borderId="0" applyAlignment="1" pivotButton="0" quotePrefix="0" xfId="0">
      <alignment horizontal="center"/>
    </xf>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media/image1.png" Id="rId1"/></Relationships>
</file>

<file path=xl/drawings/_rels/drawing2.xml.rels><Relationships xmlns="http://schemas.openxmlformats.org/package/2006/relationships"><Relationship Type="http://schemas.openxmlformats.org/officeDocument/2006/relationships/image" Target="../media/image2.png" Id="rId1"/></Relationships>
</file>

<file path=xl/drawings/_rels/drawing3.xml.rels><Relationships xmlns="http://schemas.openxmlformats.org/package/2006/relationships"><Relationship Type="http://schemas.openxmlformats.org/officeDocument/2006/relationships/image" Target="../media/image3.png" Id="rId1"/></Relationships>
</file>

<file path=xl/drawings/_rels/drawing4.xml.rels><Relationships xmlns="http://schemas.openxmlformats.org/package/2006/relationships"><Relationship Type="http://schemas.openxmlformats.org/officeDocument/2006/relationships/image" Target="../media/image4.png" Id="rId1"/></Relationships>
</file>

<file path=xl/drawings/_rels/drawing5.xml.rels><Relationships xmlns="http://schemas.openxmlformats.org/package/2006/relationships"><Relationship Type="http://schemas.openxmlformats.org/officeDocument/2006/relationships/image" Target="../media/image5.png" Id="rId1"/></Relationships>
</file>

<file path=xl/drawings/_rels/drawing6.xml.rels><Relationships xmlns="http://schemas.openxmlformats.org/package/2006/relationships"><Relationship Type="http://schemas.openxmlformats.org/officeDocument/2006/relationships/image" Target="../media/image6.png" Id="rId1"/></Relationships>
</file>

<file path=xl/drawings/_rels/drawing7.xml.rels><Relationships xmlns="http://schemas.openxmlformats.org/package/2006/relationships"><Relationship Type="http://schemas.openxmlformats.org/officeDocument/2006/relationships/chart" Target="../charts/chart1.xml" Id="rId1"/><Relationship Type="http://schemas.openxmlformats.org/officeDocument/2006/relationships/chart" Target="../charts/chart2.xml" Id="rId2"/><Relationship Type="http://schemas.openxmlformats.org/officeDocument/2006/relationships/chart" Target="../charts/chart3.xml" Id="rId3"/><Relationship Type="http://schemas.openxmlformats.org/officeDocument/2006/relationships/chart" Target="../charts/chart4.xml" Id="rId4"/><Relationship Type="http://schemas.openxmlformats.org/officeDocument/2006/relationships/chart" Target="../charts/chart5.xml" Id="rId5"/><Relationship Type="http://schemas.openxmlformats.org/officeDocument/2006/relationships/chart" Target="../charts/chart6.xml" Id="rId6"/><Relationship Type="http://schemas.openxmlformats.org/officeDocument/2006/relationships/chart" Target="../charts/chart7.xml" Id="rId7"/><Relationship Type="http://schemas.openxmlformats.org/officeDocument/2006/relationships/chart" Target="../charts/chart8.xml" Id="rId8"/><Relationship Type="http://schemas.openxmlformats.org/officeDocument/2006/relationships/chart" Target="../charts/chart9.xml" Id="rId9"/><Relationship Type="http://schemas.openxmlformats.org/officeDocument/2006/relationships/image" Target="../media/image7.png" Id="rId10"/></Relationships>
</file>

<file path=xl/drawings/_rels/drawing8.xml.rels><Relationships xmlns="http://schemas.openxmlformats.org/package/2006/relationships"><Relationship Type="http://schemas.openxmlformats.org/officeDocument/2006/relationships/chart" Target="../charts/chart10.xml" Id="rId1"/><Relationship Type="http://schemas.openxmlformats.org/officeDocument/2006/relationships/chart" Target="../charts/chart11.xml" Id="rId2"/><Relationship Type="http://schemas.openxmlformats.org/officeDocument/2006/relationships/chart" Target="../charts/chart12.xml" Id="rId3"/><Relationship Type="http://schemas.openxmlformats.org/officeDocument/2006/relationships/chart" Target="../charts/chart13.xml" Id="rId4"/><Relationship Type="http://schemas.openxmlformats.org/officeDocument/2006/relationships/chart" Target="../charts/chart14.xml" Id="rId5"/><Relationship Type="http://schemas.openxmlformats.org/officeDocument/2006/relationships/chart" Target="../charts/chart15.xml" Id="rId6"/><Relationship Type="http://schemas.openxmlformats.org/officeDocument/2006/relationships/chart" Target="../charts/chart16.xml" Id="rId7"/><Relationship Type="http://schemas.openxmlformats.org/officeDocument/2006/relationships/chart" Target="../charts/chart17.xml" Id="rId8"/><Relationship Type="http://schemas.openxmlformats.org/officeDocument/2006/relationships/chart" Target="../charts/chart18.xml" Id="rId9"/><Relationship Type="http://schemas.openxmlformats.org/officeDocument/2006/relationships/image" Target="../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drawings/drawing1.xml" Id="rId1"/></Relationships>
</file>

<file path=xl/worksheets/_rels/sheet14.xml.rels><Relationships xmlns="http://schemas.openxmlformats.org/package/2006/relationships"><Relationship Type="http://schemas.openxmlformats.org/officeDocument/2006/relationships/drawing" Target="../drawings/drawing2.xml" Id="rId1"/></Relationships>
</file>

<file path=xl/worksheets/_rels/sheet15.xml.rels><Relationships xmlns="http://schemas.openxmlformats.org/package/2006/relationships"><Relationship Type="http://schemas.openxmlformats.org/officeDocument/2006/relationships/drawing" Target="../drawings/drawing3.xml" Id="rId1"/></Relationships>
</file>

<file path=xl/worksheets/_rels/sheet16.xml.rels><Relationships xmlns="http://schemas.openxmlformats.org/package/2006/relationships"><Relationship Type="http://schemas.openxmlformats.org/officeDocument/2006/relationships/drawing" Target="../drawings/drawing4.xml" Id="rId1"/></Relationships>
</file>

<file path=xl/worksheets/_rels/sheet17.xml.rels><Relationships xmlns="http://schemas.openxmlformats.org/package/2006/relationships"><Relationship Type="http://schemas.openxmlformats.org/officeDocument/2006/relationships/drawing" Target="../drawings/drawing5.xml" Id="rId1"/></Relationships>
</file>

<file path=xl/worksheets/_rels/sheet19.xml.rels><Relationships xmlns="http://schemas.openxmlformats.org/package/2006/relationships"><Relationship Type="http://schemas.openxmlformats.org/officeDocument/2006/relationships/drawing" Target="../drawings/drawing6.xml" Id="rId1"/></Relationships>
</file>

<file path=xl/worksheets/_rels/sheet20.xml.rels><Relationships xmlns="http://schemas.openxmlformats.org/package/2006/relationships"><Relationship Type="http://schemas.openxmlformats.org/officeDocument/2006/relationships/drawing" Target="../drawings/drawing7.xml" Id="rId1"/></Relationships>
</file>

<file path=xl/worksheets/_rels/sheet21.xml.rels><Relationships xmlns="http://schemas.openxmlformats.org/package/2006/relationships"><Relationship Type="http://schemas.openxmlformats.org/officeDocument/2006/relationships/drawing" Target="../drawings/drawing8.xml" Id="rId1"/></Relationships>
</file>

<file path=xl/worksheets/sheet1.xml><?xml version="1.0" encoding="utf-8"?>
<worksheet xmlns="http://schemas.openxmlformats.org/spreadsheetml/2006/main">
  <sheetPr>
    <outlinePr summaryBelow="1" summaryRight="1"/>
    <pageSetUpPr/>
  </sheetPr>
  <dimension ref="A1:G39"/>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174" t="inlineStr">
        <is>
          <t>TATA STEEL LTD (TATASTEEL) - Institutional Valuation</t>
        </is>
      </c>
    </row>
    <row r="4">
      <c r="A4" s="162" t="inlineStr">
        <is>
          <t>Current Price</t>
        </is>
      </c>
      <c r="B4" s="162" t="inlineStr">
        <is>
          <t>Intrinsic Value</t>
        </is>
      </c>
      <c r="C4" s="162" t="inlineStr">
        <is>
          <t>Margin of Safety</t>
        </is>
      </c>
      <c r="D4" s="162" t="inlineStr">
        <is>
          <t>Verdict</t>
        </is>
      </c>
      <c r="E4" s="162" t="inlineStr">
        <is>
          <t>WACC</t>
        </is>
      </c>
      <c r="F4" s="162" t="inlineStr">
        <is>
          <t>Altman Z-Score</t>
        </is>
      </c>
      <c r="G4" s="162" t="inlineStr">
        <is>
          <t>DuPont ROE</t>
        </is>
      </c>
    </row>
    <row r="5" ht="15.6" customHeight="1" s="176">
      <c r="A5" s="164">
        <f>DCF!D44</f>
        <v/>
      </c>
      <c r="B5" s="164">
        <f>DCF!D42</f>
        <v/>
      </c>
      <c r="C5" s="166">
        <f>(B5-A5)/A5</f>
        <v/>
      </c>
      <c r="D5" s="168">
        <f>IF(C5&gt;0.15,"UNDERVALUED / BUY",IF(C5&lt;-0.15,"OVERVALUED / SELL","FAIRLY VALUED / HOLD"))</f>
        <v/>
      </c>
      <c r="E5" s="169">
        <f>DCF!D20</f>
        <v/>
      </c>
      <c r="F5" s="170">
        <f>'Altman''s Z Score'!I89</f>
        <v/>
      </c>
      <c r="G5" s="169">
        <f>'Dupont Analysis'!I78</f>
        <v/>
      </c>
    </row>
    <row r="7" ht="15.6" customHeight="1" s="176">
      <c r="A7" s="167" t="inlineStr">
        <is>
          <t>THE 4 CORE VALUATION PILLARS</t>
        </is>
      </c>
      <c r="B7" t="inlineStr">
        <is>
          <t>KEY VALUATION PARAMETERS &amp; LIVE MODEL INPUTS</t>
        </is>
      </c>
    </row>
    <row r="8">
      <c r="A8" s="37" t="inlineStr">
        <is>
          <t>Pillar 1: FCF Engine</t>
        </is>
      </c>
      <c r="B8" t="inlineStr">
        <is>
          <t>Discount Rate (WACC)</t>
        </is>
      </c>
      <c r="C8" s="46">
        <f>WACC!K46</f>
        <v/>
      </c>
      <c r="D8" t="inlineStr">
        <is>
          <t>0.00%</t>
        </is>
      </c>
    </row>
    <row r="9">
      <c r="A9" s="37" t="inlineStr">
        <is>
          <t>Pillar 2: Growth Trajectory</t>
        </is>
      </c>
      <c r="B9" t="inlineStr">
        <is>
          <t>Cost of Equity (Ke)</t>
        </is>
      </c>
      <c r="C9" s="46">
        <f>WACC!K29</f>
        <v/>
      </c>
      <c r="D9" t="inlineStr">
        <is>
          <t>0.00%</t>
        </is>
      </c>
    </row>
    <row r="10">
      <c r="A10" s="37" t="inlineStr">
        <is>
          <t>Pillar 3: Cost of Capital (WACC)</t>
        </is>
      </c>
      <c r="B10" t="inlineStr">
        <is>
          <t>Risk-Free Rate (Rf)</t>
        </is>
      </c>
      <c r="C10" s="46">
        <f>WACC!K26</f>
        <v/>
      </c>
      <c r="D10" t="inlineStr">
        <is>
          <t>0.00%</t>
        </is>
      </c>
    </row>
    <row r="11">
      <c r="A11" s="37" t="inlineStr">
        <is>
          <t>Pillar 4: Relative Multiples</t>
        </is>
      </c>
      <c r="B11" t="inlineStr">
        <is>
          <t>Equity Risk Premium (ERP)</t>
        </is>
      </c>
      <c r="C11" s="46">
        <f>WACC!K27</f>
        <v/>
      </c>
      <c r="D11" t="inlineStr">
        <is>
          <t>0.00%</t>
        </is>
      </c>
    </row>
    <row r="12">
      <c r="B12" t="inlineStr">
        <is>
          <t>Levered Beta</t>
        </is>
      </c>
      <c r="C12">
        <f>WACC!K28</f>
        <v/>
      </c>
      <c r="D12" t="inlineStr">
        <is>
          <t>0.00</t>
        </is>
      </c>
    </row>
    <row r="13">
      <c r="A13" s="37" t="inlineStr">
        <is>
          <t>5-Year Discounted Cash Flow (DCF) Schedule (Amounts in ₹ Cr)</t>
        </is>
      </c>
      <c r="B13" t="inlineStr">
        <is>
          <t>Terminal Growth Rate</t>
        </is>
      </c>
      <c r="C13" s="46">
        <f>DCF!D19</f>
        <v/>
      </c>
      <c r="D13" t="inlineStr">
        <is>
          <t>0.00%</t>
        </is>
      </c>
    </row>
    <row r="14">
      <c r="A14" s="171" t="inlineStr">
        <is>
          <t>Year</t>
        </is>
      </c>
      <c r="B14" s="171" t="inlineStr">
        <is>
          <t>Post-Tax Cost of Debt (Kd)</t>
        </is>
      </c>
      <c r="C14" s="209">
        <f>WACC!K43</f>
        <v/>
      </c>
      <c r="D14" s="171" t="inlineStr">
        <is>
          <t>0.00%</t>
        </is>
      </c>
      <c r="E14" s="171" t="inlineStr">
        <is>
          <t>FCFF</t>
        </is>
      </c>
      <c r="F14" s="171" t="inlineStr">
        <is>
          <t>Discount Factor</t>
        </is>
      </c>
      <c r="G14" s="171" t="inlineStr">
        <is>
          <t>PV of FCFF</t>
        </is>
      </c>
    </row>
    <row r="15">
      <c r="A15" s="180" t="inlineStr">
        <is>
          <t>Year 1</t>
        </is>
      </c>
      <c r="B15" s="172" t="inlineStr">
        <is>
          <t>Cash &amp; Liquid Investments</t>
        </is>
      </c>
      <c r="C15" s="172">
        <f>'Data Sheet'!K69</f>
        <v/>
      </c>
      <c r="D15" s="46" t="inlineStr">
        <is>
          <t>#,##0.00</t>
        </is>
      </c>
      <c r="E15" s="172">
        <f>DCF!I12</f>
        <v/>
      </c>
      <c r="F15" s="173">
        <f>DCF!I14</f>
        <v/>
      </c>
      <c r="G15" s="172">
        <f>DCF!I16</f>
        <v/>
      </c>
    </row>
    <row r="16">
      <c r="A16" s="180" t="inlineStr">
        <is>
          <t>Year 2</t>
        </is>
      </c>
      <c r="B16" s="172" t="inlineStr">
        <is>
          <t>Total Debt &amp; Borrowings</t>
        </is>
      </c>
      <c r="C16" s="172">
        <f>'Data Sheet'!K59</f>
        <v/>
      </c>
      <c r="D16" s="46" t="inlineStr">
        <is>
          <t>#,##0.00</t>
        </is>
      </c>
      <c r="E16" s="172">
        <f>DCF!J12</f>
        <v/>
      </c>
      <c r="F16" s="173">
        <f>DCF!J14</f>
        <v/>
      </c>
      <c r="G16" s="172">
        <f>DCF!J16</f>
        <v/>
      </c>
    </row>
    <row r="17">
      <c r="A17" s="180" t="inlineStr">
        <is>
          <t>Year 3</t>
        </is>
      </c>
      <c r="B17" s="172" t="inlineStr">
        <is>
          <t>Shares Outstanding</t>
        </is>
      </c>
      <c r="C17" s="172">
        <f>'Data Sheet'!K70/10000000</f>
        <v/>
      </c>
      <c r="D17" s="46" t="inlineStr">
        <is>
          <t>#,##0.00</t>
        </is>
      </c>
      <c r="E17" s="172">
        <f>DCF!K12</f>
        <v/>
      </c>
      <c r="F17" s="173">
        <f>DCF!K14</f>
        <v/>
      </c>
      <c r="G17" s="172">
        <f>DCF!K16</f>
        <v/>
      </c>
    </row>
    <row r="18">
      <c r="A18" s="180" t="inlineStr">
        <is>
          <t>Year 4</t>
        </is>
      </c>
      <c r="B18" s="172" t="inlineStr">
        <is>
          <t>Sector Median EV/Revenue</t>
        </is>
      </c>
      <c r="C18" s="172">
        <f>Comp_Valuation!O25</f>
        <v/>
      </c>
      <c r="D18" s="46" t="inlineStr">
        <is>
          <t>0.00"x"</t>
        </is>
      </c>
      <c r="E18" s="172">
        <f>DCF!L12</f>
        <v/>
      </c>
      <c r="F18" s="173">
        <f>DCF!L14</f>
        <v/>
      </c>
      <c r="G18" s="172">
        <f>DCF!L16</f>
        <v/>
      </c>
    </row>
    <row r="19">
      <c r="A19" s="180" t="inlineStr">
        <is>
          <t>Year 5</t>
        </is>
      </c>
      <c r="B19" s="172" t="inlineStr">
        <is>
          <t>Sector Median EV/EBITDA</t>
        </is>
      </c>
      <c r="C19" s="172">
        <f>Comp_Valuation!P25</f>
        <v/>
      </c>
      <c r="D19" s="46" t="inlineStr">
        <is>
          <t>0.00"x"</t>
        </is>
      </c>
      <c r="E19" s="172">
        <f>DCF!M12</f>
        <v/>
      </c>
      <c r="F19" s="173">
        <f>DCF!M14</f>
        <v/>
      </c>
      <c r="G19" s="172">
        <f>DCF!M16</f>
        <v/>
      </c>
    </row>
    <row r="20">
      <c r="A20" t="inlineStr">
        <is>
          <t>5-Year Discounted Cash Flow (DCF) Schedule (Amounts in ₹ Cr)</t>
        </is>
      </c>
      <c r="B20" t="inlineStr">
        <is>
          <t>Sector Median P/E</t>
        </is>
      </c>
      <c r="C20">
        <f>Comp_Valuation!Q25</f>
        <v/>
      </c>
      <c r="D20" t="inlineStr">
        <is>
          <t>0.00"x"</t>
        </is>
      </c>
    </row>
    <row r="21">
      <c r="A21" s="37" t="inlineStr">
        <is>
          <t>Year</t>
        </is>
      </c>
      <c r="B21" t="inlineStr">
        <is>
          <t>EBIT</t>
        </is>
      </c>
      <c r="C21" t="inlineStr">
        <is>
          <t>NOPAT</t>
        </is>
      </c>
      <c r="D21" t="inlineStr">
        <is>
          <t>Reinvest Rate</t>
        </is>
      </c>
      <c r="E21" t="inlineStr">
        <is>
          <t>FCFF</t>
        </is>
      </c>
      <c r="F21" t="inlineStr">
        <is>
          <t>Discount Factor</t>
        </is>
      </c>
      <c r="G21" t="inlineStr">
        <is>
          <t>PV of FCFF</t>
        </is>
      </c>
    </row>
    <row r="22">
      <c r="A22" s="37" t="inlineStr">
        <is>
          <t>Year 1</t>
        </is>
      </c>
      <c r="B22" s="172">
        <f>DCF!I8</f>
        <v/>
      </c>
      <c r="C22">
        <f>DCF!I10</f>
        <v/>
      </c>
      <c r="D22">
        <f>DCF!I11</f>
        <v/>
      </c>
      <c r="E22">
        <f>DCF!I12</f>
        <v/>
      </c>
      <c r="F22">
        <f>DCF!I14</f>
        <v/>
      </c>
      <c r="G22">
        <f>DCF!I16</f>
        <v/>
      </c>
    </row>
    <row r="23">
      <c r="A23" s="37" t="inlineStr">
        <is>
          <t>Year 2</t>
        </is>
      </c>
      <c r="B23" s="172">
        <f>DCF!J8</f>
        <v/>
      </c>
      <c r="C23">
        <f>DCF!J10</f>
        <v/>
      </c>
      <c r="D23">
        <f>DCF!J11</f>
        <v/>
      </c>
      <c r="E23">
        <f>DCF!J12</f>
        <v/>
      </c>
      <c r="F23">
        <f>DCF!J14</f>
        <v/>
      </c>
      <c r="G23">
        <f>DCF!J16</f>
        <v/>
      </c>
    </row>
    <row r="24">
      <c r="A24" s="37" t="inlineStr">
        <is>
          <t>Year 3</t>
        </is>
      </c>
      <c r="B24" s="172">
        <f>DCF!K8</f>
        <v/>
      </c>
      <c r="C24">
        <f>DCF!K10</f>
        <v/>
      </c>
      <c r="D24">
        <f>DCF!K11</f>
        <v/>
      </c>
      <c r="E24">
        <f>DCF!K12</f>
        <v/>
      </c>
      <c r="F24">
        <f>DCF!K14</f>
        <v/>
      </c>
      <c r="G24">
        <f>DCF!K16</f>
        <v/>
      </c>
    </row>
    <row r="25">
      <c r="A25" s="37" t="inlineStr">
        <is>
          <t>Year 4</t>
        </is>
      </c>
      <c r="B25" s="172">
        <f>DCF!L8</f>
        <v/>
      </c>
      <c r="C25">
        <f>DCF!L10</f>
        <v/>
      </c>
      <c r="D25">
        <f>DCF!L11</f>
        <v/>
      </c>
      <c r="E25">
        <f>DCF!L12</f>
        <v/>
      </c>
      <c r="F25">
        <f>DCF!L14</f>
        <v/>
      </c>
      <c r="G25">
        <f>DCF!L16</f>
        <v/>
      </c>
    </row>
    <row r="26">
      <c r="A26" s="37" t="inlineStr">
        <is>
          <t>Year 5</t>
        </is>
      </c>
      <c r="B26" s="172">
        <f>DCF!M8</f>
        <v/>
      </c>
      <c r="C26">
        <f>DCF!M10</f>
        <v/>
      </c>
      <c r="D26">
        <f>DCF!M11</f>
        <v/>
      </c>
      <c r="E26">
        <f>DCF!M12</f>
        <v/>
      </c>
      <c r="F26">
        <f>DCF!M14</f>
        <v/>
      </c>
      <c r="G26">
        <f>DCF!M16</f>
        <v/>
      </c>
    </row>
    <row r="27">
      <c r="A27" s="37" t="inlineStr">
        <is>
          <t>Less: Total Debt &amp; Borrowings</t>
        </is>
      </c>
      <c r="B27" s="172">
        <f>DCF!D38</f>
        <v/>
      </c>
    </row>
    <row r="28">
      <c r="A28" s="37" t="inlineStr">
        <is>
          <t>Net Equity Value</t>
        </is>
      </c>
      <c r="B28" s="172" t="inlineStr">
        <is>
          <t>Enterprise to Equity Value Bridge</t>
        </is>
      </c>
    </row>
    <row r="29">
      <c r="A29" s="37" t="inlineStr">
        <is>
          <t>Shares Outstanding</t>
        </is>
      </c>
      <c r="B29" s="172" t="inlineStr">
        <is>
          <t>PV of 5-Year FCFFs</t>
        </is>
      </c>
      <c r="C29" s="163">
        <f>DCF!D33</f>
        <v/>
      </c>
      <c r="D29" t="inlineStr">
        <is>
          <t>₹ Cr</t>
        </is>
      </c>
    </row>
    <row r="30">
      <c r="A30" s="37" t="inlineStr">
        <is>
          <t>Intrinsic Value per Share</t>
        </is>
      </c>
      <c r="B30" s="163" t="inlineStr">
        <is>
          <t>Terminal Value</t>
        </is>
      </c>
      <c r="C30" s="163">
        <f>DCF!D29</f>
        <v/>
      </c>
      <c r="D30" t="inlineStr">
        <is>
          <t>₹ Cr</t>
        </is>
      </c>
    </row>
    <row r="31">
      <c r="A31" s="37" t="inlineStr">
        <is>
          <t>Current Market Price</t>
        </is>
      </c>
      <c r="B31" s="163" t="inlineStr">
        <is>
          <t>PV of Terminal Value</t>
        </is>
      </c>
      <c r="C31" s="163">
        <f>DCF!D34</f>
        <v/>
      </c>
      <c r="D31" t="inlineStr">
        <is>
          <t>₹ Cr</t>
        </is>
      </c>
    </row>
    <row r="32">
      <c r="A32" s="37" t="inlineStr">
        <is>
          <t>Margin of Safety / Discount</t>
        </is>
      </c>
      <c r="B32" s="165" t="inlineStr">
        <is>
          <t>Enterprise Value (Operating Assets)</t>
        </is>
      </c>
      <c r="C32" s="163">
        <f>DCF!D35</f>
        <v/>
      </c>
      <c r="D32" t="inlineStr">
        <is>
          <t>₹ Cr</t>
        </is>
      </c>
    </row>
    <row r="33">
      <c r="B33" t="inlineStr">
        <is>
          <t>Add: Estimated Cash &amp; Liquid Assets</t>
        </is>
      </c>
      <c r="C33" s="163">
        <f>DCF!D37</f>
        <v/>
      </c>
      <c r="D33" t="inlineStr">
        <is>
          <t>₹ Cr</t>
        </is>
      </c>
    </row>
    <row r="34">
      <c r="B34" t="inlineStr">
        <is>
          <t>Less: Total Debt &amp; Borrowings</t>
        </is>
      </c>
      <c r="C34" s="163">
        <f>DCF!D38</f>
        <v/>
      </c>
      <c r="D34" t="inlineStr">
        <is>
          <t>₹ Cr</t>
        </is>
      </c>
    </row>
    <row r="35">
      <c r="B35" t="inlineStr">
        <is>
          <t>Net Equity Value</t>
        </is>
      </c>
      <c r="C35" s="163">
        <f>DCF!D39</f>
        <v/>
      </c>
      <c r="D35" t="inlineStr">
        <is>
          <t>₹ Cr</t>
        </is>
      </c>
    </row>
    <row r="36">
      <c r="B36" t="inlineStr">
        <is>
          <t>Shares Outstanding</t>
        </is>
      </c>
      <c r="C36" s="172">
        <f>DCF!D40</f>
        <v/>
      </c>
      <c r="D36" t="inlineStr">
        <is>
          <t>Cr shares</t>
        </is>
      </c>
    </row>
    <row r="37">
      <c r="B37" t="inlineStr">
        <is>
          <t>Intrinsic Value per Share</t>
        </is>
      </c>
      <c r="C37" s="163">
        <f>DCF!D42</f>
        <v/>
      </c>
      <c r="D37" t="inlineStr">
        <is>
          <t>₹</t>
        </is>
      </c>
    </row>
    <row r="38">
      <c r="B38" t="inlineStr">
        <is>
          <t>Current Market Price</t>
        </is>
      </c>
      <c r="C38" s="163">
        <f>DCF!D44</f>
        <v/>
      </c>
      <c r="D38" t="inlineStr">
        <is>
          <t>₹</t>
        </is>
      </c>
    </row>
    <row r="39">
      <c r="B39" t="inlineStr">
        <is>
          <t>Margin of Safety / Discount</t>
        </is>
      </c>
      <c r="C39" s="165">
        <f>(C37-C38)/C38</f>
        <v/>
      </c>
      <c r="D39" t="inlineStr">
        <is>
          <t>%</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TATA STEEL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1</v>
      </c>
    </row>
    <row r="8">
      <c r="A8" s="193" t="inlineStr">
        <is>
          <t>Current Price</t>
        </is>
      </c>
      <c r="B8" t="n">
        <v>177</v>
      </c>
    </row>
    <row r="9">
      <c r="A9" s="193" t="inlineStr">
        <is>
          <t>Market Capitalization</t>
        </is>
      </c>
      <c r="B9" t="n">
        <v>220719</v>
      </c>
    </row>
    <row r="15">
      <c r="A15" s="187"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88">
      <c r="A17" s="188" t="inlineStr">
        <is>
          <t>Sales</t>
        </is>
      </c>
      <c r="B17" t="n">
        <v>112299</v>
      </c>
      <c r="C17" t="n">
        <v>123249</v>
      </c>
      <c r="D17" t="n">
        <v>157669</v>
      </c>
      <c r="E17" t="n">
        <v>139817</v>
      </c>
      <c r="F17" t="n">
        <v>156477</v>
      </c>
      <c r="G17" t="n">
        <v>243959</v>
      </c>
      <c r="H17" t="n">
        <v>243353</v>
      </c>
      <c r="I17" t="n">
        <v>229171</v>
      </c>
      <c r="J17" t="n">
        <v>218543</v>
      </c>
      <c r="K17" t="n">
        <v>232140</v>
      </c>
    </row>
    <row r="18" customFormat="1" s="188">
      <c r="A18" s="193" t="inlineStr">
        <is>
          <t>Raw Material Cost</t>
        </is>
      </c>
      <c r="B18" t="n">
        <v>43843</v>
      </c>
      <c r="C18" t="n">
        <v>46137</v>
      </c>
      <c r="D18" t="n">
        <v>60877</v>
      </c>
      <c r="E18" t="n">
        <v>58040</v>
      </c>
      <c r="F18" t="n">
        <v>55101</v>
      </c>
      <c r="G18" t="n">
        <v>91077</v>
      </c>
      <c r="H18" t="n">
        <v>116597</v>
      </c>
      <c r="I18" t="n">
        <v>97506</v>
      </c>
      <c r="J18" t="n">
        <v>95097</v>
      </c>
      <c r="K18" t="n">
        <v>92628</v>
      </c>
    </row>
    <row r="19" customFormat="1" s="188">
      <c r="A19" s="193" t="inlineStr">
        <is>
          <t>Change in Inventory</t>
        </is>
      </c>
      <c r="B19" t="n">
        <v>-4538</v>
      </c>
      <c r="C19" t="n">
        <v>99</v>
      </c>
      <c r="D19" t="n">
        <v>-97</v>
      </c>
      <c r="E19" t="n">
        <v>-565</v>
      </c>
      <c r="F19" t="n">
        <v>1517</v>
      </c>
      <c r="G19" t="n">
        <v>-7598</v>
      </c>
      <c r="H19" t="n">
        <v>-3359</v>
      </c>
      <c r="I19" t="n">
        <v>4409</v>
      </c>
      <c r="J19" t="n">
        <v>-97</v>
      </c>
      <c r="K19" t="n">
        <v>990</v>
      </c>
    </row>
    <row r="20" customFormat="1" s="188">
      <c r="A20" s="193" t="inlineStr">
        <is>
          <t>Power and Fuel</t>
        </is>
      </c>
      <c r="B20" t="n">
        <v>0</v>
      </c>
      <c r="C20" t="n">
        <v>0</v>
      </c>
      <c r="D20" t="n">
        <v>0</v>
      </c>
      <c r="E20" t="n">
        <v>0</v>
      </c>
      <c r="F20" t="n">
        <v>0</v>
      </c>
      <c r="G20" t="n">
        <v>0</v>
      </c>
      <c r="H20" t="n">
        <v>0</v>
      </c>
      <c r="I20" t="n">
        <v>0</v>
      </c>
      <c r="J20" t="n">
        <v>0</v>
      </c>
      <c r="K20" t="n">
        <v>0</v>
      </c>
    </row>
    <row r="21" customFormat="1" s="188">
      <c r="A21" s="193" t="inlineStr">
        <is>
          <t>Other Mfr. Exp</t>
        </is>
      </c>
      <c r="B21" t="n">
        <v>0</v>
      </c>
      <c r="C21" t="n">
        <v>0</v>
      </c>
      <c r="D21" t="n">
        <v>0</v>
      </c>
      <c r="E21" t="n">
        <v>0</v>
      </c>
      <c r="F21" t="n">
        <v>0</v>
      </c>
      <c r="G21" t="n">
        <v>0</v>
      </c>
      <c r="H21" t="n">
        <v>0</v>
      </c>
      <c r="I21" t="n">
        <v>0</v>
      </c>
      <c r="J21" t="n">
        <v>0</v>
      </c>
      <c r="K21" t="n">
        <v>0</v>
      </c>
    </row>
    <row r="22" customFormat="1" s="188">
      <c r="A22" s="193" t="inlineStr">
        <is>
          <t>Employee Cost</t>
        </is>
      </c>
      <c r="B22" t="n">
        <v>0</v>
      </c>
      <c r="C22" t="n">
        <v>0</v>
      </c>
      <c r="D22" t="n">
        <v>0</v>
      </c>
      <c r="E22" t="n">
        <v>0</v>
      </c>
      <c r="F22" t="n">
        <v>0</v>
      </c>
      <c r="G22" t="n">
        <v>0</v>
      </c>
      <c r="H22" t="n">
        <v>0</v>
      </c>
      <c r="I22" t="n">
        <v>23971.29</v>
      </c>
      <c r="J22" t="n">
        <v>23405.96</v>
      </c>
      <c r="K22" t="n">
        <v>24583.63</v>
      </c>
    </row>
    <row r="23" customFormat="1" s="188">
      <c r="A23" s="193" t="inlineStr">
        <is>
          <t>Selling and admin</t>
        </is>
      </c>
      <c r="B23" t="n">
        <v>14962.75</v>
      </c>
      <c r="C23" t="n">
        <v>13895</v>
      </c>
      <c r="D23" t="n">
        <v>16892.75</v>
      </c>
      <c r="E23" t="n">
        <v>16219.75</v>
      </c>
      <c r="F23" t="n">
        <v>17338.75</v>
      </c>
      <c r="G23" t="n">
        <v>24247.5</v>
      </c>
      <c r="H23" t="n">
        <v>24453.75</v>
      </c>
      <c r="I23" t="n">
        <v>20259.18</v>
      </c>
      <c r="J23" t="n">
        <v>18709.51</v>
      </c>
      <c r="K23" t="n">
        <v>19896.59</v>
      </c>
    </row>
    <row r="24" customFormat="1" s="188">
      <c r="A24" s="193" t="inlineStr">
        <is>
          <t>Other Expenses</t>
        </is>
      </c>
      <c r="B24" t="n">
        <v>44888.25</v>
      </c>
      <c r="C24" t="n">
        <v>41685</v>
      </c>
      <c r="D24" t="n">
        <v>50678.25</v>
      </c>
      <c r="E24" t="n">
        <v>48659.25</v>
      </c>
      <c r="F24" t="n">
        <v>52016.25</v>
      </c>
      <c r="G24" t="n">
        <v>72742.5</v>
      </c>
      <c r="H24" t="n">
        <v>73361.25</v>
      </c>
      <c r="I24" t="n">
        <v>60777.53</v>
      </c>
      <c r="J24" t="n">
        <v>56128.53</v>
      </c>
      <c r="K24" t="n">
        <v>59689.78</v>
      </c>
    </row>
    <row r="25" customFormat="1" s="188">
      <c r="A25" s="188" t="inlineStr">
        <is>
          <t>Other Income</t>
        </is>
      </c>
      <c r="B25" t="n">
        <v>-3789</v>
      </c>
      <c r="C25" t="n">
        <v>10898</v>
      </c>
      <c r="D25" t="n">
        <v>1524</v>
      </c>
      <c r="E25" t="n">
        <v>-2884</v>
      </c>
      <c r="F25" t="n">
        <v>180</v>
      </c>
      <c r="G25" t="n">
        <v>1300</v>
      </c>
      <c r="H25" t="n">
        <v>1569</v>
      </c>
      <c r="I25" t="n">
        <v>-6005</v>
      </c>
      <c r="J25" t="n">
        <v>877</v>
      </c>
      <c r="K25" t="n">
        <v>738</v>
      </c>
    </row>
    <row r="26" customFormat="1" s="188">
      <c r="A26" s="188" t="inlineStr">
        <is>
          <t>Depreciation</t>
        </is>
      </c>
      <c r="B26" t="n">
        <v>5673</v>
      </c>
      <c r="C26" t="n">
        <v>5742</v>
      </c>
      <c r="D26" t="n">
        <v>7342</v>
      </c>
      <c r="E26" t="n">
        <v>8441</v>
      </c>
      <c r="F26" t="n">
        <v>9234</v>
      </c>
      <c r="G26" t="n">
        <v>9101</v>
      </c>
      <c r="H26" t="n">
        <v>9335</v>
      </c>
      <c r="I26" t="n">
        <v>9882</v>
      </c>
      <c r="J26" t="n">
        <v>10421</v>
      </c>
      <c r="K26" t="n">
        <v>11955</v>
      </c>
    </row>
    <row r="27" customFormat="1" s="188">
      <c r="A27" s="188" t="inlineStr">
        <is>
          <t>Interest</t>
        </is>
      </c>
      <c r="B27" t="n">
        <v>5072</v>
      </c>
      <c r="C27" t="n">
        <v>5455</v>
      </c>
      <c r="D27" t="n">
        <v>7660</v>
      </c>
      <c r="E27" t="n">
        <v>7533</v>
      </c>
      <c r="F27" t="n">
        <v>7607</v>
      </c>
      <c r="G27" t="n">
        <v>5462</v>
      </c>
      <c r="H27" t="n">
        <v>6299</v>
      </c>
      <c r="I27" t="n">
        <v>7508</v>
      </c>
      <c r="J27" t="n">
        <v>7341</v>
      </c>
      <c r="K27" t="n">
        <v>7167</v>
      </c>
    </row>
    <row r="28" customFormat="1" s="188">
      <c r="A28" s="188" t="inlineStr">
        <is>
          <t>Profit before tax</t>
        </is>
      </c>
      <c r="B28" t="n">
        <v>-1391</v>
      </c>
      <c r="C28" t="n">
        <v>21135</v>
      </c>
      <c r="D28" t="n">
        <v>15841</v>
      </c>
      <c r="E28" t="n">
        <v>-1395</v>
      </c>
      <c r="F28" t="n">
        <v>13844</v>
      </c>
      <c r="G28" t="n">
        <v>50227</v>
      </c>
      <c r="H28" t="n">
        <v>18235</v>
      </c>
      <c r="I28" t="n">
        <v>-1147</v>
      </c>
      <c r="J28" t="n">
        <v>8413</v>
      </c>
      <c r="K28" t="n">
        <v>15969</v>
      </c>
    </row>
    <row r="29" customFormat="1" s="188">
      <c r="A29" s="188" t="inlineStr">
        <is>
          <t>Tax</t>
        </is>
      </c>
      <c r="B29" t="n">
        <v>0</v>
      </c>
      <c r="C29" t="n">
        <v>3392</v>
      </c>
      <c r="D29" t="n">
        <v>6719</v>
      </c>
      <c r="E29" t="n">
        <v>0</v>
      </c>
      <c r="F29" t="n">
        <v>5654</v>
      </c>
      <c r="G29" t="n">
        <v>8478</v>
      </c>
      <c r="H29" t="n">
        <v>4558.75</v>
      </c>
      <c r="I29" t="n">
        <v>0</v>
      </c>
      <c r="J29" t="n">
        <v>2103.25</v>
      </c>
      <c r="K29" t="n">
        <v>5083</v>
      </c>
    </row>
    <row r="30" customFormat="1" s="188">
      <c r="A30" s="188" t="inlineStr">
        <is>
          <t>Net profit</t>
        </is>
      </c>
      <c r="B30" t="n">
        <v>-1391</v>
      </c>
      <c r="C30" t="n">
        <v>17743</v>
      </c>
      <c r="D30" t="n">
        <v>9122</v>
      </c>
      <c r="E30" t="n">
        <v>-1395</v>
      </c>
      <c r="F30" t="n">
        <v>8190</v>
      </c>
      <c r="G30" t="n">
        <v>41749</v>
      </c>
      <c r="H30" t="n">
        <v>13676.25</v>
      </c>
      <c r="I30" t="n">
        <v>-1147</v>
      </c>
      <c r="J30" t="n">
        <v>6309.75</v>
      </c>
      <c r="K30" t="n">
        <v>10886</v>
      </c>
    </row>
    <row r="31" customFormat="1" s="188">
      <c r="A31" s="188" t="inlineStr">
        <is>
          <t>Dividend Amount</t>
        </is>
      </c>
      <c r="B31" t="n">
        <v>0</v>
      </c>
      <c r="C31" t="n">
        <v>1596.87</v>
      </c>
      <c r="D31" t="n">
        <v>1368.3</v>
      </c>
      <c r="E31" t="n">
        <v>868.76</v>
      </c>
      <c r="F31" t="n">
        <v>3276</v>
      </c>
      <c r="G31" t="n">
        <v>6679.84</v>
      </c>
      <c r="H31" t="n">
        <v>4037.5</v>
      </c>
      <c r="I31" t="n">
        <v>0</v>
      </c>
      <c r="J31" t="n">
        <v>4157.94</v>
      </c>
      <c r="K31" t="n">
        <v>5007.56</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t="n">
        <v>0</v>
      </c>
      <c r="C33" s="193" t="n">
        <v>0</v>
      </c>
      <c r="D33" s="193" t="n">
        <v>0</v>
      </c>
      <c r="E33" s="193" t="n">
        <v>0</v>
      </c>
      <c r="F33" s="193" t="n">
        <v>0</v>
      </c>
      <c r="G33" s="193" t="n">
        <v>0</v>
      </c>
      <c r="H33" s="193" t="n">
        <v>0</v>
      </c>
      <c r="I33" s="193" t="n">
        <v>0</v>
      </c>
      <c r="J33" s="193" t="n">
        <v>0</v>
      </c>
      <c r="K33" s="193" t="n">
        <v>0</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88">
      <c r="A42" s="188" t="inlineStr">
        <is>
          <t>Sales</t>
        </is>
      </c>
      <c r="B42" t="n">
        <v>58687</v>
      </c>
      <c r="C42" t="n">
        <v>54771</v>
      </c>
      <c r="D42" t="n">
        <v>53905</v>
      </c>
      <c r="E42" t="n">
        <v>53648</v>
      </c>
      <c r="F42" t="n">
        <v>56218</v>
      </c>
      <c r="G42" t="n">
        <v>53178</v>
      </c>
      <c r="H42" t="n">
        <v>58689</v>
      </c>
      <c r="I42" t="n">
        <v>57002</v>
      </c>
      <c r="J42" t="n">
        <v>63270</v>
      </c>
      <c r="K42" t="n">
        <v>60794</v>
      </c>
    </row>
    <row r="43" customFormat="1" s="188">
      <c r="A43" s="188" t="inlineStr">
        <is>
          <t>Expenses</t>
        </is>
      </c>
      <c r="B43" t="n">
        <v>52087</v>
      </c>
      <c r="C43" t="n">
        <v>48077</v>
      </c>
      <c r="D43" t="n">
        <v>47789</v>
      </c>
      <c r="E43" t="n">
        <v>47745</v>
      </c>
      <c r="F43" t="n">
        <v>49659</v>
      </c>
      <c r="G43" t="n">
        <v>45751</v>
      </c>
      <c r="H43" t="n">
        <v>49793</v>
      </c>
      <c r="I43" t="n">
        <v>48803</v>
      </c>
      <c r="J43" t="n">
        <v>53441</v>
      </c>
      <c r="K43" t="n">
        <v>51530</v>
      </c>
    </row>
    <row r="44" customFormat="1" s="188">
      <c r="A44" s="188" t="inlineStr">
        <is>
          <t>Other Income</t>
        </is>
      </c>
      <c r="B44" t="n">
        <v>-382</v>
      </c>
      <c r="C44" t="n">
        <v>-6</v>
      </c>
      <c r="D44" t="n">
        <v>617</v>
      </c>
      <c r="E44" t="n">
        <v>142</v>
      </c>
      <c r="F44" t="n">
        <v>149</v>
      </c>
      <c r="G44" t="n">
        <v>236</v>
      </c>
      <c r="H44" t="n">
        <v>-6</v>
      </c>
      <c r="I44" t="n">
        <v>465</v>
      </c>
      <c r="J44" t="n">
        <v>42</v>
      </c>
      <c r="K44" t="n">
        <v>-17</v>
      </c>
    </row>
    <row r="45" customFormat="1" s="188">
      <c r="A45" s="188" t="inlineStr">
        <is>
          <t>Depreciation</t>
        </is>
      </c>
      <c r="B45" t="n">
        <v>2568</v>
      </c>
      <c r="C45" t="n">
        <v>2535</v>
      </c>
      <c r="D45" t="n">
        <v>2597</v>
      </c>
      <c r="E45" t="n">
        <v>2569</v>
      </c>
      <c r="F45" t="n">
        <v>2720</v>
      </c>
      <c r="G45" t="n">
        <v>2744</v>
      </c>
      <c r="H45" t="n">
        <v>2893</v>
      </c>
      <c r="I45" t="n">
        <v>3049</v>
      </c>
      <c r="J45" t="n">
        <v>3268</v>
      </c>
      <c r="K45" t="n">
        <v>3640</v>
      </c>
    </row>
    <row r="46" customFormat="1" s="188">
      <c r="A46" s="188" t="inlineStr">
        <is>
          <t>Interest</t>
        </is>
      </c>
      <c r="B46" t="n">
        <v>1842</v>
      </c>
      <c r="C46" t="n">
        <v>1777</v>
      </c>
      <c r="D46" t="n">
        <v>1971</v>
      </c>
      <c r="E46" t="n">
        <v>1804</v>
      </c>
      <c r="F46" t="n">
        <v>1789</v>
      </c>
      <c r="G46" t="n">
        <v>1852</v>
      </c>
      <c r="H46" t="n">
        <v>1775</v>
      </c>
      <c r="I46" t="n">
        <v>1747</v>
      </c>
      <c r="J46" t="n">
        <v>1792</v>
      </c>
      <c r="K46" t="n">
        <v>1771</v>
      </c>
    </row>
    <row r="47" customFormat="1" s="188">
      <c r="A47" s="188" t="inlineStr">
        <is>
          <t>Profit before tax</t>
        </is>
      </c>
      <c r="B47" t="n">
        <v>1809</v>
      </c>
      <c r="C47" t="n">
        <v>2377</v>
      </c>
      <c r="D47" t="n">
        <v>2164</v>
      </c>
      <c r="E47" t="n">
        <v>1672</v>
      </c>
      <c r="F47" t="n">
        <v>2200</v>
      </c>
      <c r="G47" t="n">
        <v>3067</v>
      </c>
      <c r="H47" t="n">
        <v>4222</v>
      </c>
      <c r="I47" t="n">
        <v>3869</v>
      </c>
      <c r="J47" t="n">
        <v>4810</v>
      </c>
      <c r="K47" t="n">
        <v>3838</v>
      </c>
    </row>
    <row r="48" customFormat="1" s="188">
      <c r="A48" s="188" t="inlineStr">
        <is>
          <t>Tax</t>
        </is>
      </c>
      <c r="B48" t="n">
        <v>452.25</v>
      </c>
      <c r="C48" t="n">
        <v>594.25</v>
      </c>
      <c r="D48" t="n">
        <v>541</v>
      </c>
      <c r="E48" t="n">
        <v>418</v>
      </c>
      <c r="F48" t="n">
        <v>550</v>
      </c>
      <c r="G48" t="n">
        <v>1060</v>
      </c>
      <c r="H48" t="n">
        <v>1039</v>
      </c>
      <c r="I48" t="n">
        <v>1139</v>
      </c>
      <c r="J48" t="n">
        <v>1845</v>
      </c>
      <c r="K48" t="n">
        <v>1453</v>
      </c>
    </row>
    <row r="49" customFormat="1" s="188">
      <c r="A49" s="188" t="inlineStr">
        <is>
          <t>Net profit</t>
        </is>
      </c>
      <c r="B49" t="n">
        <v>1356.75</v>
      </c>
      <c r="C49" t="n">
        <v>1782.75</v>
      </c>
      <c r="D49" t="n">
        <v>1623</v>
      </c>
      <c r="E49" t="n">
        <v>1254</v>
      </c>
      <c r="F49" t="n">
        <v>1650</v>
      </c>
      <c r="G49" t="n">
        <v>2007</v>
      </c>
      <c r="H49" t="n">
        <v>3183</v>
      </c>
      <c r="I49" t="n">
        <v>2730</v>
      </c>
      <c r="J49" t="n">
        <v>2965</v>
      </c>
      <c r="K49" t="n">
        <v>2385</v>
      </c>
    </row>
    <row r="50">
      <c r="A50" s="188" t="inlineStr">
        <is>
          <t>Operating Profit</t>
        </is>
      </c>
      <c r="B50" t="n">
        <v>6601</v>
      </c>
      <c r="C50" t="n">
        <v>6694</v>
      </c>
      <c r="D50" t="n">
        <v>6116</v>
      </c>
      <c r="E50" t="n">
        <v>5903</v>
      </c>
      <c r="F50" t="n">
        <v>6559</v>
      </c>
      <c r="G50" t="n">
        <v>7428</v>
      </c>
      <c r="H50" t="n">
        <v>8897</v>
      </c>
      <c r="I50" t="n">
        <v>8200</v>
      </c>
      <c r="J50" t="n">
        <v>9829</v>
      </c>
      <c r="K50" t="n">
        <v>9264</v>
      </c>
    </row>
    <row r="51">
      <c r="A51" s="188" t="n"/>
    </row>
    <row r="52">
      <c r="A52" s="188" t="n"/>
    </row>
    <row r="53">
      <c r="A53" s="188" t="n"/>
    </row>
    <row r="54">
      <c r="A54" s="188" t="n"/>
    </row>
    <row r="55">
      <c r="A55" s="187"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88" t="inlineStr">
        <is>
          <t>Equity Share Capital</t>
        </is>
      </c>
      <c r="B57" t="n">
        <v>970</v>
      </c>
      <c r="C57" t="n">
        <v>1145</v>
      </c>
      <c r="D57" t="n">
        <v>1145</v>
      </c>
      <c r="E57" t="n">
        <v>1145</v>
      </c>
      <c r="F57" t="n">
        <v>1198</v>
      </c>
      <c r="G57" t="n">
        <v>1221</v>
      </c>
      <c r="H57" t="n">
        <v>1221</v>
      </c>
      <c r="I57" t="n">
        <v>1247</v>
      </c>
      <c r="J57" t="n">
        <v>1247</v>
      </c>
      <c r="K57" t="n">
        <v>1247</v>
      </c>
    </row>
    <row r="58">
      <c r="A58" s="188" t="inlineStr">
        <is>
          <t>Reserves</t>
        </is>
      </c>
      <c r="B58" t="n">
        <v>36849</v>
      </c>
      <c r="C58" t="n">
        <v>59726</v>
      </c>
      <c r="D58" t="n">
        <v>67780</v>
      </c>
      <c r="E58" t="n">
        <v>72431</v>
      </c>
      <c r="F58" t="n">
        <v>73041</v>
      </c>
      <c r="G58" t="n">
        <v>113222</v>
      </c>
      <c r="H58" t="n">
        <v>101861</v>
      </c>
      <c r="I58" t="n">
        <v>90788</v>
      </c>
      <c r="J58" t="n">
        <v>89922</v>
      </c>
      <c r="K58" t="n">
        <v>100920</v>
      </c>
    </row>
    <row r="59">
      <c r="A59" s="188" t="inlineStr">
        <is>
          <t>Borrowings</t>
        </is>
      </c>
      <c r="B59" t="n">
        <v>83014</v>
      </c>
      <c r="C59" t="n">
        <v>92147</v>
      </c>
      <c r="D59" t="n">
        <v>100816</v>
      </c>
      <c r="E59" t="n">
        <v>116328</v>
      </c>
      <c r="F59" t="n">
        <v>88501</v>
      </c>
      <c r="G59" t="n">
        <v>75561</v>
      </c>
      <c r="H59" t="n">
        <v>84893</v>
      </c>
      <c r="I59" t="n">
        <v>87082</v>
      </c>
      <c r="J59" t="n">
        <v>94801</v>
      </c>
      <c r="K59" t="n">
        <v>92382</v>
      </c>
    </row>
    <row r="60">
      <c r="A60" s="188" t="inlineStr">
        <is>
          <t>Other Liabilities</t>
        </is>
      </c>
      <c r="B60" t="n">
        <v>51614</v>
      </c>
      <c r="C60" t="n">
        <v>55704</v>
      </c>
      <c r="D60" t="n">
        <v>63032</v>
      </c>
      <c r="E60" t="n">
        <v>59245</v>
      </c>
      <c r="F60" t="n">
        <v>81169</v>
      </c>
      <c r="G60" t="n">
        <v>92417</v>
      </c>
      <c r="H60" t="n">
        <v>97421</v>
      </c>
      <c r="I60" t="n">
        <v>90195</v>
      </c>
      <c r="J60" t="n">
        <v>89488</v>
      </c>
      <c r="K60" t="n">
        <v>101965</v>
      </c>
    </row>
    <row r="61" customFormat="1" s="187">
      <c r="A61" s="187" t="inlineStr">
        <is>
          <t>Total</t>
        </is>
      </c>
      <c r="B61" t="n">
        <v>172447</v>
      </c>
      <c r="C61" t="n">
        <v>208722</v>
      </c>
      <c r="D61" t="n">
        <v>232773</v>
      </c>
      <c r="E61" t="n">
        <v>249149</v>
      </c>
      <c r="F61" t="n">
        <v>243909</v>
      </c>
      <c r="G61" t="n">
        <v>282422</v>
      </c>
      <c r="H61" t="n">
        <v>285396</v>
      </c>
      <c r="I61" t="n">
        <v>269312</v>
      </c>
      <c r="J61" t="n">
        <v>275459</v>
      </c>
      <c r="K61" t="n">
        <v>296515</v>
      </c>
    </row>
    <row r="62">
      <c r="A62" s="188" t="inlineStr">
        <is>
          <t>Net Block</t>
        </is>
      </c>
      <c r="B62" t="n">
        <v>92007</v>
      </c>
      <c r="C62" t="n">
        <v>96105</v>
      </c>
      <c r="D62" t="n">
        <v>124442</v>
      </c>
      <c r="E62" t="n">
        <v>134551</v>
      </c>
      <c r="F62" t="n">
        <v>135775</v>
      </c>
      <c r="G62" t="n">
        <v>133288</v>
      </c>
      <c r="H62" t="n">
        <v>146621</v>
      </c>
      <c r="I62" t="n">
        <v>148814</v>
      </c>
      <c r="J62" t="n">
        <v>150914</v>
      </c>
      <c r="K62" t="n">
        <v>179908</v>
      </c>
    </row>
    <row r="63">
      <c r="A63" s="188" t="inlineStr">
        <is>
          <t>Capital Work in Progress</t>
        </is>
      </c>
      <c r="B63" t="n">
        <v>15784</v>
      </c>
      <c r="C63" t="n">
        <v>16614</v>
      </c>
      <c r="D63" t="n">
        <v>18641</v>
      </c>
      <c r="E63" t="n">
        <v>19497</v>
      </c>
      <c r="F63" t="n">
        <v>19007</v>
      </c>
      <c r="G63" t="n">
        <v>22046</v>
      </c>
      <c r="H63" t="n">
        <v>31213</v>
      </c>
      <c r="I63" t="n">
        <v>34356</v>
      </c>
      <c r="J63" t="n">
        <v>41622</v>
      </c>
      <c r="K63" t="n">
        <v>28497</v>
      </c>
    </row>
    <row r="64">
      <c r="A64" s="188" t="inlineStr">
        <is>
          <t>Investments</t>
        </is>
      </c>
      <c r="B64" t="n">
        <v>12457</v>
      </c>
      <c r="C64" t="n">
        <v>17899</v>
      </c>
      <c r="D64" t="n">
        <v>5738</v>
      </c>
      <c r="E64" t="n">
        <v>6285</v>
      </c>
      <c r="F64" t="n">
        <v>10682</v>
      </c>
      <c r="G64" t="n">
        <v>13140</v>
      </c>
      <c r="H64" t="n">
        <v>8410</v>
      </c>
      <c r="I64" t="n">
        <v>6258</v>
      </c>
      <c r="J64" t="n">
        <v>6194</v>
      </c>
      <c r="K64" t="n">
        <v>7089</v>
      </c>
    </row>
    <row r="65">
      <c r="A65" s="188" t="inlineStr">
        <is>
          <t>Other Assets</t>
        </is>
      </c>
      <c r="B65" t="n">
        <v>52200</v>
      </c>
      <c r="C65" t="n">
        <v>78103</v>
      </c>
      <c r="D65" t="n">
        <v>83952</v>
      </c>
      <c r="E65" t="n">
        <v>88816</v>
      </c>
      <c r="F65" t="n">
        <v>78445</v>
      </c>
      <c r="G65" t="n">
        <v>113948</v>
      </c>
      <c r="H65" t="n">
        <v>99151</v>
      </c>
      <c r="I65" t="n">
        <v>79885</v>
      </c>
      <c r="J65" t="n">
        <v>76728</v>
      </c>
      <c r="K65" t="n">
        <v>81021</v>
      </c>
    </row>
    <row r="66" customFormat="1" s="187">
      <c r="A66" s="187" t="inlineStr">
        <is>
          <t>Total</t>
        </is>
      </c>
      <c r="B66" t="n">
        <v>172447</v>
      </c>
      <c r="C66" t="n">
        <v>208722</v>
      </c>
      <c r="D66" t="n">
        <v>232773</v>
      </c>
      <c r="E66" t="n">
        <v>249149</v>
      </c>
      <c r="F66" t="n">
        <v>243909</v>
      </c>
      <c r="G66" t="n">
        <v>282422</v>
      </c>
      <c r="H66" t="n">
        <v>285396</v>
      </c>
      <c r="I66" t="n">
        <v>269312</v>
      </c>
      <c r="J66" t="n">
        <v>275459</v>
      </c>
      <c r="K66" t="n">
        <v>296515</v>
      </c>
    </row>
    <row r="67" customFormat="1" s="188">
      <c r="A67" s="188" t="inlineStr">
        <is>
          <t>Receivables</t>
        </is>
      </c>
      <c r="B67" t="n">
        <v>11587</v>
      </c>
      <c r="C67" t="n">
        <v>12416</v>
      </c>
      <c r="D67" t="n">
        <v>11811</v>
      </c>
      <c r="E67" t="n">
        <v>7885</v>
      </c>
      <c r="F67" t="n">
        <v>9540</v>
      </c>
      <c r="G67" t="n">
        <v>12246</v>
      </c>
      <c r="H67" t="n">
        <v>8257</v>
      </c>
      <c r="I67" t="n">
        <v>6264</v>
      </c>
      <c r="J67" t="n">
        <v>5260</v>
      </c>
      <c r="K67" t="n">
        <v>4917</v>
      </c>
    </row>
    <row r="68">
      <c r="A68" s="188" t="inlineStr">
        <is>
          <t>Inventory</t>
        </is>
      </c>
      <c r="B68" t="n">
        <v>24804</v>
      </c>
      <c r="C68" t="n">
        <v>28331</v>
      </c>
      <c r="D68" t="n">
        <v>31656</v>
      </c>
      <c r="E68" t="n">
        <v>31069</v>
      </c>
      <c r="F68" t="n">
        <v>33276</v>
      </c>
      <c r="G68" t="n">
        <v>48824</v>
      </c>
      <c r="H68" t="n">
        <v>54415</v>
      </c>
      <c r="I68" t="n">
        <v>49158</v>
      </c>
      <c r="J68" t="n">
        <v>44590</v>
      </c>
      <c r="K68" t="n">
        <v>47249</v>
      </c>
    </row>
    <row r="69">
      <c r="A69" s="193" t="inlineStr">
        <is>
          <t>Cash &amp; Bank</t>
        </is>
      </c>
      <c r="B69" t="n">
        <v>4921</v>
      </c>
      <c r="C69" t="n">
        <v>7938</v>
      </c>
      <c r="D69" t="n">
        <v>3341</v>
      </c>
      <c r="E69" t="n">
        <v>8055</v>
      </c>
      <c r="F69" t="n">
        <v>5782</v>
      </c>
      <c r="G69" t="n">
        <v>15899</v>
      </c>
      <c r="H69" t="n">
        <v>13357</v>
      </c>
      <c r="I69" t="n">
        <v>8678</v>
      </c>
      <c r="J69" t="n">
        <v>11647</v>
      </c>
      <c r="K69" t="n">
        <v>10058</v>
      </c>
    </row>
    <row r="70">
      <c r="A70" s="193" t="inlineStr">
        <is>
          <t>No. of Equity Shares</t>
        </is>
      </c>
      <c r="B70" t="n">
        <v>9700000000</v>
      </c>
      <c r="C70" t="n">
        <v>11450000000</v>
      </c>
      <c r="D70" t="n">
        <v>11450000000</v>
      </c>
      <c r="E70" t="n">
        <v>11450000000</v>
      </c>
      <c r="F70" t="n">
        <v>11980000000</v>
      </c>
      <c r="G70" t="n">
        <v>12210000000</v>
      </c>
      <c r="H70" t="n">
        <v>12210000000</v>
      </c>
      <c r="I70" t="n">
        <v>12470000000</v>
      </c>
      <c r="J70" t="n">
        <v>12470000000</v>
      </c>
      <c r="K70" t="n">
        <v>12470000000</v>
      </c>
    </row>
    <row r="71">
      <c r="A71" s="193" t="inlineStr">
        <is>
          <t>New Bonus Shares</t>
        </is>
      </c>
      <c r="B71" t="n">
        <v>0</v>
      </c>
      <c r="C71" t="n">
        <v>0</v>
      </c>
      <c r="D71" t="n">
        <v>0</v>
      </c>
      <c r="E71" t="n">
        <v>0</v>
      </c>
      <c r="F71" t="n">
        <v>0</v>
      </c>
      <c r="G71" t="n">
        <v>0</v>
      </c>
      <c r="H71" t="n">
        <v>0</v>
      </c>
      <c r="I71" t="n">
        <v>0</v>
      </c>
      <c r="J71" t="n">
        <v>0</v>
      </c>
      <c r="K71" t="n">
        <v>0</v>
      </c>
    </row>
    <row r="72">
      <c r="A72" s="193" t="inlineStr">
        <is>
          <t>Face value</t>
        </is>
      </c>
      <c r="B72" t="n">
        <v>1</v>
      </c>
      <c r="C72" t="n">
        <v>1</v>
      </c>
      <c r="D72" t="n">
        <v>1</v>
      </c>
      <c r="E72" t="n">
        <v>1</v>
      </c>
      <c r="F72" t="n">
        <v>1</v>
      </c>
      <c r="G72" t="n">
        <v>1</v>
      </c>
      <c r="H72" t="n">
        <v>1</v>
      </c>
      <c r="I72" t="n">
        <v>1</v>
      </c>
      <c r="J72" t="n">
        <v>1</v>
      </c>
      <c r="K72" t="n">
        <v>1</v>
      </c>
    </row>
    <row r="73">
      <c r="B73" t="n">
        <v>0</v>
      </c>
      <c r="C73" t="n">
        <v>0</v>
      </c>
      <c r="D73" t="n">
        <v>0</v>
      </c>
      <c r="E73" t="n">
        <v>0</v>
      </c>
      <c r="F73" t="n">
        <v>0</v>
      </c>
      <c r="G73" t="n">
        <v>0</v>
      </c>
      <c r="H73" t="n">
        <v>0</v>
      </c>
      <c r="I73" t="n">
        <v>0</v>
      </c>
      <c r="J73" t="n">
        <v>0</v>
      </c>
      <c r="K73" t="n">
        <v>0</v>
      </c>
    </row>
    <row r="74">
      <c r="A74" s="188" t="inlineStr">
        <is>
          <t>Other Assets</t>
        </is>
      </c>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n"/>
      <c r="B75" s="193" t="n">
        <v>0</v>
      </c>
      <c r="C75" s="193" t="n">
        <v>0</v>
      </c>
      <c r="D75" s="193" t="n">
        <v>0</v>
      </c>
      <c r="E75" s="193" t="n">
        <v>0</v>
      </c>
      <c r="F75" s="193" t="n">
        <v>0</v>
      </c>
      <c r="G75" s="193" t="n">
        <v>0</v>
      </c>
      <c r="H75" s="193" t="n">
        <v>0</v>
      </c>
      <c r="I75" s="193" t="n">
        <v>0</v>
      </c>
      <c r="J75" s="193" t="n">
        <v>0</v>
      </c>
      <c r="K75" s="193" t="n">
        <v>0</v>
      </c>
    </row>
    <row r="76">
      <c r="A76" s="188" t="n"/>
    </row>
    <row r="77">
      <c r="A77" s="188" t="n"/>
    </row>
    <row r="78">
      <c r="A78" s="188" t="n"/>
    </row>
    <row r="79">
      <c r="A79" s="188" t="n"/>
    </row>
    <row r="80">
      <c r="A80" s="187"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87">
      <c r="A82" s="188" t="inlineStr">
        <is>
          <t>Cash from Operating Activity</t>
        </is>
      </c>
      <c r="B82" t="n">
        <v>10824</v>
      </c>
      <c r="C82" t="n">
        <v>8023</v>
      </c>
      <c r="D82" t="n">
        <v>25336</v>
      </c>
      <c r="E82" t="n">
        <v>20169</v>
      </c>
      <c r="F82" t="n">
        <v>44327</v>
      </c>
      <c r="G82" t="n">
        <v>44381</v>
      </c>
      <c r="H82" t="n">
        <v>21683</v>
      </c>
      <c r="I82" t="n">
        <v>20301</v>
      </c>
      <c r="J82" t="n">
        <v>23138</v>
      </c>
      <c r="K82" t="n">
        <v>35064</v>
      </c>
    </row>
    <row r="83" customFormat="1" s="188">
      <c r="A83" s="188" t="inlineStr">
        <is>
          <t>Cash from Investing Activity</t>
        </is>
      </c>
      <c r="B83" t="n">
        <v>-9490</v>
      </c>
      <c r="C83" t="n">
        <v>-11730</v>
      </c>
      <c r="D83" t="n">
        <v>-29176</v>
      </c>
      <c r="E83" t="n">
        <v>-14012</v>
      </c>
      <c r="F83" t="n">
        <v>-9437</v>
      </c>
      <c r="G83" t="n">
        <v>-10905</v>
      </c>
      <c r="H83" t="n">
        <v>-18179</v>
      </c>
      <c r="I83" t="n">
        <v>-14253</v>
      </c>
      <c r="J83" t="n">
        <v>-13611</v>
      </c>
      <c r="K83" t="n">
        <v>-14397</v>
      </c>
    </row>
    <row r="84" customFormat="1" s="188">
      <c r="A84" s="188" t="inlineStr">
        <is>
          <t>Cash from Financing Activity</t>
        </is>
      </c>
      <c r="B84" t="n">
        <v>-2579</v>
      </c>
      <c r="C84" t="n">
        <v>6640</v>
      </c>
      <c r="D84" t="n">
        <v>-673</v>
      </c>
      <c r="E84" t="n">
        <v>-1695</v>
      </c>
      <c r="F84" t="n">
        <v>-37090</v>
      </c>
      <c r="G84" t="n">
        <v>-23401</v>
      </c>
      <c r="H84" t="n">
        <v>-6981</v>
      </c>
      <c r="I84" t="n">
        <v>-11097</v>
      </c>
      <c r="J84" t="n">
        <v>-7002</v>
      </c>
      <c r="K84" t="n">
        <v>-21387</v>
      </c>
    </row>
    <row r="85" customFormat="1" s="187">
      <c r="A85" s="188" t="inlineStr">
        <is>
          <t>Net Cash Flow</t>
        </is>
      </c>
      <c r="B85" t="n">
        <v>-1245</v>
      </c>
      <c r="C85" t="n">
        <v>2933</v>
      </c>
      <c r="D85" t="n">
        <v>-4513</v>
      </c>
      <c r="E85" t="n">
        <v>4462</v>
      </c>
      <c r="F85" t="n">
        <v>-2200</v>
      </c>
      <c r="G85" t="n">
        <v>10075</v>
      </c>
      <c r="H85" t="n">
        <v>-3477</v>
      </c>
      <c r="I85" t="n">
        <v>-5049</v>
      </c>
      <c r="J85" t="n">
        <v>2524</v>
      </c>
      <c r="K85" t="n">
        <v>-720</v>
      </c>
    </row>
    <row r="86">
      <c r="A86" s="188" t="n"/>
    </row>
    <row r="87">
      <c r="A87" s="188" t="n"/>
    </row>
    <row r="88">
      <c r="A88" s="188" t="n"/>
    </row>
    <row r="89">
      <c r="A89" s="188" t="n"/>
    </row>
    <row r="90" customFormat="1" s="187">
      <c r="A90" s="187" t="inlineStr">
        <is>
          <t>PRICE:</t>
        </is>
      </c>
      <c r="B90" t="n">
        <v>177</v>
      </c>
      <c r="C90" t="n">
        <v>177</v>
      </c>
      <c r="D90" t="n">
        <v>177</v>
      </c>
      <c r="E90" t="n">
        <v>177</v>
      </c>
      <c r="F90" t="n">
        <v>177</v>
      </c>
      <c r="G90" t="n">
        <v>177</v>
      </c>
      <c r="H90" t="n">
        <v>177</v>
      </c>
      <c r="I90" t="n">
        <v>177</v>
      </c>
      <c r="J90" t="n">
        <v>177</v>
      </c>
      <c r="K90" t="n">
        <v>177</v>
      </c>
    </row>
    <row r="92" customFormat="1" s="187">
      <c r="A92" s="187" t="inlineStr">
        <is>
          <t>DERIVED:</t>
        </is>
      </c>
    </row>
    <row r="93">
      <c r="A93" s="193" t="inlineStr">
        <is>
          <t>Adjusted Equity Shares in Cr</t>
        </is>
      </c>
      <c r="B93" s="198" t="n">
        <v>1247</v>
      </c>
      <c r="C93" s="198" t="n">
        <v>1247</v>
      </c>
      <c r="D93" s="198" t="n">
        <v>1247</v>
      </c>
      <c r="E93" s="198" t="n">
        <v>1247</v>
      </c>
      <c r="F93" s="198" t="n">
        <v>1247</v>
      </c>
      <c r="G93" s="198" t="n">
        <v>1247</v>
      </c>
      <c r="H93" s="198" t="n">
        <v>1247</v>
      </c>
      <c r="I93" s="198" t="n">
        <v>1247</v>
      </c>
      <c r="J93" s="198" t="n">
        <v>1247</v>
      </c>
      <c r="K93" s="198" t="n">
        <v>1247</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TATA STEEL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11880</v>
      </c>
      <c r="D6" s="73" t="n">
        <v>11455</v>
      </c>
      <c r="E6" s="73" t="n">
        <v>10824</v>
      </c>
      <c r="F6" s="73" t="n">
        <v>8023</v>
      </c>
      <c r="G6" s="73" t="n">
        <v>25336</v>
      </c>
      <c r="H6" s="73" t="n">
        <v>20169</v>
      </c>
      <c r="I6" s="73" t="n">
        <v>44327</v>
      </c>
      <c r="J6" s="73" t="n">
        <v>44381</v>
      </c>
      <c r="K6" s="73" t="n">
        <v>21683</v>
      </c>
      <c r="L6" s="73" t="n">
        <v>20301</v>
      </c>
      <c r="M6" s="73" t="n">
        <v>23138</v>
      </c>
      <c r="N6" s="73" t="n">
        <v>35064</v>
      </c>
    </row>
    <row r="7">
      <c r="B7" t="inlineStr">
        <is>
          <t>Profit from operations</t>
        </is>
      </c>
      <c r="C7" s="73" t="n">
        <v>13955</v>
      </c>
      <c r="D7" s="73" t="n">
        <v>6824</v>
      </c>
      <c r="E7" s="73" t="n">
        <v>17581</v>
      </c>
      <c r="F7" s="73" t="n">
        <v>20187</v>
      </c>
      <c r="G7" s="73" t="n">
        <v>27840</v>
      </c>
      <c r="H7" s="73" t="n">
        <v>18078</v>
      </c>
      <c r="I7" s="73" t="n">
        <v>28540</v>
      </c>
      <c r="J7" s="73" t="n">
        <v>65900</v>
      </c>
      <c r="K7" s="73" t="n">
        <v>30908</v>
      </c>
      <c r="L7" s="73" t="n">
        <v>22237</v>
      </c>
      <c r="M7" s="73" t="n">
        <v>23929</v>
      </c>
      <c r="N7" s="73" t="n">
        <v>34219</v>
      </c>
    </row>
    <row r="8">
      <c r="B8" t="inlineStr">
        <is>
          <t>Receivables</t>
        </is>
      </c>
      <c r="C8" t="n">
        <v>1442</v>
      </c>
      <c r="D8" t="n">
        <v>0</v>
      </c>
      <c r="E8" t="n">
        <v>0</v>
      </c>
      <c r="F8" t="n">
        <v>0</v>
      </c>
      <c r="G8" t="n">
        <v>0</v>
      </c>
      <c r="H8" s="73" t="n">
        <v>0</v>
      </c>
      <c r="I8" t="n">
        <v>0</v>
      </c>
      <c r="J8" t="n">
        <v>0</v>
      </c>
      <c r="K8" t="n">
        <v>0</v>
      </c>
      <c r="L8" t="n">
        <v>0</v>
      </c>
      <c r="M8" s="73" t="n">
        <v>0</v>
      </c>
      <c r="N8" t="n">
        <v>0</v>
      </c>
    </row>
    <row r="9">
      <c r="B9" t="inlineStr">
        <is>
          <t>Inventory</t>
        </is>
      </c>
      <c r="C9" t="n">
        <v>-485</v>
      </c>
      <c r="D9" t="n">
        <v>5618</v>
      </c>
      <c r="E9" t="n">
        <v>-8243</v>
      </c>
      <c r="F9" t="n">
        <v>-1595</v>
      </c>
      <c r="G9" t="n">
        <v>-1069</v>
      </c>
      <c r="H9" t="n">
        <v>1562</v>
      </c>
      <c r="I9" s="73" t="n">
        <v>46</v>
      </c>
      <c r="J9" t="n">
        <v>-16917</v>
      </c>
      <c r="K9" s="73" t="n">
        <v>-4031</v>
      </c>
      <c r="L9" s="73" t="n">
        <v>5566</v>
      </c>
      <c r="M9" s="73" t="n">
        <v>4776</v>
      </c>
      <c r="N9" s="73" t="n">
        <v>1290</v>
      </c>
    </row>
    <row r="10">
      <c r="B10" t="inlineStr">
        <is>
          <t>Payables</t>
        </is>
      </c>
      <c r="C10" t="n">
        <v>-605</v>
      </c>
      <c r="D10" t="n">
        <v>0</v>
      </c>
      <c r="E10" t="n">
        <v>0</v>
      </c>
      <c r="F10" s="73" t="n">
        <v>0</v>
      </c>
      <c r="G10" t="n">
        <v>0</v>
      </c>
      <c r="H10" t="n">
        <v>0</v>
      </c>
      <c r="I10" s="73" t="n">
        <v>0</v>
      </c>
      <c r="J10" s="73" t="n">
        <v>0</v>
      </c>
      <c r="K10" s="73" t="n">
        <v>0</v>
      </c>
      <c r="L10" t="n">
        <v>0</v>
      </c>
      <c r="M10" s="73" t="n">
        <v>0</v>
      </c>
      <c r="N10" t="n">
        <v>0</v>
      </c>
    </row>
    <row r="11">
      <c r="B11" t="inlineStr">
        <is>
          <t>Working capital changes</t>
        </is>
      </c>
      <c r="C11" t="n">
        <v>351</v>
      </c>
      <c r="D11" t="n">
        <v>6166</v>
      </c>
      <c r="E11" t="n">
        <v>-4914</v>
      </c>
      <c r="F11" s="73" t="n">
        <v>-9276</v>
      </c>
      <c r="G11" t="n">
        <v>2591</v>
      </c>
      <c r="H11" t="n">
        <v>4196</v>
      </c>
      <c r="I11" t="n">
        <v>16491</v>
      </c>
      <c r="J11" t="n">
        <v>-9618</v>
      </c>
      <c r="K11" t="n">
        <v>-3706</v>
      </c>
      <c r="L11" s="73" t="n">
        <v>3384</v>
      </c>
      <c r="M11" s="73" t="n">
        <v>2207</v>
      </c>
      <c r="N11" s="73" t="n">
        <v>5442</v>
      </c>
    </row>
    <row r="12">
      <c r="B12" t="inlineStr">
        <is>
          <t>Direct taxes</t>
        </is>
      </c>
      <c r="C12" s="73" t="n">
        <v>-2427</v>
      </c>
      <c r="D12" s="73" t="n">
        <v>-1534</v>
      </c>
      <c r="E12" s="73" t="n">
        <v>-1843</v>
      </c>
      <c r="F12" s="73" t="n">
        <v>-2888</v>
      </c>
      <c r="G12" s="73" t="n">
        <v>-5094</v>
      </c>
      <c r="H12" s="73" t="n">
        <v>-2106</v>
      </c>
      <c r="I12" s="73" t="n">
        <v>-704</v>
      </c>
      <c r="J12" s="73" t="n">
        <v>-11902</v>
      </c>
      <c r="K12" s="73" t="n">
        <v>-5519</v>
      </c>
      <c r="L12" s="73" t="n">
        <v>-5320</v>
      </c>
      <c r="M12" s="73" t="n">
        <v>-2998</v>
      </c>
      <c r="N12" s="73" t="n">
        <v>-4597</v>
      </c>
    </row>
    <row r="13">
      <c r="B13" t="inlineStr">
        <is>
          <t>Cash from Investing Activity -</t>
        </is>
      </c>
      <c r="C13" s="73" t="n">
        <v>-9021</v>
      </c>
      <c r="D13" s="73" t="n">
        <v>-8794</v>
      </c>
      <c r="E13" s="73" t="n">
        <v>-9490</v>
      </c>
      <c r="F13" s="73" t="n">
        <v>-11730</v>
      </c>
      <c r="G13" s="73" t="n">
        <v>-29176</v>
      </c>
      <c r="H13" s="73" t="n">
        <v>-14012</v>
      </c>
      <c r="I13" s="73" t="n">
        <v>-9437</v>
      </c>
      <c r="J13" s="73" t="n">
        <v>-10905</v>
      </c>
      <c r="K13" s="73" t="n">
        <v>-18179</v>
      </c>
      <c r="L13" s="73" t="n">
        <v>-14253</v>
      </c>
      <c r="M13" t="n">
        <v>-13611</v>
      </c>
      <c r="N13" s="73" t="n">
        <v>-14397</v>
      </c>
    </row>
    <row r="14">
      <c r="B14" t="inlineStr">
        <is>
          <t>Fixed assets purchased</t>
        </is>
      </c>
      <c r="C14" s="73" t="n">
        <v>-13492</v>
      </c>
      <c r="D14" s="73" t="n">
        <v>-10163</v>
      </c>
      <c r="E14" s="73" t="n">
        <v>-7716</v>
      </c>
      <c r="F14" s="73" t="n">
        <v>-7478</v>
      </c>
      <c r="G14" s="73" t="n">
        <v>-9091</v>
      </c>
      <c r="H14" s="73" t="n">
        <v>-10398</v>
      </c>
      <c r="I14" s="73" t="n">
        <v>-6979</v>
      </c>
      <c r="J14" s="73" t="n">
        <v>-10522</v>
      </c>
      <c r="K14" s="73" t="n">
        <v>-14142</v>
      </c>
      <c r="L14" s="73" t="n">
        <v>-18207</v>
      </c>
      <c r="M14" s="73" t="n">
        <v>-15671</v>
      </c>
      <c r="N14" s="73" t="n">
        <v>-14559</v>
      </c>
    </row>
    <row r="15">
      <c r="B15" t="inlineStr">
        <is>
          <t>Fixed assets sold</t>
        </is>
      </c>
      <c r="C15" t="n">
        <v>1444</v>
      </c>
      <c r="D15" t="n">
        <v>231</v>
      </c>
      <c r="E15" t="n">
        <v>289</v>
      </c>
      <c r="F15" t="n">
        <v>179</v>
      </c>
      <c r="G15" t="n">
        <v>467</v>
      </c>
      <c r="H15" t="n">
        <v>386</v>
      </c>
      <c r="I15" t="n">
        <v>445</v>
      </c>
      <c r="J15" t="n">
        <v>569</v>
      </c>
      <c r="K15" t="n">
        <v>328</v>
      </c>
      <c r="L15" t="n">
        <v>475</v>
      </c>
      <c r="M15" t="n">
        <v>1264</v>
      </c>
      <c r="N15" t="n">
        <v>1401</v>
      </c>
    </row>
    <row r="16">
      <c r="B16" t="inlineStr">
        <is>
          <t>Investments purchased</t>
        </is>
      </c>
      <c r="C16" s="73" t="n">
        <v>1531</v>
      </c>
      <c r="D16" s="73" t="n">
        <v>-3796</v>
      </c>
      <c r="E16" s="73" t="n">
        <v>-861</v>
      </c>
      <c r="F16" s="73" t="n">
        <v>-8641</v>
      </c>
      <c r="G16" s="73" t="n">
        <v>-490</v>
      </c>
      <c r="H16" s="73" t="n">
        <v>-828</v>
      </c>
      <c r="I16" s="73" t="n">
        <v>-3631</v>
      </c>
      <c r="J16" s="73" t="n">
        <v>-1153</v>
      </c>
      <c r="K16" s="73" t="n">
        <v>-326</v>
      </c>
      <c r="L16" s="73" t="n">
        <v>-4</v>
      </c>
      <c r="M16" s="73" t="n">
        <v>-393</v>
      </c>
      <c r="N16" s="73" t="n">
        <v>-553</v>
      </c>
    </row>
    <row r="17">
      <c r="B17" t="inlineStr">
        <is>
          <t>Investments sold</t>
        </is>
      </c>
      <c r="C17" s="73" t="n">
        <v>262</v>
      </c>
      <c r="D17" s="73" t="n">
        <v>4275</v>
      </c>
      <c r="E17" s="73" t="n">
        <v>91</v>
      </c>
      <c r="F17" s="73" t="n">
        <v>3899</v>
      </c>
      <c r="G17" s="73" t="n">
        <v>13556</v>
      </c>
      <c r="H17" s="73" t="n">
        <v>121</v>
      </c>
      <c r="I17" s="73" t="n">
        <v>0</v>
      </c>
      <c r="J17" s="73" t="n">
        <v>63</v>
      </c>
      <c r="K17" s="73" t="n">
        <v>5191</v>
      </c>
      <c r="L17" s="73" t="n">
        <v>3171</v>
      </c>
      <c r="M17" s="73" t="n">
        <v>554</v>
      </c>
      <c r="N17" s="73" t="n">
        <v>20</v>
      </c>
    </row>
    <row r="18">
      <c r="B18" t="inlineStr">
        <is>
          <t>Interest received</t>
        </is>
      </c>
      <c r="C18" t="n">
        <v>211</v>
      </c>
      <c r="D18" t="n">
        <v>133</v>
      </c>
      <c r="E18" t="n">
        <v>140</v>
      </c>
      <c r="F18" t="n">
        <v>254</v>
      </c>
      <c r="G18" s="73" t="n">
        <v>175</v>
      </c>
      <c r="H18" s="73" t="n">
        <v>203</v>
      </c>
      <c r="I18" s="73" t="n">
        <v>266</v>
      </c>
      <c r="J18" s="73" t="n">
        <v>137</v>
      </c>
      <c r="K18" s="73" t="n">
        <v>248</v>
      </c>
      <c r="L18" s="73" t="n">
        <v>333</v>
      </c>
      <c r="M18" s="73" t="n">
        <v>616</v>
      </c>
      <c r="N18" t="n">
        <v>650</v>
      </c>
    </row>
    <row r="19">
      <c r="B19" t="inlineStr">
        <is>
          <t>Dividends received</t>
        </is>
      </c>
      <c r="C19" t="n">
        <v>127</v>
      </c>
      <c r="D19" t="n">
        <v>108</v>
      </c>
      <c r="E19" t="n">
        <v>85</v>
      </c>
      <c r="F19" t="n">
        <v>111</v>
      </c>
      <c r="G19" t="n">
        <v>148</v>
      </c>
      <c r="H19" t="n">
        <v>103</v>
      </c>
      <c r="I19" t="n">
        <v>135</v>
      </c>
      <c r="J19" t="n">
        <v>162</v>
      </c>
      <c r="K19" t="n">
        <v>317</v>
      </c>
      <c r="L19" t="n">
        <v>336</v>
      </c>
      <c r="M19" t="n">
        <v>294</v>
      </c>
      <c r="N19" t="n">
        <v>408</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1301</v>
      </c>
      <c r="D22" t="n">
        <v>0</v>
      </c>
      <c r="E22" t="n">
        <v>0</v>
      </c>
      <c r="F22" t="n">
        <v>34</v>
      </c>
      <c r="G22" t="n">
        <v>156</v>
      </c>
      <c r="H22" t="n">
        <v>378</v>
      </c>
      <c r="I22" t="n">
        <v>90</v>
      </c>
      <c r="J22" t="n">
        <v>1208</v>
      </c>
      <c r="K22" t="n">
        <v>166</v>
      </c>
      <c r="L22" t="n">
        <v>123</v>
      </c>
      <c r="M22" t="n">
        <v>28</v>
      </c>
      <c r="N22" t="n">
        <v>611</v>
      </c>
    </row>
    <row r="23">
      <c r="B23" t="inlineStr">
        <is>
          <t>Other investing items</t>
        </is>
      </c>
      <c r="C23" s="73" t="n">
        <v>-573</v>
      </c>
      <c r="D23" s="73" t="n">
        <v>496</v>
      </c>
      <c r="E23" s="73" t="n">
        <v>-437</v>
      </c>
      <c r="F23" s="73" t="n">
        <v>166</v>
      </c>
      <c r="G23" s="73" t="n">
        <v>471</v>
      </c>
      <c r="H23" s="73" t="n">
        <v>456</v>
      </c>
      <c r="I23" s="73" t="n">
        <v>236</v>
      </c>
      <c r="J23" s="73" t="n">
        <v>-1315</v>
      </c>
      <c r="K23" t="n">
        <v>609</v>
      </c>
      <c r="L23" s="73" t="n">
        <v>-481</v>
      </c>
      <c r="M23" t="n">
        <v>-298</v>
      </c>
      <c r="N23" s="73" t="n">
        <v>472</v>
      </c>
    </row>
    <row r="24">
      <c r="B24" t="inlineStr">
        <is>
          <t>Cash from Financing Activity -</t>
        </is>
      </c>
      <c r="C24" s="73" t="n">
        <v>-2617</v>
      </c>
      <c r="D24" s="73" t="n">
        <v>-4729</v>
      </c>
      <c r="E24" s="73" t="n">
        <v>-2579</v>
      </c>
      <c r="F24" s="73" t="n">
        <v>6640</v>
      </c>
      <c r="G24" s="73" t="n">
        <v>-673</v>
      </c>
      <c r="H24" s="73" t="n">
        <v>-1695</v>
      </c>
      <c r="I24" s="73" t="n">
        <v>-37090</v>
      </c>
      <c r="J24" s="73" t="n">
        <v>-23401</v>
      </c>
      <c r="K24" s="73" t="n">
        <v>-6981</v>
      </c>
      <c r="L24" s="73" t="n">
        <v>-11097</v>
      </c>
      <c r="M24" s="73" t="n">
        <v>-7002</v>
      </c>
      <c r="N24" s="73" t="n">
        <v>-21387</v>
      </c>
    </row>
    <row r="25">
      <c r="B25" t="inlineStr">
        <is>
          <t>Proceeds from shares</t>
        </is>
      </c>
      <c r="C25" t="n">
        <v>13</v>
      </c>
      <c r="D25" t="n">
        <v>0</v>
      </c>
      <c r="E25" s="73" t="n">
        <v>652</v>
      </c>
      <c r="F25" t="n">
        <v>9087</v>
      </c>
      <c r="G25" t="n">
        <v>0</v>
      </c>
      <c r="H25" t="n">
        <v>188</v>
      </c>
      <c r="I25" t="n">
        <v>3239</v>
      </c>
      <c r="J25" t="n">
        <v>326</v>
      </c>
      <c r="K25" s="73" t="n">
        <v>1</v>
      </c>
      <c r="L25" s="73" t="n">
        <v>0</v>
      </c>
      <c r="M25" t="n">
        <v>0</v>
      </c>
      <c r="N25" t="n">
        <v>0</v>
      </c>
    </row>
    <row r="26">
      <c r="B26" t="inlineStr">
        <is>
          <t>Proceeds from borrowings</t>
        </is>
      </c>
      <c r="C26" t="n">
        <v>0</v>
      </c>
      <c r="D26" t="n">
        <v>0</v>
      </c>
      <c r="E26" t="n">
        <v>0</v>
      </c>
      <c r="F26" t="n">
        <v>0</v>
      </c>
      <c r="G26" t="n">
        <v>33344</v>
      </c>
      <c r="H26" t="n">
        <v>16574</v>
      </c>
      <c r="I26" t="n">
        <v>9801</v>
      </c>
      <c r="J26" t="n">
        <v>12439</v>
      </c>
      <c r="K26" t="n">
        <v>16769</v>
      </c>
      <c r="L26" t="n">
        <v>14120</v>
      </c>
      <c r="M26" t="n">
        <v>23893</v>
      </c>
      <c r="N26" s="73" t="n">
        <v>15954</v>
      </c>
    </row>
    <row r="27">
      <c r="B27" t="inlineStr">
        <is>
          <t>Repayment of borrowings</t>
        </is>
      </c>
      <c r="C27" t="n">
        <v>0</v>
      </c>
      <c r="D27" t="n">
        <v>0</v>
      </c>
      <c r="E27" t="n">
        <v>0</v>
      </c>
      <c r="F27" t="n">
        <v>0</v>
      </c>
      <c r="G27" t="n">
        <v>-25077</v>
      </c>
      <c r="H27" t="n">
        <v>-7937</v>
      </c>
      <c r="I27" t="n">
        <v>-39177</v>
      </c>
      <c r="J27" t="n">
        <v>-26360</v>
      </c>
      <c r="K27" t="n">
        <v>-10226</v>
      </c>
      <c r="L27" t="n">
        <v>-11908</v>
      </c>
      <c r="M27" t="n">
        <v>-17627</v>
      </c>
      <c r="N27" t="n">
        <v>-23916</v>
      </c>
    </row>
    <row r="28">
      <c r="B28" t="inlineStr">
        <is>
          <t>Interest paid fin</t>
        </is>
      </c>
      <c r="C28" t="n">
        <v>-5428</v>
      </c>
      <c r="D28" t="n">
        <v>-5483</v>
      </c>
      <c r="E28" t="n">
        <v>-4733</v>
      </c>
      <c r="F28" t="n">
        <v>-5146</v>
      </c>
      <c r="G28" t="n">
        <v>-6901</v>
      </c>
      <c r="H28" t="n">
        <v>-7419</v>
      </c>
      <c r="I28" t="n">
        <v>-6804</v>
      </c>
      <c r="J28" t="n">
        <v>-4687</v>
      </c>
      <c r="K28" t="n">
        <v>-6120</v>
      </c>
      <c r="L28" t="n">
        <v>-8145</v>
      </c>
      <c r="M28" t="n">
        <v>-8119</v>
      </c>
      <c r="N28" t="n">
        <v>-8066</v>
      </c>
    </row>
    <row r="29">
      <c r="B29" t="inlineStr">
        <is>
          <t>Dividends paid</t>
        </is>
      </c>
      <c r="C29" s="73" t="n">
        <v>-983</v>
      </c>
      <c r="D29" s="73" t="n">
        <v>-788</v>
      </c>
      <c r="E29" s="73" t="n">
        <v>-791</v>
      </c>
      <c r="F29" s="73" t="n">
        <v>-982</v>
      </c>
      <c r="G29" s="73" t="n">
        <v>-1186</v>
      </c>
      <c r="H29" s="73" t="n">
        <v>-1507</v>
      </c>
      <c r="I29" s="73" t="n">
        <v>-1151</v>
      </c>
      <c r="J29" s="73" t="n">
        <v>-3020</v>
      </c>
      <c r="K29" s="73" t="n">
        <v>-6293</v>
      </c>
      <c r="L29" s="73" t="n">
        <v>-4429</v>
      </c>
      <c r="M29" s="73" t="n">
        <v>-4490</v>
      </c>
      <c r="N29" s="73" t="n">
        <v>-4490</v>
      </c>
    </row>
    <row r="30">
      <c r="B30" t="inlineStr">
        <is>
          <t>Financial liabilities</t>
        </is>
      </c>
      <c r="C30" t="n">
        <v>0</v>
      </c>
      <c r="D30" t="n">
        <v>-200</v>
      </c>
      <c r="E30" t="n">
        <v>-208</v>
      </c>
      <c r="F30" t="n">
        <v>-211</v>
      </c>
      <c r="G30" t="n">
        <v>-276</v>
      </c>
      <c r="H30" t="n">
        <v>-1029</v>
      </c>
      <c r="I30" t="n">
        <v>-1284</v>
      </c>
      <c r="J30" t="n">
        <v>-1310</v>
      </c>
      <c r="K30" t="n">
        <v>-1114</v>
      </c>
      <c r="L30" t="n">
        <v>-1140</v>
      </c>
      <c r="M30" t="n">
        <v>-971</v>
      </c>
      <c r="N30" t="n">
        <v>-1162</v>
      </c>
    </row>
    <row r="31">
      <c r="B31" t="inlineStr">
        <is>
          <t>Other financing items</t>
        </is>
      </c>
      <c r="C31" t="n">
        <v>3781</v>
      </c>
      <c r="D31" t="n">
        <v>1743</v>
      </c>
      <c r="E31" s="73" t="n">
        <v>2501</v>
      </c>
      <c r="F31" s="73" t="n">
        <v>3892</v>
      </c>
      <c r="G31" s="73" t="n">
        <v>-576</v>
      </c>
      <c r="H31" s="73" t="n">
        <v>-564</v>
      </c>
      <c r="I31" t="n">
        <v>-1714</v>
      </c>
      <c r="J31" t="n">
        <v>-789</v>
      </c>
      <c r="K31" t="n">
        <v>2</v>
      </c>
      <c r="L31" t="n">
        <v>404</v>
      </c>
      <c r="M31" t="n">
        <v>312</v>
      </c>
      <c r="N31" t="n">
        <v>293</v>
      </c>
    </row>
    <row r="32">
      <c r="B32" t="inlineStr">
        <is>
          <t>Net Cash Flow</t>
        </is>
      </c>
      <c r="C32" t="n">
        <v>241</v>
      </c>
      <c r="D32" t="n">
        <v>-2068</v>
      </c>
      <c r="E32" t="n">
        <v>-1245</v>
      </c>
      <c r="F32" t="n">
        <v>2933</v>
      </c>
      <c r="G32" t="n">
        <v>-4513</v>
      </c>
      <c r="H32" t="n">
        <v>4462</v>
      </c>
      <c r="I32" t="n">
        <v>-2200</v>
      </c>
      <c r="J32" t="n">
        <v>10075</v>
      </c>
      <c r="K32" t="n">
        <v>-3477</v>
      </c>
      <c r="L32" t="n">
        <v>-5049</v>
      </c>
      <c r="M32" t="n">
        <v>2524</v>
      </c>
      <c r="N32" t="n">
        <v>-720</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s="195">
        <f>'Data Sheet'!L74</f>
        <v/>
      </c>
      <c r="N60" s="195">
        <f>'Data Sheet'!M74</f>
        <v/>
      </c>
      <c r="O60" s="195">
        <f>'Data Sheet'!N74</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t="inlineStr">
        <is>
          <t>Nifty 50 Daily Returns</t>
        </is>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1.34</v>
      </c>
      <c r="K14" s="47">
        <f>J14/(1+(1-G14)*H14)</f>
        <v/>
      </c>
    </row>
    <row r="15">
      <c r="B15" s="119">
        <f>'Raw Data'!O25</f>
        <v/>
      </c>
      <c r="C15" s="119" t="n"/>
      <c r="D15" s="119">
        <f>'Raw Data'!Q25</f>
        <v/>
      </c>
      <c r="E15" s="124">
        <f>'Raw Data'!R25</f>
        <v/>
      </c>
      <c r="F15" s="124">
        <f>'Raw Data'!S25</f>
        <v/>
      </c>
      <c r="G15" s="120">
        <f>'Raw Data'!T25</f>
        <v/>
      </c>
      <c r="H15" s="36">
        <f>E15/F15</f>
        <v/>
      </c>
      <c r="I15" s="36">
        <f>E15/SUM(E15:F15)</f>
        <v/>
      </c>
      <c r="J15" s="47" t="n">
        <v>1.4</v>
      </c>
      <c r="K15" s="47">
        <f>J15/(1+(1-G15)*H15)</f>
        <v/>
      </c>
    </row>
    <row r="16">
      <c r="B16" s="119">
        <f>'Raw Data'!O26</f>
        <v/>
      </c>
      <c r="C16" s="119" t="n"/>
      <c r="D16" s="119">
        <f>'Raw Data'!Q26</f>
        <v/>
      </c>
      <c r="E16" s="124">
        <f>'Raw Data'!R26</f>
        <v/>
      </c>
      <c r="F16" s="124">
        <f>'Raw Data'!S26</f>
        <v/>
      </c>
      <c r="G16" s="120">
        <f>'Raw Data'!T26</f>
        <v/>
      </c>
      <c r="H16" s="36">
        <f>E16/F16</f>
        <v/>
      </c>
      <c r="I16" s="36">
        <f>E16/SUM(E16:F16)</f>
        <v/>
      </c>
      <c r="J16" t="n">
        <v>1.1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1.38</v>
      </c>
      <c r="K17" s="47">
        <f>J17/(1+(1-G17)*H17)</f>
        <v/>
      </c>
    </row>
    <row r="18">
      <c r="B18" s="119">
        <f>'Raw Data'!O28</f>
        <v/>
      </c>
      <c r="C18" s="119" t="n"/>
      <c r="D18" s="119">
        <f>'Raw Data'!Q28</f>
        <v/>
      </c>
      <c r="E18" s="124">
        <f>'Raw Data'!R28</f>
        <v/>
      </c>
      <c r="F18" s="124">
        <f>'Raw Data'!S28</f>
        <v/>
      </c>
      <c r="G18" s="120">
        <f>'Raw Data'!T28</f>
        <v/>
      </c>
      <c r="H18" s="36">
        <f>E18/F18</f>
        <v/>
      </c>
      <c r="I18" s="36">
        <f>E18/SUM(E18:F18)</f>
        <v/>
      </c>
      <c r="J18" t="n">
        <v>1.15</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0.0776</v>
      </c>
      <c r="G26" t="inlineStr">
        <is>
          <t>Risk Free Rate</t>
        </is>
      </c>
      <c r="K26" s="121" t="n">
        <v>0.068</v>
      </c>
    </row>
    <row r="27">
      <c r="B27" t="inlineStr">
        <is>
          <t>Tax Rate</t>
        </is>
      </c>
      <c r="E27" s="46">
        <f>G16</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I20</f>
        <v/>
      </c>
      <c r="G34" t="inlineStr">
        <is>
          <t>Target Debt/Equity</t>
        </is>
      </c>
      <c r="K34" s="46">
        <f>E38</f>
        <v/>
      </c>
    </row>
    <row r="35">
      <c r="B35" t="inlineStr">
        <is>
          <t>Market Capitalization</t>
        </is>
      </c>
      <c r="C35" s="107">
        <f>F16</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76" thickBot="1"/>
    <row r="40" ht="15" customHeight="1" s="176"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80" t="inlineStr">
        <is>
          <t>-</t>
        </is>
      </c>
      <c r="I51" s="107">
        <f>SUM(I44:I45)</f>
        <v/>
      </c>
      <c r="J51" s="107">
        <f>SUM(J44:J45)</f>
        <v/>
      </c>
      <c r="K51" s="107">
        <f>SUM(K44:K45)</f>
        <v/>
      </c>
      <c r="L51" s="107">
        <f>SUM(L44:L45)</f>
        <v/>
      </c>
    </row>
    <row r="52" ht="15" customHeight="1" s="176"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54"/>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76"/>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'Intrinsic Valuation'!$L$55)</f>
        <v/>
      </c>
      <c r="J11" s="81">
        <f>MIN(0.85, $I$11+($M$11-$I$11)/4*1)</f>
        <v/>
      </c>
      <c r="K11" s="81">
        <f>MIN(0.85, $I$11+($M$11-$I$11)/4*2)</f>
        <v/>
      </c>
      <c r="L11" s="81">
        <f>MIN(0.85, $I$11+($M$11-$I$11)/4*3)</f>
        <v/>
      </c>
      <c r="M11" s="81">
        <f>MIN(0.85, D21)</f>
        <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SUM(D33:D34)</f>
        <v/>
      </c>
    </row>
    <row r="36"/>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1"/>
    <row r="42" ht="15" customHeight="1" s="176" thickBot="1">
      <c r="B42" s="127" t="inlineStr">
        <is>
          <t>Equity Value per Share</t>
        </is>
      </c>
      <c r="C42" s="127" t="n"/>
      <c r="D42" s="128">
        <f>D39/D40</f>
        <v/>
      </c>
    </row>
    <row r="43"/>
    <row r="44">
      <c r="B44" t="inlineStr">
        <is>
          <t>Share Price</t>
        </is>
      </c>
      <c r="D44" s="107">
        <f>'Data Sheet'!B8</f>
        <v/>
      </c>
    </row>
    <row r="45">
      <c r="B45" t="inlineStr">
        <is>
          <t>Discount /Premium</t>
        </is>
      </c>
      <c r="D45" s="83">
        <f>D44/D42</f>
        <v/>
      </c>
    </row>
    <row r="46"/>
    <row r="47"/>
    <row r="48"/>
    <row r="49"/>
    <row r="50"/>
    <row r="51"/>
    <row r="52"/>
    <row r="53"/>
    <row r="54"/>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inlineStr">
        <is>
          <t>2026-10-01</t>
        </is>
      </c>
      <c r="H6" t="n">
        <v>177.12</v>
      </c>
      <c r="J6" t="n">
        <v>22361.95</v>
      </c>
    </row>
    <row r="7">
      <c r="B7" t="n">
        <v>2024</v>
      </c>
      <c r="C7" s="46" t="n">
        <v>0.08749999999999999</v>
      </c>
      <c r="G7" s="34" t="inlineStr">
        <is>
          <t>2026-09-30</t>
        </is>
      </c>
      <c r="H7" t="n">
        <v>184.3</v>
      </c>
      <c r="J7" t="n">
        <v>22620.45</v>
      </c>
    </row>
    <row r="8">
      <c r="B8" t="n">
        <v>2023</v>
      </c>
      <c r="C8" s="46" t="n">
        <v>0.1942</v>
      </c>
      <c r="G8" s="34" t="inlineStr">
        <is>
          <t>2026-09-29</t>
        </is>
      </c>
      <c r="H8" t="n">
        <v>188</v>
      </c>
      <c r="J8" t="n">
        <v>22716.2</v>
      </c>
    </row>
    <row r="9">
      <c r="B9" t="n">
        <v>2022</v>
      </c>
      <c r="C9" s="46" t="n">
        <v>0.0432</v>
      </c>
      <c r="G9" s="34" t="inlineStr">
        <is>
          <t>2026-09-28</t>
        </is>
      </c>
      <c r="H9" t="n">
        <v>186.3</v>
      </c>
      <c r="J9" t="n">
        <v>22780.25</v>
      </c>
    </row>
    <row r="10">
      <c r="B10" t="n">
        <v>2021</v>
      </c>
      <c r="C10" s="46" t="n">
        <v>0.2412</v>
      </c>
      <c r="G10" s="34" t="inlineStr">
        <is>
          <t>2026-09-25</t>
        </is>
      </c>
      <c r="H10" t="n">
        <v>187.97</v>
      </c>
      <c r="J10" t="n">
        <v>23140.5</v>
      </c>
    </row>
    <row r="11">
      <c r="B11" t="n">
        <v>2020</v>
      </c>
      <c r="C11" s="46" t="n">
        <v>0.149</v>
      </c>
      <c r="G11" s="34" t="inlineStr">
        <is>
          <t>2026-09-24</t>
        </is>
      </c>
      <c r="H11" t="n">
        <v>188.02</v>
      </c>
      <c r="J11" t="n">
        <v>23063.1</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2026-09-23</t>
        </is>
      </c>
      <c r="H12" t="n">
        <v>190.82</v>
      </c>
      <c r="J12" t="n">
        <v>23446.8</v>
      </c>
      <c r="N12" t="n">
        <v>1</v>
      </c>
      <c r="O12" t="inlineStr">
        <is>
          <t>JSW Steel</t>
        </is>
      </c>
      <c r="P12" t="n">
        <v>1227.55</v>
      </c>
      <c r="Q12" t="n">
        <v>244.5454</v>
      </c>
      <c r="R12" t="n">
        <v>300191.7</v>
      </c>
      <c r="S12" t="n">
        <v>75047.89999999999</v>
      </c>
      <c r="T12" t="n">
        <v>15009.6</v>
      </c>
      <c r="U12" t="n">
        <v>360230</v>
      </c>
      <c r="V12" t="n">
        <v>66052</v>
      </c>
      <c r="W12" t="n">
        <v>30.61</v>
      </c>
      <c r="X12" t="n">
        <v>14971</v>
      </c>
    </row>
    <row r="13">
      <c r="B13" t="n">
        <v>2018</v>
      </c>
      <c r="C13" s="46" t="n">
        <v>0.0315</v>
      </c>
      <c r="G13" s="34" t="inlineStr">
        <is>
          <t>2026-09-22</t>
        </is>
      </c>
      <c r="H13" t="n">
        <v>184.97</v>
      </c>
      <c r="J13" t="n">
        <v>23329</v>
      </c>
      <c r="N13" t="n">
        <v>2</v>
      </c>
      <c r="O13" t="inlineStr">
        <is>
          <t>Jindal Steel</t>
        </is>
      </c>
      <c r="P13" t="n">
        <v>1088</v>
      </c>
      <c r="Q13" t="n">
        <v>102.0087</v>
      </c>
      <c r="R13" t="n">
        <v>110985.5</v>
      </c>
      <c r="S13" t="n">
        <v>27746.4</v>
      </c>
      <c r="T13" t="n">
        <v>5549.3</v>
      </c>
      <c r="U13" t="n">
        <v>133182.6</v>
      </c>
      <c r="V13" t="n">
        <v>76487.98</v>
      </c>
      <c r="W13" t="n">
        <v>12.44</v>
      </c>
      <c r="X13" t="n">
        <v>20183.53</v>
      </c>
    </row>
    <row r="14">
      <c r="B14" t="n">
        <v>2017</v>
      </c>
      <c r="C14" s="46" t="n">
        <v>0.2865</v>
      </c>
      <c r="G14" s="34" t="inlineStr">
        <is>
          <t>2026-09-21</t>
        </is>
      </c>
      <c r="H14" t="n">
        <v>183.4</v>
      </c>
      <c r="J14" t="n">
        <v>23414.3</v>
      </c>
      <c r="N14" t="n">
        <v>3</v>
      </c>
      <c r="O14" t="inlineStr">
        <is>
          <t>TATA STEEL LTD</t>
        </is>
      </c>
      <c r="P14" t="n">
        <v>177</v>
      </c>
      <c r="Q14" t="n">
        <v>391.0381</v>
      </c>
      <c r="R14" t="n">
        <v>221395</v>
      </c>
      <c r="S14" t="n">
        <v>92382</v>
      </c>
      <c r="T14" t="n">
        <v>610.2</v>
      </c>
      <c r="U14" t="n">
        <v>14645.2</v>
      </c>
      <c r="V14" t="n">
        <v>4400.19</v>
      </c>
      <c r="W14" t="n">
        <v>20.53</v>
      </c>
      <c r="X14" t="n">
        <v>158.3</v>
      </c>
    </row>
    <row r="15">
      <c r="B15" t="n">
        <v>2016</v>
      </c>
      <c r="C15" s="46" t="n">
        <v>0.0301</v>
      </c>
      <c r="G15" s="34" t="inlineStr">
        <is>
          <t>2026-09-18</t>
        </is>
      </c>
      <c r="H15" t="n">
        <v>185.54</v>
      </c>
      <c r="J15" t="n">
        <v>23346.4</v>
      </c>
      <c r="N15" t="n">
        <v>4</v>
      </c>
      <c r="O15" t="inlineStr">
        <is>
          <t>Vedanta Iron &amp; Steel</t>
        </is>
      </c>
      <c r="P15" t="n">
        <v>31.21</v>
      </c>
      <c r="Q15" t="n">
        <v>293.0621</v>
      </c>
      <c r="R15" t="n">
        <v>12204.3</v>
      </c>
      <c r="S15" t="n">
        <v>3051.1</v>
      </c>
      <c r="T15" t="n">
        <v>599.6</v>
      </c>
      <c r="U15" t="n">
        <v>14390.5</v>
      </c>
      <c r="V15" t="n">
        <v>2012.58</v>
      </c>
      <c r="W15" t="n">
        <v>12.74</v>
      </c>
      <c r="X15" t="n">
        <v>0.22</v>
      </c>
    </row>
    <row r="16">
      <c r="B16" t="n">
        <v>2015</v>
      </c>
      <c r="C16" s="46" t="n">
        <v>-0.0406</v>
      </c>
      <c r="G16" s="34" t="inlineStr">
        <is>
          <t>2026-09-17</t>
        </is>
      </c>
      <c r="H16" t="n">
        <v>187.29</v>
      </c>
      <c r="J16" t="n">
        <v>23270.6</v>
      </c>
      <c r="N16" t="n">
        <v>5</v>
      </c>
      <c r="O16" t="inlineStr">
        <is>
          <t>NMDC Steel</t>
        </is>
      </c>
      <c r="P16" t="n">
        <v>40.92</v>
      </c>
      <c r="Q16" t="n">
        <v>422.5316</v>
      </c>
      <c r="R16" t="n">
        <v>11992.1</v>
      </c>
      <c r="S16" t="n">
        <v>2998</v>
      </c>
      <c r="T16" t="n">
        <v>11743.2</v>
      </c>
      <c r="U16" t="n">
        <v>281837.1</v>
      </c>
      <c r="V16" t="n">
        <v>238.77</v>
      </c>
      <c r="W16" t="n">
        <v>13.43</v>
      </c>
      <c r="X16" t="n">
        <v>8.51</v>
      </c>
    </row>
    <row r="17">
      <c r="B17" t="n">
        <v>2014</v>
      </c>
      <c r="C17" s="46" t="n">
        <v>0.3139</v>
      </c>
      <c r="G17" s="34" t="inlineStr">
        <is>
          <t>2026-09-16</t>
        </is>
      </c>
      <c r="H17" t="n">
        <v>183</v>
      </c>
      <c r="J17" t="n">
        <v>23217.6</v>
      </c>
      <c r="N17" t="n">
        <v>6</v>
      </c>
      <c r="O17" t="inlineStr">
        <is>
          <t>Hindalco Inds.</t>
        </is>
      </c>
      <c r="P17" t="n">
        <v>932.5</v>
      </c>
      <c r="Q17" t="n">
        <v>224.7226</v>
      </c>
      <c r="R17" t="n">
        <v>209553.8</v>
      </c>
      <c r="S17" t="n">
        <v>52388.5</v>
      </c>
      <c r="T17" t="n">
        <v>10477.7</v>
      </c>
      <c r="U17" t="n">
        <v>251464.6</v>
      </c>
    </row>
    <row r="18">
      <c r="B18" t="n">
        <v>2013</v>
      </c>
      <c r="C18" s="46" t="n">
        <v>0.06759999999999999</v>
      </c>
      <c r="G18" s="34" t="inlineStr">
        <is>
          <t>2026-09-15</t>
        </is>
      </c>
      <c r="H18" t="n">
        <v>183.65</v>
      </c>
      <c r="J18" t="n">
        <v>23118.6</v>
      </c>
      <c r="N18" t="n">
        <v>7</v>
      </c>
      <c r="O18" t="inlineStr">
        <is>
          <t>Vedanta Aluminium Metal</t>
        </is>
      </c>
      <c r="P18" t="n">
        <v>405.15</v>
      </c>
      <c r="Q18" t="n">
        <v>391.0389</v>
      </c>
      <c r="R18" t="n">
        <v>158429.4</v>
      </c>
      <c r="S18" t="n">
        <v>39607.3</v>
      </c>
      <c r="T18" t="n">
        <v>7921.5</v>
      </c>
      <c r="U18" t="n">
        <v>190115.2</v>
      </c>
    </row>
    <row r="19">
      <c r="B19" t="n">
        <v>2012</v>
      </c>
      <c r="C19" s="46" t="n">
        <v>0.277</v>
      </c>
      <c r="G19" s="34" t="inlineStr">
        <is>
          <t>2026-09-14</t>
        </is>
      </c>
      <c r="H19" t="n">
        <v>183</v>
      </c>
      <c r="J19" t="n">
        <v>23398.1</v>
      </c>
      <c r="N19" t="n">
        <v>8</v>
      </c>
      <c r="O19" t="inlineStr">
        <is>
          <t>Lloyds Metals</t>
        </is>
      </c>
      <c r="P19" t="n">
        <v>1781.6</v>
      </c>
      <c r="Q19" t="n">
        <v>56.305</v>
      </c>
      <c r="R19" t="n">
        <v>100312.9</v>
      </c>
      <c r="S19" t="n">
        <v>25078.2</v>
      </c>
      <c r="T19" t="n">
        <v>5015.6</v>
      </c>
      <c r="U19" t="n">
        <v>120375.4</v>
      </c>
    </row>
    <row r="20">
      <c r="B20" t="n">
        <v>2011</v>
      </c>
      <c r="C20" s="46" t="n">
        <v>-0.2462</v>
      </c>
      <c r="G20" s="34" t="inlineStr">
        <is>
          <t>2026-09-11</t>
        </is>
      </c>
      <c r="H20" t="n">
        <v>183</v>
      </c>
      <c r="J20" t="n">
        <v>23398.1</v>
      </c>
      <c r="N20" t="n">
        <v>9</v>
      </c>
      <c r="O20" t="inlineStr">
        <is>
          <t>Tata Motors PVeh</t>
        </is>
      </c>
      <c r="P20" t="n">
        <v>303.8</v>
      </c>
      <c r="Q20" t="n">
        <v>368.29</v>
      </c>
      <c r="R20" t="n">
        <v>111886.25</v>
      </c>
      <c r="S20" t="n">
        <v>27971.56</v>
      </c>
      <c r="T20" t="n">
        <v>5594.31</v>
      </c>
      <c r="U20" t="n">
        <v>134263.5</v>
      </c>
    </row>
    <row r="21">
      <c r="B21" t="n">
        <v>2010</v>
      </c>
      <c r="C21" s="46" t="n">
        <v>0.1795</v>
      </c>
      <c r="G21" s="34" t="inlineStr">
        <is>
          <t>2026-09-10</t>
        </is>
      </c>
      <c r="H21" t="n">
        <v>186.78</v>
      </c>
      <c r="J21" t="n">
        <v>23477.8</v>
      </c>
      <c r="N21" t="n">
        <v>10</v>
      </c>
      <c r="O21" t="inlineStr">
        <is>
          <t>Hero Motocorp</t>
        </is>
      </c>
      <c r="P21" t="n">
        <v>5285.5</v>
      </c>
      <c r="Q21" t="n">
        <v>20.01</v>
      </c>
      <c r="R21" t="n">
        <v>105784.63</v>
      </c>
      <c r="S21" t="n">
        <v>26446.16</v>
      </c>
      <c r="T21" t="n">
        <v>5289.23</v>
      </c>
      <c r="U21" t="n">
        <v>126941.56</v>
      </c>
    </row>
    <row r="22">
      <c r="B22" t="n">
        <v>2009</v>
      </c>
      <c r="C22" s="46" t="n">
        <v>0.7576000000000001</v>
      </c>
      <c r="G22" s="34" t="inlineStr">
        <is>
          <t>2026-09-09</t>
        </is>
      </c>
      <c r="H22" t="n">
        <v>188.75</v>
      </c>
      <c r="J22" t="n">
        <v>23431.5</v>
      </c>
    </row>
    <row r="23">
      <c r="B23" t="n">
        <v>2008</v>
      </c>
      <c r="C23" s="46" t="n">
        <v>-0.5179</v>
      </c>
      <c r="G23" s="34" t="inlineStr">
        <is>
          <t>2026-09-08</t>
        </is>
      </c>
      <c r="H23" t="n">
        <v>184.15</v>
      </c>
      <c r="J23" t="n">
        <v>23635.1</v>
      </c>
    </row>
    <row r="24">
      <c r="B24" t="n">
        <v>2007</v>
      </c>
      <c r="C24" s="46" t="n">
        <v>0.5477</v>
      </c>
      <c r="G24" s="34" t="inlineStr">
        <is>
          <t>2026-09-07</t>
        </is>
      </c>
      <c r="H24" t="n">
        <v>185.61</v>
      </c>
      <c r="J24" t="n">
        <v>23779.15</v>
      </c>
      <c r="O24" t="inlineStr">
        <is>
          <t>JSW Steel</t>
        </is>
      </c>
      <c r="Q24" t="inlineStr">
        <is>
          <t>India</t>
        </is>
      </c>
      <c r="R24" t="n">
        <v>75047.89999999999</v>
      </c>
      <c r="S24" t="n">
        <v>300191.7</v>
      </c>
      <c r="T24" s="46" t="n">
        <v>0.3</v>
      </c>
    </row>
    <row r="25">
      <c r="B25" t="n">
        <v>2006</v>
      </c>
      <c r="C25" s="46" t="n">
        <v>0.3983</v>
      </c>
      <c r="G25" s="34" t="inlineStr">
        <is>
          <t>2026-09-04</t>
        </is>
      </c>
      <c r="H25" t="n">
        <v>188.79</v>
      </c>
      <c r="J25" t="n">
        <v>23897.7</v>
      </c>
      <c r="O25" t="inlineStr">
        <is>
          <t>Jindal Steel</t>
        </is>
      </c>
      <c r="Q25">
        <f>Q24</f>
        <v/>
      </c>
      <c r="R25" t="n">
        <v>27746.4</v>
      </c>
      <c r="S25" t="n">
        <v>110985.5</v>
      </c>
      <c r="T25" s="46">
        <f>T24</f>
        <v/>
      </c>
    </row>
    <row r="26">
      <c r="B26" t="n">
        <v>2005</v>
      </c>
      <c r="C26" s="46" t="n">
        <v>0.3634</v>
      </c>
      <c r="G26" s="34" t="inlineStr">
        <is>
          <t>2026-09-03</t>
        </is>
      </c>
      <c r="H26" t="n">
        <v>184.2</v>
      </c>
      <c r="J26" t="n">
        <v>23873.45</v>
      </c>
      <c r="O26" t="inlineStr">
        <is>
          <t>TATA STEEL LTD</t>
        </is>
      </c>
      <c r="Q26">
        <f>Q25</f>
        <v/>
      </c>
      <c r="R26" t="n">
        <v>92382</v>
      </c>
      <c r="S26" t="n">
        <v>221395</v>
      </c>
      <c r="T26" s="46">
        <f>T25</f>
        <v/>
      </c>
    </row>
    <row r="27">
      <c r="B27" t="n">
        <v>2004</v>
      </c>
      <c r="C27" s="46" t="n">
        <v>0.1068</v>
      </c>
      <c r="G27" s="34" t="inlineStr">
        <is>
          <t>2026-09-02</t>
        </is>
      </c>
      <c r="H27" t="n">
        <v>183.85</v>
      </c>
      <c r="J27" t="n">
        <v>23914.45</v>
      </c>
      <c r="O27" t="inlineStr">
        <is>
          <t>Vedanta Iron &amp; Steel</t>
        </is>
      </c>
      <c r="Q27">
        <f>Q26</f>
        <v/>
      </c>
      <c r="R27" t="n">
        <v>3051.1</v>
      </c>
      <c r="S27" t="n">
        <v>12204.3</v>
      </c>
      <c r="T27" s="46">
        <f>T26</f>
        <v/>
      </c>
    </row>
    <row r="28">
      <c r="B28" t="n">
        <v>2003</v>
      </c>
      <c r="C28" s="46" t="n">
        <v>0.719</v>
      </c>
      <c r="G28" s="34" t="inlineStr">
        <is>
          <t>2026-09-01</t>
        </is>
      </c>
      <c r="H28" t="n">
        <v>184.07</v>
      </c>
      <c r="J28" t="n">
        <v>24055.8</v>
      </c>
      <c r="O28" t="inlineStr">
        <is>
          <t>NMDC Steel</t>
        </is>
      </c>
      <c r="Q28">
        <f>Q27</f>
        <v/>
      </c>
      <c r="R28" t="n">
        <v>2998</v>
      </c>
      <c r="S28" t="n">
        <v>11992.1</v>
      </c>
      <c r="T28" s="46">
        <f>T27</f>
        <v/>
      </c>
    </row>
    <row r="29">
      <c r="B29" t="n">
        <v>2002</v>
      </c>
      <c r="C29" s="46" t="n">
        <v>0.0325</v>
      </c>
      <c r="G29" s="34" t="inlineStr">
        <is>
          <t>2026-08-31</t>
        </is>
      </c>
      <c r="H29" t="n">
        <v>184.35</v>
      </c>
      <c r="J29" t="n">
        <v>24080.4</v>
      </c>
    </row>
    <row r="30">
      <c r="G30" s="34" t="inlineStr">
        <is>
          <t>2026-08-28</t>
        </is>
      </c>
      <c r="H30" t="n">
        <v>186.5</v>
      </c>
      <c r="J30" t="n">
        <v>24175.65</v>
      </c>
    </row>
    <row r="31">
      <c r="G31" s="34" t="inlineStr">
        <is>
          <t>2026-08-27</t>
        </is>
      </c>
      <c r="H31" t="n">
        <v>186.8</v>
      </c>
      <c r="J31" t="n">
        <v>24090.85</v>
      </c>
    </row>
    <row r="32">
      <c r="G32" s="34" t="inlineStr">
        <is>
          <t>2026-08-26</t>
        </is>
      </c>
      <c r="H32" t="n">
        <v>188.01</v>
      </c>
      <c r="J32" t="n">
        <v>24207.75</v>
      </c>
    </row>
    <row r="33">
      <c r="G33" s="34" t="inlineStr">
        <is>
          <t>2026-08-25</t>
        </is>
      </c>
      <c r="H33" t="n">
        <v>186.94</v>
      </c>
      <c r="J33" t="n">
        <v>24334.55</v>
      </c>
    </row>
    <row r="34">
      <c r="G34" s="34" t="inlineStr">
        <is>
          <t>2026-08-24</t>
        </is>
      </c>
      <c r="H34" t="n">
        <v>186.3</v>
      </c>
      <c r="J34" t="n">
        <v>24219.05</v>
      </c>
    </row>
    <row r="35">
      <c r="G35" s="34" t="inlineStr">
        <is>
          <t>2026-08-21</t>
        </is>
      </c>
      <c r="H35" t="n">
        <v>183</v>
      </c>
      <c r="J35" t="n">
        <v>24252</v>
      </c>
    </row>
    <row r="36">
      <c r="G36" s="34" t="inlineStr">
        <is>
          <t>2026-08-20</t>
        </is>
      </c>
      <c r="H36" t="n">
        <v>183.5</v>
      </c>
      <c r="J36" t="n">
        <v>24231.85</v>
      </c>
    </row>
    <row r="37">
      <c r="G37" s="34" t="inlineStr">
        <is>
          <t>2026-08-19</t>
        </is>
      </c>
      <c r="H37" t="n">
        <v>184</v>
      </c>
      <c r="J37" t="n">
        <v>24078.3</v>
      </c>
    </row>
    <row r="38">
      <c r="G38" s="34" t="inlineStr">
        <is>
          <t>2026-08-18</t>
        </is>
      </c>
      <c r="H38" t="n">
        <v>185.5</v>
      </c>
      <c r="J38" t="n">
        <v>24154.9</v>
      </c>
    </row>
    <row r="39">
      <c r="G39" s="34" t="inlineStr">
        <is>
          <t>2026-08-17</t>
        </is>
      </c>
      <c r="H39" t="n">
        <v>186</v>
      </c>
      <c r="J39" t="n">
        <v>24287.65</v>
      </c>
    </row>
    <row r="40">
      <c r="G40" s="34" t="inlineStr">
        <is>
          <t>2026-08-14</t>
        </is>
      </c>
      <c r="H40" t="n">
        <v>183.5</v>
      </c>
      <c r="J40" t="n">
        <v>24366</v>
      </c>
    </row>
    <row r="41">
      <c r="G41" s="34" t="inlineStr">
        <is>
          <t>2026-08-13</t>
        </is>
      </c>
      <c r="H41" t="n">
        <v>184.85</v>
      </c>
      <c r="J41" t="n">
        <v>24395.85</v>
      </c>
    </row>
    <row r="42">
      <c r="G42" s="34" t="inlineStr">
        <is>
          <t>2026-08-12</t>
        </is>
      </c>
      <c r="H42" t="n">
        <v>186.2</v>
      </c>
      <c r="J42" t="n">
        <v>24435.95</v>
      </c>
    </row>
    <row r="43">
      <c r="G43" s="34" t="inlineStr">
        <is>
          <t>2026-08-11</t>
        </is>
      </c>
      <c r="H43" t="n">
        <v>188.25</v>
      </c>
      <c r="J43" t="n">
        <v>24471.7</v>
      </c>
    </row>
    <row r="44">
      <c r="G44" s="34" t="inlineStr">
        <is>
          <t>2026-08-10</t>
        </is>
      </c>
      <c r="H44" t="n">
        <v>190.24</v>
      </c>
      <c r="J44" t="n">
        <v>24583.8</v>
      </c>
    </row>
    <row r="45">
      <c r="G45" s="34" t="inlineStr">
        <is>
          <t>2026-08-07</t>
        </is>
      </c>
      <c r="H45" t="n">
        <v>187.55</v>
      </c>
      <c r="J45" t="n">
        <v>24570.65</v>
      </c>
    </row>
    <row r="46">
      <c r="G46" s="34" t="inlineStr">
        <is>
          <t>2026-08-06</t>
        </is>
      </c>
      <c r="H46" t="n">
        <v>189.3</v>
      </c>
      <c r="J46" t="n">
        <v>24636</v>
      </c>
    </row>
    <row r="47">
      <c r="G47" s="34" t="inlineStr">
        <is>
          <t>2026-08-05</t>
        </is>
      </c>
      <c r="H47" t="n">
        <v>192.99</v>
      </c>
      <c r="J47" t="n">
        <v>24624.65</v>
      </c>
    </row>
    <row r="48">
      <c r="G48" s="34" t="inlineStr">
        <is>
          <t>2026-08-04</t>
        </is>
      </c>
      <c r="H48" t="n">
        <v>190.95</v>
      </c>
      <c r="J48" t="n">
        <v>24614.9</v>
      </c>
    </row>
    <row r="49">
      <c r="G49" s="34" t="inlineStr">
        <is>
          <t>2026-08-03</t>
        </is>
      </c>
      <c r="H49" t="n">
        <v>191</v>
      </c>
      <c r="J49" t="n">
        <v>24774.3</v>
      </c>
    </row>
    <row r="50">
      <c r="G50" s="34" t="inlineStr">
        <is>
          <t>2026-07-31</t>
        </is>
      </c>
      <c r="H50" t="n">
        <v>189.69</v>
      </c>
      <c r="J50" t="n">
        <v>24383.6</v>
      </c>
    </row>
    <row r="51">
      <c r="G51" s="34" t="inlineStr">
        <is>
          <t>2026-07-30</t>
        </is>
      </c>
      <c r="H51" t="n">
        <v>186.92</v>
      </c>
      <c r="J51" t="n">
        <v>24317.15</v>
      </c>
    </row>
    <row r="52">
      <c r="G52" s="34" t="inlineStr">
        <is>
          <t>2026-07-29</t>
        </is>
      </c>
      <c r="H52" t="n">
        <v>187.27</v>
      </c>
      <c r="J52" t="n">
        <v>24250.2</v>
      </c>
    </row>
    <row r="53">
      <c r="G53" s="34" t="inlineStr">
        <is>
          <t>2026-07-28</t>
        </is>
      </c>
      <c r="H53" t="n">
        <v>182.63</v>
      </c>
      <c r="J53" t="n">
        <v>23985.35</v>
      </c>
    </row>
    <row r="54">
      <c r="G54" s="34" t="inlineStr">
        <is>
          <t>2026-07-27</t>
        </is>
      </c>
      <c r="H54" t="n">
        <v>184.25</v>
      </c>
      <c r="J54" t="n">
        <v>23995.95</v>
      </c>
    </row>
    <row r="55">
      <c r="G55" s="34" t="inlineStr">
        <is>
          <t>2026-07-24</t>
        </is>
      </c>
      <c r="H55" t="n">
        <v>182.67</v>
      </c>
      <c r="J55" t="n">
        <v>23767.45</v>
      </c>
    </row>
    <row r="56">
      <c r="G56" s="34" t="inlineStr">
        <is>
          <t>2026-07-23</t>
        </is>
      </c>
      <c r="H56" t="n">
        <v>184.23</v>
      </c>
      <c r="J56" t="n">
        <v>23869.6</v>
      </c>
    </row>
    <row r="57">
      <c r="G57" s="34" t="inlineStr">
        <is>
          <t>2026-07-22</t>
        </is>
      </c>
      <c r="H57" t="n">
        <v>186.53</v>
      </c>
      <c r="J57" t="n">
        <v>23996.25</v>
      </c>
    </row>
    <row r="58">
      <c r="G58" s="34" t="inlineStr">
        <is>
          <t>2026-07-21</t>
        </is>
      </c>
      <c r="H58" t="n">
        <v>187.24</v>
      </c>
      <c r="J58" t="n">
        <v>24187.7</v>
      </c>
    </row>
    <row r="59">
      <c r="G59" s="34" t="inlineStr">
        <is>
          <t>2026-07-20</t>
        </is>
      </c>
      <c r="H59" t="n">
        <v>186.41</v>
      </c>
      <c r="J59" t="n">
        <v>24238.5</v>
      </c>
    </row>
    <row r="60">
      <c r="G60" s="34" t="inlineStr">
        <is>
          <t>2026-07-17</t>
        </is>
      </c>
      <c r="H60" t="n">
        <v>185.89</v>
      </c>
      <c r="J60" t="n">
        <v>24334.3</v>
      </c>
    </row>
    <row r="61">
      <c r="G61" s="34" t="inlineStr">
        <is>
          <t>2026-07-16</t>
        </is>
      </c>
      <c r="H61" t="n">
        <v>185.49</v>
      </c>
      <c r="J61" t="n">
        <v>24072.75</v>
      </c>
    </row>
    <row r="62">
      <c r="G62" s="34" t="inlineStr">
        <is>
          <t>2026-07-15</t>
        </is>
      </c>
      <c r="H62" t="n">
        <v>185.26</v>
      </c>
      <c r="J62" t="n">
        <v>24078.5</v>
      </c>
    </row>
    <row r="63">
      <c r="G63" s="34" t="inlineStr">
        <is>
          <t>2026-07-14</t>
        </is>
      </c>
      <c r="H63" t="n">
        <v>188.27</v>
      </c>
      <c r="J63" t="n">
        <v>24052.05</v>
      </c>
    </row>
    <row r="64">
      <c r="G64" s="34" t="inlineStr">
        <is>
          <t>2026-07-13</t>
        </is>
      </c>
      <c r="H64" t="n">
        <v>187.11</v>
      </c>
      <c r="J64" t="n">
        <v>24211</v>
      </c>
    </row>
    <row r="65">
      <c r="G65" s="34" t="inlineStr">
        <is>
          <t>2026-07-10</t>
        </is>
      </c>
      <c r="H65" t="n">
        <v>191.19</v>
      </c>
      <c r="J65" t="n">
        <v>24206.9</v>
      </c>
    </row>
    <row r="66">
      <c r="G66" s="34" t="inlineStr">
        <is>
          <t>2026-07-09</t>
        </is>
      </c>
      <c r="H66" t="n">
        <v>187.91</v>
      </c>
      <c r="J66" t="n">
        <v>23962.8</v>
      </c>
    </row>
    <row r="67">
      <c r="G67" s="34" t="inlineStr">
        <is>
          <t>2026-07-08</t>
        </is>
      </c>
      <c r="H67" t="n">
        <v>188.2</v>
      </c>
      <c r="J67" t="n">
        <v>23882.05</v>
      </c>
    </row>
    <row r="68">
      <c r="G68" s="34" t="inlineStr">
        <is>
          <t>2026-07-07</t>
        </is>
      </c>
      <c r="H68" t="n">
        <v>189.79</v>
      </c>
      <c r="J68" t="n">
        <v>24398.7</v>
      </c>
    </row>
    <row r="69">
      <c r="G69" s="34" t="inlineStr">
        <is>
          <t>2026-07-06</t>
        </is>
      </c>
      <c r="H69" t="n">
        <v>190.87</v>
      </c>
      <c r="J69" t="n">
        <v>24430.35</v>
      </c>
    </row>
    <row r="70">
      <c r="G70" s="34" t="inlineStr">
        <is>
          <t>2026-07-03</t>
        </is>
      </c>
      <c r="H70" t="n">
        <v>189.8</v>
      </c>
      <c r="J70" t="n">
        <v>24270.85</v>
      </c>
    </row>
    <row r="71">
      <c r="G71" s="34" t="inlineStr">
        <is>
          <t>2026-07-02</t>
        </is>
      </c>
      <c r="H71" t="n">
        <v>187.67</v>
      </c>
      <c r="J71" t="n">
        <v>24175.7</v>
      </c>
    </row>
    <row r="72">
      <c r="G72" s="34" t="inlineStr">
        <is>
          <t>2026-07-01</t>
        </is>
      </c>
      <c r="H72" t="n">
        <v>185.17</v>
      </c>
      <c r="J72" t="n">
        <v>24005.85</v>
      </c>
    </row>
    <row r="73">
      <c r="G73" s="34" t="inlineStr">
        <is>
          <t>2026-06-30</t>
        </is>
      </c>
      <c r="H73" t="n">
        <v>188.06</v>
      </c>
      <c r="J73" t="n">
        <v>23865.75</v>
      </c>
    </row>
    <row r="74">
      <c r="G74" s="34" t="inlineStr">
        <is>
          <t>2026-06-29</t>
        </is>
      </c>
      <c r="H74" t="n">
        <v>189.57</v>
      </c>
      <c r="J74" t="n">
        <v>23946.25</v>
      </c>
    </row>
    <row r="75">
      <c r="G75" s="34" t="inlineStr">
        <is>
          <t>2026-06-26</t>
        </is>
      </c>
      <c r="H75" t="n">
        <v>188.71</v>
      </c>
      <c r="J75" t="n">
        <v>24056</v>
      </c>
    </row>
    <row r="76">
      <c r="G76" s="34" t="inlineStr">
        <is>
          <t>2026-06-25</t>
        </is>
      </c>
      <c r="H76" t="n">
        <v>188.71</v>
      </c>
      <c r="J76" t="n">
        <v>24056</v>
      </c>
    </row>
    <row r="77">
      <c r="G77" s="34" t="inlineStr">
        <is>
          <t>2026-06-24</t>
        </is>
      </c>
      <c r="H77" t="n">
        <v>190.16</v>
      </c>
      <c r="J77" t="n">
        <v>24021.65</v>
      </c>
    </row>
    <row r="78">
      <c r="G78" s="34" t="inlineStr">
        <is>
          <t>2026-06-23</t>
        </is>
      </c>
      <c r="H78" t="n">
        <v>193.56</v>
      </c>
      <c r="J78" t="n">
        <v>23824.1</v>
      </c>
    </row>
    <row r="79">
      <c r="G79" s="34" t="inlineStr">
        <is>
          <t>2026-06-22</t>
        </is>
      </c>
      <c r="H79" t="n">
        <v>198.97</v>
      </c>
      <c r="J79" t="n">
        <v>24102.9</v>
      </c>
    </row>
    <row r="80">
      <c r="G80" s="34" t="inlineStr">
        <is>
          <t>2026-06-19</t>
        </is>
      </c>
      <c r="H80" t="n">
        <v>198.96</v>
      </c>
      <c r="J80" t="n">
        <v>24013.1</v>
      </c>
    </row>
    <row r="81">
      <c r="G81" s="34" t="inlineStr">
        <is>
          <t>2026-06-18</t>
        </is>
      </c>
      <c r="H81" t="n">
        <v>200.52</v>
      </c>
      <c r="J81" t="n">
        <v>24168</v>
      </c>
    </row>
    <row r="82">
      <c r="G82" s="34" t="inlineStr">
        <is>
          <t>2026-06-17</t>
        </is>
      </c>
      <c r="H82" t="n">
        <v>199.01</v>
      </c>
      <c r="J82" t="n">
        <v>24085.7</v>
      </c>
    </row>
    <row r="83">
      <c r="G83" s="34" t="inlineStr">
        <is>
          <t>2026-06-16</t>
        </is>
      </c>
      <c r="H83" t="n">
        <v>196</v>
      </c>
      <c r="J83" t="n">
        <v>23989.15</v>
      </c>
    </row>
    <row r="84">
      <c r="G84" s="34" t="inlineStr">
        <is>
          <t>2026-06-15</t>
        </is>
      </c>
      <c r="H84" t="n">
        <v>197.28</v>
      </c>
      <c r="J84" t="n">
        <v>23853.9</v>
      </c>
    </row>
    <row r="85">
      <c r="G85" s="34" t="inlineStr">
        <is>
          <t>2026-06-12</t>
        </is>
      </c>
      <c r="H85" t="n">
        <v>197.86</v>
      </c>
      <c r="J85" t="n">
        <v>23622.9</v>
      </c>
    </row>
    <row r="86">
      <c r="G86" s="34" t="inlineStr">
        <is>
          <t>2026-06-11</t>
        </is>
      </c>
      <c r="H86" t="n">
        <v>197.96</v>
      </c>
      <c r="J86" t="n">
        <v>23161.6</v>
      </c>
    </row>
    <row r="87">
      <c r="G87" s="34" t="inlineStr">
        <is>
          <t>2026-06-10</t>
        </is>
      </c>
      <c r="H87" t="n">
        <v>199.31</v>
      </c>
      <c r="J87" t="n">
        <v>23214.95</v>
      </c>
    </row>
    <row r="88">
      <c r="G88" s="34" t="inlineStr">
        <is>
          <t>2026-06-09</t>
        </is>
      </c>
      <c r="H88" t="n">
        <v>203.18</v>
      </c>
      <c r="J88" t="n">
        <v>23242.1</v>
      </c>
    </row>
    <row r="89">
      <c r="G89" s="34" t="inlineStr">
        <is>
          <t>2026-06-08</t>
        </is>
      </c>
      <c r="H89" t="n">
        <v>202.72</v>
      </c>
      <c r="J89" t="n">
        <v>23123</v>
      </c>
    </row>
    <row r="90">
      <c r="G90" s="34" t="inlineStr">
        <is>
          <t>2026-06-05</t>
        </is>
      </c>
      <c r="H90" t="n">
        <v>206.77</v>
      </c>
      <c r="J90" t="n">
        <v>23366.7</v>
      </c>
    </row>
    <row r="91">
      <c r="G91" s="34" t="inlineStr">
        <is>
          <t>2026-06-04</t>
        </is>
      </c>
      <c r="H91" t="n">
        <v>210.57</v>
      </c>
      <c r="J91" t="n">
        <v>23416.55</v>
      </c>
    </row>
    <row r="92">
      <c r="G92" s="34" t="inlineStr">
        <is>
          <t>2026-06-03</t>
        </is>
      </c>
      <c r="H92" t="n">
        <v>211.89</v>
      </c>
      <c r="J92" t="n">
        <v>23405.6</v>
      </c>
    </row>
    <row r="93">
      <c r="G93" s="34" t="inlineStr">
        <is>
          <t>2026-06-02</t>
        </is>
      </c>
      <c r="H93" t="n">
        <v>210.6</v>
      </c>
      <c r="J93" t="n">
        <v>23483.55</v>
      </c>
    </row>
    <row r="94">
      <c r="G94" s="34" t="inlineStr">
        <is>
          <t>2026-06-01</t>
        </is>
      </c>
      <c r="H94" t="n">
        <v>210.57</v>
      </c>
      <c r="J94" t="n">
        <v>23382.6</v>
      </c>
    </row>
    <row r="95">
      <c r="G95" s="34" t="inlineStr">
        <is>
          <t>2026-05-29</t>
        </is>
      </c>
      <c r="H95" t="n">
        <v>208.02</v>
      </c>
      <c r="J95" t="n">
        <v>23547.75</v>
      </c>
    </row>
    <row r="96">
      <c r="G96" s="34" t="inlineStr">
        <is>
          <t>2026-05-28</t>
        </is>
      </c>
      <c r="H96" t="n">
        <v>214.7</v>
      </c>
      <c r="J96" t="n">
        <v>23907.15</v>
      </c>
    </row>
    <row r="97">
      <c r="G97" s="34" t="inlineStr">
        <is>
          <t>2026-05-27</t>
        </is>
      </c>
      <c r="H97" t="n">
        <v>214.7</v>
      </c>
      <c r="J97" t="n">
        <v>23907.15</v>
      </c>
    </row>
    <row r="98">
      <c r="G98" s="34" t="inlineStr">
        <is>
          <t>2026-05-26</t>
        </is>
      </c>
      <c r="H98" t="n">
        <v>210.47</v>
      </c>
      <c r="J98" t="n">
        <v>23913.7</v>
      </c>
    </row>
    <row r="99">
      <c r="G99" s="34" t="inlineStr">
        <is>
          <t>2026-05-25</t>
        </is>
      </c>
      <c r="H99" t="n">
        <v>210.22</v>
      </c>
      <c r="J99" t="n">
        <v>24031.7</v>
      </c>
    </row>
    <row r="100">
      <c r="G100" s="34" t="inlineStr">
        <is>
          <t>2026-05-22</t>
        </is>
      </c>
      <c r="H100" t="n">
        <v>209.19</v>
      </c>
      <c r="J100" t="n">
        <v>23719.3</v>
      </c>
    </row>
    <row r="101">
      <c r="G101" s="34" t="inlineStr">
        <is>
          <t>2026-05-21</t>
        </is>
      </c>
      <c r="H101" t="n">
        <v>208.58</v>
      </c>
      <c r="J101" t="n">
        <v>23654.7</v>
      </c>
    </row>
    <row r="102">
      <c r="G102" s="34" t="inlineStr">
        <is>
          <t>2026-05-20</t>
        </is>
      </c>
      <c r="H102" t="n">
        <v>207.01</v>
      </c>
      <c r="J102" t="n">
        <v>23659</v>
      </c>
    </row>
    <row r="103">
      <c r="G103" s="34" t="inlineStr">
        <is>
          <t>2026-05-19</t>
        </is>
      </c>
      <c r="H103" t="n">
        <v>209.29</v>
      </c>
      <c r="J103" t="n">
        <v>23618</v>
      </c>
    </row>
    <row r="104">
      <c r="G104" s="34" t="inlineStr">
        <is>
          <t>2026-05-18</t>
        </is>
      </c>
      <c r="H104" t="n">
        <v>209.71</v>
      </c>
      <c r="J104" t="n">
        <v>23649.95</v>
      </c>
    </row>
    <row r="105">
      <c r="G105" s="34" t="inlineStr">
        <is>
          <t>2026-05-15</t>
        </is>
      </c>
      <c r="H105" t="n">
        <v>216.84</v>
      </c>
      <c r="J105" t="n">
        <v>23643.5</v>
      </c>
    </row>
    <row r="106">
      <c r="G106" s="34" t="inlineStr">
        <is>
          <t>2026-05-14</t>
        </is>
      </c>
      <c r="H106" t="n">
        <v>221.13</v>
      </c>
      <c r="J106" t="n">
        <v>23689.6</v>
      </c>
    </row>
    <row r="107">
      <c r="G107" s="34" t="inlineStr">
        <is>
          <t>2026-05-13</t>
        </is>
      </c>
      <c r="H107" t="n">
        <v>219.62</v>
      </c>
      <c r="J107" t="n">
        <v>23412.6</v>
      </c>
    </row>
    <row r="108">
      <c r="G108" s="34" t="inlineStr">
        <is>
          <t>2026-05-12</t>
        </is>
      </c>
      <c r="H108" t="n">
        <v>212</v>
      </c>
      <c r="J108" t="n">
        <v>23379.55</v>
      </c>
    </row>
    <row r="109">
      <c r="G109" s="34" t="inlineStr">
        <is>
          <t>2026-05-11</t>
        </is>
      </c>
      <c r="H109" t="n">
        <v>212.08</v>
      </c>
      <c r="J109" t="n">
        <v>23815.85</v>
      </c>
    </row>
    <row r="110">
      <c r="G110" s="34" t="inlineStr">
        <is>
          <t>2026-05-08</t>
        </is>
      </c>
      <c r="H110" t="n">
        <v>214.49</v>
      </c>
      <c r="J110" t="n">
        <v>24176.15</v>
      </c>
    </row>
    <row r="111">
      <c r="G111" s="34" t="inlineStr">
        <is>
          <t>2026-05-07</t>
        </is>
      </c>
      <c r="H111" t="n">
        <v>217.09</v>
      </c>
      <c r="J111" t="n">
        <v>24326.65</v>
      </c>
    </row>
    <row r="112">
      <c r="G112" s="34" t="inlineStr">
        <is>
          <t>2026-05-06</t>
        </is>
      </c>
      <c r="H112" t="n">
        <v>215.47</v>
      </c>
      <c r="J112" t="n">
        <v>24330.95</v>
      </c>
    </row>
    <row r="113">
      <c r="G113" s="34" t="inlineStr">
        <is>
          <t>2026-05-05</t>
        </is>
      </c>
      <c r="H113" t="n">
        <v>211.32</v>
      </c>
      <c r="J113" t="n">
        <v>24032.8</v>
      </c>
    </row>
    <row r="114">
      <c r="G114" s="34" t="inlineStr">
        <is>
          <t>2026-05-04</t>
        </is>
      </c>
      <c r="H114" t="n">
        <v>212.24</v>
      </c>
      <c r="J114" t="n">
        <v>24119.3</v>
      </c>
    </row>
    <row r="115">
      <c r="G115" s="34" t="inlineStr">
        <is>
          <t>2026-05-01</t>
        </is>
      </c>
      <c r="H115" t="n">
        <v>211.36</v>
      </c>
      <c r="J115" t="n">
        <v>23997.55</v>
      </c>
    </row>
    <row r="116">
      <c r="G116" s="34" t="inlineStr">
        <is>
          <t>2026-04-30</t>
        </is>
      </c>
      <c r="H116" t="n">
        <v>211.36</v>
      </c>
      <c r="J116" t="n">
        <v>23997.55</v>
      </c>
    </row>
    <row r="117">
      <c r="G117" s="34" t="inlineStr">
        <is>
          <t>2026-04-29</t>
        </is>
      </c>
      <c r="H117" t="n">
        <v>215.88</v>
      </c>
      <c r="J117" t="n">
        <v>24177.65</v>
      </c>
    </row>
    <row r="118">
      <c r="G118" s="34" t="inlineStr">
        <is>
          <t>2026-04-28</t>
        </is>
      </c>
      <c r="H118" t="n">
        <v>215.05</v>
      </c>
      <c r="J118" t="n">
        <v>23995.7</v>
      </c>
    </row>
    <row r="119">
      <c r="G119" s="34" t="inlineStr">
        <is>
          <t>2026-04-27</t>
        </is>
      </c>
      <c r="H119" t="n">
        <v>213.27</v>
      </c>
      <c r="J119" t="n">
        <v>24092.7</v>
      </c>
    </row>
    <row r="120">
      <c r="G120" s="34" t="inlineStr">
        <is>
          <t>2026-04-24</t>
        </is>
      </c>
      <c r="H120" t="n">
        <v>210.07</v>
      </c>
      <c r="J120" t="n">
        <v>23897.95</v>
      </c>
    </row>
    <row r="121">
      <c r="G121" s="34" t="inlineStr">
        <is>
          <t>2026-04-23</t>
        </is>
      </c>
      <c r="H121" t="n">
        <v>210.91</v>
      </c>
      <c r="J121" t="n">
        <v>24173.05</v>
      </c>
    </row>
    <row r="122">
      <c r="G122" s="34" t="inlineStr">
        <is>
          <t>2026-04-22</t>
        </is>
      </c>
      <c r="H122" t="n">
        <v>213.03</v>
      </c>
      <c r="J122" t="n">
        <v>24378.1</v>
      </c>
    </row>
    <row r="123">
      <c r="G123" s="34" t="inlineStr">
        <is>
          <t>2026-04-21</t>
        </is>
      </c>
      <c r="H123" t="n">
        <v>212.01</v>
      </c>
      <c r="J123" t="n">
        <v>24576.6</v>
      </c>
    </row>
    <row r="124">
      <c r="G124" s="34" t="inlineStr">
        <is>
          <t>2026-04-20</t>
        </is>
      </c>
      <c r="H124" t="n">
        <v>211.72</v>
      </c>
      <c r="J124" t="n">
        <v>24364.85</v>
      </c>
    </row>
    <row r="125">
      <c r="G125" s="34" t="inlineStr">
        <is>
          <t>2026-04-17</t>
        </is>
      </c>
      <c r="H125" t="n">
        <v>212.12</v>
      </c>
      <c r="J125" t="n">
        <v>24353.55</v>
      </c>
    </row>
    <row r="126">
      <c r="G126" s="34" t="inlineStr">
        <is>
          <t>2026-04-16</t>
        </is>
      </c>
      <c r="H126" t="n">
        <v>210.69</v>
      </c>
      <c r="J126" t="n">
        <v>24196.75</v>
      </c>
    </row>
    <row r="127">
      <c r="G127" s="34" t="inlineStr">
        <is>
          <t>2026-04-15</t>
        </is>
      </c>
      <c r="H127" t="n">
        <v>208.72</v>
      </c>
      <c r="J127" t="n">
        <v>24231.3</v>
      </c>
    </row>
    <row r="128">
      <c r="G128" s="34" t="inlineStr">
        <is>
          <t>2026-04-13</t>
        </is>
      </c>
      <c r="H128" t="n">
        <v>206.39</v>
      </c>
      <c r="J128" t="n">
        <v>23842.65</v>
      </c>
    </row>
    <row r="129">
      <c r="G129" s="34" t="inlineStr">
        <is>
          <t>2026-04-10</t>
        </is>
      </c>
      <c r="H129" t="n">
        <v>206.61</v>
      </c>
      <c r="J129" t="n">
        <v>24050.6</v>
      </c>
    </row>
    <row r="130">
      <c r="G130" s="34" t="inlineStr">
        <is>
          <t>2026-04-09</t>
        </is>
      </c>
      <c r="H130" t="n">
        <v>205.2</v>
      </c>
      <c r="J130" t="n">
        <v>23775.1</v>
      </c>
    </row>
    <row r="131">
      <c r="G131" s="34" t="inlineStr">
        <is>
          <t>2026-04-08</t>
        </is>
      </c>
      <c r="H131" t="n">
        <v>204.18</v>
      </c>
      <c r="J131" t="n">
        <v>23997.35</v>
      </c>
    </row>
    <row r="132">
      <c r="G132" s="34" t="inlineStr">
        <is>
          <t>2026-04-07</t>
        </is>
      </c>
      <c r="H132" t="n">
        <v>198.13</v>
      </c>
      <c r="J132" t="n">
        <v>23123.65</v>
      </c>
    </row>
    <row r="133">
      <c r="G133" s="34" t="inlineStr">
        <is>
          <t>2026-04-06</t>
        </is>
      </c>
      <c r="H133" t="n">
        <v>196.1</v>
      </c>
      <c r="J133" t="n">
        <v>22968.25</v>
      </c>
    </row>
    <row r="134">
      <c r="G134" s="34" t="inlineStr">
        <is>
          <t>2026-04-02</t>
        </is>
      </c>
      <c r="H134" t="n">
        <v>194.14</v>
      </c>
      <c r="J134" t="n">
        <v>22713.1</v>
      </c>
    </row>
    <row r="135">
      <c r="G135" s="34" t="inlineStr">
        <is>
          <t>2026-04-01</t>
        </is>
      </c>
      <c r="H135" t="n">
        <v>194.6</v>
      </c>
      <c r="J135" t="n">
        <v>22679.4</v>
      </c>
    </row>
    <row r="136">
      <c r="G136" s="34" t="inlineStr">
        <is>
          <t>2026-03-30</t>
        </is>
      </c>
      <c r="H136" t="n">
        <v>191.86</v>
      </c>
      <c r="J136" t="n">
        <v>22331.4</v>
      </c>
    </row>
    <row r="137">
      <c r="G137" s="34" t="inlineStr">
        <is>
          <t>2026-03-27</t>
        </is>
      </c>
      <c r="H137" t="n">
        <v>193.22</v>
      </c>
      <c r="J137" t="n">
        <v>22819.6</v>
      </c>
    </row>
    <row r="138">
      <c r="G138" s="34" t="inlineStr">
        <is>
          <t>2026-03-25</t>
        </is>
      </c>
      <c r="H138" t="n">
        <v>196.65</v>
      </c>
      <c r="J138" t="n">
        <v>23306.45</v>
      </c>
    </row>
    <row r="139">
      <c r="G139" s="34" t="inlineStr">
        <is>
          <t>2026-03-24</t>
        </is>
      </c>
      <c r="H139" t="n">
        <v>190.79</v>
      </c>
      <c r="J139" t="n">
        <v>22912.4</v>
      </c>
    </row>
    <row r="140">
      <c r="G140" s="34" t="inlineStr">
        <is>
          <t>2026-03-23</t>
        </is>
      </c>
      <c r="H140" t="n">
        <v>187.17</v>
      </c>
      <c r="J140" t="n">
        <v>22512.65</v>
      </c>
    </row>
    <row r="141">
      <c r="G141" s="34" t="inlineStr">
        <is>
          <t>2026-03-20</t>
        </is>
      </c>
      <c r="H141" t="n">
        <v>196.77</v>
      </c>
      <c r="J141" t="n">
        <v>23114.5</v>
      </c>
    </row>
    <row r="142">
      <c r="G142" s="34" t="inlineStr">
        <is>
          <t>2026-03-19</t>
        </is>
      </c>
      <c r="H142" t="n">
        <v>190.51</v>
      </c>
      <c r="J142" t="n">
        <v>23002.15</v>
      </c>
    </row>
    <row r="143">
      <c r="G143" s="34" t="inlineStr">
        <is>
          <t>2026-03-18</t>
        </is>
      </c>
      <c r="H143" t="n">
        <v>195.41</v>
      </c>
      <c r="J143" t="n">
        <v>23777.8</v>
      </c>
    </row>
    <row r="144">
      <c r="G144" s="34" t="inlineStr">
        <is>
          <t>2026-03-17</t>
        </is>
      </c>
      <c r="H144" t="n">
        <v>195.43</v>
      </c>
      <c r="J144" t="n">
        <v>23581.15</v>
      </c>
    </row>
    <row r="145">
      <c r="G145" s="34" t="inlineStr">
        <is>
          <t>2026-03-16</t>
        </is>
      </c>
      <c r="H145" t="n">
        <v>186.94</v>
      </c>
      <c r="J145" t="n">
        <v>23408.8</v>
      </c>
    </row>
    <row r="146">
      <c r="G146" s="34" t="inlineStr">
        <is>
          <t>2026-03-13</t>
        </is>
      </c>
      <c r="H146" t="n">
        <v>183.51</v>
      </c>
      <c r="J146" t="n">
        <v>23151.1</v>
      </c>
    </row>
    <row r="147">
      <c r="G147" s="34" t="inlineStr">
        <is>
          <t>2026-03-12</t>
        </is>
      </c>
      <c r="H147" t="n">
        <v>193.47</v>
      </c>
      <c r="J147" t="n">
        <v>23639.15</v>
      </c>
    </row>
    <row r="148">
      <c r="G148" s="34" t="inlineStr">
        <is>
          <t>2026-03-11</t>
        </is>
      </c>
      <c r="H148" t="n">
        <v>194.74</v>
      </c>
      <c r="J148" t="n">
        <v>23866.85</v>
      </c>
    </row>
    <row r="149">
      <c r="G149" s="34" t="inlineStr">
        <is>
          <t>2026-03-10</t>
        </is>
      </c>
      <c r="H149" t="n">
        <v>195</v>
      </c>
      <c r="J149" t="n">
        <v>24261.6</v>
      </c>
    </row>
    <row r="150">
      <c r="G150" s="34" t="inlineStr">
        <is>
          <t>2026-03-09</t>
        </is>
      </c>
      <c r="H150" t="n">
        <v>191.01</v>
      </c>
      <c r="J150" t="n">
        <v>24028.05</v>
      </c>
    </row>
    <row r="151">
      <c r="G151" s="34" t="inlineStr">
        <is>
          <t>2026-03-06</t>
        </is>
      </c>
      <c r="H151" t="n">
        <v>198.46</v>
      </c>
      <c r="J151" t="n">
        <v>24450.45</v>
      </c>
    </row>
    <row r="152">
      <c r="G152" s="34" t="inlineStr">
        <is>
          <t>2026-03-05</t>
        </is>
      </c>
      <c r="H152" t="n">
        <v>200.57</v>
      </c>
      <c r="J152" t="n">
        <v>24765.9</v>
      </c>
    </row>
    <row r="153">
      <c r="G153" s="34" t="inlineStr">
        <is>
          <t>2026-03-04</t>
        </is>
      </c>
      <c r="H153" t="n">
        <v>196.73</v>
      </c>
      <c r="J153" t="n">
        <v>24480.5</v>
      </c>
    </row>
    <row r="154">
      <c r="G154" s="34" t="inlineStr">
        <is>
          <t>2026-03-02</t>
        </is>
      </c>
      <c r="H154" t="n">
        <v>211.01</v>
      </c>
      <c r="J154" t="n">
        <v>24865.7</v>
      </c>
    </row>
    <row r="155">
      <c r="G155" s="34" t="inlineStr">
        <is>
          <t>2026-02-27</t>
        </is>
      </c>
      <c r="H155" t="n">
        <v>212.33</v>
      </c>
      <c r="J155" t="n">
        <v>25178.65</v>
      </c>
    </row>
    <row r="156">
      <c r="G156" s="34" t="inlineStr">
        <is>
          <t>2026-02-26</t>
        </is>
      </c>
      <c r="H156" t="n">
        <v>215.52</v>
      </c>
      <c r="J156" t="n">
        <v>25496.55</v>
      </c>
    </row>
    <row r="157">
      <c r="G157" s="34" t="inlineStr">
        <is>
          <t>2026-02-25</t>
        </is>
      </c>
      <c r="H157" t="n">
        <v>214.64</v>
      </c>
      <c r="J157" t="n">
        <v>25482.5</v>
      </c>
    </row>
    <row r="158">
      <c r="G158" s="34" t="inlineStr">
        <is>
          <t>2026-02-24</t>
        </is>
      </c>
      <c r="H158" t="n">
        <v>209.13</v>
      </c>
      <c r="J158" t="n">
        <v>25424.65</v>
      </c>
    </row>
    <row r="159">
      <c r="G159" s="34" t="inlineStr">
        <is>
          <t>2026-02-23</t>
        </is>
      </c>
      <c r="H159" t="n">
        <v>208.14</v>
      </c>
      <c r="J159" t="n">
        <v>25713</v>
      </c>
    </row>
    <row r="160">
      <c r="G160" s="34" t="inlineStr">
        <is>
          <t>2026-02-20</t>
        </is>
      </c>
      <c r="H160" t="n">
        <v>208.36</v>
      </c>
      <c r="J160" t="n">
        <v>25571.25</v>
      </c>
    </row>
    <row r="161">
      <c r="G161" s="34" t="inlineStr">
        <is>
          <t>2026-02-19</t>
        </is>
      </c>
      <c r="H161" t="n">
        <v>205.41</v>
      </c>
      <c r="J161" t="n">
        <v>25454.35</v>
      </c>
    </row>
    <row r="162">
      <c r="G162" s="34" t="inlineStr">
        <is>
          <t>2026-02-18</t>
        </is>
      </c>
      <c r="H162" t="n">
        <v>209.03</v>
      </c>
      <c r="J162" t="n">
        <v>25819.35</v>
      </c>
    </row>
    <row r="163">
      <c r="G163" s="34" t="inlineStr">
        <is>
          <t>2026-02-17</t>
        </is>
      </c>
      <c r="H163" t="n">
        <v>203.08</v>
      </c>
      <c r="J163" t="n">
        <v>25725.4</v>
      </c>
    </row>
    <row r="164">
      <c r="G164" s="34" t="inlineStr">
        <is>
          <t>2026-02-16</t>
        </is>
      </c>
      <c r="H164" t="n">
        <v>205.81</v>
      </c>
      <c r="J164" t="n">
        <v>25682.75</v>
      </c>
    </row>
    <row r="165">
      <c r="G165" s="34" t="inlineStr">
        <is>
          <t>2026-02-13</t>
        </is>
      </c>
      <c r="H165" t="n">
        <v>203.18</v>
      </c>
      <c r="J165" t="n">
        <v>25471.1</v>
      </c>
    </row>
    <row r="166">
      <c r="G166" s="34" t="inlineStr">
        <is>
          <t>2026-02-12</t>
        </is>
      </c>
      <c r="H166" t="n">
        <v>208.11</v>
      </c>
      <c r="J166" t="n">
        <v>25807.2</v>
      </c>
    </row>
    <row r="167">
      <c r="G167" s="34" t="inlineStr">
        <is>
          <t>2026-02-11</t>
        </is>
      </c>
      <c r="H167" t="n">
        <v>207.59</v>
      </c>
      <c r="J167" t="n">
        <v>25953.85</v>
      </c>
    </row>
    <row r="168">
      <c r="G168" s="34" t="inlineStr">
        <is>
          <t>2026-02-10</t>
        </is>
      </c>
      <c r="H168" t="n">
        <v>208.01</v>
      </c>
      <c r="J168" t="n">
        <v>25935.15</v>
      </c>
    </row>
    <row r="169">
      <c r="G169" s="34" t="inlineStr">
        <is>
          <t>2026-02-09</t>
        </is>
      </c>
      <c r="H169" t="n">
        <v>202</v>
      </c>
      <c r="J169" t="n">
        <v>25867.3</v>
      </c>
    </row>
    <row r="170">
      <c r="G170" s="34" t="inlineStr">
        <is>
          <t>2026-02-06</t>
        </is>
      </c>
      <c r="H170" t="n">
        <v>197.06</v>
      </c>
      <c r="J170" t="n">
        <v>25693.7</v>
      </c>
    </row>
    <row r="171">
      <c r="G171" s="34" t="inlineStr">
        <is>
          <t>2026-02-05</t>
        </is>
      </c>
      <c r="H171" t="n">
        <v>197.76</v>
      </c>
      <c r="J171" t="n">
        <v>25642.8</v>
      </c>
    </row>
    <row r="172">
      <c r="G172" s="34" t="inlineStr">
        <is>
          <t>2026-02-04</t>
        </is>
      </c>
      <c r="H172" t="n">
        <v>195.4</v>
      </c>
      <c r="J172" t="n">
        <v>25776</v>
      </c>
    </row>
    <row r="173">
      <c r="G173" s="34" t="inlineStr">
        <is>
          <t>2026-02-03</t>
        </is>
      </c>
      <c r="H173" t="n">
        <v>192.93</v>
      </c>
      <c r="J173" t="n">
        <v>25727.55</v>
      </c>
    </row>
    <row r="174">
      <c r="G174" s="34" t="inlineStr">
        <is>
          <t>2026-02-02</t>
        </is>
      </c>
      <c r="H174" t="n">
        <v>188.51</v>
      </c>
      <c r="J174" t="n">
        <v>25088.4</v>
      </c>
    </row>
    <row r="175">
      <c r="G175" s="34" t="inlineStr">
        <is>
          <t>2026-01-30</t>
        </is>
      </c>
      <c r="H175" t="n">
        <v>193.13</v>
      </c>
      <c r="J175" t="n">
        <v>25320.65</v>
      </c>
    </row>
    <row r="176">
      <c r="G176" s="34" t="inlineStr">
        <is>
          <t>2026-01-29</t>
        </is>
      </c>
      <c r="H176" t="n">
        <v>202.32</v>
      </c>
      <c r="J176" t="n">
        <v>25418.9</v>
      </c>
    </row>
    <row r="177">
      <c r="G177" s="34" t="inlineStr">
        <is>
          <t>2026-01-28</t>
        </is>
      </c>
      <c r="H177" t="n">
        <v>193.85</v>
      </c>
      <c r="J177" t="n">
        <v>25342.75</v>
      </c>
    </row>
    <row r="178">
      <c r="G178" s="34" t="inlineStr">
        <is>
          <t>2026-01-27</t>
        </is>
      </c>
      <c r="H178" t="n">
        <v>192.28</v>
      </c>
      <c r="J178" t="n">
        <v>25175.4</v>
      </c>
    </row>
    <row r="179">
      <c r="G179" s="34" t="inlineStr">
        <is>
          <t>2026-01-23</t>
        </is>
      </c>
      <c r="H179" t="n">
        <v>187.61</v>
      </c>
      <c r="J179" t="n">
        <v>25048.65</v>
      </c>
    </row>
    <row r="180">
      <c r="G180" s="34" t="inlineStr">
        <is>
          <t>2026-01-22</t>
        </is>
      </c>
      <c r="H180" t="n">
        <v>189.1</v>
      </c>
      <c r="J180" t="n">
        <v>25289.9</v>
      </c>
    </row>
    <row r="181">
      <c r="G181" s="34" t="inlineStr">
        <is>
          <t>2026-01-21</t>
        </is>
      </c>
      <c r="H181" t="n">
        <v>184.41</v>
      </c>
      <c r="J181" t="n">
        <v>25157.5</v>
      </c>
    </row>
    <row r="182">
      <c r="G182" s="34" t="inlineStr">
        <is>
          <t>2026-01-20</t>
        </is>
      </c>
      <c r="H182" t="n">
        <v>183.56</v>
      </c>
      <c r="J182" t="n">
        <v>25232.5</v>
      </c>
    </row>
    <row r="183">
      <c r="G183" s="34" t="inlineStr">
        <is>
          <t>2026-01-19</t>
        </is>
      </c>
      <c r="H183" t="n">
        <v>188.27</v>
      </c>
      <c r="J183" t="n">
        <v>25585.5</v>
      </c>
    </row>
    <row r="184">
      <c r="G184" s="34" t="inlineStr">
        <is>
          <t>2026-01-16</t>
        </is>
      </c>
      <c r="H184" t="n">
        <v>188.21</v>
      </c>
      <c r="J184" t="n">
        <v>25694.35</v>
      </c>
    </row>
    <row r="185">
      <c r="G185" s="34" t="inlineStr">
        <is>
          <t>2026-01-15</t>
        </is>
      </c>
      <c r="H185" t="n">
        <v>189.25</v>
      </c>
      <c r="J185" t="n">
        <v>25665.6</v>
      </c>
    </row>
    <row r="186">
      <c r="G186" s="34" t="inlineStr">
        <is>
          <t>2026-01-14</t>
        </is>
      </c>
      <c r="H186" t="n">
        <v>189.25</v>
      </c>
      <c r="J186" t="n">
        <v>25665.6</v>
      </c>
    </row>
    <row r="187">
      <c r="G187" s="34" t="inlineStr">
        <is>
          <t>2026-01-13</t>
        </is>
      </c>
      <c r="H187" t="n">
        <v>182.57</v>
      </c>
      <c r="J187" t="n">
        <v>25732.3</v>
      </c>
    </row>
    <row r="188">
      <c r="G188" s="34" t="inlineStr">
        <is>
          <t>2026-01-12</t>
        </is>
      </c>
      <c r="H188" t="n">
        <v>183.24</v>
      </c>
      <c r="J188" t="n">
        <v>25790.25</v>
      </c>
    </row>
    <row r="189">
      <c r="G189" s="34" t="inlineStr">
        <is>
          <t>2026-01-09</t>
        </is>
      </c>
      <c r="H189" t="n">
        <v>178.4</v>
      </c>
      <c r="J189" t="n">
        <v>25683.3</v>
      </c>
    </row>
    <row r="190">
      <c r="G190" s="34" t="inlineStr">
        <is>
          <t>2026-01-08</t>
        </is>
      </c>
      <c r="H190" t="n">
        <v>180.12</v>
      </c>
      <c r="J190" t="n">
        <v>25876.85</v>
      </c>
    </row>
    <row r="191">
      <c r="G191" s="34" t="inlineStr">
        <is>
          <t>2026-01-07</t>
        </is>
      </c>
      <c r="H191" t="n">
        <v>183.8</v>
      </c>
      <c r="J191" t="n">
        <v>26140.75</v>
      </c>
    </row>
    <row r="192">
      <c r="G192" s="34" t="inlineStr">
        <is>
          <t>2026-01-06</t>
        </is>
      </c>
      <c r="H192" t="n">
        <v>186.2</v>
      </c>
      <c r="J192" t="n">
        <v>26178.7</v>
      </c>
    </row>
    <row r="193">
      <c r="G193" s="34" t="inlineStr">
        <is>
          <t>2026-01-05</t>
        </is>
      </c>
      <c r="H193" t="n">
        <v>185.72</v>
      </c>
      <c r="J193" t="n">
        <v>26250.3</v>
      </c>
    </row>
    <row r="194">
      <c r="G194" s="34" t="inlineStr">
        <is>
          <t>2026-01-02</t>
        </is>
      </c>
      <c r="H194" t="n">
        <v>182.88</v>
      </c>
      <c r="J194" t="n">
        <v>26328.55</v>
      </c>
    </row>
    <row r="195">
      <c r="G195" s="34" t="inlineStr">
        <is>
          <t>2026-01-01</t>
        </is>
      </c>
      <c r="H195" t="n">
        <v>181.89</v>
      </c>
      <c r="J195" t="n">
        <v>26146.55</v>
      </c>
    </row>
    <row r="196">
      <c r="G196" s="34" t="inlineStr">
        <is>
          <t>2025-12-31</t>
        </is>
      </c>
      <c r="H196" t="n">
        <v>180.08</v>
      </c>
      <c r="J196" t="n">
        <v>26129.6</v>
      </c>
    </row>
    <row r="197">
      <c r="G197" s="34" t="inlineStr">
        <is>
          <t>2025-12-30</t>
        </is>
      </c>
      <c r="H197" t="n">
        <v>175.8</v>
      </c>
      <c r="J197" t="n">
        <v>25938.85</v>
      </c>
    </row>
    <row r="198">
      <c r="G198" s="34" t="inlineStr">
        <is>
          <t>2025-12-29</t>
        </is>
      </c>
      <c r="H198" t="n">
        <v>172.3</v>
      </c>
      <c r="J198" t="n">
        <v>25942.1</v>
      </c>
    </row>
    <row r="199">
      <c r="G199" s="34" t="inlineStr">
        <is>
          <t>2025-12-26</t>
        </is>
      </c>
      <c r="H199" t="n">
        <v>169.12</v>
      </c>
      <c r="J199" t="n">
        <v>26042.3</v>
      </c>
    </row>
    <row r="200">
      <c r="G200" s="34" t="inlineStr">
        <is>
          <t>2025-12-24</t>
        </is>
      </c>
      <c r="H200" t="n">
        <v>170.07</v>
      </c>
      <c r="J200" t="n">
        <v>26142.1</v>
      </c>
    </row>
    <row r="201">
      <c r="G201" s="34" t="inlineStr">
        <is>
          <t>2025-12-23</t>
        </is>
      </c>
      <c r="H201" t="n">
        <v>170.9</v>
      </c>
      <c r="J201" t="n">
        <v>26177.15</v>
      </c>
    </row>
    <row r="202">
      <c r="G202" s="34" t="inlineStr">
        <is>
          <t>2025-12-22</t>
        </is>
      </c>
      <c r="H202" t="n">
        <v>169.22</v>
      </c>
      <c r="J202" t="n">
        <v>26172.4</v>
      </c>
    </row>
    <row r="203">
      <c r="G203" s="34" t="inlineStr">
        <is>
          <t>2025-12-19</t>
        </is>
      </c>
      <c r="H203" t="n">
        <v>168.69</v>
      </c>
      <c r="J203" t="n">
        <v>25966.4</v>
      </c>
    </row>
    <row r="204">
      <c r="G204" s="34" t="inlineStr">
        <is>
          <t>2025-12-18</t>
        </is>
      </c>
      <c r="H204" t="n">
        <v>168.12</v>
      </c>
      <c r="J204" t="n">
        <v>25815.55</v>
      </c>
    </row>
    <row r="205">
      <c r="G205" s="34" t="inlineStr">
        <is>
          <t>2025-12-17</t>
        </is>
      </c>
      <c r="H205" t="n">
        <v>170.34</v>
      </c>
      <c r="J205" t="n">
        <v>25818.55</v>
      </c>
    </row>
    <row r="206">
      <c r="G206" s="34" t="inlineStr">
        <is>
          <t>2025-12-16</t>
        </is>
      </c>
      <c r="H206" t="n">
        <v>169.83</v>
      </c>
      <c r="J206" t="n">
        <v>25860.1</v>
      </c>
    </row>
    <row r="207">
      <c r="G207" s="34" t="inlineStr">
        <is>
          <t>2025-12-15</t>
        </is>
      </c>
      <c r="H207" t="n">
        <v>172.87</v>
      </c>
      <c r="J207" t="n">
        <v>26027.3</v>
      </c>
    </row>
    <row r="208">
      <c r="G208" s="34" t="inlineStr">
        <is>
          <t>2025-12-12</t>
        </is>
      </c>
      <c r="H208" t="n">
        <v>171.89</v>
      </c>
      <c r="J208" t="n">
        <v>26046.95</v>
      </c>
    </row>
    <row r="209">
      <c r="G209" s="34" t="inlineStr">
        <is>
          <t>2025-12-11</t>
        </is>
      </c>
      <c r="H209" t="n">
        <v>166.38</v>
      </c>
      <c r="J209" t="n">
        <v>25898.55</v>
      </c>
    </row>
    <row r="210">
      <c r="G210" s="34" t="inlineStr">
        <is>
          <t>2025-12-10</t>
        </is>
      </c>
      <c r="H210" t="n">
        <v>162.23</v>
      </c>
      <c r="J210" t="n">
        <v>25758</v>
      </c>
    </row>
    <row r="211">
      <c r="G211" s="34" t="inlineStr">
        <is>
          <t>2025-12-09</t>
        </is>
      </c>
      <c r="H211" t="n">
        <v>160.67</v>
      </c>
      <c r="J211" t="n">
        <v>25839.65</v>
      </c>
    </row>
    <row r="212">
      <c r="G212" s="34" t="inlineStr">
        <is>
          <t>2025-12-08</t>
        </is>
      </c>
      <c r="H212" t="n">
        <v>163.47</v>
      </c>
      <c r="J212" t="n">
        <v>25960.55</v>
      </c>
    </row>
    <row r="213">
      <c r="G213" s="34" t="inlineStr">
        <is>
          <t>2025-12-05</t>
        </is>
      </c>
      <c r="H213" t="n">
        <v>167.11</v>
      </c>
      <c r="J213" t="n">
        <v>26186.45</v>
      </c>
    </row>
    <row r="214">
      <c r="G214" s="34" t="inlineStr">
        <is>
          <t>2025-12-04</t>
        </is>
      </c>
      <c r="H214" t="n">
        <v>166.77</v>
      </c>
      <c r="J214" t="n">
        <v>26033.75</v>
      </c>
    </row>
    <row r="215">
      <c r="G215" s="34" t="inlineStr">
        <is>
          <t>2025-12-03</t>
        </is>
      </c>
      <c r="H215" t="n">
        <v>166.92</v>
      </c>
      <c r="J215" t="n">
        <v>25986</v>
      </c>
    </row>
    <row r="216">
      <c r="G216" s="34" t="inlineStr">
        <is>
          <t>2025-12-02</t>
        </is>
      </c>
      <c r="H216" t="n">
        <v>167.78</v>
      </c>
      <c r="J216" t="n">
        <v>26032.2</v>
      </c>
    </row>
    <row r="217">
      <c r="G217" s="34" t="inlineStr">
        <is>
          <t>2025-12-01</t>
        </is>
      </c>
      <c r="H217" t="n">
        <v>168.63</v>
      </c>
      <c r="J217" t="n">
        <v>26175.75</v>
      </c>
    </row>
    <row r="218">
      <c r="G218" s="34" t="inlineStr">
        <is>
          <t>2025-11-28</t>
        </is>
      </c>
      <c r="H218" t="n">
        <v>167.96</v>
      </c>
      <c r="J218" t="n">
        <v>26202.95</v>
      </c>
    </row>
    <row r="219">
      <c r="G219" s="34" t="inlineStr">
        <is>
          <t>2025-11-27</t>
        </is>
      </c>
      <c r="H219" t="n">
        <v>168.13</v>
      </c>
      <c r="J219" t="n">
        <v>26215.55</v>
      </c>
    </row>
    <row r="220">
      <c r="G220" s="34" t="inlineStr">
        <is>
          <t>2025-11-26</t>
        </is>
      </c>
      <c r="H220" t="n">
        <v>169.67</v>
      </c>
      <c r="J220" t="n">
        <v>26205.3</v>
      </c>
    </row>
    <row r="221">
      <c r="G221" s="34" t="inlineStr">
        <is>
          <t>2025-11-25</t>
        </is>
      </c>
      <c r="H221" t="n">
        <v>166.33</v>
      </c>
      <c r="J221" t="n">
        <v>25884.8</v>
      </c>
    </row>
    <row r="222">
      <c r="G222" s="34" t="inlineStr">
        <is>
          <t>2025-11-24</t>
        </is>
      </c>
      <c r="H222" t="n">
        <v>165.36</v>
      </c>
      <c r="J222" t="n">
        <v>25959.5</v>
      </c>
    </row>
    <row r="223">
      <c r="G223" s="34" t="inlineStr">
        <is>
          <t>2025-11-21</t>
        </is>
      </c>
      <c r="H223" t="n">
        <v>168</v>
      </c>
      <c r="J223" t="n">
        <v>26068.15</v>
      </c>
    </row>
    <row r="224">
      <c r="G224" s="34" t="inlineStr">
        <is>
          <t>2025-11-20</t>
        </is>
      </c>
      <c r="H224" t="n">
        <v>172.46</v>
      </c>
      <c r="J224" t="n">
        <v>26192.15</v>
      </c>
    </row>
    <row r="225">
      <c r="G225" s="34" t="inlineStr">
        <is>
          <t>2025-11-19</t>
        </is>
      </c>
      <c r="H225" t="n">
        <v>173.21</v>
      </c>
      <c r="J225" t="n">
        <v>26052.65</v>
      </c>
    </row>
    <row r="226">
      <c r="G226" s="34" t="inlineStr">
        <is>
          <t>2025-11-18</t>
        </is>
      </c>
      <c r="H226" t="n">
        <v>172.45</v>
      </c>
      <c r="J226" t="n">
        <v>25910.05</v>
      </c>
    </row>
    <row r="227">
      <c r="G227" s="34" t="inlineStr">
        <is>
          <t>2025-11-17</t>
        </is>
      </c>
      <c r="H227" t="n">
        <v>173.17</v>
      </c>
      <c r="J227" t="n">
        <v>26013.45</v>
      </c>
    </row>
    <row r="228">
      <c r="G228" s="34" t="inlineStr">
        <is>
          <t>2025-11-14</t>
        </is>
      </c>
      <c r="H228" t="n">
        <v>174.26</v>
      </c>
      <c r="J228" t="n">
        <v>25910.05</v>
      </c>
    </row>
    <row r="229">
      <c r="G229" s="34" t="inlineStr">
        <is>
          <t>2025-11-13</t>
        </is>
      </c>
      <c r="H229" t="n">
        <v>176.65</v>
      </c>
      <c r="J229" t="n">
        <v>25879.15</v>
      </c>
    </row>
    <row r="230">
      <c r="G230" s="34" t="inlineStr">
        <is>
          <t>2025-11-12</t>
        </is>
      </c>
      <c r="H230" t="n">
        <v>178.61</v>
      </c>
      <c r="J230" t="n">
        <v>25875.8</v>
      </c>
    </row>
    <row r="231">
      <c r="G231" s="34" t="inlineStr">
        <is>
          <t>2025-11-11</t>
        </is>
      </c>
      <c r="H231" t="n">
        <v>181.04</v>
      </c>
      <c r="J231" t="n">
        <v>25694.95</v>
      </c>
    </row>
    <row r="232">
      <c r="G232" s="34" t="inlineStr">
        <is>
          <t>2025-11-10</t>
        </is>
      </c>
      <c r="H232" t="n">
        <v>181.48</v>
      </c>
      <c r="J232" t="n">
        <v>25574.35</v>
      </c>
    </row>
    <row r="233">
      <c r="G233" s="34" t="inlineStr">
        <is>
          <t>2025-11-07</t>
        </is>
      </c>
      <c r="H233" t="n">
        <v>181.37</v>
      </c>
      <c r="J233" t="n">
        <v>25492.3</v>
      </c>
    </row>
    <row r="234">
      <c r="G234" s="34" t="inlineStr">
        <is>
          <t>2025-11-06</t>
        </is>
      </c>
      <c r="H234" t="n">
        <v>177.27</v>
      </c>
      <c r="J234" t="n">
        <v>25509.7</v>
      </c>
    </row>
    <row r="235">
      <c r="G235" s="34" t="inlineStr">
        <is>
          <t>2025-11-04</t>
        </is>
      </c>
      <c r="H235" t="n">
        <v>179.29</v>
      </c>
      <c r="J235" t="n">
        <v>25597.65</v>
      </c>
    </row>
    <row r="236">
      <c r="G236" s="34" t="inlineStr">
        <is>
          <t>2025-11-03</t>
        </is>
      </c>
      <c r="H236" t="n">
        <v>182.67</v>
      </c>
      <c r="J236" t="n">
        <v>25763.35</v>
      </c>
    </row>
    <row r="237">
      <c r="G237" s="34" t="inlineStr">
        <is>
          <t>2025-10-31</t>
        </is>
      </c>
      <c r="H237" t="n">
        <v>182.84</v>
      </c>
      <c r="J237" t="n">
        <v>25722.1</v>
      </c>
    </row>
    <row r="238">
      <c r="G238" s="34" t="inlineStr">
        <is>
          <t>2025-10-30</t>
        </is>
      </c>
      <c r="H238" t="n">
        <v>184.35</v>
      </c>
      <c r="J238" t="n">
        <v>25877.85</v>
      </c>
    </row>
    <row r="239">
      <c r="G239" s="34" t="inlineStr">
        <is>
          <t>2025-10-29</t>
        </is>
      </c>
      <c r="H239" t="n">
        <v>185.19</v>
      </c>
      <c r="J239" t="n">
        <v>26053.9</v>
      </c>
    </row>
    <row r="240">
      <c r="G240" s="34" t="inlineStr">
        <is>
          <t>2025-10-28</t>
        </is>
      </c>
      <c r="H240" t="n">
        <v>181.81</v>
      </c>
      <c r="J240" t="n">
        <v>25936.2</v>
      </c>
    </row>
    <row r="241">
      <c r="G241" s="34" t="inlineStr">
        <is>
          <t>2025-10-27</t>
        </is>
      </c>
      <c r="H241" t="n">
        <v>176.66</v>
      </c>
      <c r="J241" t="n">
        <v>25966.05</v>
      </c>
    </row>
    <row r="242">
      <c r="G242" s="34" t="inlineStr">
        <is>
          <t>2025-10-24</t>
        </is>
      </c>
      <c r="H242" t="n">
        <v>174.44</v>
      </c>
      <c r="J242" t="n">
        <v>25795.15</v>
      </c>
    </row>
    <row r="243">
      <c r="G243" s="34" t="inlineStr">
        <is>
          <t>2025-10-23</t>
        </is>
      </c>
      <c r="H243" t="n">
        <v>174.16</v>
      </c>
      <c r="J243" t="n">
        <v>25891.4</v>
      </c>
    </row>
    <row r="244">
      <c r="G244" s="34" t="inlineStr">
        <is>
          <t>2025-10-21</t>
        </is>
      </c>
      <c r="H244" t="n">
        <v>172.78</v>
      </c>
      <c r="J244" t="n">
        <v>25868.6</v>
      </c>
    </row>
    <row r="245">
      <c r="G245" s="34" t="inlineStr">
        <is>
          <t>2025-10-20</t>
        </is>
      </c>
      <c r="H245" t="n">
        <v>171.95</v>
      </c>
      <c r="J245" t="n">
        <v>25843.15</v>
      </c>
    </row>
    <row r="246">
      <c r="G246" s="34" t="inlineStr">
        <is>
          <t>2025-10-17</t>
        </is>
      </c>
      <c r="H246" t="n">
        <v>172.22</v>
      </c>
      <c r="J246" t="n">
        <v>25709.85</v>
      </c>
    </row>
    <row r="247">
      <c r="G247" s="34" t="inlineStr">
        <is>
          <t>2025-10-16</t>
        </is>
      </c>
      <c r="H247" t="n">
        <v>174</v>
      </c>
      <c r="J247" t="n">
        <v>25585.3</v>
      </c>
    </row>
    <row r="248">
      <c r="G248" s="34" t="inlineStr">
        <is>
          <t>2025-10-15</t>
        </is>
      </c>
      <c r="H248" t="n">
        <v>173.24</v>
      </c>
      <c r="J248" t="n">
        <v>25323.55</v>
      </c>
    </row>
    <row r="249">
      <c r="G249" s="161" t="inlineStr">
        <is>
          <t>2025-10-14</t>
        </is>
      </c>
      <c r="H249" t="n">
        <v>170.51</v>
      </c>
      <c r="J249" t="n">
        <v>25145.5</v>
      </c>
    </row>
    <row r="250">
      <c r="G250" s="161" t="inlineStr">
        <is>
          <t>2025-10-13</t>
        </is>
      </c>
      <c r="H250" t="n">
        <v>173.03</v>
      </c>
      <c r="J250" t="n">
        <v>25227.35</v>
      </c>
    </row>
    <row r="251">
      <c r="G251" s="161" t="inlineStr">
        <is>
          <t>2025-10-10</t>
        </is>
      </c>
      <c r="H251" t="n">
        <v>173.86</v>
      </c>
      <c r="J251" t="n">
        <v>25285.35</v>
      </c>
    </row>
    <row r="252">
      <c r="G252" s="161" t="inlineStr">
        <is>
          <t>2025-10-09</t>
        </is>
      </c>
      <c r="H252" t="n">
        <v>176.42</v>
      </c>
      <c r="J252" t="n">
        <v>25181.8</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8" customWidth="1" style="176" min="2" max="2"/>
    <col width="18" customWidth="1" style="176" min="3" max="3"/>
    <col width="18" bestFit="1" customWidth="1" style="176" min="4" max="4"/>
    <col width="18" customWidth="1" style="176" min="5" max="5"/>
    <col width="18" bestFit="1" customWidth="1" style="176" min="6" max="6"/>
    <col width="18" bestFit="1" customWidth="1" style="176" min="7" max="7"/>
    <col width="18" customWidth="1" style="176" min="8" max="8"/>
    <col width="18" customWidth="1" style="176" min="9" max="9"/>
    <col width="18" customWidth="1" style="176" min="10" max="10"/>
    <col width="18" bestFit="1" customWidth="1" style="176" min="11" max="13"/>
    <col width="18" customWidth="1" style="176" min="12" max="12"/>
    <col width="18" customWidth="1" style="176" min="13" max="13"/>
    <col width="18" customWidth="1" style="176" min="15" max="16"/>
    <col width="18" customWidth="1" style="176" min="16" max="16"/>
    <col width="18"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5" t="inlineStr">
        <is>
          <t>EV/Revenue</t>
        </is>
      </c>
      <c r="J10" s="85" t="inlineStr">
        <is>
          <t>EV/EBITDA</t>
        </is>
      </c>
      <c r="K10" s="84" t="inlineStr">
        <is>
          <t>Revenue</t>
        </is>
      </c>
      <c r="L10" s="84" t="inlineStr">
        <is>
          <t>EBITDA</t>
        </is>
      </c>
      <c r="M10" s="84" t="inlineStr">
        <is>
          <t>Net Income</t>
        </is>
      </c>
      <c r="N10" s="84" t="n"/>
      <c r="O10" s="85" t="inlineStr">
        <is>
          <t>EV/Revenue</t>
        </is>
      </c>
      <c r="P10" s="85" t="inlineStr">
        <is>
          <t>EV/EBITDA</t>
        </is>
      </c>
      <c r="Q10" s="85" t="inlineStr">
        <is>
          <t>P/E</t>
        </is>
      </c>
    </row>
    <row r="11" ht="4.8" customHeight="1" s="176"/>
    <row r="12">
      <c r="B12" s="201">
        <f>'Raw FS'!L57</f>
        <v/>
      </c>
      <c r="C12" s="201" t="inlineStr">
        <is>
          <t>JSWSTEEL</t>
        </is>
      </c>
      <c r="D12" s="202">
        <f>'Raw FS'!M57</f>
        <v/>
      </c>
      <c r="E12" s="202">
        <f>'Raw FS'!N57</f>
        <v/>
      </c>
      <c r="F12" s="202">
        <f>D12*E12</f>
        <v/>
      </c>
      <c r="G12" s="202">
        <f>'Raw FS'!AS57</f>
        <v/>
      </c>
      <c r="H12" s="202">
        <f>'Raw FS'!AT57</f>
        <v/>
      </c>
      <c r="I12" s="201">
        <f>IF(OR(ISBLANK(K12), K12&lt;=0), "N/A", IFERROR($H12/K12, "N/A"))</f>
        <v/>
      </c>
      <c r="J12" s="201">
        <f>IF(OR(ISBLANK(L12), L12&lt;=0), "N/A", IFERROR($H12/L12, "N/A"))</f>
        <v/>
      </c>
      <c r="K12" s="202">
        <f>'Raw FS'!AU57</f>
        <v/>
      </c>
      <c r="L12" s="202">
        <f>'Raw FS'!AV57</f>
        <v/>
      </c>
      <c r="M12" s="202">
        <f>'Raw FS'!AW57</f>
        <v/>
      </c>
      <c r="N12" s="150" t="n"/>
      <c r="O12" s="203">
        <f>IF(OR(ISBLANK(K12), K12&lt;=0), "N/A", IFERROR($H12/K12, "N/A"))</f>
        <v/>
      </c>
      <c r="P12" s="203">
        <f>IF(OR(ISBLANK(L12), L12&lt;=0), "N/A", IFERROR($H12/L12, "N/A"))</f>
        <v/>
      </c>
      <c r="Q12" s="203">
        <f>IF(OR(ISBLANK(M12), M12&lt;=0), "N/A", IFERROR(F12/M12, "N/A"))</f>
        <v/>
      </c>
    </row>
    <row r="13">
      <c r="B13" s="201">
        <f>'Raw FS'!L58</f>
        <v/>
      </c>
      <c r="C13" s="201" t="inlineStr">
        <is>
          <t>JINDALSTEL</t>
        </is>
      </c>
      <c r="D13" s="202">
        <f>'Raw FS'!M58</f>
        <v/>
      </c>
      <c r="E13" s="202">
        <f>'Raw FS'!N58</f>
        <v/>
      </c>
      <c r="F13" s="202">
        <f>D13*E13</f>
        <v/>
      </c>
      <c r="G13" s="202">
        <f>'Raw FS'!AS58</f>
        <v/>
      </c>
      <c r="H13" s="202">
        <f>'Raw FS'!AT58</f>
        <v/>
      </c>
      <c r="I13" s="201">
        <f>IF(OR(ISBLANK(K13), K13&lt;=0), "N/A", IFERROR($H13/K13, "N/A"))</f>
        <v/>
      </c>
      <c r="J13" s="201">
        <f>IF(OR(ISBLANK(L13), L13&lt;=0), "N/A", IFERROR($H13/L13, "N/A"))</f>
        <v/>
      </c>
      <c r="K13" s="202">
        <f>'Raw FS'!AU58</f>
        <v/>
      </c>
      <c r="L13" s="202">
        <f>'Raw FS'!AV58</f>
        <v/>
      </c>
      <c r="M13" s="202">
        <f>'Raw FS'!AW58</f>
        <v/>
      </c>
      <c r="N13" s="150" t="n"/>
      <c r="O13" s="203">
        <f>IF(OR(ISBLANK(K13), K13&lt;=0), "N/A", IFERROR($H13/K13, "N/A"))</f>
        <v/>
      </c>
      <c r="P13" s="203">
        <f>IF(OR(ISBLANK(L13), L13&lt;=0), "N/A", IFERROR($H13/L13, "N/A"))</f>
        <v/>
      </c>
      <c r="Q13" s="203">
        <f>IF(OR(ISBLANK(M13), M13&lt;=0), "N/A", IFERROR(F13/M13, "N/A"))</f>
        <v/>
      </c>
    </row>
    <row r="14">
      <c r="B14" s="201">
        <f>'Raw FS'!L59</f>
        <v/>
      </c>
      <c r="C14" s="201" t="inlineStr">
        <is>
          <t>VISL</t>
        </is>
      </c>
      <c r="D14" s="202">
        <f>'Raw FS'!M59</f>
        <v/>
      </c>
      <c r="E14" s="202">
        <f>'Raw FS'!N59</f>
        <v/>
      </c>
      <c r="F14" s="202">
        <f>D14*E14</f>
        <v/>
      </c>
      <c r="G14" s="202">
        <f>'Raw FS'!AS59</f>
        <v/>
      </c>
      <c r="H14" s="202">
        <f>'Raw FS'!AT59</f>
        <v/>
      </c>
      <c r="I14" s="201">
        <f>IF(OR(ISBLANK(K14), K14&lt;=0), "N/A", IFERROR($H14/K14, "N/A"))</f>
        <v/>
      </c>
      <c r="J14" s="201">
        <f>IF(OR(ISBLANK(L14), L14&lt;=0), "N/A", IFERROR($H14/L14, "N/A"))</f>
        <v/>
      </c>
      <c r="K14" s="202">
        <f>'Raw FS'!AU59</f>
        <v/>
      </c>
      <c r="L14" s="202">
        <f>'Raw FS'!AV59</f>
        <v/>
      </c>
      <c r="M14" s="202">
        <f>'Raw FS'!AW59</f>
        <v/>
      </c>
      <c r="N14" s="150" t="n"/>
      <c r="O14" s="203">
        <f>IF(OR(ISBLANK(K14), K14&lt;=0), "N/A", IFERROR($H14/K14, "N/A"))</f>
        <v/>
      </c>
      <c r="P14" s="203">
        <f>IF(OR(ISBLANK(L14), L14&lt;=0), "N/A", IFERROR($H14/L14, "N/A"))</f>
        <v/>
      </c>
      <c r="Q14" s="203">
        <f>IF(OR(ISBLANK(M14), M14&lt;=0), "N/A", IFERROR(F14/M14, "N/A"))</f>
        <v/>
      </c>
    </row>
    <row r="15">
      <c r="B15" s="201">
        <f>'Raw FS'!L60</f>
        <v/>
      </c>
      <c r="C15" s="201" t="inlineStr">
        <is>
          <t>NSLNISP</t>
        </is>
      </c>
      <c r="D15" s="202">
        <f>'Raw FS'!M60</f>
        <v/>
      </c>
      <c r="E15" s="202">
        <f>'Raw FS'!N60</f>
        <v/>
      </c>
      <c r="F15" s="202">
        <f>D15*E15</f>
        <v/>
      </c>
      <c r="G15" s="202">
        <f>'Raw FS'!AS60</f>
        <v/>
      </c>
      <c r="H15" s="202">
        <f>'Raw FS'!AT60</f>
        <v/>
      </c>
      <c r="I15" s="201">
        <f>IF(OR(ISBLANK(K15), K15&lt;=0), "N/A", IFERROR($H15/K15, "N/A"))</f>
        <v/>
      </c>
      <c r="J15" s="201">
        <f>IF(OR(ISBLANK(L15), L15&lt;=0), "N/A", IFERROR($H15/L15, "N/A"))</f>
        <v/>
      </c>
      <c r="K15" s="202">
        <f>'Raw FS'!AU60</f>
        <v/>
      </c>
      <c r="L15" s="202">
        <f>'Raw FS'!AV60</f>
        <v/>
      </c>
      <c r="M15" s="202">
        <f>'Raw FS'!AW60</f>
        <v/>
      </c>
      <c r="N15" s="150" t="n"/>
      <c r="O15" s="203">
        <f>IF(OR(ISBLANK(K15), K15&lt;=0), "N/A", IFERROR($H15/K15, "N/A"))</f>
        <v/>
      </c>
      <c r="P15" s="203">
        <f>IF(OR(ISBLANK(L15), L15&lt;=0), "N/A", IFERROR($H15/L15, "N/A"))</f>
        <v/>
      </c>
      <c r="Q15" s="203">
        <f>IF(OR(ISBLANK(M15), M15&lt;=0), "N/A", IFERROR(F15/M15, "N/A"))</f>
        <v/>
      </c>
    </row>
    <row r="16">
      <c r="B16" s="201">
        <f>'Raw FS'!L61</f>
        <v/>
      </c>
      <c r="C16" s="201" t="inlineStr">
        <is>
          <t>HINDZINC</t>
        </is>
      </c>
      <c r="D16" s="202">
        <f>'Raw FS'!M61</f>
        <v/>
      </c>
      <c r="E16" s="202">
        <f>'Raw FS'!N61</f>
        <v/>
      </c>
      <c r="F16" s="202">
        <f>D16*E16</f>
        <v/>
      </c>
      <c r="G16" s="202">
        <f>'Raw FS'!AS61</f>
        <v/>
      </c>
      <c r="H16" s="202">
        <f>'Raw FS'!AT61</f>
        <v/>
      </c>
      <c r="I16" s="201">
        <f>IF(OR(ISBLANK(K16), K16&lt;=0), "N/A", IFERROR($H16/K16, "N/A"))</f>
        <v/>
      </c>
      <c r="J16" s="201">
        <f>IF(OR(ISBLANK(L16), L16&lt;=0), "N/A", IFERROR($H16/L16, "N/A"))</f>
        <v/>
      </c>
      <c r="K16" s="202">
        <f>'Raw FS'!AU61</f>
        <v/>
      </c>
      <c r="L16" s="202">
        <f>'Raw FS'!AV61</f>
        <v/>
      </c>
      <c r="M16" s="202">
        <f>'Raw FS'!AW61</f>
        <v/>
      </c>
      <c r="N16" s="150" t="n"/>
      <c r="O16" s="203">
        <f>IF(OR(ISBLANK(K16), K16&lt;=0), "N/A", IFERROR($H16/K16, "N/A"))</f>
        <v/>
      </c>
      <c r="P16" s="203">
        <f>IF(OR(ISBLANK(L16), L16&lt;=0), "N/A", IFERROR($H16/L16, "N/A"))</f>
        <v/>
      </c>
      <c r="Q16" s="203">
        <f>IF(OR(ISBLANK(M16), M16&lt;=0), "N/A", IFERROR(F16/M16, "N/A"))</f>
        <v/>
      </c>
    </row>
    <row r="17">
      <c r="B17" s="201">
        <f>'Raw FS'!L62</f>
        <v/>
      </c>
      <c r="C17" s="201" t="inlineStr">
        <is>
          <t>HINDALCO</t>
        </is>
      </c>
      <c r="D17" s="202">
        <f>'Raw FS'!M62</f>
        <v/>
      </c>
      <c r="E17" s="202">
        <f>'Raw FS'!N62</f>
        <v/>
      </c>
      <c r="F17" s="202">
        <f>D17*E17</f>
        <v/>
      </c>
      <c r="G17" s="202">
        <f>'Raw FS'!AS62</f>
        <v/>
      </c>
      <c r="H17" s="202">
        <f>'Raw FS'!AT62</f>
        <v/>
      </c>
      <c r="I17" s="201">
        <f>IF(OR(ISBLANK(K17), K17&lt;=0), "N/A", IFERROR($H17/K17, "N/A"))</f>
        <v/>
      </c>
      <c r="J17" s="201">
        <f>IF(OR(ISBLANK(L17), L17&lt;=0), "N/A", IFERROR($H17/L17, "N/A"))</f>
        <v/>
      </c>
      <c r="K17" s="202">
        <f>'Raw FS'!AU62</f>
        <v/>
      </c>
      <c r="L17" s="202">
        <f>'Raw FS'!AV62</f>
        <v/>
      </c>
      <c r="M17" s="202">
        <f>'Raw FS'!AW62</f>
        <v/>
      </c>
      <c r="N17" s="150" t="n"/>
      <c r="O17" s="203">
        <f>IF(OR(ISBLANK(K17), K17&lt;=0), "N/A", IFERROR($H17/K17, "N/A"))</f>
        <v/>
      </c>
      <c r="P17" s="203">
        <f>IF(OR(ISBLANK(L17), L17&lt;=0), "N/A", IFERROR($H17/L17, "N/A"))</f>
        <v/>
      </c>
      <c r="Q17" s="203">
        <f>IF(OR(ISBLANK(M17), M17&lt;=0), "N/A", IFERROR(F17/M17, "N/A"))</f>
        <v/>
      </c>
    </row>
    <row r="18">
      <c r="B18" s="201">
        <f>'Raw FS'!L63</f>
        <v/>
      </c>
      <c r="C18" s="201" t="inlineStr">
        <is>
          <t>VAML</t>
        </is>
      </c>
      <c r="D18" s="202">
        <f>'Raw FS'!M63</f>
        <v/>
      </c>
      <c r="E18" s="202">
        <f>'Raw FS'!N63</f>
        <v/>
      </c>
      <c r="F18" s="202">
        <f>D18*E18</f>
        <v/>
      </c>
      <c r="G18" s="202">
        <f>'Raw FS'!AS63</f>
        <v/>
      </c>
      <c r="H18" s="202">
        <f>'Raw FS'!AT63</f>
        <v/>
      </c>
      <c r="I18" s="201">
        <f>IF(OR(ISBLANK(K18), K18&lt;=0), "N/A", IFERROR($H18/K18, "N/A"))</f>
        <v/>
      </c>
      <c r="J18" s="201">
        <f>IF(OR(ISBLANK(L18), L18&lt;=0), "N/A", IFERROR($H18/L18, "N/A"))</f>
        <v/>
      </c>
      <c r="K18" s="202">
        <f>'Raw FS'!AU63</f>
        <v/>
      </c>
      <c r="L18" s="202">
        <f>'Raw FS'!AV63</f>
        <v/>
      </c>
      <c r="M18" s="202">
        <f>'Raw FS'!AW63</f>
        <v/>
      </c>
      <c r="N18" s="150" t="n"/>
      <c r="O18" s="203">
        <f>IF(OR(ISBLANK(K18), K18&lt;=0), "N/A", IFERROR($H18/K18, "N/A"))</f>
        <v/>
      </c>
      <c r="P18" s="203">
        <f>IF(OR(ISBLANK(L18), L18&lt;=0), "N/A", IFERROR($H18/L18, "N/A"))</f>
        <v/>
      </c>
      <c r="Q18" s="203">
        <f>IF(OR(ISBLANK(M18), M18&lt;=0), "N/A", IFERROR(F18/M18, "N/A"))</f>
        <v/>
      </c>
    </row>
    <row r="19">
      <c r="B19" s="201">
        <f>'Raw FS'!L64</f>
        <v/>
      </c>
      <c r="C19" s="201" t="inlineStr">
        <is>
          <t>LLOYDSME</t>
        </is>
      </c>
      <c r="D19" s="202">
        <f>'Raw FS'!M64</f>
        <v/>
      </c>
      <c r="E19" s="202">
        <f>'Raw FS'!N64</f>
        <v/>
      </c>
      <c r="F19" s="202">
        <f>D19*E19</f>
        <v/>
      </c>
      <c r="G19" s="202">
        <f>'Raw FS'!AS64</f>
        <v/>
      </c>
      <c r="H19" s="202">
        <f>'Raw FS'!AT64</f>
        <v/>
      </c>
      <c r="I19" s="201">
        <f>IF(OR(ISBLANK(K19), K19&lt;=0), "N/A", IFERROR($H19/K19, "N/A"))</f>
        <v/>
      </c>
      <c r="J19" s="201">
        <f>IF(OR(ISBLANK(L19), L19&lt;=0), "N/A", IFERROR($H19/L19, "N/A"))</f>
        <v/>
      </c>
      <c r="K19" s="202">
        <f>'Raw FS'!AU64</f>
        <v/>
      </c>
      <c r="L19" s="202">
        <f>'Raw FS'!AV64</f>
        <v/>
      </c>
      <c r="M19" s="202">
        <f>'Raw FS'!AW64</f>
        <v/>
      </c>
      <c r="N19" s="150" t="n"/>
      <c r="O19" s="203">
        <f>IF(OR(ISBLANK(K19), K19&lt;=0), "N/A", IFERROR($H19/K19, "N/A"))</f>
        <v/>
      </c>
      <c r="P19" s="203">
        <f>IF(OR(ISBLANK(L19), L19&lt;=0), "N/A", IFERROR($H19/L19, "N/A"))</f>
        <v/>
      </c>
      <c r="Q19" s="203">
        <f>IF(OR(ISBLANK(M19), M19&lt;=0), "N/A", IFERROR(F19/M19, "N/A"))</f>
        <v/>
      </c>
    </row>
    <row r="20">
      <c r="B20" s="201" t="n"/>
      <c r="C20" s="201" t="n"/>
      <c r="D20" s="202" t="n"/>
      <c r="E20" s="202" t="n"/>
      <c r="F20" s="202" t="n"/>
      <c r="G20" s="202" t="n"/>
      <c r="H20" s="202" t="n"/>
      <c r="I20" s="201" t="n"/>
      <c r="J20" s="201" t="n"/>
      <c r="K20" s="202" t="n"/>
      <c r="L20" s="202" t="n"/>
      <c r="M20" s="202" t="n"/>
      <c r="N20" s="150" t="n"/>
      <c r="O20" s="203" t="n"/>
      <c r="P20" s="203" t="n"/>
      <c r="Q20" s="203" t="n"/>
    </row>
    <row r="21">
      <c r="B21" s="201" t="n"/>
      <c r="C21" s="201" t="n"/>
      <c r="D21" s="202" t="n"/>
      <c r="E21" s="202" t="n"/>
      <c r="F21" s="202" t="n"/>
      <c r="G21" s="202" t="n"/>
      <c r="H21" s="202" t="n"/>
      <c r="I21" s="201" t="n"/>
      <c r="J21" s="201" t="n"/>
      <c r="K21" s="202" t="n"/>
      <c r="L21" s="202" t="n"/>
      <c r="M21" s="202" t="n"/>
      <c r="N21" s="150" t="n"/>
      <c r="O21" s="203" t="n"/>
      <c r="P21" s="203" t="n"/>
      <c r="Q21" s="203" t="n"/>
    </row>
    <row r="22" ht="6.6" customHeight="1" s="176"/>
    <row r="23">
      <c r="B23" s="204" t="inlineStr">
        <is>
          <t>High</t>
        </is>
      </c>
      <c r="C23" s="79" t="n"/>
      <c r="D23" s="79" t="n"/>
      <c r="E23" s="79" t="n"/>
      <c r="F23" s="79" t="n"/>
      <c r="G23" s="79" t="n"/>
      <c r="H23" s="79" t="n"/>
      <c r="I23" s="204">
        <f>MAX(I12:I19)</f>
        <v/>
      </c>
      <c r="J23" s="204">
        <f>MAX(J12:J19)</f>
        <v/>
      </c>
      <c r="K23" s="79" t="n"/>
      <c r="L23" s="79" t="n"/>
      <c r="M23" s="79" t="n"/>
      <c r="N23" s="79" t="n"/>
      <c r="O23" s="205">
        <f>MAX(O12:O19)</f>
        <v/>
      </c>
      <c r="P23" s="205">
        <f>MAX(P12:P19)</f>
        <v/>
      </c>
      <c r="Q23" s="205">
        <f>MAX(Q12:Q19)</f>
        <v/>
      </c>
    </row>
    <row r="24">
      <c r="B24" s="204" t="inlineStr">
        <is>
          <t>25th Percentile</t>
        </is>
      </c>
      <c r="C24" s="79" t="n"/>
      <c r="D24" s="79" t="n"/>
      <c r="E24" s="79" t="n"/>
      <c r="F24" s="79" t="n"/>
      <c r="G24" s="79" t="n"/>
      <c r="H24" s="79" t="n"/>
      <c r="I24" s="204">
        <f>_xlfn.QUARTILE.INC(I12:I19,1)</f>
        <v/>
      </c>
      <c r="J24" s="204">
        <f>_xlfn.QUARTILE.INC(J12:J19,1)</f>
        <v/>
      </c>
      <c r="K24" s="79" t="n"/>
      <c r="L24" s="79" t="n"/>
      <c r="M24" s="79" t="n"/>
      <c r="N24" s="79" t="n"/>
      <c r="O24" s="206">
        <f>_xlfn.QUARTILE.INC(O12:O19,1)</f>
        <v/>
      </c>
      <c r="P24" s="206">
        <f>_xlfn.QUARTILE.INC(P12:P19,1)</f>
        <v/>
      </c>
      <c r="Q24" s="206">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204" t="inlineStr">
        <is>
          <t>75th Percentile</t>
        </is>
      </c>
      <c r="C27" s="79" t="n"/>
      <c r="D27" s="79" t="n"/>
      <c r="E27" s="79" t="n"/>
      <c r="F27" s="79" t="n"/>
      <c r="G27" s="79" t="n"/>
      <c r="H27" s="79" t="n"/>
      <c r="I27" s="204">
        <f>_xlfn.QUARTILE.INC(I12:I19,3)</f>
        <v/>
      </c>
      <c r="J27" s="204">
        <f>_xlfn.QUARTILE.INC(J12:J19,3)</f>
        <v/>
      </c>
      <c r="K27" s="79" t="n"/>
      <c r="L27" s="79" t="n"/>
      <c r="M27" s="79" t="n"/>
      <c r="N27" s="79" t="n"/>
      <c r="O27" s="206">
        <f>_xlfn.QUARTILE.INC(O12:O19,3)</f>
        <v/>
      </c>
      <c r="P27" s="206">
        <f>_xlfn.QUARTILE.INC(P12:P19,3)</f>
        <v/>
      </c>
      <c r="Q27" s="206">
        <f>_xlfn.QUARTILE.INC(Q12:Q19,3)</f>
        <v/>
      </c>
    </row>
    <row r="28">
      <c r="B28" s="204" t="inlineStr">
        <is>
          <t>Low</t>
        </is>
      </c>
      <c r="C28" s="79" t="n"/>
      <c r="D28" s="79" t="n"/>
      <c r="E28" s="79" t="n"/>
      <c r="F28" s="79" t="n"/>
      <c r="G28" s="79" t="n"/>
      <c r="H28" s="79" t="n"/>
      <c r="I28" s="204">
        <f>MIN(I12:I19)</f>
        <v/>
      </c>
      <c r="J28" s="204">
        <f>MIN(J12:J19)</f>
        <v/>
      </c>
      <c r="K28" s="79" t="n"/>
      <c r="L28" s="79" t="n"/>
      <c r="M28" s="79" t="n"/>
      <c r="N28" s="79" t="n"/>
      <c r="O28" s="205">
        <f>MIN(O12:O19)</f>
        <v/>
      </c>
      <c r="P28" s="205">
        <f>MIN(P12:P19)</f>
        <v/>
      </c>
      <c r="Q28" s="205">
        <f>MIN(Q12:Q19)</f>
        <v/>
      </c>
    </row>
    <row r="30">
      <c r="B30" s="84" t="inlineStr">
        <is>
          <t>TATA STEEL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201" t="inlineStr">
        <is>
          <t>Implied Enterprise Value</t>
        </is>
      </c>
      <c r="C32" s="150" t="n"/>
      <c r="D32" s="150" t="n"/>
      <c r="E32" s="150" t="n"/>
      <c r="F32" s="150" t="n"/>
      <c r="G32" s="150" t="n"/>
      <c r="H32" s="150" t="n"/>
      <c r="I32" s="201">
        <f>'Raw FS'!AU56*I25</f>
        <v/>
      </c>
      <c r="J32" s="201">
        <f>'Raw FS'!AV56*J25</f>
        <v/>
      </c>
      <c r="K32" s="150" t="n"/>
      <c r="L32" s="150" t="n"/>
      <c r="M32" s="150" t="n"/>
      <c r="N32" s="150" t="n"/>
      <c r="O32" s="202">
        <f>'Raw FS'!AU56*O25</f>
        <v/>
      </c>
      <c r="P32" s="202">
        <f>'Raw FS'!AV56*P25</f>
        <v/>
      </c>
      <c r="Q32" s="202">
        <f>'Raw FS'!AW56*Q25</f>
        <v/>
      </c>
    </row>
    <row r="33">
      <c r="B33" s="201" t="inlineStr">
        <is>
          <t>Net Debt Value</t>
        </is>
      </c>
      <c r="C33" s="150" t="n"/>
      <c r="D33" s="150" t="n"/>
      <c r="E33" s="150" t="n"/>
      <c r="F33" s="150" t="n"/>
      <c r="G33" s="150" t="n"/>
      <c r="H33" s="150" t="n"/>
      <c r="I33" s="201">
        <f>'Raw FS'!AS56</f>
        <v/>
      </c>
      <c r="J33" s="201">
        <f>'Raw FS'!AS56</f>
        <v/>
      </c>
      <c r="K33" s="150" t="n"/>
      <c r="L33" s="150" t="n"/>
      <c r="M33" s="150" t="n"/>
      <c r="N33" s="150" t="n"/>
      <c r="O33" s="202">
        <f>'Raw FS'!AS56</f>
        <v/>
      </c>
      <c r="P33" s="202">
        <f>'Raw FS'!AS56</f>
        <v/>
      </c>
      <c r="Q33" s="202" t="n">
        <v>0</v>
      </c>
    </row>
    <row r="34">
      <c r="B34" s="201" t="inlineStr">
        <is>
          <t>Implied Market Value</t>
        </is>
      </c>
      <c r="C34" s="150" t="n"/>
      <c r="D34" s="150" t="n"/>
      <c r="E34" s="150" t="n"/>
      <c r="F34" s="150" t="n"/>
      <c r="G34" s="150" t="n"/>
      <c r="H34" s="150" t="n"/>
      <c r="I34" s="201">
        <f>I32-I33</f>
        <v/>
      </c>
      <c r="J34" s="201">
        <f>J32-J33</f>
        <v/>
      </c>
      <c r="K34" s="150" t="n"/>
      <c r="L34" s="150" t="n"/>
      <c r="M34" s="150" t="n"/>
      <c r="N34" s="150" t="n"/>
      <c r="O34" s="202">
        <f>O32-O33</f>
        <v/>
      </c>
      <c r="P34" s="202">
        <f>P32-P33</f>
        <v/>
      </c>
      <c r="Q34" s="202">
        <f>Q32</f>
        <v/>
      </c>
    </row>
    <row r="35">
      <c r="B35" s="201" t="inlineStr">
        <is>
          <t>Share Outstanding</t>
        </is>
      </c>
      <c r="C35" s="150" t="n"/>
      <c r="D35" s="150" t="n"/>
      <c r="E35" s="150" t="n"/>
      <c r="F35" s="150" t="n"/>
      <c r="G35" s="150" t="n"/>
      <c r="H35" s="150" t="n"/>
      <c r="I35" s="207">
        <f>'Raw FS'!N56</f>
        <v/>
      </c>
      <c r="J35" s="207">
        <f>'Raw FS'!N56</f>
        <v/>
      </c>
      <c r="K35" s="150" t="n"/>
      <c r="L35" s="150" t="n"/>
      <c r="M35" s="150" t="n"/>
      <c r="N35" s="150" t="n"/>
      <c r="O35" s="202">
        <f>'Raw FS'!N56</f>
        <v/>
      </c>
      <c r="P35" s="202">
        <f>'Raw FS'!N56</f>
        <v/>
      </c>
      <c r="Q35" s="202">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76">
      <c r="A4" s="93" t="n"/>
      <c r="B4" s="98">
        <f>CONCATENATE(" ","INR "&amp;'Data Sheet'!B8)</f>
        <v/>
      </c>
      <c r="C4" s="93" t="n"/>
      <c r="D4" s="93" t="n"/>
      <c r="E4" s="93" t="n"/>
      <c r="F4" s="93" t="n"/>
      <c r="H4" s="93" t="n"/>
      <c r="I4" s="93" t="n"/>
    </row>
    <row r="5">
      <c r="B5" s="58" t="inlineStr">
        <is>
          <t>52 Week (High - INR - 224.00 &amp; low INR - 160.00)</t>
        </is>
      </c>
      <c r="C5" s="58" t="n"/>
      <c r="D5" s="58" t="n"/>
      <c r="E5" s="58" t="n"/>
      <c r="F5" s="58" t="n"/>
      <c r="G5" s="58" t="n"/>
      <c r="H5" s="58" t="n"/>
      <c r="I5" s="58" t="n"/>
    </row>
    <row r="6">
      <c r="B6" s="37" t="inlineStr">
        <is>
          <t>About the Company</t>
        </is>
      </c>
    </row>
    <row r="7" ht="4.2" customHeight="1" s="176">
      <c r="B7" s="37" t="n"/>
    </row>
    <row r="8">
      <c r="B8" s="185" t="inlineStr">
        <is>
          <t>Tata Steel Limited is an Indian multinational steel company headquartered in Mumbai and is part of the Tata Group. Formerly known as Tata Iron and Steel Company Limited (TISCO), the company was established on 26 August 1907 in Jamshedpur.</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Stocks in news: Tata Steel, KPI Green Energy, NLC India, Poonawalla Fincorp and Cummins India</t>
        </is>
      </c>
    </row>
    <row r="38"/>
    <row r="39">
      <c r="A39" t="inlineStr">
        <is>
          <t>•</t>
        </is>
      </c>
      <c r="B39" s="184" t="inlineStr">
        <is>
          <t>Tata Steel extends Dutch green steel pact by five months to March 2027</t>
        </is>
      </c>
    </row>
    <row r="40"/>
    <row r="41">
      <c r="A41" t="inlineStr">
        <is>
          <t>•</t>
        </is>
      </c>
      <c r="B41" s="184" t="inlineStr">
        <is>
          <t>ET Exclusive: Venu Srinivasan seeks probe into Tata Trusts over alleged governance lapses</t>
        </is>
      </c>
    </row>
    <row r="42"/>
    <row r="43">
      <c r="A43" t="inlineStr">
        <is>
          <t>•</t>
        </is>
      </c>
      <c r="B43" s="184" t="inlineStr">
        <is>
          <t>Tata Steel, Adani Ports among top 10 stocks downgraded by Motilal Oswal after Q1 results - Earnings Impact</t>
        </is>
      </c>
    </row>
    <row r="44"/>
    <row r="45">
      <c r="A45" t="inlineStr">
        <is>
          <t>•</t>
        </is>
      </c>
      <c r="B45" s="184" t="inlineStr">
        <is>
          <t>Market wrap: Tata Steel, HCL Tech, Bajaj Finance, Adani Ports top gainers and losers on Nifty and Sensex o</t>
        </is>
      </c>
    </row>
    <row r="46"/>
    <row r="47">
      <c r="A47" t="inlineStr">
        <is>
          <t>•</t>
        </is>
      </c>
      <c r="B47" s="184" t="inlineStr">
        <is>
          <t>TATA STEEL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58" t="inlineStr">
        <is>
          <t>52 Week (High - INR - 224.00 &amp; low INR - 160.00)</t>
        </is>
      </c>
      <c r="C5" s="58" t="n"/>
      <c r="D5" s="58" t="n"/>
      <c r="E5" s="58" t="n"/>
      <c r="F5" s="58" t="n"/>
      <c r="G5" s="58" t="n"/>
      <c r="H5" s="58" t="n"/>
      <c r="I5" s="58" t="n"/>
    </row>
    <row r="6">
      <c r="B6" s="37" t="inlineStr">
        <is>
          <t>About the Company</t>
        </is>
      </c>
    </row>
    <row r="7" ht="6.6" customHeight="1" s="176"/>
    <row r="8">
      <c r="B8" s="185" t="inlineStr">
        <is>
          <t>Tata Steel Limited is an Indian multinational steel company headquartered in Mumbai and is part of the Tata Group. Formerly known as Tata Iron and Steel Company Limited (TISCO), the company was established on 26 August 1907 in Jamshedpur.</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Stocks in news: Tata Steel, KPI Green Energy, NLC India, Poonawalla Fincorp and Cummins India</t>
        </is>
      </c>
    </row>
    <row r="37"/>
    <row r="38" ht="14.4" customHeight="1" s="176">
      <c r="A38" t="inlineStr">
        <is>
          <t>•</t>
        </is>
      </c>
      <c r="B38" s="184" t="inlineStr">
        <is>
          <t>Tata Steel extends Dutch green steel pact by five months to March 2027</t>
        </is>
      </c>
    </row>
    <row r="39"/>
    <row r="40" ht="20.4" customHeight="1" s="176">
      <c r="A40" t="inlineStr">
        <is>
          <t>•</t>
        </is>
      </c>
      <c r="B40" s="184" t="inlineStr">
        <is>
          <t>ET Exclusive: Venu Srinivasan seeks probe into Tata Trusts over alleged governance lapses</t>
        </is>
      </c>
    </row>
    <row r="41"/>
    <row r="42">
      <c r="A42" t="inlineStr">
        <is>
          <t>•</t>
        </is>
      </c>
      <c r="B42" s="184" t="inlineStr">
        <is>
          <t>Tata Steel, Adani Ports among top 10 stocks downgraded by Motilal Oswal after Q1 results - Earnings Impact</t>
        </is>
      </c>
    </row>
    <row r="43"/>
    <row r="44">
      <c r="A44" t="inlineStr">
        <is>
          <t>•</t>
        </is>
      </c>
      <c r="B44" s="184" t="inlineStr">
        <is>
          <t>Market wrap: Tata Steel, HCL Tech, Bajaj Finance, Adani Ports top gainers and losers on Nifty and Sensex o</t>
        </is>
      </c>
    </row>
    <row r="45"/>
    <row r="46">
      <c r="A46" t="inlineStr">
        <is>
          <t>•</t>
        </is>
      </c>
      <c r="B46" s="184" t="inlineStr">
        <is>
          <t>TATA STEEL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v>0</v>
      </c>
      <c r="D4" s="35" t="n">
        <v>0</v>
      </c>
      <c r="E4" s="35" t="n">
        <v>0</v>
      </c>
      <c r="F4" s="35" t="n">
        <v>0</v>
      </c>
      <c r="G4" s="35" t="n">
        <v>0</v>
      </c>
      <c r="H4" s="35" t="n">
        <v>0</v>
      </c>
      <c r="I4" s="35" t="n">
        <v>0</v>
      </c>
      <c r="J4" s="35" t="n">
        <v>0</v>
      </c>
      <c r="K4" s="35" t="n">
        <v>0</v>
      </c>
      <c r="L4" s="35" t="n">
        <v>0</v>
      </c>
      <c r="M4" s="35" t="n">
        <v>0</v>
      </c>
      <c r="N4" s="35" t="n">
        <v>0</v>
      </c>
      <c r="O4" s="35" t="n"/>
      <c r="R4" t="inlineStr">
        <is>
          <t>Sales +</t>
        </is>
      </c>
      <c r="S4" s="73" t="n">
        <v>139504</v>
      </c>
      <c r="T4" s="73" t="n">
        <v>101965</v>
      </c>
      <c r="U4" s="73" t="n">
        <v>112299</v>
      </c>
      <c r="V4" s="73" t="n">
        <v>123249</v>
      </c>
      <c r="W4" s="73" t="n">
        <v>157669</v>
      </c>
      <c r="X4" s="73" t="n">
        <v>139817</v>
      </c>
      <c r="Y4" s="73" t="n">
        <v>156477</v>
      </c>
      <c r="Z4" s="73" t="n">
        <v>243959</v>
      </c>
      <c r="AA4" s="73" t="n">
        <v>243353</v>
      </c>
      <c r="AB4" s="73" t="n">
        <v>229171</v>
      </c>
      <c r="AC4" s="73" t="n">
        <v>218543</v>
      </c>
      <c r="AD4" s="73" t="n">
        <v>232140</v>
      </c>
      <c r="AE4" s="73" t="n">
        <v>239756</v>
      </c>
    </row>
    <row r="5">
      <c r="B5" s="35" t="inlineStr">
        <is>
          <t>Equity Capital</t>
        </is>
      </c>
      <c r="C5" t="n">
        <v>971</v>
      </c>
      <c r="D5" s="47" t="n">
        <v>970</v>
      </c>
      <c r="E5" s="47" t="n">
        <v>970</v>
      </c>
      <c r="F5" s="47" t="n">
        <v>1145</v>
      </c>
      <c r="G5" s="47" t="n">
        <v>1145</v>
      </c>
      <c r="H5" s="47" t="n">
        <v>1145</v>
      </c>
      <c r="I5" s="47" t="n">
        <v>1198</v>
      </c>
      <c r="J5" s="47" t="n">
        <v>1221</v>
      </c>
      <c r="K5" s="47" t="n">
        <v>1221</v>
      </c>
      <c r="L5" s="47" t="n">
        <v>1247</v>
      </c>
      <c r="M5" s="47" t="n">
        <v>1247</v>
      </c>
      <c r="N5" s="47" t="n">
        <v>1247</v>
      </c>
      <c r="R5" t="inlineStr">
        <is>
          <t>Expenses +</t>
        </is>
      </c>
      <c r="S5" s="73" t="n">
        <v>136095</v>
      </c>
      <c r="T5" s="73" t="n">
        <v>102590</v>
      </c>
      <c r="U5" s="73" t="n">
        <v>99156</v>
      </c>
      <c r="V5" s="73" t="n">
        <v>101816</v>
      </c>
      <c r="W5" s="73" t="n">
        <v>128351</v>
      </c>
      <c r="X5" s="73" t="n">
        <v>122354</v>
      </c>
      <c r="Y5" s="73" t="n">
        <v>125973</v>
      </c>
      <c r="Z5" s="73" t="n">
        <v>180469</v>
      </c>
      <c r="AA5" s="73" t="n">
        <v>211053</v>
      </c>
      <c r="AB5" s="73" t="n">
        <v>206923</v>
      </c>
      <c r="AC5" s="73" t="n">
        <v>193244</v>
      </c>
      <c r="AD5" s="73" t="n">
        <v>197788</v>
      </c>
      <c r="AE5" s="73" t="n">
        <v>203567</v>
      </c>
    </row>
    <row r="6">
      <c r="B6" t="inlineStr">
        <is>
          <t>Reserves</t>
        </is>
      </c>
      <c r="C6" s="73" t="n">
        <v>30378</v>
      </c>
      <c r="D6" s="73" t="n">
        <v>42762</v>
      </c>
      <c r="E6" s="73" t="n">
        <v>36849</v>
      </c>
      <c r="F6" s="73" t="n">
        <v>59726</v>
      </c>
      <c r="G6" s="73" t="n">
        <v>67780</v>
      </c>
      <c r="H6" s="73" t="n">
        <v>72431</v>
      </c>
      <c r="I6" s="73" t="n">
        <v>73041</v>
      </c>
      <c r="J6" s="73" t="n">
        <v>113222</v>
      </c>
      <c r="K6" s="73" t="n">
        <v>101861</v>
      </c>
      <c r="L6" s="73" t="n">
        <v>90788</v>
      </c>
      <c r="M6" s="73" t="n">
        <v>89922</v>
      </c>
      <c r="N6" s="73" t="n">
        <v>100920</v>
      </c>
      <c r="O6" s="73" t="n"/>
      <c r="R6" t="inlineStr">
        <is>
          <t>Operating Profit</t>
        </is>
      </c>
      <c r="S6" s="73" t="n">
        <v>3409</v>
      </c>
      <c r="T6" s="73" t="n">
        <v>-625</v>
      </c>
      <c r="U6" s="73" t="n">
        <v>13144</v>
      </c>
      <c r="V6" s="73" t="n">
        <v>21433</v>
      </c>
      <c r="W6" s="73" t="n">
        <v>29318</v>
      </c>
      <c r="X6" s="73" t="n">
        <v>17463</v>
      </c>
      <c r="Y6" s="73" t="n">
        <v>30504</v>
      </c>
      <c r="Z6" s="73" t="n">
        <v>63490</v>
      </c>
      <c r="AA6" s="73" t="n">
        <v>32300</v>
      </c>
      <c r="AB6" s="73" t="n">
        <v>22248</v>
      </c>
      <c r="AC6" s="73" t="n">
        <v>25298</v>
      </c>
      <c r="AD6" s="73" t="n">
        <v>34352</v>
      </c>
      <c r="AE6" s="73" t="n">
        <v>36189</v>
      </c>
    </row>
    <row r="7">
      <c r="B7" s="73" t="inlineStr">
        <is>
          <t>Borrowings -</t>
        </is>
      </c>
      <c r="C7" s="73" t="n">
        <v>80701</v>
      </c>
      <c r="D7" s="73" t="n">
        <v>81987</v>
      </c>
      <c r="E7" s="73" t="n">
        <v>83014</v>
      </c>
      <c r="F7" s="73" t="n">
        <v>92147</v>
      </c>
      <c r="G7" s="73" t="n">
        <v>100816</v>
      </c>
      <c r="H7" s="73" t="n">
        <v>116328</v>
      </c>
      <c r="I7" s="73" t="n">
        <v>88501</v>
      </c>
      <c r="J7" s="73" t="n">
        <v>75561</v>
      </c>
      <c r="K7" s="73" t="n">
        <v>84893</v>
      </c>
      <c r="L7" s="73" t="n">
        <v>87082</v>
      </c>
      <c r="M7" s="73" t="n">
        <v>94801</v>
      </c>
      <c r="N7" s="73" t="n">
        <v>92382</v>
      </c>
      <c r="O7" s="73" t="n"/>
      <c r="R7" t="inlineStr">
        <is>
          <t>OPM %</t>
        </is>
      </c>
      <c r="S7" s="75" t="n">
        <v>2.4</v>
      </c>
      <c r="T7" s="75" t="n">
        <v>-0.6</v>
      </c>
      <c r="U7" s="75" t="n">
        <v>12</v>
      </c>
      <c r="V7" s="75" t="n">
        <v>17</v>
      </c>
      <c r="W7" s="75" t="n">
        <v>19</v>
      </c>
      <c r="X7" s="75" t="n">
        <v>12</v>
      </c>
      <c r="Y7" s="75" t="n">
        <v>19</v>
      </c>
      <c r="Z7" s="75" t="n">
        <v>26</v>
      </c>
      <c r="AA7" s="75" t="n">
        <v>13</v>
      </c>
      <c r="AB7" s="75" t="n">
        <v>10</v>
      </c>
      <c r="AC7" s="75" t="n">
        <v>12</v>
      </c>
      <c r="AD7" s="75" t="n">
        <v>15</v>
      </c>
      <c r="AE7" s="75" t="n">
        <v>15</v>
      </c>
    </row>
    <row r="8">
      <c r="B8" s="73" t="inlineStr">
        <is>
          <t>Long term Borrowings</t>
        </is>
      </c>
      <c r="C8" s="73" t="n">
        <v>65675</v>
      </c>
      <c r="D8" s="73" t="n">
        <v>64873</v>
      </c>
      <c r="E8" s="73" t="n">
        <v>64022</v>
      </c>
      <c r="F8" s="73" t="n">
        <v>72789</v>
      </c>
      <c r="G8" s="73" t="n">
        <v>80343</v>
      </c>
      <c r="H8" s="73" t="n">
        <v>94105</v>
      </c>
      <c r="I8" s="73" t="n">
        <v>65698</v>
      </c>
      <c r="J8" s="73" t="n">
        <v>44764</v>
      </c>
      <c r="K8" s="73" t="n">
        <v>51446</v>
      </c>
      <c r="L8" s="73" t="n">
        <v>51577</v>
      </c>
      <c r="M8" s="73" t="n">
        <v>68552</v>
      </c>
      <c r="N8" s="73" t="n">
        <v>63754</v>
      </c>
      <c r="R8" t="inlineStr">
        <is>
          <t>Other Income +</t>
        </is>
      </c>
      <c r="S8" s="73" t="n">
        <v>5994</v>
      </c>
      <c r="T8" s="73" t="n">
        <v>10346</v>
      </c>
      <c r="U8" s="73" t="n">
        <v>-3789</v>
      </c>
      <c r="V8" s="73" t="n">
        <v>10898</v>
      </c>
      <c r="W8" s="73" t="n">
        <v>1524</v>
      </c>
      <c r="X8" s="73" t="n">
        <v>-2884</v>
      </c>
      <c r="Y8" s="73" t="n">
        <v>180</v>
      </c>
      <c r="Z8" s="73" t="n">
        <v>1300</v>
      </c>
      <c r="AA8" s="73" t="n">
        <v>1569</v>
      </c>
      <c r="AB8" s="73" t="n">
        <v>-6005</v>
      </c>
      <c r="AC8" s="73" t="n">
        <v>877</v>
      </c>
      <c r="AD8" s="73" t="n">
        <v>738</v>
      </c>
      <c r="AE8" s="73" t="n">
        <v>485</v>
      </c>
    </row>
    <row r="9">
      <c r="B9" t="inlineStr">
        <is>
          <t>Short term Borrowings</t>
        </is>
      </c>
      <c r="C9" t="n">
        <v>9599</v>
      </c>
      <c r="D9" t="n">
        <v>15722</v>
      </c>
      <c r="E9" t="n">
        <v>18328</v>
      </c>
      <c r="F9" t="n">
        <v>15885</v>
      </c>
      <c r="G9" t="n">
        <v>10802</v>
      </c>
      <c r="H9" t="n">
        <v>19184</v>
      </c>
      <c r="I9" t="n">
        <v>14969</v>
      </c>
      <c r="J9" t="n">
        <v>24065</v>
      </c>
      <c r="K9" t="n">
        <v>26571</v>
      </c>
      <c r="L9" t="n">
        <v>29997</v>
      </c>
      <c r="M9" t="n">
        <v>20412</v>
      </c>
      <c r="N9" s="73" t="n">
        <v>21203</v>
      </c>
      <c r="R9" t="inlineStr">
        <is>
          <t>Interest</t>
        </is>
      </c>
      <c r="S9" t="n">
        <v>4848</v>
      </c>
      <c r="T9" t="n">
        <v>4221</v>
      </c>
      <c r="U9" t="n">
        <v>5072</v>
      </c>
      <c r="V9" t="n">
        <v>5455</v>
      </c>
      <c r="W9" t="n">
        <v>7660</v>
      </c>
      <c r="X9" t="n">
        <v>7533</v>
      </c>
      <c r="Y9" t="n">
        <v>7607</v>
      </c>
      <c r="Z9" t="n">
        <v>5462</v>
      </c>
      <c r="AA9" t="n">
        <v>6299</v>
      </c>
      <c r="AB9" t="n">
        <v>7508</v>
      </c>
      <c r="AC9" t="n">
        <v>7341</v>
      </c>
      <c r="AD9" t="n">
        <v>7167</v>
      </c>
      <c r="AE9" t="n">
        <v>7085</v>
      </c>
    </row>
    <row r="10">
      <c r="B10" t="inlineStr">
        <is>
          <t>Lease Liabilities</t>
        </is>
      </c>
      <c r="C10" t="n">
        <v>0</v>
      </c>
      <c r="D10" t="n">
        <v>0</v>
      </c>
      <c r="E10" t="n">
        <v>0</v>
      </c>
      <c r="F10" t="n">
        <v>0</v>
      </c>
      <c r="G10" t="n">
        <v>0</v>
      </c>
      <c r="H10" t="n">
        <v>0</v>
      </c>
      <c r="I10" t="n">
        <v>7834</v>
      </c>
      <c r="J10" t="n">
        <v>6733</v>
      </c>
      <c r="K10" t="n">
        <v>6875</v>
      </c>
      <c r="L10" t="n">
        <v>5508</v>
      </c>
      <c r="M10" t="n">
        <v>5837</v>
      </c>
      <c r="N10" t="n">
        <v>7425</v>
      </c>
      <c r="O10" s="73" t="n"/>
      <c r="R10" t="inlineStr">
        <is>
          <t>Depreciation</t>
        </is>
      </c>
      <c r="S10" s="73" t="n">
        <v>5944</v>
      </c>
      <c r="T10" s="73" t="n">
        <v>5306</v>
      </c>
      <c r="U10" s="73" t="n">
        <v>5673</v>
      </c>
      <c r="V10" s="73" t="n">
        <v>5742</v>
      </c>
      <c r="W10" s="73" t="n">
        <v>7342</v>
      </c>
      <c r="X10" s="73" t="n">
        <v>8441</v>
      </c>
      <c r="Y10" s="73" t="n">
        <v>9234</v>
      </c>
      <c r="Z10" s="73" t="n">
        <v>9101</v>
      </c>
      <c r="AA10" s="73" t="n">
        <v>9335</v>
      </c>
      <c r="AB10" s="73" t="n">
        <v>9882</v>
      </c>
      <c r="AC10" s="73" t="n">
        <v>10421</v>
      </c>
      <c r="AD10" s="73" t="n">
        <v>11955</v>
      </c>
      <c r="AE10" s="73" t="n">
        <v>12850</v>
      </c>
    </row>
    <row r="11">
      <c r="B11" s="73" t="inlineStr">
        <is>
          <t>Other Borrowings</t>
        </is>
      </c>
      <c r="C11" s="73" t="n">
        <v>5428</v>
      </c>
      <c r="D11" s="73" t="n">
        <v>1392</v>
      </c>
      <c r="E11" s="73" t="n">
        <v>664</v>
      </c>
      <c r="F11" s="73" t="n">
        <v>3453</v>
      </c>
      <c r="G11" s="73" t="n">
        <v>9658</v>
      </c>
      <c r="H11" s="73" t="n">
        <v>3039</v>
      </c>
      <c r="I11" s="73" t="n">
        <v>0</v>
      </c>
      <c r="J11" s="73" t="n">
        <v>0</v>
      </c>
      <c r="K11" s="73" t="n">
        <v>0</v>
      </c>
      <c r="L11" s="73" t="n">
        <v>0</v>
      </c>
      <c r="M11" s="73" t="n">
        <v>0</v>
      </c>
      <c r="N11" s="73" t="n">
        <v>0</v>
      </c>
      <c r="O11" s="73" t="n"/>
      <c r="R11" t="inlineStr">
        <is>
          <t>Profit before tax</t>
        </is>
      </c>
      <c r="S11" s="73" t="n">
        <v>-1388</v>
      </c>
      <c r="T11" s="73" t="n">
        <v>193</v>
      </c>
      <c r="U11" s="73" t="n">
        <v>-1391</v>
      </c>
      <c r="V11" s="73" t="n">
        <v>21135</v>
      </c>
      <c r="W11" s="73" t="n">
        <v>15841</v>
      </c>
      <c r="X11" s="73" t="n">
        <v>-1395</v>
      </c>
      <c r="Y11" s="73" t="n">
        <v>13844</v>
      </c>
      <c r="Z11" s="73" t="n">
        <v>50227</v>
      </c>
      <c r="AA11" s="73" t="n">
        <v>18235</v>
      </c>
      <c r="AB11" s="73" t="n">
        <v>-1147</v>
      </c>
      <c r="AC11" s="73" t="n">
        <v>8413</v>
      </c>
      <c r="AD11" s="73" t="n">
        <v>15969</v>
      </c>
      <c r="AE11" s="73" t="n">
        <v>16739</v>
      </c>
    </row>
    <row r="12">
      <c r="B12" s="73" t="inlineStr">
        <is>
          <t>Other Liabilities -</t>
        </is>
      </c>
      <c r="C12" s="73" t="n">
        <v>47059</v>
      </c>
      <c r="D12" s="73" t="n">
        <v>51165</v>
      </c>
      <c r="E12" s="73" t="n">
        <v>51614</v>
      </c>
      <c r="F12" s="73" t="n">
        <v>55704</v>
      </c>
      <c r="G12" s="73" t="n">
        <v>63032</v>
      </c>
      <c r="H12" s="73" t="n">
        <v>59245</v>
      </c>
      <c r="I12" s="73" t="n">
        <v>81169</v>
      </c>
      <c r="J12" s="73" t="n">
        <v>92417</v>
      </c>
      <c r="K12" s="73" t="n">
        <v>97421</v>
      </c>
      <c r="L12" s="73" t="n">
        <v>90195</v>
      </c>
      <c r="M12" s="73" t="n">
        <v>89488</v>
      </c>
      <c r="N12" s="73" t="n">
        <v>101965</v>
      </c>
      <c r="R12" t="inlineStr">
        <is>
          <t>Tax %</t>
        </is>
      </c>
      <c r="S12" s="75" t="n">
        <v>185</v>
      </c>
      <c r="T12" s="75" t="n">
        <v>358</v>
      </c>
      <c r="U12" s="75" t="n">
        <v>200</v>
      </c>
      <c r="V12" s="75" t="n">
        <v>16</v>
      </c>
      <c r="W12" s="75" t="n">
        <v>42</v>
      </c>
      <c r="X12" s="75" t="n">
        <v>-184</v>
      </c>
      <c r="Y12" s="75" t="n">
        <v>41</v>
      </c>
      <c r="Z12" s="75" t="n">
        <v>17</v>
      </c>
      <c r="AA12" s="75" t="n">
        <v>56</v>
      </c>
      <c r="AB12" s="75" t="n">
        <v>328</v>
      </c>
      <c r="AC12" s="75" t="n">
        <v>62</v>
      </c>
      <c r="AD12" s="75" t="n">
        <v>32</v>
      </c>
      <c r="AE12" t="n">
        <v>0</v>
      </c>
    </row>
    <row r="13">
      <c r="B13" t="inlineStr">
        <is>
          <t>Non controlling int</t>
        </is>
      </c>
      <c r="C13" t="n">
        <v>1704</v>
      </c>
      <c r="D13" t="n">
        <v>781</v>
      </c>
      <c r="E13" t="n">
        <v>1602</v>
      </c>
      <c r="F13" t="n">
        <v>937</v>
      </c>
      <c r="G13" t="n">
        <v>2364</v>
      </c>
      <c r="H13" t="n">
        <v>2587</v>
      </c>
      <c r="I13" t="n">
        <v>3270</v>
      </c>
      <c r="J13" t="n">
        <v>2655</v>
      </c>
      <c r="K13" t="n">
        <v>2093</v>
      </c>
      <c r="L13" t="n">
        <v>397</v>
      </c>
      <c r="M13" t="n">
        <v>183</v>
      </c>
      <c r="N13" t="n">
        <v>1613</v>
      </c>
      <c r="O13" s="73" t="n"/>
      <c r="R13" t="inlineStr">
        <is>
          <t>Net Profit +</t>
        </is>
      </c>
      <c r="S13" s="73" t="n">
        <v>-3939</v>
      </c>
      <c r="T13" s="73" t="n">
        <v>-497</v>
      </c>
      <c r="U13" s="73" t="n">
        <v>-4169</v>
      </c>
      <c r="V13" s="73" t="n">
        <v>17743</v>
      </c>
      <c r="W13" s="73" t="n">
        <v>9122</v>
      </c>
      <c r="X13" s="73" t="n">
        <v>1174</v>
      </c>
      <c r="Y13" s="73" t="n">
        <v>8190</v>
      </c>
      <c r="Z13" s="73" t="n">
        <v>41749</v>
      </c>
      <c r="AA13" s="73" t="n">
        <v>8075</v>
      </c>
      <c r="AB13" s="73" t="n">
        <v>-4910</v>
      </c>
      <c r="AC13" s="73" t="n">
        <v>3174</v>
      </c>
      <c r="AD13" s="73" t="n">
        <v>10886</v>
      </c>
      <c r="AE13" s="73" t="n">
        <v>11264</v>
      </c>
    </row>
    <row r="14">
      <c r="B14" s="73" t="inlineStr">
        <is>
          <t>Trade Payables</t>
        </is>
      </c>
      <c r="C14" s="73" t="n">
        <v>19190</v>
      </c>
      <c r="D14" s="73" t="n">
        <v>18557</v>
      </c>
      <c r="E14" s="73" t="n">
        <v>18574</v>
      </c>
      <c r="F14" s="73" t="n">
        <v>20414</v>
      </c>
      <c r="G14" s="73" t="n">
        <v>21717</v>
      </c>
      <c r="H14" s="73" t="n">
        <v>21381</v>
      </c>
      <c r="I14" s="73" t="n">
        <v>25967</v>
      </c>
      <c r="J14" s="73" t="n">
        <v>36765</v>
      </c>
      <c r="K14" s="73" t="n">
        <v>37833</v>
      </c>
      <c r="L14" s="73" t="n">
        <v>30228</v>
      </c>
      <c r="M14" s="73" t="n">
        <v>29314</v>
      </c>
      <c r="N14" s="73" t="n">
        <v>34810</v>
      </c>
      <c r="S14" t="n">
        <v>-3.48</v>
      </c>
      <c r="T14" t="n">
        <v>-0.34</v>
      </c>
      <c r="U14" t="n">
        <v>-3.76</v>
      </c>
      <c r="V14" t="n">
        <v>11.93</v>
      </c>
      <c r="W14" t="n">
        <v>9.07</v>
      </c>
      <c r="X14" t="n">
        <v>1.38</v>
      </c>
      <c r="Y14" t="n">
        <v>6.26</v>
      </c>
      <c r="Z14" t="n">
        <v>32.88</v>
      </c>
      <c r="AA14" t="n">
        <v>7.17</v>
      </c>
      <c r="AB14" t="n">
        <v>-3.55</v>
      </c>
      <c r="AC14" t="n">
        <v>2.74</v>
      </c>
      <c r="AD14" t="n">
        <v>8.65</v>
      </c>
      <c r="AE14" t="n">
        <v>8.83</v>
      </c>
    </row>
    <row r="15">
      <c r="B15" t="inlineStr">
        <is>
          <t>Advance from Customers</t>
        </is>
      </c>
      <c r="C15" t="n">
        <v>367</v>
      </c>
      <c r="D15" t="n">
        <v>456</v>
      </c>
      <c r="E15" t="n">
        <v>566</v>
      </c>
      <c r="F15" t="n">
        <v>616</v>
      </c>
      <c r="G15" t="n">
        <v>819</v>
      </c>
      <c r="H15" t="n">
        <v>869</v>
      </c>
      <c r="I15" t="n">
        <v>2399</v>
      </c>
      <c r="J15" s="73" t="n">
        <v>3253</v>
      </c>
      <c r="K15" s="73" t="n">
        <v>3394</v>
      </c>
      <c r="L15" t="n">
        <v>2771</v>
      </c>
      <c r="M15" s="73" t="n">
        <v>1655</v>
      </c>
      <c r="N15" s="73" t="n">
        <v>2222</v>
      </c>
      <c r="O15" s="73" t="n"/>
      <c r="S15" t="n">
        <v>-20</v>
      </c>
      <c r="T15" t="n">
        <v>-203</v>
      </c>
      <c r="U15" t="n">
        <v>-23</v>
      </c>
      <c r="V15" t="n">
        <v>9</v>
      </c>
      <c r="W15" t="n">
        <v>15</v>
      </c>
      <c r="X15" t="n">
        <v>74</v>
      </c>
      <c r="Y15" t="n">
        <v>40</v>
      </c>
      <c r="Z15" t="n">
        <v>16</v>
      </c>
      <c r="AA15" t="n">
        <v>50</v>
      </c>
      <c r="AB15" t="n">
        <v>-101</v>
      </c>
      <c r="AC15" t="n">
        <v>131</v>
      </c>
      <c r="AD15" t="n">
        <v>46</v>
      </c>
      <c r="AE15" t="n">
        <v>0</v>
      </c>
    </row>
    <row r="16">
      <c r="B16" s="73" t="inlineStr">
        <is>
          <t>Other liability items</t>
        </is>
      </c>
      <c r="C16" s="73" t="n">
        <v>25798</v>
      </c>
      <c r="D16" s="73" t="n">
        <v>31371</v>
      </c>
      <c r="E16" s="73" t="n">
        <v>30871</v>
      </c>
      <c r="F16" s="73" t="n">
        <v>33738</v>
      </c>
      <c r="G16" s="73" t="n">
        <v>38131</v>
      </c>
      <c r="H16" s="73" t="n">
        <v>34408</v>
      </c>
      <c r="I16" s="73" t="n">
        <v>49533</v>
      </c>
      <c r="J16" s="73" t="n">
        <v>49744</v>
      </c>
      <c r="K16" s="73" t="n">
        <v>54101</v>
      </c>
      <c r="L16" s="73" t="n">
        <v>56799</v>
      </c>
      <c r="M16" s="73" t="n">
        <v>58335</v>
      </c>
      <c r="N16" s="73" t="n">
        <v>63320</v>
      </c>
      <c r="O16" s="73" t="n"/>
    </row>
    <row r="17">
      <c r="C17" s="73" t="n">
        <v>0</v>
      </c>
      <c r="D17" s="73" t="n">
        <v>0</v>
      </c>
      <c r="E17" s="73" t="n">
        <v>0</v>
      </c>
      <c r="F17" s="73" t="n">
        <v>0</v>
      </c>
      <c r="G17" s="73" t="n">
        <v>0</v>
      </c>
      <c r="H17" s="73" t="n">
        <v>0</v>
      </c>
      <c r="I17" s="73" t="n">
        <v>0</v>
      </c>
      <c r="J17" s="73" t="n">
        <v>0</v>
      </c>
      <c r="K17" s="73" t="n">
        <v>0</v>
      </c>
      <c r="L17" s="73" t="n">
        <v>0</v>
      </c>
      <c r="M17" s="73" t="n">
        <v>0</v>
      </c>
      <c r="N17" s="73" t="n">
        <v>0</v>
      </c>
      <c r="O17" s="73" t="n"/>
    </row>
    <row r="18">
      <c r="B18" s="57" t="inlineStr">
        <is>
          <t>Total Liabilities</t>
        </is>
      </c>
      <c r="C18" s="71" t="n">
        <v>159109</v>
      </c>
      <c r="D18" s="71" t="n">
        <v>176884</v>
      </c>
      <c r="E18" s="71" t="n">
        <v>172447</v>
      </c>
      <c r="F18" s="71" t="n">
        <v>208722</v>
      </c>
      <c r="G18" s="71" t="n">
        <v>232773</v>
      </c>
      <c r="H18" s="71" t="n">
        <v>249149</v>
      </c>
      <c r="I18" s="71" t="n">
        <v>243909</v>
      </c>
      <c r="J18" s="71" t="n">
        <v>282422</v>
      </c>
      <c r="K18" s="71" t="n">
        <v>285396</v>
      </c>
      <c r="L18" s="71" t="n">
        <v>269312</v>
      </c>
      <c r="M18" s="71" t="n">
        <v>275459</v>
      </c>
      <c r="N18" s="71" t="n">
        <v>296515</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v>0</v>
      </c>
      <c r="D19" s="73" t="n">
        <v>0</v>
      </c>
      <c r="E19" s="73" t="n">
        <v>0</v>
      </c>
      <c r="F19" s="73" t="n">
        <v>0</v>
      </c>
      <c r="G19" s="73" t="n">
        <v>0</v>
      </c>
      <c r="H19" s="73" t="n">
        <v>0</v>
      </c>
      <c r="I19" s="73" t="n">
        <v>0</v>
      </c>
      <c r="J19" s="73" t="n">
        <v>0</v>
      </c>
      <c r="K19" s="73" t="n">
        <v>0</v>
      </c>
      <c r="L19" s="73" t="n">
        <v>0</v>
      </c>
      <c r="M19" s="73" t="n">
        <v>0</v>
      </c>
      <c r="N19" s="73" t="n">
        <v>0</v>
      </c>
      <c r="O19" s="73" t="n"/>
      <c r="R19" t="inlineStr">
        <is>
          <t>Cash from Operating Activity -</t>
        </is>
      </c>
      <c r="S19" s="73" t="n">
        <v>11880</v>
      </c>
      <c r="T19" s="73" t="n">
        <v>11455</v>
      </c>
      <c r="U19" s="73" t="n">
        <v>10824</v>
      </c>
      <c r="V19" s="73" t="n">
        <v>8023</v>
      </c>
      <c r="W19" s="73" t="n">
        <v>25336</v>
      </c>
      <c r="X19" s="73" t="n">
        <v>20169</v>
      </c>
      <c r="Y19" s="73" t="n">
        <v>44327</v>
      </c>
      <c r="Z19" s="73" t="n">
        <v>44381</v>
      </c>
      <c r="AA19" s="73" t="n">
        <v>21683</v>
      </c>
      <c r="AB19" s="73" t="n">
        <v>20301</v>
      </c>
      <c r="AC19" s="73" t="n">
        <v>23138</v>
      </c>
      <c r="AD19" s="73" t="n">
        <v>35064</v>
      </c>
      <c r="AE19" t="n">
        <v>0</v>
      </c>
    </row>
    <row r="20">
      <c r="C20" s="73" t="n">
        <v>0</v>
      </c>
      <c r="D20" s="73" t="n">
        <v>0</v>
      </c>
      <c r="E20" s="73" t="n">
        <v>0</v>
      </c>
      <c r="F20" s="73" t="n">
        <v>0</v>
      </c>
      <c r="G20" s="73" t="n">
        <v>0</v>
      </c>
      <c r="H20" s="73" t="n">
        <v>0</v>
      </c>
      <c r="I20" s="73" t="n">
        <v>0</v>
      </c>
      <c r="J20" s="73" t="n">
        <v>0</v>
      </c>
      <c r="K20" s="73" t="n">
        <v>0</v>
      </c>
      <c r="L20" s="73" t="n">
        <v>0</v>
      </c>
      <c r="M20" s="73" t="n">
        <v>0</v>
      </c>
      <c r="N20" s="73" t="n">
        <v>0</v>
      </c>
      <c r="O20" s="73" t="n"/>
      <c r="R20" t="inlineStr">
        <is>
          <t>Profit from operations</t>
        </is>
      </c>
      <c r="S20" s="73" t="n">
        <v>13955</v>
      </c>
      <c r="T20" s="73" t="n">
        <v>6824</v>
      </c>
      <c r="U20" s="73" t="n">
        <v>17581</v>
      </c>
      <c r="V20" s="73" t="n">
        <v>20187</v>
      </c>
      <c r="W20" s="73" t="n">
        <v>27840</v>
      </c>
      <c r="X20" s="73" t="n">
        <v>18078</v>
      </c>
      <c r="Y20" s="73" t="n">
        <v>28540</v>
      </c>
      <c r="Z20" s="73" t="n">
        <v>65900</v>
      </c>
      <c r="AA20" s="73" t="n">
        <v>30908</v>
      </c>
      <c r="AB20" s="73" t="n">
        <v>22237</v>
      </c>
      <c r="AC20" s="73" t="n">
        <v>23929</v>
      </c>
      <c r="AD20" s="73" t="n">
        <v>34219</v>
      </c>
      <c r="AE20" t="n">
        <v>0</v>
      </c>
    </row>
    <row r="21">
      <c r="B21" s="73" t="inlineStr">
        <is>
          <t>Fixed Assets -</t>
        </is>
      </c>
      <c r="C21" s="73" t="n">
        <v>68100</v>
      </c>
      <c r="D21" s="73" t="n">
        <v>72200</v>
      </c>
      <c r="E21" s="73" t="n">
        <v>92007</v>
      </c>
      <c r="F21" s="73" t="n">
        <v>96105</v>
      </c>
      <c r="G21" s="73" t="n">
        <v>124442</v>
      </c>
      <c r="H21" s="73" t="n">
        <v>134551</v>
      </c>
      <c r="I21" s="73" t="n">
        <v>135775</v>
      </c>
      <c r="J21" s="73" t="n">
        <v>133288</v>
      </c>
      <c r="K21" s="73" t="n">
        <v>146621</v>
      </c>
      <c r="L21" s="73" t="n">
        <v>148814</v>
      </c>
      <c r="M21" s="73" t="n">
        <v>150914</v>
      </c>
      <c r="N21" s="73" t="n">
        <v>179908</v>
      </c>
      <c r="R21" t="inlineStr">
        <is>
          <t>Receivables</t>
        </is>
      </c>
      <c r="S21" t="n">
        <v>1442</v>
      </c>
      <c r="T21" t="n">
        <v>0</v>
      </c>
      <c r="U21" t="n">
        <v>0</v>
      </c>
      <c r="V21" t="n">
        <v>0</v>
      </c>
      <c r="W21" t="n">
        <v>0</v>
      </c>
      <c r="X21" s="73" t="n">
        <v>0</v>
      </c>
      <c r="Y21" t="n">
        <v>0</v>
      </c>
      <c r="Z21" t="n">
        <v>0</v>
      </c>
      <c r="AA21" t="n">
        <v>0</v>
      </c>
      <c r="AB21" t="n">
        <v>0</v>
      </c>
      <c r="AC21" s="73" t="n">
        <v>0</v>
      </c>
      <c r="AD21" t="n">
        <v>0</v>
      </c>
      <c r="AE21" t="n">
        <v>0</v>
      </c>
    </row>
    <row r="22">
      <c r="B22" s="73" t="inlineStr">
        <is>
          <t>Land</t>
        </is>
      </c>
      <c r="C22" s="73" t="n">
        <v>2433</v>
      </c>
      <c r="D22" s="73" t="n">
        <v>16499</v>
      </c>
      <c r="E22" s="73" t="n">
        <v>16545</v>
      </c>
      <c r="F22" s="73" t="n">
        <v>16955</v>
      </c>
      <c r="G22" s="73" t="n">
        <v>17126</v>
      </c>
      <c r="H22" s="73" t="n">
        <v>19853</v>
      </c>
      <c r="I22" s="73" t="n">
        <v>20656</v>
      </c>
      <c r="J22" s="73" t="n">
        <v>20770</v>
      </c>
      <c r="K22" s="73" t="n">
        <v>21701</v>
      </c>
      <c r="L22" s="73" t="n">
        <v>22067</v>
      </c>
      <c r="M22" s="73" t="n">
        <v>22299</v>
      </c>
      <c r="N22" s="73" t="n">
        <v>23659</v>
      </c>
      <c r="O22" s="73" t="n"/>
      <c r="R22" t="inlineStr">
        <is>
          <t>Inventory</t>
        </is>
      </c>
      <c r="S22" t="n">
        <v>-485</v>
      </c>
      <c r="T22" t="n">
        <v>5618</v>
      </c>
      <c r="U22" t="n">
        <v>-8243</v>
      </c>
      <c r="V22" t="n">
        <v>-1595</v>
      </c>
      <c r="W22" t="n">
        <v>-1069</v>
      </c>
      <c r="X22" t="n">
        <v>1562</v>
      </c>
      <c r="Y22" s="73" t="n">
        <v>46</v>
      </c>
      <c r="Z22" t="n">
        <v>-16917</v>
      </c>
      <c r="AA22" s="73" t="n">
        <v>-4031</v>
      </c>
      <c r="AB22" s="73" t="n">
        <v>5566</v>
      </c>
      <c r="AC22" s="73" t="n">
        <v>4776</v>
      </c>
      <c r="AD22" s="73" t="n">
        <v>1290</v>
      </c>
      <c r="AE22" t="n">
        <v>0</v>
      </c>
    </row>
    <row r="23">
      <c r="B23" s="73" t="inlineStr">
        <is>
          <t>Building</t>
        </is>
      </c>
      <c r="C23" s="73" t="n">
        <v>14186</v>
      </c>
      <c r="D23" s="73" t="n">
        <v>11058</v>
      </c>
      <c r="E23" s="73" t="n">
        <v>11141</v>
      </c>
      <c r="F23" s="73" t="n">
        <v>12148</v>
      </c>
      <c r="G23" s="73" t="n">
        <v>21753</v>
      </c>
      <c r="H23" s="73" t="n">
        <v>25883</v>
      </c>
      <c r="I23" s="73" t="n">
        <v>26828</v>
      </c>
      <c r="J23" s="73" t="n">
        <v>27588</v>
      </c>
      <c r="K23" s="73" t="n">
        <v>28904</v>
      </c>
      <c r="L23" s="73" t="n">
        <v>30173</v>
      </c>
      <c r="M23" s="73" t="n">
        <v>31819</v>
      </c>
      <c r="N23" s="73" t="n">
        <v>36997</v>
      </c>
      <c r="O23" s="73" t="n"/>
      <c r="R23" t="inlineStr">
        <is>
          <t>Payables</t>
        </is>
      </c>
      <c r="S23" t="n">
        <v>-605</v>
      </c>
      <c r="T23" t="n">
        <v>0</v>
      </c>
      <c r="U23" t="n">
        <v>0</v>
      </c>
      <c r="V23" s="73" t="n">
        <v>0</v>
      </c>
      <c r="W23" t="n">
        <v>0</v>
      </c>
      <c r="X23" t="n">
        <v>0</v>
      </c>
      <c r="Y23" s="73" t="n">
        <v>0</v>
      </c>
      <c r="Z23" s="73" t="n">
        <v>0</v>
      </c>
      <c r="AA23" s="73" t="n">
        <v>0</v>
      </c>
      <c r="AB23" t="n">
        <v>0</v>
      </c>
      <c r="AC23" s="73" t="n">
        <v>0</v>
      </c>
      <c r="AD23" t="n">
        <v>0</v>
      </c>
      <c r="AE23" t="n">
        <v>0</v>
      </c>
    </row>
    <row r="24">
      <c r="B24" s="73" t="inlineStr">
        <is>
          <t>Plant Machinery</t>
        </is>
      </c>
      <c r="C24" s="73" t="n">
        <v>124249</v>
      </c>
      <c r="D24" s="73" t="n">
        <v>73865</v>
      </c>
      <c r="E24" s="73" t="n">
        <v>93462</v>
      </c>
      <c r="F24" s="73" t="n">
        <v>104889</v>
      </c>
      <c r="G24" s="73" t="n">
        <v>127435</v>
      </c>
      <c r="H24" s="73" t="n">
        <v>141914</v>
      </c>
      <c r="I24" s="73" t="n">
        <v>155596</v>
      </c>
      <c r="J24" s="73" t="n">
        <v>152754</v>
      </c>
      <c r="K24" s="73" t="n">
        <v>163134</v>
      </c>
      <c r="L24" s="73" t="n">
        <v>175111</v>
      </c>
      <c r="M24" s="73" t="n">
        <v>186115</v>
      </c>
      <c r="N24" s="73" t="n">
        <v>224912</v>
      </c>
      <c r="R24" t="inlineStr">
        <is>
          <t>Working capital changes</t>
        </is>
      </c>
      <c r="S24" t="n">
        <v>351</v>
      </c>
      <c r="T24" t="n">
        <v>6166</v>
      </c>
      <c r="U24" t="n">
        <v>-4914</v>
      </c>
      <c r="V24" s="73" t="n">
        <v>-9276</v>
      </c>
      <c r="W24" t="n">
        <v>2591</v>
      </c>
      <c r="X24" t="n">
        <v>4196</v>
      </c>
      <c r="Y24" t="n">
        <v>16491</v>
      </c>
      <c r="Z24" t="n">
        <v>-9618</v>
      </c>
      <c r="AA24" t="n">
        <v>-3706</v>
      </c>
      <c r="AB24" s="73" t="n">
        <v>3384</v>
      </c>
      <c r="AC24" s="73" t="n">
        <v>2207</v>
      </c>
      <c r="AD24" s="73" t="n">
        <v>5442</v>
      </c>
      <c r="AE24" t="n">
        <v>0</v>
      </c>
    </row>
    <row r="25">
      <c r="B25" t="inlineStr">
        <is>
          <t>Equipments</t>
        </is>
      </c>
      <c r="C25" t="n">
        <v>403</v>
      </c>
      <c r="D25" t="n">
        <v>414</v>
      </c>
      <c r="E25" t="n">
        <v>543</v>
      </c>
      <c r="F25" t="n">
        <v>668</v>
      </c>
      <c r="G25" t="n">
        <v>739</v>
      </c>
      <c r="H25" t="n">
        <v>796</v>
      </c>
      <c r="I25" t="n">
        <v>0</v>
      </c>
      <c r="J25" t="n">
        <v>0</v>
      </c>
      <c r="K25" t="n">
        <v>0</v>
      </c>
      <c r="L25" t="n">
        <v>0</v>
      </c>
      <c r="M25" t="n">
        <v>0</v>
      </c>
      <c r="N25" t="n">
        <v>0</v>
      </c>
      <c r="R25" t="inlineStr">
        <is>
          <t>Direct taxes</t>
        </is>
      </c>
      <c r="S25" s="73" t="n">
        <v>-2427</v>
      </c>
      <c r="T25" s="73" t="n">
        <v>-1534</v>
      </c>
      <c r="U25" s="73" t="n">
        <v>-1843</v>
      </c>
      <c r="V25" s="73" t="n">
        <v>-2888</v>
      </c>
      <c r="W25" s="73" t="n">
        <v>-5094</v>
      </c>
      <c r="X25" s="73" t="n">
        <v>-2106</v>
      </c>
      <c r="Y25" s="73" t="n">
        <v>-704</v>
      </c>
      <c r="Z25" s="73" t="n">
        <v>-11902</v>
      </c>
      <c r="AA25" s="73" t="n">
        <v>-5519</v>
      </c>
      <c r="AB25" s="73" t="n">
        <v>-5320</v>
      </c>
      <c r="AC25" s="73" t="n">
        <v>-2998</v>
      </c>
      <c r="AD25" s="73" t="n">
        <v>-4597</v>
      </c>
      <c r="AE25" t="n">
        <v>0</v>
      </c>
    </row>
    <row r="26">
      <c r="B26" s="73" t="inlineStr">
        <is>
          <t>Furniture n fittings</t>
        </is>
      </c>
      <c r="C26" s="73" t="n">
        <v>916</v>
      </c>
      <c r="D26" s="73" t="n">
        <v>0</v>
      </c>
      <c r="E26" s="73" t="n">
        <v>0</v>
      </c>
      <c r="F26" s="73" t="n">
        <v>0</v>
      </c>
      <c r="G26" s="73" t="n">
        <v>0</v>
      </c>
      <c r="H26" s="73" t="n">
        <v>19</v>
      </c>
      <c r="I26" s="73" t="n">
        <v>1047</v>
      </c>
      <c r="J26" s="73" t="n">
        <v>991</v>
      </c>
      <c r="K26" s="73" t="n">
        <v>1111</v>
      </c>
      <c r="L26" s="73" t="n">
        <v>1238</v>
      </c>
      <c r="M26" s="73" t="n">
        <v>1298</v>
      </c>
      <c r="N26" s="73" t="n">
        <v>1429</v>
      </c>
      <c r="R26" t="inlineStr">
        <is>
          <t>Cash from Investing Activity -</t>
        </is>
      </c>
      <c r="S26" s="73" t="n">
        <v>-9021</v>
      </c>
      <c r="T26" s="73" t="n">
        <v>-8794</v>
      </c>
      <c r="U26" s="73" t="n">
        <v>-9490</v>
      </c>
      <c r="V26" s="73" t="n">
        <v>-11730</v>
      </c>
      <c r="W26" s="73" t="n">
        <v>-29176</v>
      </c>
      <c r="X26" s="73" t="n">
        <v>-14012</v>
      </c>
      <c r="Y26" s="73" t="n">
        <v>-9437</v>
      </c>
      <c r="Z26" s="73" t="n">
        <v>-10905</v>
      </c>
      <c r="AA26" s="73" t="n">
        <v>-18179</v>
      </c>
      <c r="AB26" s="73" t="n">
        <v>-14253</v>
      </c>
      <c r="AC26" t="n">
        <v>-13611</v>
      </c>
      <c r="AD26" s="73" t="n">
        <v>-14397</v>
      </c>
      <c r="AE26" t="n">
        <v>0</v>
      </c>
    </row>
    <row r="27">
      <c r="B27" s="73" t="inlineStr">
        <is>
          <t>Railway sidings</t>
        </is>
      </c>
      <c r="C27" s="73" t="n">
        <v>1239</v>
      </c>
      <c r="D27" s="73" t="n">
        <v>757</v>
      </c>
      <c r="E27" s="73" t="n">
        <v>1350</v>
      </c>
      <c r="F27" s="73" t="n">
        <v>1397</v>
      </c>
      <c r="G27" s="73" t="n">
        <v>1549</v>
      </c>
      <c r="H27" s="73" t="n">
        <v>1676</v>
      </c>
      <c r="I27" s="73" t="n">
        <v>1671</v>
      </c>
      <c r="J27" s="73" t="n">
        <v>1780</v>
      </c>
      <c r="K27" s="73" t="n">
        <v>1841</v>
      </c>
      <c r="L27" s="73" t="n">
        <v>1872</v>
      </c>
      <c r="M27" s="73" t="n">
        <v>1890</v>
      </c>
      <c r="N27" s="73" t="n">
        <v>2384</v>
      </c>
      <c r="R27" t="inlineStr">
        <is>
          <t>Fixed assets purchased</t>
        </is>
      </c>
      <c r="S27" s="73" t="n">
        <v>-13492</v>
      </c>
      <c r="T27" s="73" t="n">
        <v>-10163</v>
      </c>
      <c r="U27" s="73" t="n">
        <v>-7716</v>
      </c>
      <c r="V27" s="73" t="n">
        <v>-7478</v>
      </c>
      <c r="W27" s="73" t="n">
        <v>-9091</v>
      </c>
      <c r="X27" s="73" t="n">
        <v>-10398</v>
      </c>
      <c r="Y27" s="73" t="n">
        <v>-6979</v>
      </c>
      <c r="Z27" s="73" t="n">
        <v>-10522</v>
      </c>
      <c r="AA27" s="73" t="n">
        <v>-14142</v>
      </c>
      <c r="AB27" s="73" t="n">
        <v>-18207</v>
      </c>
      <c r="AC27" s="73" t="n">
        <v>-15671</v>
      </c>
      <c r="AD27" s="73" t="n">
        <v>-14559</v>
      </c>
      <c r="AE27" t="n">
        <v>0</v>
      </c>
    </row>
    <row r="28">
      <c r="B28" t="inlineStr">
        <is>
          <t>Vehicles</t>
        </is>
      </c>
      <c r="C28" t="n">
        <v>376</v>
      </c>
      <c r="D28" t="n">
        <v>335</v>
      </c>
      <c r="E28" t="n">
        <v>352</v>
      </c>
      <c r="F28" t="n">
        <v>343</v>
      </c>
      <c r="G28" t="n">
        <v>398</v>
      </c>
      <c r="H28" t="n">
        <v>615</v>
      </c>
      <c r="I28" t="n">
        <v>681</v>
      </c>
      <c r="J28" t="n">
        <v>686</v>
      </c>
      <c r="K28" t="n">
        <v>749</v>
      </c>
      <c r="L28" t="n">
        <v>794</v>
      </c>
      <c r="M28" t="n">
        <v>830</v>
      </c>
      <c r="N28" t="n">
        <v>978</v>
      </c>
      <c r="O28" s="73" t="n"/>
      <c r="R28" t="inlineStr">
        <is>
          <t>Fixed assets sold</t>
        </is>
      </c>
      <c r="S28" s="73" t="n">
        <v>1444</v>
      </c>
      <c r="T28" s="73" t="n">
        <v>231</v>
      </c>
      <c r="U28" s="73" t="n">
        <v>289</v>
      </c>
      <c r="V28" s="73" t="n">
        <v>179</v>
      </c>
      <c r="W28" s="73" t="n">
        <v>467</v>
      </c>
      <c r="X28" s="73" t="n">
        <v>386</v>
      </c>
      <c r="Y28" s="73" t="n">
        <v>445</v>
      </c>
      <c r="Z28" s="73" t="n">
        <v>569</v>
      </c>
      <c r="AA28" s="73" t="n">
        <v>328</v>
      </c>
      <c r="AB28" t="n">
        <v>475</v>
      </c>
      <c r="AC28" s="73" t="n">
        <v>1264</v>
      </c>
      <c r="AD28" s="73" t="n">
        <v>1401</v>
      </c>
      <c r="AE28" t="n">
        <v>0</v>
      </c>
    </row>
    <row r="29">
      <c r="B29" t="inlineStr">
        <is>
          <t>Intangible Assets</t>
        </is>
      </c>
      <c r="C29" t="n">
        <v>13500</v>
      </c>
      <c r="D29" t="n">
        <v>6026</v>
      </c>
      <c r="E29" t="n">
        <v>4990</v>
      </c>
      <c r="F29" t="n">
        <v>5810</v>
      </c>
      <c r="G29" t="n">
        <v>4293</v>
      </c>
      <c r="H29" t="n">
        <v>5868</v>
      </c>
      <c r="I29" s="73" t="n">
        <v>6289</v>
      </c>
      <c r="J29" s="73" t="n">
        <v>6229</v>
      </c>
      <c r="K29" s="73" t="n">
        <v>7572</v>
      </c>
      <c r="L29" s="73" t="n">
        <v>7772</v>
      </c>
      <c r="M29" s="73" t="n">
        <v>7896</v>
      </c>
      <c r="N29" s="73" t="n">
        <v>10230</v>
      </c>
      <c r="R29" t="inlineStr">
        <is>
          <t>Investments purchased</t>
        </is>
      </c>
      <c r="S29" s="73" t="n">
        <v>1531</v>
      </c>
      <c r="T29" s="73" t="n">
        <v>-3796</v>
      </c>
      <c r="U29" s="73" t="n">
        <v>-861</v>
      </c>
      <c r="V29" s="73" t="n">
        <v>-8641</v>
      </c>
      <c r="W29" s="73" t="n">
        <v>-490</v>
      </c>
      <c r="X29" s="73" t="n">
        <v>-828</v>
      </c>
      <c r="Y29" s="73" t="n">
        <v>-3631</v>
      </c>
      <c r="Z29" s="73" t="n">
        <v>-1153</v>
      </c>
      <c r="AA29" s="73" t="n">
        <v>-326</v>
      </c>
      <c r="AB29" s="73" t="n">
        <v>-4</v>
      </c>
      <c r="AC29" s="73" t="n">
        <v>-393</v>
      </c>
      <c r="AD29" s="73" t="n">
        <v>-553</v>
      </c>
      <c r="AE29" t="n">
        <v>0</v>
      </c>
    </row>
    <row r="30">
      <c r="B30" t="inlineStr">
        <is>
          <t>Other fixed assets</t>
        </is>
      </c>
      <c r="C30" t="n">
        <v>7315</v>
      </c>
      <c r="D30" t="n">
        <v>5154</v>
      </c>
      <c r="E30" t="n">
        <v>2919</v>
      </c>
      <c r="F30" t="n">
        <v>3233</v>
      </c>
      <c r="G30" t="n">
        <v>3742</v>
      </c>
      <c r="H30" t="n">
        <v>4424</v>
      </c>
      <c r="I30" t="n">
        <v>5171</v>
      </c>
      <c r="J30" t="n">
        <v>10953</v>
      </c>
      <c r="K30" t="n">
        <v>20384</v>
      </c>
      <c r="L30" t="n">
        <v>20546</v>
      </c>
      <c r="M30" t="n">
        <v>20881</v>
      </c>
      <c r="N30" s="73" t="n">
        <v>22389</v>
      </c>
      <c r="O30" s="73" t="n"/>
      <c r="R30" t="inlineStr">
        <is>
          <t>Investments sold</t>
        </is>
      </c>
      <c r="S30" s="73" t="n">
        <v>262</v>
      </c>
      <c r="T30" s="73" t="n">
        <v>4275</v>
      </c>
      <c r="U30" s="73" t="n">
        <v>91</v>
      </c>
      <c r="V30" s="73" t="n">
        <v>3899</v>
      </c>
      <c r="W30" s="73" t="n">
        <v>13556</v>
      </c>
      <c r="X30" s="73" t="n">
        <v>121</v>
      </c>
      <c r="Y30" s="73" t="n">
        <v>0</v>
      </c>
      <c r="Z30" s="73" t="n">
        <v>63</v>
      </c>
      <c r="AA30" s="73" t="n">
        <v>5191</v>
      </c>
      <c r="AB30" s="73" t="n">
        <v>3171</v>
      </c>
      <c r="AC30" s="73" t="n">
        <v>554</v>
      </c>
      <c r="AD30" s="73" t="n">
        <v>20</v>
      </c>
      <c r="AE30" t="n">
        <v>0</v>
      </c>
    </row>
    <row r="31">
      <c r="B31" t="inlineStr">
        <is>
          <t>Gross Block</t>
        </is>
      </c>
      <c r="C31" s="73" t="n">
        <v>164618</v>
      </c>
      <c r="D31" s="73" t="n">
        <v>114109</v>
      </c>
      <c r="E31" s="73" t="n">
        <v>131302</v>
      </c>
      <c r="F31" s="73" t="n">
        <v>145444</v>
      </c>
      <c r="G31" s="73" t="n">
        <v>177037</v>
      </c>
      <c r="H31" s="73" t="n">
        <v>201047</v>
      </c>
      <c r="I31" s="73" t="n">
        <v>217939</v>
      </c>
      <c r="J31" s="73" t="n">
        <v>221752</v>
      </c>
      <c r="K31" s="73" t="n">
        <v>245395</v>
      </c>
      <c r="L31" s="73" t="n">
        <v>259572</v>
      </c>
      <c r="M31" s="73" t="n">
        <v>273028</v>
      </c>
      <c r="N31" s="73" t="n">
        <v>322978</v>
      </c>
      <c r="O31" s="73" t="n"/>
      <c r="R31" t="inlineStr">
        <is>
          <t>Interest received</t>
        </is>
      </c>
      <c r="S31" t="n">
        <v>211</v>
      </c>
      <c r="T31" t="n">
        <v>133</v>
      </c>
      <c r="U31" s="73" t="n">
        <v>140</v>
      </c>
      <c r="V31" s="73" t="n">
        <v>254</v>
      </c>
      <c r="W31" s="73" t="n">
        <v>175</v>
      </c>
      <c r="X31" s="73" t="n">
        <v>203</v>
      </c>
      <c r="Y31" s="73" t="n">
        <v>266</v>
      </c>
      <c r="Z31" s="73" t="n">
        <v>137</v>
      </c>
      <c r="AA31" s="73" t="n">
        <v>248</v>
      </c>
      <c r="AB31" s="73" t="n">
        <v>333</v>
      </c>
      <c r="AC31" s="73" t="n">
        <v>616</v>
      </c>
      <c r="AD31" s="73" t="n">
        <v>650</v>
      </c>
      <c r="AE31" t="n">
        <v>0</v>
      </c>
    </row>
    <row r="32">
      <c r="B32" s="73" t="inlineStr">
        <is>
          <t>Accumulated Depreciation</t>
        </is>
      </c>
      <c r="C32" s="73" t="n">
        <v>96518</v>
      </c>
      <c r="D32" s="73" t="n">
        <v>41909</v>
      </c>
      <c r="E32" s="73" t="n">
        <v>39295</v>
      </c>
      <c r="F32" s="73" t="n">
        <v>49339</v>
      </c>
      <c r="G32" s="73" t="n">
        <v>52595</v>
      </c>
      <c r="H32" s="73" t="n">
        <v>66496</v>
      </c>
      <c r="I32" s="73" t="n">
        <v>82164</v>
      </c>
      <c r="J32" s="73" t="n">
        <v>88464</v>
      </c>
      <c r="K32" s="73" t="n">
        <v>98773</v>
      </c>
      <c r="L32" s="73" t="n">
        <v>110758</v>
      </c>
      <c r="M32" s="73" t="n">
        <v>122114</v>
      </c>
      <c r="N32" s="73" t="n">
        <v>143070</v>
      </c>
      <c r="O32" s="73" t="n"/>
      <c r="R32" t="inlineStr">
        <is>
          <t>Dividends received</t>
        </is>
      </c>
      <c r="S32" t="n">
        <v>127</v>
      </c>
      <c r="T32" t="n">
        <v>108</v>
      </c>
      <c r="U32" s="73" t="n">
        <v>85</v>
      </c>
      <c r="V32" t="n">
        <v>111</v>
      </c>
      <c r="W32" t="n">
        <v>148</v>
      </c>
      <c r="X32" t="n">
        <v>103</v>
      </c>
      <c r="Y32" s="73" t="n">
        <v>135</v>
      </c>
      <c r="Z32" s="73" t="n">
        <v>162</v>
      </c>
      <c r="AA32" s="73" t="n">
        <v>317</v>
      </c>
      <c r="AB32" s="73" t="n">
        <v>336</v>
      </c>
      <c r="AC32" s="73" t="n">
        <v>294</v>
      </c>
      <c r="AD32" s="73" t="n">
        <v>408</v>
      </c>
      <c r="AE32" t="n">
        <v>0</v>
      </c>
    </row>
    <row r="33">
      <c r="B33" t="inlineStr">
        <is>
          <t>Net Block</t>
        </is>
      </c>
      <c r="C33" s="73" t="n">
        <v>68100</v>
      </c>
      <c r="D33" s="73" t="n">
        <v>72200</v>
      </c>
      <c r="E33" s="73" t="n">
        <v>92007</v>
      </c>
      <c r="F33" s="73" t="n">
        <v>96105</v>
      </c>
      <c r="G33" s="73" t="n">
        <v>124442</v>
      </c>
      <c r="H33" s="73" t="n">
        <v>134551</v>
      </c>
      <c r="I33" s="73" t="n">
        <v>135775</v>
      </c>
      <c r="J33" s="73" t="n">
        <v>133288</v>
      </c>
      <c r="K33" s="73" t="n">
        <v>146621</v>
      </c>
      <c r="L33" s="73" t="n">
        <v>148814</v>
      </c>
      <c r="M33" s="73" t="n">
        <v>150914</v>
      </c>
      <c r="N33" s="73" t="n">
        <v>179908</v>
      </c>
      <c r="O33" s="73" t="n"/>
      <c r="R33" t="inlineStr">
        <is>
          <t>Invest in subsidiaries</t>
        </is>
      </c>
      <c r="S33" t="n">
        <v>0</v>
      </c>
      <c r="T33" t="n">
        <v>0</v>
      </c>
      <c r="U33" t="n">
        <v>0</v>
      </c>
      <c r="V33" t="n">
        <v>0</v>
      </c>
      <c r="W33" t="n">
        <v>0</v>
      </c>
      <c r="X33" t="n">
        <v>0</v>
      </c>
      <c r="Y33" t="n">
        <v>0</v>
      </c>
      <c r="Z33" t="n">
        <v>0</v>
      </c>
      <c r="AA33" t="n">
        <v>0</v>
      </c>
      <c r="AB33" t="n">
        <v>0</v>
      </c>
      <c r="AC33" t="n">
        <v>0</v>
      </c>
      <c r="AD33" t="n">
        <v>0</v>
      </c>
      <c r="AE33" t="n">
        <v>0</v>
      </c>
    </row>
    <row r="34">
      <c r="C34" s="73" t="n">
        <v>0</v>
      </c>
      <c r="D34" t="n">
        <v>0</v>
      </c>
      <c r="E34" t="n">
        <v>0</v>
      </c>
      <c r="F34" s="73" t="n">
        <v>0</v>
      </c>
      <c r="G34" s="73" t="n">
        <v>0</v>
      </c>
      <c r="H34" s="73" t="n">
        <v>0</v>
      </c>
      <c r="I34" s="73" t="n">
        <v>0</v>
      </c>
      <c r="J34" s="73" t="n">
        <v>0</v>
      </c>
      <c r="K34" s="73" t="n">
        <v>0</v>
      </c>
      <c r="L34" s="73" t="n">
        <v>0</v>
      </c>
      <c r="M34" s="73" t="n">
        <v>0</v>
      </c>
      <c r="N34" s="73" t="n">
        <v>0</v>
      </c>
      <c r="R34" t="inlineStr">
        <is>
          <t>Investment in group cos</t>
        </is>
      </c>
      <c r="S34" s="73" t="n">
        <v>0</v>
      </c>
      <c r="T34" s="73" t="n">
        <v>0</v>
      </c>
      <c r="U34" s="73" t="n">
        <v>0</v>
      </c>
      <c r="V34" s="73" t="n">
        <v>0</v>
      </c>
      <c r="W34" s="73" t="n">
        <v>0</v>
      </c>
      <c r="X34" s="73" t="n">
        <v>0</v>
      </c>
      <c r="Y34" s="73" t="n">
        <v>0</v>
      </c>
      <c r="Z34" s="73" t="n">
        <v>0</v>
      </c>
      <c r="AA34" s="73" t="n">
        <v>0</v>
      </c>
      <c r="AB34" s="73" t="n">
        <v>0</v>
      </c>
      <c r="AC34" s="73" t="n">
        <v>0</v>
      </c>
      <c r="AD34" s="73" t="n">
        <v>0</v>
      </c>
      <c r="AE34" t="n">
        <v>0</v>
      </c>
    </row>
    <row r="35">
      <c r="B35" t="inlineStr">
        <is>
          <t>CWIP</t>
        </is>
      </c>
      <c r="C35" s="73" t="n">
        <v>28678</v>
      </c>
      <c r="D35" s="73" t="n">
        <v>35996</v>
      </c>
      <c r="E35" s="73" t="n">
        <v>15784</v>
      </c>
      <c r="F35" s="73" t="n">
        <v>16614</v>
      </c>
      <c r="G35" s="73" t="n">
        <v>18641</v>
      </c>
      <c r="H35" s="73" t="n">
        <v>19497</v>
      </c>
      <c r="I35" s="73" t="n">
        <v>19007</v>
      </c>
      <c r="J35" s="73" t="n">
        <v>22046</v>
      </c>
      <c r="K35" s="73" t="n">
        <v>31213</v>
      </c>
      <c r="L35" s="73" t="n">
        <v>34356</v>
      </c>
      <c r="M35" s="73" t="n">
        <v>41622</v>
      </c>
      <c r="N35" s="73" t="n">
        <v>28497</v>
      </c>
      <c r="O35" s="73" t="n"/>
      <c r="R35" t="inlineStr">
        <is>
          <t>Redemp n Canc of Shares</t>
        </is>
      </c>
      <c r="S35" s="73" t="n">
        <v>1301</v>
      </c>
      <c r="T35" s="73" t="n">
        <v>0</v>
      </c>
      <c r="U35" s="73" t="n">
        <v>0</v>
      </c>
      <c r="V35" s="73" t="n">
        <v>34</v>
      </c>
      <c r="W35" s="73" t="n">
        <v>156</v>
      </c>
      <c r="X35" s="73" t="n">
        <v>378</v>
      </c>
      <c r="Y35" s="73" t="n">
        <v>90</v>
      </c>
      <c r="Z35" s="73" t="n">
        <v>1208</v>
      </c>
      <c r="AA35" s="73" t="n">
        <v>166</v>
      </c>
      <c r="AB35" s="73" t="n">
        <v>123</v>
      </c>
      <c r="AC35" s="73" t="n">
        <v>28</v>
      </c>
      <c r="AD35" s="73" t="n">
        <v>611</v>
      </c>
      <c r="AE35" t="n">
        <v>0</v>
      </c>
    </row>
    <row r="36">
      <c r="B36" t="inlineStr">
        <is>
          <t>Investments</t>
        </is>
      </c>
      <c r="C36" s="73" t="n">
        <v>3455</v>
      </c>
      <c r="D36" s="73" t="n">
        <v>10714</v>
      </c>
      <c r="E36" s="73" t="n">
        <v>12457</v>
      </c>
      <c r="F36" s="73" t="n">
        <v>17899</v>
      </c>
      <c r="G36" s="73" t="n">
        <v>5738</v>
      </c>
      <c r="H36" s="73" t="n">
        <v>6285</v>
      </c>
      <c r="I36" s="73" t="n">
        <v>10682</v>
      </c>
      <c r="J36" s="73" t="n">
        <v>13140</v>
      </c>
      <c r="K36" s="73" t="n">
        <v>8410</v>
      </c>
      <c r="L36" s="73" t="n">
        <v>6258</v>
      </c>
      <c r="M36" s="73" t="n">
        <v>6194</v>
      </c>
      <c r="N36" s="73" t="n">
        <v>7089</v>
      </c>
      <c r="O36" s="73" t="n"/>
      <c r="R36" t="inlineStr">
        <is>
          <t>Other investing items</t>
        </is>
      </c>
      <c r="S36" s="73" t="n">
        <v>-573</v>
      </c>
      <c r="T36" s="73" t="n">
        <v>496</v>
      </c>
      <c r="U36" s="73" t="n">
        <v>-437</v>
      </c>
      <c r="V36" s="73" t="n">
        <v>166</v>
      </c>
      <c r="W36" s="73" t="n">
        <v>471</v>
      </c>
      <c r="X36" s="73" t="n">
        <v>456</v>
      </c>
      <c r="Y36" s="73" t="n">
        <v>236</v>
      </c>
      <c r="Z36" s="73" t="n">
        <v>-1315</v>
      </c>
      <c r="AA36" t="n">
        <v>609</v>
      </c>
      <c r="AB36" s="73" t="n">
        <v>-481</v>
      </c>
      <c r="AC36" t="n">
        <v>-298</v>
      </c>
      <c r="AD36" s="73" t="n">
        <v>472</v>
      </c>
      <c r="AE36" t="n">
        <v>0</v>
      </c>
    </row>
    <row r="37">
      <c r="C37" s="73" t="n">
        <v>0</v>
      </c>
      <c r="D37" s="73" t="n">
        <v>0</v>
      </c>
      <c r="E37" s="73" t="n">
        <v>0</v>
      </c>
      <c r="F37" s="73" t="n">
        <v>0</v>
      </c>
      <c r="G37" s="73" t="n">
        <v>0</v>
      </c>
      <c r="H37" s="73" t="n">
        <v>0</v>
      </c>
      <c r="I37" s="73" t="n">
        <v>0</v>
      </c>
      <c r="J37" s="73" t="n">
        <v>0</v>
      </c>
      <c r="K37" s="73" t="n">
        <v>0</v>
      </c>
      <c r="L37" s="73" t="n">
        <v>0</v>
      </c>
      <c r="M37" s="73" t="n">
        <v>0</v>
      </c>
      <c r="N37" s="73" t="n">
        <v>0</v>
      </c>
      <c r="O37" s="73" t="n"/>
      <c r="R37" t="inlineStr">
        <is>
          <t>Cash from Financing Activity -</t>
        </is>
      </c>
      <c r="S37" s="73" t="n">
        <v>-2617</v>
      </c>
      <c r="T37" s="73" t="n">
        <v>-4729</v>
      </c>
      <c r="U37" s="73" t="n">
        <v>-2579</v>
      </c>
      <c r="V37" s="73" t="n">
        <v>6640</v>
      </c>
      <c r="W37" s="73" t="n">
        <v>-673</v>
      </c>
      <c r="X37" s="73" t="n">
        <v>-1695</v>
      </c>
      <c r="Y37" s="73" t="n">
        <v>-37090</v>
      </c>
      <c r="Z37" s="73" t="n">
        <v>-23401</v>
      </c>
      <c r="AA37" s="73" t="n">
        <v>-6981</v>
      </c>
      <c r="AB37" s="73" t="n">
        <v>-11097</v>
      </c>
      <c r="AC37" s="73" t="n">
        <v>-7002</v>
      </c>
      <c r="AD37" s="73" t="n">
        <v>-21387</v>
      </c>
      <c r="AE37" t="n">
        <v>0</v>
      </c>
    </row>
    <row r="38">
      <c r="B38" t="inlineStr">
        <is>
          <t>Other Assets -</t>
        </is>
      </c>
      <c r="C38" s="73" t="n">
        <v>58876</v>
      </c>
      <c r="D38" s="73" t="n">
        <v>57974</v>
      </c>
      <c r="E38" s="73" t="n">
        <v>52200</v>
      </c>
      <c r="F38" s="73" t="n">
        <v>78103</v>
      </c>
      <c r="G38" s="73" t="n">
        <v>83952</v>
      </c>
      <c r="H38" s="73" t="n">
        <v>88816</v>
      </c>
      <c r="I38" s="73" t="n">
        <v>78445</v>
      </c>
      <c r="J38" s="73" t="n">
        <v>113948</v>
      </c>
      <c r="K38" s="73" t="n">
        <v>99151</v>
      </c>
      <c r="L38" s="73" t="n">
        <v>79885</v>
      </c>
      <c r="M38" s="73" t="n">
        <v>76728</v>
      </c>
      <c r="N38" s="73" t="n">
        <v>81021</v>
      </c>
      <c r="O38" s="73" t="n"/>
      <c r="R38" t="inlineStr">
        <is>
          <t>Proceeds from shares</t>
        </is>
      </c>
      <c r="S38" t="n">
        <v>13</v>
      </c>
      <c r="T38" t="n">
        <v>0</v>
      </c>
      <c r="U38" s="73" t="n">
        <v>652</v>
      </c>
      <c r="V38" t="n">
        <v>9087</v>
      </c>
      <c r="W38" t="n">
        <v>0</v>
      </c>
      <c r="X38" t="n">
        <v>188</v>
      </c>
      <c r="Y38" t="n">
        <v>3239</v>
      </c>
      <c r="Z38" t="n">
        <v>326</v>
      </c>
      <c r="AA38" s="73" t="n">
        <v>1</v>
      </c>
      <c r="AB38" s="73" t="n">
        <v>0</v>
      </c>
      <c r="AC38" t="n">
        <v>0</v>
      </c>
      <c r="AD38" t="n">
        <v>0</v>
      </c>
      <c r="AE38" t="n">
        <v>0</v>
      </c>
    </row>
    <row r="39">
      <c r="B39" t="inlineStr">
        <is>
          <t>Inventories</t>
        </is>
      </c>
      <c r="C39" s="73" t="n">
        <v>25150</v>
      </c>
      <c r="D39" s="73" t="n">
        <v>20013</v>
      </c>
      <c r="E39" s="73" t="n">
        <v>24804</v>
      </c>
      <c r="F39" s="73" t="n">
        <v>28331</v>
      </c>
      <c r="G39" s="73" t="n">
        <v>31656</v>
      </c>
      <c r="H39" s="73" t="n">
        <v>31069</v>
      </c>
      <c r="I39" s="73" t="n">
        <v>33276</v>
      </c>
      <c r="J39" s="73" t="n">
        <v>48824</v>
      </c>
      <c r="K39" s="73" t="n">
        <v>54415</v>
      </c>
      <c r="L39" s="73" t="n">
        <v>49158</v>
      </c>
      <c r="M39" s="73" t="n">
        <v>44590</v>
      </c>
      <c r="N39" s="73" t="n">
        <v>47249</v>
      </c>
      <c r="O39" s="73" t="n"/>
      <c r="R39" t="inlineStr">
        <is>
          <t>Proceeds from borrowings</t>
        </is>
      </c>
      <c r="S39" t="n">
        <v>0</v>
      </c>
      <c r="T39" t="n">
        <v>0</v>
      </c>
      <c r="U39" t="n">
        <v>0</v>
      </c>
      <c r="V39" t="n">
        <v>0</v>
      </c>
      <c r="W39" t="n">
        <v>33344</v>
      </c>
      <c r="X39" t="n">
        <v>16574</v>
      </c>
      <c r="Y39" t="n">
        <v>9801</v>
      </c>
      <c r="Z39" t="n">
        <v>12439</v>
      </c>
      <c r="AA39" t="n">
        <v>16769</v>
      </c>
      <c r="AB39" t="n">
        <v>14120</v>
      </c>
      <c r="AC39" t="n">
        <v>23893</v>
      </c>
      <c r="AD39" s="73" t="n">
        <v>15954</v>
      </c>
      <c r="AE39" t="n">
        <v>0</v>
      </c>
    </row>
    <row r="40">
      <c r="B40" t="inlineStr">
        <is>
          <t>Trade receivables +</t>
        </is>
      </c>
      <c r="C40" s="73" t="n">
        <v>13310</v>
      </c>
      <c r="D40" s="73" t="n">
        <v>12066</v>
      </c>
      <c r="E40" s="73" t="n">
        <v>11587</v>
      </c>
      <c r="F40" s="73" t="n">
        <v>12416</v>
      </c>
      <c r="G40" s="73" t="n">
        <v>11811</v>
      </c>
      <c r="H40" s="73" t="n">
        <v>7885</v>
      </c>
      <c r="I40" s="73" t="n">
        <v>9540</v>
      </c>
      <c r="J40" s="73" t="n">
        <v>12246</v>
      </c>
      <c r="K40" s="73" t="n">
        <v>8257</v>
      </c>
      <c r="L40" s="73" t="n">
        <v>6264</v>
      </c>
      <c r="M40" s="73" t="n">
        <v>5260</v>
      </c>
      <c r="N40" s="73" t="n">
        <v>4917</v>
      </c>
      <c r="O40" s="73" t="n"/>
      <c r="R40" t="inlineStr">
        <is>
          <t>Repayment of borrowings</t>
        </is>
      </c>
      <c r="S40" t="n">
        <v>0</v>
      </c>
      <c r="T40" t="n">
        <v>0</v>
      </c>
      <c r="U40" t="n">
        <v>0</v>
      </c>
      <c r="V40" s="73" t="n">
        <v>0</v>
      </c>
      <c r="W40" t="n">
        <v>-25077</v>
      </c>
      <c r="X40" t="n">
        <v>-7937</v>
      </c>
      <c r="Y40" s="73" t="n">
        <v>-39177</v>
      </c>
      <c r="Z40" t="n">
        <v>-26360</v>
      </c>
      <c r="AA40" s="73" t="n">
        <v>-10226</v>
      </c>
      <c r="AB40" s="73" t="n">
        <v>-11908</v>
      </c>
      <c r="AC40" s="73" t="n">
        <v>-17627</v>
      </c>
      <c r="AD40" s="73" t="n">
        <v>-23916</v>
      </c>
      <c r="AE40" t="n">
        <v>0</v>
      </c>
    </row>
    <row r="41">
      <c r="B41" t="inlineStr">
        <is>
          <t>Cash Equivalents</t>
        </is>
      </c>
      <c r="C41" s="73" t="n">
        <v>8750</v>
      </c>
      <c r="D41" s="73" t="n">
        <v>6186</v>
      </c>
      <c r="E41" s="73" t="n">
        <v>4921</v>
      </c>
      <c r="F41" s="73" t="n">
        <v>7938</v>
      </c>
      <c r="G41" s="73" t="n">
        <v>3341</v>
      </c>
      <c r="H41" s="73" t="n">
        <v>8055</v>
      </c>
      <c r="I41" s="73" t="n">
        <v>5782</v>
      </c>
      <c r="J41" s="73" t="n">
        <v>15899</v>
      </c>
      <c r="K41" s="73" t="n">
        <v>13357</v>
      </c>
      <c r="L41" s="73" t="n">
        <v>8678</v>
      </c>
      <c r="M41" s="73" t="n">
        <v>11647</v>
      </c>
      <c r="N41" s="73" t="n">
        <v>10058</v>
      </c>
      <c r="O41" s="73" t="n"/>
      <c r="R41" t="inlineStr">
        <is>
          <t>Interest paid fin</t>
        </is>
      </c>
      <c r="S41" s="73" t="n">
        <v>-5428</v>
      </c>
      <c r="T41" s="73" t="n">
        <v>-5483</v>
      </c>
      <c r="U41" s="73" t="n">
        <v>-4733</v>
      </c>
      <c r="V41" s="73" t="n">
        <v>-5146</v>
      </c>
      <c r="W41" s="73" t="n">
        <v>-6901</v>
      </c>
      <c r="X41" s="73" t="n">
        <v>-7419</v>
      </c>
      <c r="Y41" s="73" t="n">
        <v>-6804</v>
      </c>
      <c r="Z41" s="73" t="n">
        <v>-4687</v>
      </c>
      <c r="AA41" s="73" t="n">
        <v>-6120</v>
      </c>
      <c r="AB41" s="73" t="n">
        <v>-8145</v>
      </c>
      <c r="AC41" s="73" t="n">
        <v>-8119</v>
      </c>
      <c r="AD41" s="73" t="n">
        <v>-8066</v>
      </c>
      <c r="AE41" t="n">
        <v>0</v>
      </c>
    </row>
    <row r="42">
      <c r="B42" t="inlineStr">
        <is>
          <t>Loans n Advances</t>
        </is>
      </c>
      <c r="C42" s="73" t="n">
        <v>-182</v>
      </c>
      <c r="D42" s="73" t="n">
        <v>107</v>
      </c>
      <c r="E42" s="73" t="n">
        <v>98</v>
      </c>
      <c r="F42" s="73" t="n">
        <v>219</v>
      </c>
      <c r="G42" s="73" t="n">
        <v>-56</v>
      </c>
      <c r="H42" s="73" t="n">
        <v>195</v>
      </c>
      <c r="I42" s="73" t="n">
        <v>-193</v>
      </c>
      <c r="J42" s="73" t="n">
        <v>-158</v>
      </c>
      <c r="K42" s="73" t="n">
        <v>-90</v>
      </c>
      <c r="L42" s="73" t="n">
        <v>-56</v>
      </c>
      <c r="M42" s="73" t="n">
        <v>49</v>
      </c>
      <c r="N42" s="73" t="n">
        <v>1167</v>
      </c>
      <c r="O42" s="73" t="n"/>
      <c r="R42" t="inlineStr">
        <is>
          <t>Dividends paid</t>
        </is>
      </c>
      <c r="S42" s="73" t="n">
        <v>-983</v>
      </c>
      <c r="T42" s="73" t="n">
        <v>-788</v>
      </c>
      <c r="U42" s="73" t="n">
        <v>-791</v>
      </c>
      <c r="V42" s="73" t="n">
        <v>-982</v>
      </c>
      <c r="W42" s="73" t="n">
        <v>-1186</v>
      </c>
      <c r="X42" s="73" t="n">
        <v>-1507</v>
      </c>
      <c r="Y42" s="73" t="n">
        <v>-1151</v>
      </c>
      <c r="Z42" s="73" t="n">
        <v>-3020</v>
      </c>
      <c r="AA42" s="73" t="n">
        <v>-6293</v>
      </c>
      <c r="AB42" s="73" t="n">
        <v>-4429</v>
      </c>
      <c r="AC42" s="73" t="n">
        <v>-4490</v>
      </c>
      <c r="AD42" s="73" t="n">
        <v>-4490</v>
      </c>
      <c r="AE42" t="n">
        <v>0</v>
      </c>
    </row>
    <row r="43">
      <c r="B43" t="inlineStr">
        <is>
          <t>Other asset items</t>
        </is>
      </c>
      <c r="C43" s="73" t="n">
        <v>11848</v>
      </c>
      <c r="D43" s="73" t="n">
        <v>19602</v>
      </c>
      <c r="E43" s="73" t="n">
        <v>10790</v>
      </c>
      <c r="F43" s="73" t="n">
        <v>29200</v>
      </c>
      <c r="G43" s="73" t="n">
        <v>37200</v>
      </c>
      <c r="H43" s="73" t="n">
        <v>41613</v>
      </c>
      <c r="I43" s="73" t="n">
        <v>30039</v>
      </c>
      <c r="J43" s="73" t="n">
        <v>37137</v>
      </c>
      <c r="K43" s="73" t="n">
        <v>23211</v>
      </c>
      <c r="L43" s="73" t="n">
        <v>15842</v>
      </c>
      <c r="M43" s="73" t="n">
        <v>15182</v>
      </c>
      <c r="N43" s="73" t="n">
        <v>17630</v>
      </c>
      <c r="O43" s="73" t="n"/>
      <c r="R43" t="inlineStr">
        <is>
          <t>Financial liabilities</t>
        </is>
      </c>
      <c r="S43" t="n">
        <v>0</v>
      </c>
      <c r="T43" t="n">
        <v>-200</v>
      </c>
      <c r="U43" t="n">
        <v>-208</v>
      </c>
      <c r="V43" t="n">
        <v>-211</v>
      </c>
      <c r="W43" t="n">
        <v>-276</v>
      </c>
      <c r="X43" t="n">
        <v>-1029</v>
      </c>
      <c r="Y43" t="n">
        <v>-1284</v>
      </c>
      <c r="Z43" t="n">
        <v>-1310</v>
      </c>
      <c r="AA43" t="n">
        <v>-1114</v>
      </c>
      <c r="AB43" t="n">
        <v>-1140</v>
      </c>
      <c r="AC43" t="n">
        <v>-971</v>
      </c>
      <c r="AD43" t="n">
        <v>-1162</v>
      </c>
      <c r="AE43" t="n">
        <v>0</v>
      </c>
    </row>
    <row r="44">
      <c r="B44" s="57" t="inlineStr">
        <is>
          <t>Total Assets</t>
        </is>
      </c>
      <c r="C44" s="73" t="n">
        <v>159109</v>
      </c>
      <c r="D44" s="73" t="n">
        <v>176884</v>
      </c>
      <c r="E44" s="73" t="n">
        <v>172447</v>
      </c>
      <c r="F44" s="73" t="n">
        <v>208722</v>
      </c>
      <c r="G44" s="73" t="n">
        <v>232773</v>
      </c>
      <c r="H44" s="73" t="n">
        <v>249149</v>
      </c>
      <c r="I44" s="73" t="n">
        <v>243909</v>
      </c>
      <c r="J44" s="73" t="n">
        <v>282422</v>
      </c>
      <c r="K44" s="73" t="n">
        <v>285396</v>
      </c>
      <c r="L44" s="73" t="n">
        <v>269312</v>
      </c>
      <c r="M44" s="73" t="n">
        <v>275459</v>
      </c>
      <c r="N44" s="73" t="n">
        <v>296515</v>
      </c>
      <c r="R44" t="inlineStr">
        <is>
          <t>Other financing items</t>
        </is>
      </c>
      <c r="S44" t="n">
        <v>3781</v>
      </c>
      <c r="T44" t="n">
        <v>1743</v>
      </c>
      <c r="U44" s="73" t="n">
        <v>2501</v>
      </c>
      <c r="V44" s="73" t="n">
        <v>3892</v>
      </c>
      <c r="W44" s="73" t="n">
        <v>-576</v>
      </c>
      <c r="X44" s="73" t="n">
        <v>-564</v>
      </c>
      <c r="Y44" t="n">
        <v>-1714</v>
      </c>
      <c r="Z44" t="n">
        <v>-789</v>
      </c>
      <c r="AA44" t="n">
        <v>2</v>
      </c>
      <c r="AB44" t="n">
        <v>404</v>
      </c>
      <c r="AC44" t="n">
        <v>312</v>
      </c>
      <c r="AD44" t="n">
        <v>293</v>
      </c>
      <c r="AE44" t="n">
        <v>0</v>
      </c>
    </row>
    <row r="45">
      <c r="R45" t="inlineStr">
        <is>
          <t>Net Cash Flow</t>
        </is>
      </c>
      <c r="S45" t="n">
        <v>241</v>
      </c>
      <c r="T45" t="n">
        <v>-2068</v>
      </c>
      <c r="U45" t="n">
        <v>-1245</v>
      </c>
      <c r="V45" t="n">
        <v>2933</v>
      </c>
      <c r="W45" t="n">
        <v>-4513</v>
      </c>
      <c r="X45" t="n">
        <v>4462</v>
      </c>
      <c r="Y45" t="n">
        <v>-2200</v>
      </c>
      <c r="Z45" t="n">
        <v>10075</v>
      </c>
      <c r="AA45" t="n">
        <v>-3477</v>
      </c>
      <c r="AB45" t="n">
        <v>-5049</v>
      </c>
      <c r="AC45" t="n">
        <v>2524</v>
      </c>
      <c r="AD45" t="n">
        <v>-720</v>
      </c>
      <c r="AE45" t="n">
        <v>0</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18.87</v>
      </c>
      <c r="AZ56">
        <f>'Data Sheet'!K59</f>
        <v/>
      </c>
      <c r="BA56">
        <f>'Data Sheet'!K69</f>
        <v/>
      </c>
    </row>
    <row r="57">
      <c r="K57" t="n">
        <v>1</v>
      </c>
      <c r="L57" t="inlineStr">
        <is>
          <t>JSW Steel</t>
        </is>
      </c>
      <c r="M57" t="n">
        <v>1227.55</v>
      </c>
      <c r="N57" t="n">
        <v>244.5454</v>
      </c>
      <c r="AR57" t="n">
        <v>300191.7</v>
      </c>
      <c r="AS57">
        <f>AZ57-BA57</f>
        <v/>
      </c>
      <c r="AT57">
        <f>AR57+AS57</f>
        <v/>
      </c>
      <c r="AU57" t="n">
        <v>189456</v>
      </c>
      <c r="AV57" t="n">
        <v>28176</v>
      </c>
      <c r="AW57" t="n">
        <v>12060.73</v>
      </c>
      <c r="AX57" t="n">
        <v>15</v>
      </c>
      <c r="AZ57" t="n">
        <v>75047.89999999999</v>
      </c>
      <c r="BA57" t="n">
        <v>15009.6</v>
      </c>
    </row>
    <row r="58">
      <c r="K58" t="n">
        <v>2</v>
      </c>
      <c r="L58" t="inlineStr">
        <is>
          <t>Jindal Steel</t>
        </is>
      </c>
      <c r="M58" t="n">
        <v>1088</v>
      </c>
      <c r="N58" t="n">
        <v>102.0087</v>
      </c>
      <c r="AR58" t="n">
        <v>110985.5</v>
      </c>
      <c r="AS58">
        <f>AZ58-BA58</f>
        <v/>
      </c>
      <c r="AT58">
        <f>AR58+AS58</f>
        <v/>
      </c>
      <c r="AU58" t="n">
        <v>61928.5</v>
      </c>
      <c r="AV58" t="n">
        <v>5062.8</v>
      </c>
      <c r="AW58" t="n">
        <v>3088.94</v>
      </c>
      <c r="AX58" t="n">
        <v>15</v>
      </c>
      <c r="AZ58" t="n">
        <v>27746.4</v>
      </c>
      <c r="BA58" t="n">
        <v>5549.3</v>
      </c>
    </row>
    <row r="59">
      <c r="K59" t="n">
        <v>3</v>
      </c>
      <c r="L59" t="inlineStr">
        <is>
          <t>Vedanta Iron &amp; Steel</t>
        </is>
      </c>
      <c r="M59" t="n">
        <v>31.21</v>
      </c>
      <c r="N59" t="n">
        <v>391.0381</v>
      </c>
      <c r="AR59" t="n">
        <v>12204.3</v>
      </c>
      <c r="AS59">
        <f>AZ59-BA59</f>
        <v/>
      </c>
      <c r="AT59">
        <f>AR59+AS59</f>
        <v/>
      </c>
      <c r="AU59" t="n">
        <v>14648</v>
      </c>
      <c r="AV59" t="n">
        <v>726</v>
      </c>
      <c r="AW59" t="n">
        <v>484</v>
      </c>
      <c r="AX59" t="n">
        <v>15</v>
      </c>
      <c r="AZ59" t="n">
        <v>3051.1</v>
      </c>
      <c r="BA59" t="n">
        <v>610.2</v>
      </c>
    </row>
    <row r="60">
      <c r="K60" t="n">
        <v>4</v>
      </c>
      <c r="L60" t="inlineStr">
        <is>
          <t>NMDC Steel</t>
        </is>
      </c>
      <c r="M60" t="n">
        <v>40.92</v>
      </c>
      <c r="N60" t="n">
        <v>293.0621</v>
      </c>
      <c r="AR60" t="n">
        <v>11992.1</v>
      </c>
      <c r="AS60">
        <f>AZ60-BA60</f>
        <v/>
      </c>
      <c r="AT60">
        <f>AR60+AS60</f>
        <v/>
      </c>
      <c r="AU60" t="n">
        <v>14647.4</v>
      </c>
      <c r="AV60" t="n">
        <v>303.1</v>
      </c>
      <c r="AW60" t="n">
        <v>83.64</v>
      </c>
      <c r="AX60" t="n">
        <v>15</v>
      </c>
      <c r="AZ60" t="n">
        <v>2998</v>
      </c>
      <c r="BA60" t="n">
        <v>599.6</v>
      </c>
    </row>
    <row r="61">
      <c r="K61" t="n">
        <v>5</v>
      </c>
      <c r="L61" t="inlineStr">
        <is>
          <t>Hindustan Zinc</t>
        </is>
      </c>
      <c r="M61" t="n">
        <v>555.85</v>
      </c>
      <c r="N61" t="n">
        <v>422.5316</v>
      </c>
      <c r="AR61" t="n">
        <v>234864.2</v>
      </c>
      <c r="AS61">
        <f>AZ61-BA61</f>
        <v/>
      </c>
      <c r="AT61">
        <f>AR61+AS61</f>
        <v/>
      </c>
      <c r="AU61" t="n">
        <v>54748</v>
      </c>
      <c r="AV61" t="n">
        <v>32550</v>
      </c>
      <c r="AW61" t="n">
        <v>16896.71</v>
      </c>
      <c r="AX61" t="n">
        <v>15</v>
      </c>
      <c r="AZ61" t="n">
        <v>58716.1</v>
      </c>
      <c r="BA61" t="n">
        <v>11743.2</v>
      </c>
    </row>
    <row r="62">
      <c r="K62" t="n">
        <v>6</v>
      </c>
      <c r="L62" t="inlineStr">
        <is>
          <t>Hindalco Inds.</t>
        </is>
      </c>
      <c r="M62" t="n">
        <v>932.5</v>
      </c>
      <c r="N62" t="n">
        <v>224.7226</v>
      </c>
      <c r="AR62" t="n">
        <v>209553.8</v>
      </c>
      <c r="AS62">
        <f>AZ62-BA62</f>
        <v/>
      </c>
      <c r="AT62">
        <f>AR62+AS62</f>
        <v/>
      </c>
      <c r="AU62" t="n">
        <v>339300</v>
      </c>
      <c r="AV62" t="n">
        <v>42078</v>
      </c>
      <c r="AW62" t="n">
        <v>20913.56</v>
      </c>
      <c r="AX62" t="n">
        <v>15</v>
      </c>
      <c r="AZ62" t="n">
        <v>52388.5</v>
      </c>
      <c r="BA62" t="n">
        <v>10477.7</v>
      </c>
    </row>
    <row r="63">
      <c r="K63" t="n">
        <v>7</v>
      </c>
      <c r="L63" t="inlineStr">
        <is>
          <t>Vedanta Aluminium Metal</t>
        </is>
      </c>
      <c r="M63" t="n">
        <v>405.15</v>
      </c>
      <c r="N63" t="n">
        <v>391.0389</v>
      </c>
      <c r="AR63" t="n">
        <v>158429.4</v>
      </c>
      <c r="AS63">
        <f>AZ63-BA63</f>
        <v/>
      </c>
      <c r="AT63">
        <f>AR63+AS63</f>
        <v/>
      </c>
      <c r="AU63" t="n">
        <v>85572</v>
      </c>
      <c r="AV63" t="n">
        <v>39582</v>
      </c>
      <c r="AW63" t="n">
        <v>15779.82</v>
      </c>
      <c r="AX63" t="n">
        <v>15</v>
      </c>
      <c r="AZ63" t="n">
        <v>39607.3</v>
      </c>
      <c r="BA63" t="n">
        <v>7921.5</v>
      </c>
    </row>
    <row r="64">
      <c r="K64" t="n">
        <v>8</v>
      </c>
      <c r="L64" t="inlineStr">
        <is>
          <t>Lloyds Metals</t>
        </is>
      </c>
      <c r="M64" t="n">
        <v>1781.6</v>
      </c>
      <c r="N64" t="n">
        <v>56.305</v>
      </c>
      <c r="AR64" t="n">
        <v>100312.9</v>
      </c>
      <c r="AS64">
        <f>AZ64-BA64</f>
        <v/>
      </c>
      <c r="AT64">
        <f>AR64+AS64</f>
        <v/>
      </c>
      <c r="AU64" t="n">
        <v>29417.6</v>
      </c>
      <c r="AV64" t="n">
        <v>10403.3</v>
      </c>
      <c r="AW64" t="n">
        <v>4767.72</v>
      </c>
      <c r="AX64" t="n">
        <v>15</v>
      </c>
      <c r="AZ64" t="n">
        <v>25078.2</v>
      </c>
      <c r="BA64" t="n">
        <v>5015.6</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2026-10-01T09:15:36Z</dcterms:modified>
  <cp:lastModifiedBy>Loveish</cp:lastModifiedBy>
  <cp:lastPrinted>2012-12-06T18:14:13Z</cp:lastPrinted>
</cp:coreProperties>
</file>