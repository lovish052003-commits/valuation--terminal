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44CCA0B3-D0B1-4CAF-A10D-FD6519ED0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1" i="23" l="1"/>
  <c r="A5" i="23"/>
  <c r="T25" i="13"/>
  <c r="T26" i="13" s="1"/>
  <c r="T27" i="13" s="1"/>
  <c r="T28" i="13" s="1"/>
  <c r="Q25" i="13"/>
  <c r="Q26" i="13" s="1"/>
  <c r="Q27" i="13" s="1"/>
  <c r="Q28" i="13" s="1"/>
  <c r="D40" i="17"/>
  <c r="B29" i="23" s="1"/>
  <c r="D38" i="17"/>
  <c r="B27" i="23" s="1"/>
  <c r="D37" i="17"/>
  <c r="B26" i="23" s="1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B7" i="14"/>
  <c r="AS65" i="18"/>
  <c r="AT65" i="18" s="1"/>
  <c r="AS64" i="18"/>
  <c r="AT64" i="18" s="1"/>
  <c r="AS63" i="18"/>
  <c r="AT63" i="18" s="1"/>
  <c r="AS62" i="18"/>
  <c r="AT62" i="18" s="1"/>
  <c r="AS61" i="18"/>
  <c r="AT61" i="18" s="1"/>
  <c r="AS60" i="18"/>
  <c r="AT60" i="18" s="1"/>
  <c r="AS59" i="18"/>
  <c r="AT59" i="18" s="1"/>
  <c r="AS58" i="18"/>
  <c r="AT58" i="18" s="1"/>
  <c r="AS57" i="18"/>
  <c r="AT57" i="18" s="1"/>
  <c r="AS56" i="18"/>
  <c r="AT56" i="18" s="1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J33" i="6"/>
  <c r="I33" i="6"/>
  <c r="H33" i="6"/>
  <c r="G33" i="6"/>
  <c r="F33" i="6"/>
  <c r="E33" i="6"/>
  <c r="D33" i="6"/>
  <c r="C33" i="6"/>
  <c r="B33" i="6"/>
  <c r="B6" i="6"/>
  <c r="O12" i="14" l="1"/>
  <c r="O11" i="14"/>
  <c r="L9" i="14" s="1"/>
  <c r="L15" i="14" s="1"/>
  <c r="J15" i="15" s="1"/>
  <c r="B12" i="19"/>
  <c r="E66" i="20"/>
  <c r="E60" i="20"/>
  <c r="I44" i="16"/>
  <c r="J44" i="16"/>
  <c r="K44" i="16"/>
  <c r="L44" i="16"/>
  <c r="H44" i="16"/>
  <c r="I38" i="16"/>
  <c r="J38" i="16"/>
  <c r="K38" i="16"/>
  <c r="L38" i="16"/>
  <c r="H38" i="16"/>
  <c r="N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G16" i="19"/>
  <c r="G17" i="19"/>
  <c r="G18" i="19"/>
  <c r="G19" i="19"/>
  <c r="G20" i="19"/>
  <c r="G21" i="19"/>
  <c r="G12" i="19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Q33" i="19" l="1"/>
  <c r="P33" i="19"/>
  <c r="O33" i="19"/>
  <c r="Q28" i="19"/>
  <c r="Q27" i="19"/>
  <c r="Q26" i="19"/>
  <c r="Q25" i="19"/>
  <c r="Q24" i="19"/>
  <c r="Q23" i="19"/>
  <c r="Q35" i="19"/>
  <c r="P35" i="19"/>
  <c r="O35" i="19"/>
  <c r="Q32" i="19"/>
  <c r="Q34" i="19" s="1"/>
  <c r="Q37" i="19" s="1"/>
  <c r="Q39" i="19" s="1"/>
  <c r="F41" i="10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E27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B15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O28" i="19" l="1"/>
  <c r="O27" i="19"/>
  <c r="O26" i="19"/>
  <c r="O32" i="19" s="1"/>
  <c r="O34" i="19" s="1"/>
  <c r="O37" i="19" s="1"/>
  <c r="O39" i="19" s="1"/>
  <c r="O25" i="19"/>
  <c r="O24" i="19"/>
  <c r="O23" i="19"/>
  <c r="P28" i="19"/>
  <c r="P27" i="19"/>
  <c r="P26" i="19"/>
  <c r="P32" i="19" s="1"/>
  <c r="P34" i="19" s="1"/>
  <c r="P37" i="19" s="1"/>
  <c r="P39" i="19" s="1"/>
  <c r="P25" i="19"/>
  <c r="P24" i="19"/>
  <c r="P23" i="19"/>
  <c r="E78" i="20"/>
  <c r="I89" i="22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16" i="23" s="1"/>
  <c r="K15" i="15"/>
  <c r="C15" i="23" l="1"/>
  <c r="I90" i="22"/>
  <c r="F5" i="23"/>
  <c r="J20" i="15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17" i="23" s="1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16" i="23" l="1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E5" i="23" s="1"/>
  <c r="D26" i="17"/>
  <c r="J14" i="17"/>
  <c r="F16" i="23" s="1"/>
  <c r="K14" i="17"/>
  <c r="F17" i="23" s="1"/>
  <c r="L14" i="17"/>
  <c r="F18" i="23" s="1"/>
  <c r="M14" i="17"/>
  <c r="F19" i="23" s="1"/>
  <c r="K10" i="17"/>
  <c r="L8" i="17"/>
  <c r="B18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17" i="23" l="1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/>
  <c r="D19" i="23" s="1"/>
  <c r="I14" i="17"/>
  <c r="F15" i="23" s="1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19" i="23"/>
  <c r="C18" i="23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15" i="23" l="1"/>
  <c r="L11" i="17"/>
  <c r="K11" i="17"/>
  <c r="J11" i="17"/>
  <c r="I12" i="17"/>
  <c r="E15" i="23" s="1"/>
  <c r="C19" i="23"/>
  <c r="M12" i="17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E19" i="23" l="1"/>
  <c r="M16" i="17"/>
  <c r="G19" i="23" s="1"/>
  <c r="D25" i="17"/>
  <c r="D29" i="17" s="1"/>
  <c r="D16" i="23"/>
  <c r="J12" i="17"/>
  <c r="E16" i="23" s="1"/>
  <c r="D17" i="23"/>
  <c r="K12" i="17"/>
  <c r="E17" i="23" s="1"/>
  <c r="D18" i="23"/>
  <c r="L12" i="17"/>
  <c r="E18" i="23" s="1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D34" i="17" l="1"/>
  <c r="B24" i="23" s="1"/>
  <c r="B23" i="23"/>
  <c r="O22" i="10"/>
  <c r="N22" i="10"/>
  <c r="C24" i="10"/>
  <c r="I16" i="17"/>
  <c r="G15" i="23" s="1"/>
  <c r="L16" i="17"/>
  <c r="G18" i="23" s="1"/>
  <c r="K16" i="17"/>
  <c r="G17" i="23" s="1"/>
  <c r="J16" i="17"/>
  <c r="G16" i="23" s="1"/>
  <c r="O24" i="10" l="1"/>
  <c r="N24" i="10"/>
  <c r="D33" i="17"/>
  <c r="B22" i="23" s="1"/>
  <c r="D35" i="17"/>
  <c r="B25" i="23" s="1"/>
  <c r="D39" i="17" l="1"/>
  <c r="D42" i="17" l="1"/>
  <c r="B28" i="23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D45" i="17" l="1"/>
  <c r="B30" i="23"/>
  <c r="B5" i="23"/>
  <c r="B32" i="23" l="1"/>
  <c r="C5" i="23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<sst xmlns="http://schemas.openxmlformats.org/spreadsheetml/2006/main" count="16995" uniqueCount="8669">
  <si>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</si>
  <si>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</si>
  <si>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</si>
  <si>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</si>
  <si>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</si>
  <si>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</si>
  <si>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</si>
  <si>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</si>
  <si>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</si>
  <si>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</si>
  <si>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</si>
  <si>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</si>
  <si>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</si>
  <si>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</si>
  <si>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</si>
  <si>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</si>
  <si>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</si>
  <si>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</si>
  <si>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</si>
  <si>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</si>
  <si>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</si>
  <si>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</si>
  <si>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</si>
  <si>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</si>
  <si>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</si>
  <si>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</si>
  <si>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</si>
  <si>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</si>
  <si>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</si>
  <si>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</si>
  <si>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</si>
  <si>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</si>
  <si>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</si>
  <si>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</si>
  <si>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</si>
  <si>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</si>
  <si>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</si>
  <si>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</si>
  <si>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</si>
  <si>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</si>
  <si>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</si>
  <si>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</si>
  <si>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</si>
  <si>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</si>
  <si>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</si>
  <si>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</si>
  <si>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</si>
  <si>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</si>
  <si>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</si>
  <si>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</si>
  <si>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</si>
  <si>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</si>
  <si>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</si>
  <si>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</si>
  <si>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</si>
  <si>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</si>
  <si>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</si>
  <si>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</si>
  <si>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</si>
  <si>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</si>
  <si>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</si>
  <si>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</si>
  <si>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</si>
  <si>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</si>
  <si>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</si>
  <si>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</si>
  <si>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</si>
  <si>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</si>
  <si>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</si>
  <si>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</si>
  <si>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</si>
  <si>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</si>
  <si>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</si>
  <si>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</si>
  <si>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</si>
  <si>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</si>
  <si>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</si>
  <si>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</si>
  <si>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</si>
  <si>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</si>
  <si>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</si>
  <si>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</si>
  <si>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</si>
  <si>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</si>
  <si>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</si>
  <si>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</si>
  <si>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</si>
  <si>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</si>
  <si>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</si>
  <si>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</si>
  <si>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</si>
  <si>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</si>
  <si>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</si>
  <si>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</si>
  <si>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</si>
  <si>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</si>
  <si>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</si>
  <si>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</si>
  <si>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</si>
  <si>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</si>
  <si>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</si>
  <si>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</si>
  <si>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</si>
  <si>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</si>
  <si>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</si>
  <si>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</si>
  <si>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</si>
  <si>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</si>
  <si>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</si>
  <si>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</si>
  <si>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</si>
  <si>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</si>
  <si>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</si>
  <si>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</si>
  <si>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</si>
  <si>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</si>
  <si>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</si>
  <si>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</si>
  <si>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</si>
  <si>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</si>
  <si>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</si>
  <si>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</si>
  <si>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</si>
  <si>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</si>
  <si>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</si>
  <si>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</si>
  <si>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</si>
  <si>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</si>
  <si>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</si>
  <si>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</si>
  <si>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</si>
  <si>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</si>
  <si>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</si>
  <si>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</si>
  <si>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</si>
  <si>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</si>
  <si>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</si>
  <si>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</si>
  <si>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</si>
  <si>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</si>
  <si>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</si>
  <si>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</si>
  <si>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</si>
  <si>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</si>
  <si>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</si>
  <si>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</si>
  <si>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</si>
  <si>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</si>
  <si>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</si>
  <si>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</si>
  <si>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</si>
  <si>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</si>
  <si>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</si>
  <si>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</si>
  <si>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</si>
  <si>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</si>
  <si>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</si>
  <si>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</si>
  <si>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</si>
  <si>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</si>
  <si>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</si>
  <si>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</si>
  <si>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</si>
  <si>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</si>
  <si>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</si>
  <si>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</si>
  <si>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</si>
  <si>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</si>
  <si>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</si>
  <si>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</si>
  <si>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</si>
  <si>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</si>
  <si>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</si>
  <si>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</si>
  <si>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</si>
  <si>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</si>
  <si>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</si>
  <si>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</si>
  <si>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</si>
  <si>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</si>
  <si>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</si>
  <si>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</si>
  <si>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</si>
  <si>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</si>
  <si>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</si>
  <si>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</si>
  <si>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</si>
  <si>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</si>
  <si>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</si>
  <si>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</si>
  <si>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</si>
  <si>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</si>
  <si>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</si>
  <si>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</si>
  <si>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</si>
  <si>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</si>
  <si>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</si>
  <si>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</si>
  <si>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</si>
  <si>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</si>
  <si>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</si>
  <si>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</si>
  <si>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</si>
  <si>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</si>
  <si>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</si>
  <si>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</si>
  <si>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</si>
  <si>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</si>
  <si>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</si>
  <si>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</si>
  <si>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</si>
  <si>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</si>
  <si>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</si>
  <si>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</si>
  <si>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</si>
  <si>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</si>
  <si>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</si>
  <si>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</si>
  <si>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</si>
  <si>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</si>
  <si>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</si>
  <si>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</si>
  <si>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</si>
  <si>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</si>
  <si>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</si>
  <si>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</si>
  <si>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</si>
  <si>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</si>
  <si>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</si>
  <si>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</si>
  <si>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</si>
  <si>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</si>
  <si>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</si>
  <si>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</si>
  <si>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</si>
  <si>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</si>
  <si>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</si>
  <si>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</si>
  <si>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</si>
  <si>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</si>
  <si>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</si>
  <si>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</si>
  <si>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</si>
  <si>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</si>
  <si>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</si>
  <si>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</si>
  <si>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</si>
  <si>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</si>
  <si>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</si>
  <si>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</si>
  <si>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</si>
  <si>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</si>
  <si>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</si>
  <si>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</si>
  <si>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</si>
  <si>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</si>
  <si>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</si>
  <si>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</si>
  <si>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</si>
  <si>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</si>
  <si>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</si>
  <si>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</si>
  <si>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</si>
  <si>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</si>
  <si>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</si>
  <si>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</si>
  <si>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</si>
  <si>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</si>
  <si>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</si>
  <si>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</si>
  <si>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</si>
  <si>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</si>
  <si>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</si>
  <si>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</si>
  <si>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</si>
  <si>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</si>
  <si>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</si>
  <si>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</si>
  <si>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</si>
  <si>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</si>
  <si>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</si>
  <si>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</si>
  <si>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</si>
  <si>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</si>
  <si>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</si>
  <si>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</si>
  <si>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</si>
  <si>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</si>
  <si>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</si>
  <si>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</si>
  <si>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</si>
  <si>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</si>
  <si>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</si>
  <si>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</si>
  <si>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</si>
  <si>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</si>
  <si>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</si>
  <si>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</si>
  <si>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</si>
  <si>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</si>
  <si>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</si>
  <si>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</si>
  <si>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</si>
  <si>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</si>
  <si>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</si>
  <si>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</si>
  <si>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</si>
  <si>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</si>
  <si>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</si>
  <si>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</si>
  <si>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</si>
  <si>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</si>
  <si>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</si>
  <si>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</si>
  <si>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</si>
  <si>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</si>
  <si>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</si>
  <si>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</si>
  <si>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</si>
  <si>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</si>
  <si>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</si>
  <si>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</si>
  <si>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</si>
  <si>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</si>
  <si>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</si>
  <si>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</si>
  <si>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</si>
  <si>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</si>
  <si>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</si>
  <si>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</si>
  <si>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</si>
  <si>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</si>
  <si>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</si>
  <si>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</si>
  <si>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</si>
  <si>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</si>
  <si>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</si>
  <si>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</si>
  <si>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</si>
  <si>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</si>
  <si>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</si>
  <si>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</si>
  <si>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</si>
  <si>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</si>
  <si>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</si>
  <si>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</si>
  <si>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</si>
  <si>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</si>
  <si>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</si>
  <si>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</si>
  <si>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</si>
  <si>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</si>
  <si>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</si>
  <si>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</si>
  <si>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</si>
  <si>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</si>
  <si>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</si>
  <si>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</si>
  <si>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</si>
  <si>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</si>
  <si>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</si>
  <si>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</si>
  <si>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</si>
  <si>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</si>
  <si>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</si>
  <si>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</si>
  <si>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</si>
  <si>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</si>
  <si>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</si>
  <si>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</si>
  <si>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</si>
  <si>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</si>
  <si>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</si>
  <si>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</si>
  <si>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</si>
  <si>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</si>
  <si>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</si>
  <si>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</si>
  <si>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</si>
  <si>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</si>
  <si>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</si>
  <si>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</si>
  <si>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</si>
  <si>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</si>
  <si>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</si>
  <si>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</si>
  <si>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</si>
  <si>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</si>
  <si>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</si>
  <si>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</si>
  <si>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</si>
  <si>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</si>
  <si>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</si>
  <si>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</si>
  <si>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</si>
  <si>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</si>
  <si>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</si>
  <si>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</si>
  <si>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</si>
  <si>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</si>
  <si>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</si>
  <si>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</si>
  <si>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</si>
  <si>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</si>
  <si>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</si>
  <si>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</si>
  <si>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</si>
  <si>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</si>
  <si>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</si>
  <si>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</si>
  <si>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</si>
  <si>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</si>
  <si>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</si>
  <si>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</si>
  <si>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</si>
  <si>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</si>
  <si>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</si>
  <si>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</si>
  <si>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</si>
  <si>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</si>
  <si>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</si>
  <si>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</si>
  <si>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</si>
  <si>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</si>
  <si>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</si>
  <si>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</si>
  <si>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</si>
  <si>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</si>
  <si>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</si>
  <si>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</si>
  <si>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</si>
  <si>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</si>
  <si>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</si>
  <si>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</si>
  <si>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</si>
  <si>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</si>
  <si>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</si>
  <si>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</si>
  <si>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</si>
  <si>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</si>
  <si>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</si>
  <si>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</si>
  <si>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</si>
  <si>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</si>
  <si>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</si>
  <si>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</si>
  <si>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</si>
  <si>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</si>
  <si>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</si>
  <si>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</si>
  <si>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</si>
  <si>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</si>
  <si>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</si>
  <si>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</si>
  <si>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</si>
  <si>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</si>
  <si>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</si>
  <si>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</si>
  <si>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</si>
  <si>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</si>
  <si>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</si>
  <si>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</si>
  <si>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</si>
  <si>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</si>
  <si>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</si>
  <si>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</si>
  <si>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</si>
  <si>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</si>
  <si>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</si>
  <si>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</si>
  <si>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</si>
  <si>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</si>
  <si>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</si>
  <si>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</si>
  <si>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</si>
  <si>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</si>
  <si>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</si>
  <si>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</si>
  <si>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</si>
  <si>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</si>
  <si>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</si>
  <si>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</si>
  <si>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</si>
  <si>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</si>
  <si>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</si>
  <si>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</si>
  <si>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</si>
  <si>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</si>
  <si>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</si>
  <si>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</si>
  <si>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</si>
  <si>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</si>
  <si>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</si>
  <si>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</si>
  <si>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</si>
  <si>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</si>
  <si>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</si>
  <si>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</si>
  <si>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</si>
  <si>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</si>
  <si>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</si>
  <si>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</si>
  <si>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</si>
  <si>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</si>
  <si>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</si>
  <si>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</si>
  <si>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</si>
  <si>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</si>
  <si>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</si>
  <si>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</si>
  <si>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</si>
  <si>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</si>
  <si>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</si>
  <si>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</si>
  <si>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</si>
  <si>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</si>
  <si>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</si>
  <si>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</si>
  <si>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</si>
  <si>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</si>
  <si>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</si>
  <si>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</si>
  <si>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</si>
  <si>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</si>
  <si>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</si>
  <si>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</si>
  <si>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</si>
  <si>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</si>
  <si>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</si>
  <si>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</si>
  <si>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</si>
  <si>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</si>
  <si>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</si>
  <si>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</si>
  <si>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</si>
  <si>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</si>
  <si>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</si>
  <si>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</si>
  <si>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</si>
  <si>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</si>
  <si>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</si>
  <si>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</si>
  <si>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</si>
  <si>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</si>
  <si>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</si>
  <si>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</si>
  <si>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</si>
  <si>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</si>
  <si>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</si>
  <si>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</si>
  <si>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</si>
  <si>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</si>
  <si>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</si>
  <si>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</si>
  <si>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</si>
  <si>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</si>
  <si>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</si>
  <si>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</si>
  <si>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</si>
  <si>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</si>
  <si>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</si>
  <si>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</si>
  <si>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</si>
  <si>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</si>
  <si>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</si>
  <si>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</si>
  <si>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</si>
  <si>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</si>
  <si>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</si>
  <si>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</si>
  <si>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</si>
  <si>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</si>
  <si>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</si>
  <si>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</si>
  <si>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</si>
  <si>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</si>
  <si>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</si>
  <si>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</si>
  <si>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</si>
  <si>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</si>
  <si>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</si>
  <si>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</si>
  <si>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</si>
  <si>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</si>
  <si>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</si>
  <si>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</si>
  <si>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</si>
  <si>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</si>
  <si>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</si>
  <si>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</si>
  <si>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</si>
  <si>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</si>
  <si>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</si>
  <si>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</si>
  <si>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</si>
  <si>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</si>
  <si>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</si>
  <si>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</si>
  <si>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</si>
  <si>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</si>
  <si>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</si>
  <si>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</si>
  <si>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</si>
  <si>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</si>
  <si>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</si>
  <si>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</si>
  <si>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</si>
  <si>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</si>
  <si>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</si>
  <si>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</si>
  <si>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</si>
  <si>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</si>
  <si>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</si>
  <si>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</si>
  <si>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</si>
  <si>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</si>
  <si>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</si>
  <si>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</si>
  <si>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</si>
  <si>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</si>
  <si>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</si>
  <si>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</si>
  <si>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</si>
  <si>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</si>
  <si>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</si>
  <si>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</si>
  <si>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</si>
  <si>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</si>
  <si>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</si>
  <si>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</si>
  <si>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</si>
  <si>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</si>
  <si>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</si>
  <si>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</si>
  <si>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</si>
  <si>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</si>
  <si>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</si>
  <si>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</si>
  <si>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</si>
  <si>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</si>
  <si>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</si>
  <si>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</si>
  <si>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</si>
  <si>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</si>
  <si>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</si>
  <si>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</si>
  <si>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</si>
  <si>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</si>
  <si>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</si>
  <si>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</si>
  <si>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</si>
  <si>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</si>
  <si>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</si>
  <si>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</si>
  <si>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</si>
  <si>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</si>
  <si>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</si>
  <si>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</si>
  <si>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</si>
  <si>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</si>
  <si>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</si>
  <si>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</si>
  <si>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</si>
  <si>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</si>
  <si>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</si>
  <si>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</si>
  <si>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</si>
  <si>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</si>
  <si>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</si>
  <si>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</si>
  <si>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</si>
  <si>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</si>
  <si>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</si>
  <si>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</si>
  <si>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</si>
  <si>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</si>
  <si>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</si>
  <si>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</si>
  <si>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</si>
  <si>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</si>
  <si>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</si>
  <si>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</si>
  <si>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</si>
  <si>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</si>
  <si>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</si>
  <si>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</si>
  <si>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</si>
  <si>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</si>
  <si>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</si>
  <si>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</si>
  <si>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</si>
  <si>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</si>
  <si>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</si>
  <si>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</si>
  <si>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</si>
  <si>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</si>
  <si>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</si>
  <si>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</si>
  <si>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</si>
  <si>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</si>
  <si>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</si>
  <si>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</si>
  <si>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</si>
  <si>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</si>
  <si>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</si>
  <si>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</si>
  <si>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</si>
  <si>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</si>
  <si>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</si>
  <si>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</si>
  <si>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</si>
  <si>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</si>
  <si>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</si>
  <si>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</si>
  <si>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</si>
  <si>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</si>
  <si>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</si>
  <si>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</si>
  <si>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</si>
  <si>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</si>
  <si>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</si>
  <si>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</si>
  <si>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</si>
  <si>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</si>
  <si>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</si>
  <si>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</si>
  <si>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</si>
  <si>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</si>
  <si>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</si>
  <si>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</si>
  <si>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</si>
  <si>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</si>
  <si>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</si>
  <si>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</si>
  <si>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</si>
  <si>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</si>
  <si>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</si>
  <si>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</si>
  <si>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</si>
  <si>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</si>
  <si>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</si>
  <si>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</si>
  <si>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</si>
  <si>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</si>
  <si>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</si>
  <si>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</si>
  <si>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</si>
  <si>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</si>
  <si>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</si>
  <si>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</si>
  <si>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</si>
  <si>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</si>
  <si>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</si>
  <si>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</si>
  <si>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</si>
  <si>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</si>
  <si>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</si>
  <si>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</si>
  <si>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</si>
  <si>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</si>
  <si>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</si>
  <si>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</si>
  <si>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</si>
  <si>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</si>
  <si>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</si>
  <si>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</si>
  <si>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</si>
  <si>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</si>
  <si>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</si>
  <si>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</si>
  <si>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</si>
  <si>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</si>
  <si>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</si>
  <si>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</si>
  <si>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</si>
  <si>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</si>
  <si>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</si>
  <si>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</si>
  <si>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</si>
  <si>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</si>
  <si>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</si>
  <si>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</si>
  <si>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</si>
  <si>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</si>
  <si>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</si>
  <si>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</si>
  <si>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</si>
  <si>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</si>
  <si>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</si>
  <si>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</si>
  <si>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</si>
  <si>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</si>
  <si>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</si>
  <si>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</si>
  <si>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</si>
  <si>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</si>
  <si>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</si>
  <si>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</si>
  <si>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</si>
  <si>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</si>
  <si>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</si>
  <si>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</si>
  <si>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</si>
  <si>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</si>
  <si>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</si>
  <si>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</si>
  <si>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</si>
  <si>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</si>
  <si>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</si>
  <si>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</si>
  <si>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</si>
  <si>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</si>
  <si>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</si>
  <si>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</si>
  <si>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</si>
  <si>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</si>
  <si>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</si>
  <si>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</si>
  <si>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</si>
  <si>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</si>
  <si>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</si>
  <si>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</si>
  <si>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</si>
  <si>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</si>
  <si>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</si>
  <si>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</si>
  <si>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</si>
  <si>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</si>
  <si>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</si>
  <si>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</si>
  <si>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</si>
  <si>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</si>
  <si>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</si>
  <si>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</si>
  <si>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</si>
  <si>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</si>
  <si>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</si>
  <si>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</si>
  <si>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</si>
  <si>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</si>
  <si>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</si>
  <si>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</si>
  <si>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</si>
  <si>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</si>
  <si>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</si>
  <si>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</si>
  <si>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</si>
  <si>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</si>
  <si>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</si>
  <si>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</si>
  <si>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</si>
  <si>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</si>
  <si>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</si>
  <si>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</si>
  <si>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</si>
  <si>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</si>
  <si>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</si>
  <si>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</si>
  <si>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</si>
  <si>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</si>
  <si>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</si>
  <si>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</si>
  <si>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</si>
  <si>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</si>
  <si>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</si>
  <si>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</si>
  <si>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</si>
  <si>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</si>
  <si>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</si>
  <si>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</si>
  <si>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</si>
  <si>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</si>
  <si>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</si>
  <si>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</si>
  <si>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</si>
  <si>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</si>
  <si>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</si>
  <si>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</si>
  <si>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</si>
  <si>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</si>
  <si>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</si>
  <si>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</si>
  <si>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</si>
  <si>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</si>
  <si>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</si>
  <si>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</si>
  <si>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</si>
  <si>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</si>
  <si>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</si>
  <si>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</si>
  <si>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</si>
  <si>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</si>
  <si>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</si>
  <si>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</si>
  <si>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</si>
  <si>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</si>
  <si>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</si>
  <si>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</si>
  <si>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</si>
  <si>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</si>
  <si>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</si>
  <si>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</si>
  <si>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</si>
  <si>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</si>
  <si>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</si>
  <si>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</si>
  <si>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</si>
  <si>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</si>
  <si>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</si>
  <si>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</si>
  <si>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</si>
  <si>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</si>
  <si>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</si>
  <si>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</si>
  <si>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</si>
  <si>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</si>
  <si>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</si>
  <si>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</si>
  <si>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</si>
  <si>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</si>
  <si>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</si>
  <si>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</si>
  <si>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</si>
  <si>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</si>
  <si>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</si>
  <si>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</si>
  <si>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</si>
  <si>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</si>
  <si>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</si>
  <si>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</si>
  <si>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</si>
  <si>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</si>
  <si>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</si>
  <si>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</si>
  <si>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</si>
  <si>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</si>
  <si>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</si>
  <si>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</si>
  <si>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</si>
  <si>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</si>
  <si>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</si>
  <si>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</si>
  <si>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</si>
  <si>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</si>
  <si>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</si>
  <si>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</si>
  <si>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</si>
  <si>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</si>
  <si>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</si>
  <si>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</si>
  <si>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</si>
  <si>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</si>
  <si>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</si>
  <si>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</si>
  <si>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</si>
  <si>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</si>
  <si>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</si>
  <si>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</si>
  <si>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</si>
  <si>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</si>
  <si>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</si>
  <si>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</si>
  <si>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</si>
  <si>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</si>
  <si>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</si>
  <si>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</si>
  <si>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</si>
  <si>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</si>
  <si>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</si>
  <si>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</si>
  <si>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</si>
  <si>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</si>
  <si>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</si>
  <si>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</si>
  <si>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</si>
  <si>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</si>
  <si>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</si>
  <si>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</si>
  <si>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</si>
  <si>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</si>
  <si>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</si>
  <si>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</si>
  <si>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</si>
  <si>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</si>
  <si>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</si>
  <si>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</si>
  <si>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</si>
  <si>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</si>
  <si>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</si>
  <si>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</si>
  <si>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</si>
  <si>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</si>
  <si>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</si>
  <si>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</si>
  <si>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</si>
  <si>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</si>
  <si>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</si>
  <si>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</si>
  <si>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</si>
  <si>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</si>
  <si>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</si>
  <si>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</si>
  <si>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</si>
  <si>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</si>
  <si>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</si>
  <si>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</si>
  <si>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</si>
  <si>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</si>
  <si>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</si>
  <si>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</si>
  <si>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</si>
  <si>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</si>
  <si>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</si>
  <si>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</si>
  <si>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</si>
  <si>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</si>
  <si>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</si>
  <si>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</si>
  <si>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</si>
  <si>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</si>
  <si>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</si>
  <si>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</si>
  <si>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</si>
  <si>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</si>
  <si>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</si>
  <si>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</si>
  <si>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</si>
  <si>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</si>
  <si>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</si>
  <si>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</si>
  <si>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</si>
  <si>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</si>
  <si>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</si>
  <si>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</si>
  <si>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</si>
  <si>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</si>
  <si>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</si>
  <si>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</si>
  <si>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</si>
  <si>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</si>
  <si>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</si>
  <si>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</si>
  <si>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</si>
  <si>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</si>
  <si>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</si>
  <si>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</si>
  <si>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</si>
  <si>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</si>
  <si>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</si>
  <si>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</si>
  <si>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</si>
  <si>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</si>
  <si>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</si>
  <si>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</si>
  <si>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</si>
  <si>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</si>
  <si>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</si>
  <si>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</si>
  <si>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</si>
  <si>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</si>
  <si>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</si>
  <si>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</si>
  <si>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</si>
  <si>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</si>
  <si>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</si>
  <si>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</si>
  <si>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</si>
  <si>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</si>
  <si>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</si>
  <si>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</si>
  <si>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</si>
  <si>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</si>
  <si>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</si>
  <si>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</si>
  <si>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</si>
  <si>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</si>
  <si>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</si>
  <si>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</si>
  <si>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</si>
  <si>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</si>
  <si>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</si>
  <si>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</si>
  <si>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</si>
  <si>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</si>
  <si>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</si>
  <si>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</si>
  <si>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</si>
  <si>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</si>
  <si>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</si>
  <si>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</si>
  <si>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</si>
  <si>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</si>
  <si>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</si>
  <si>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</si>
  <si>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</si>
  <si>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</si>
  <si>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</si>
  <si>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</si>
  <si>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</si>
  <si>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</si>
  <si>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</si>
  <si>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</si>
  <si>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</si>
  <si>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</si>
  <si>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</si>
  <si>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</si>
  <si>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</si>
  <si>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</si>
  <si>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</si>
  <si>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</si>
  <si>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</si>
  <si>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</si>
  <si>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</si>
  <si>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</si>
  <si>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</si>
  <si>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</si>
  <si>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</si>
  <si>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</si>
  <si>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</si>
  <si>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</si>
  <si>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</si>
  <si>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</si>
  <si>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</si>
  <si>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</si>
  <si>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</si>
  <si>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</si>
  <si>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</si>
  <si>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</si>
  <si>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</si>
  <si>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</si>
  <si>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</si>
  <si>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</si>
  <si>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</si>
  <si>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</si>
  <si>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</si>
  <si>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</si>
  <si>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</si>
  <si>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</si>
  <si>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</si>
  <si>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</si>
  <si>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</si>
  <si>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</si>
  <si>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</si>
  <si>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</si>
  <si>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</si>
  <si>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</si>
  <si>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</si>
  <si>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</si>
  <si>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</si>
  <si>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</si>
  <si>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</si>
  <si>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</si>
  <si>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</si>
  <si>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</si>
  <si>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</si>
  <si>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</si>
  <si>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</si>
  <si>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</si>
  <si>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</si>
  <si>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</si>
  <si>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</si>
  <si>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</si>
  <si>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</si>
  <si>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</si>
  <si>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</si>
  <si>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</si>
  <si>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</si>
  <si>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</si>
  <si>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</si>
  <si>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</si>
  <si>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</si>
  <si>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</si>
  <si>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</si>
  <si>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</si>
  <si>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</si>
  <si>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</si>
  <si>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</si>
  <si>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</si>
  <si>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</si>
  <si>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</si>
  <si>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</si>
  <si>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</si>
  <si>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</si>
  <si>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</si>
  <si>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</si>
  <si>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</si>
  <si>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</si>
  <si>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</si>
  <si>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</si>
  <si>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</si>
  <si>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</si>
  <si>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</si>
  <si>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</si>
  <si>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</si>
  <si>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</si>
  <si>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</si>
  <si>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</si>
  <si>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</si>
  <si>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</si>
  <si>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</si>
  <si>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</si>
  <si>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</si>
  <si>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</si>
  <si>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</si>
  <si>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</si>
  <si>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</si>
  <si>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</si>
  <si>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</si>
  <si>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</si>
  <si>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</si>
  <si>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</si>
  <si>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</si>
  <si>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</si>
  <si>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</si>
  <si>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</si>
  <si>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</si>
  <si>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</si>
  <si>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</si>
  <si>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</si>
  <si>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</si>
  <si>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</si>
  <si>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</si>
  <si>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</si>
  <si>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</si>
  <si>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</si>
  <si>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</si>
  <si>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</si>
  <si>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</si>
  <si>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</si>
  <si>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</si>
  <si>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</si>
  <si>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</si>
  <si>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</si>
  <si>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</si>
  <si>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</si>
  <si>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</si>
  <si>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</si>
  <si>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</si>
  <si>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</si>
  <si>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</si>
  <si>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</si>
  <si>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</si>
  <si>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</si>
  <si>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</si>
  <si>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</si>
  <si>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</si>
  <si>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</si>
  <si>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</si>
  <si>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</si>
  <si>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</si>
  <si>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</si>
  <si>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</si>
  <si>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</si>
  <si>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</si>
  <si>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</si>
  <si>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</si>
  <si>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</si>
  <si>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</si>
  <si>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</si>
  <si>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</si>
  <si>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</si>
  <si>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</si>
  <si>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</si>
  <si>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</si>
  <si>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</si>
  <si>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</si>
  <si>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</si>
  <si>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</si>
  <si>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</si>
  <si>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</si>
  <si>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</si>
  <si>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</si>
  <si>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</si>
  <si>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</si>
  <si>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</si>
  <si>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</si>
  <si>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</si>
  <si>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</si>
  <si>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</si>
  <si>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</si>
  <si>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</si>
  <si>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</si>
  <si>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</si>
  <si>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</si>
  <si>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</si>
  <si>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</si>
  <si>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</si>
  <si>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</si>
  <si>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</si>
  <si>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</si>
  <si>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</si>
  <si>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</si>
  <si>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</si>
  <si>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</si>
  <si>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</si>
  <si>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</si>
  <si>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</si>
  <si>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</si>
  <si>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</si>
  <si>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</si>
  <si>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</si>
  <si>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</si>
  <si>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</si>
  <si>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</si>
  <si>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</si>
  <si>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</si>
  <si>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</si>
  <si>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</si>
  <si>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</si>
  <si>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</si>
  <si>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</si>
  <si>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</si>
  <si>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</si>
  <si>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</si>
  <si>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</si>
  <si>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</si>
  <si>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</si>
  <si>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</si>
  <si>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</si>
  <si>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</si>
  <si>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</si>
  <si>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</si>
  <si>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</si>
  <si>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</si>
  <si>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</si>
  <si>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</si>
  <si>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</si>
  <si>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</si>
  <si>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</si>
  <si>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</si>
  <si>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</si>
  <si>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</si>
  <si>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</si>
  <si>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</si>
  <si>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</si>
  <si>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</si>
  <si>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</si>
  <si>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</si>
  <si>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</si>
  <si>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</si>
  <si>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</si>
  <si>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</si>
  <si>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</si>
  <si>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</si>
  <si>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</si>
  <si>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</si>
  <si>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</si>
  <si>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</si>
  <si>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</si>
  <si>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</si>
  <si>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</si>
  <si>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</si>
  <si>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</si>
  <si>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</si>
  <si>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</si>
  <si>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</si>
  <si>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</si>
  <si>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</si>
  <si>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</si>
  <si>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</si>
  <si>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</si>
  <si>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</si>
  <si>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</si>
  <si>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</si>
  <si>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</si>
  <si>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</si>
  <si>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</si>
  <si>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</si>
  <si>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</si>
  <si>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</si>
  <si>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</si>
  <si>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</si>
  <si>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</si>
  <si>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</si>
  <si>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</si>
  <si>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</si>
  <si>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</si>
  <si>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</si>
  <si>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</si>
  <si>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</si>
  <si>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</si>
  <si>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</si>
  <si>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</si>
  <si>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</si>
  <si>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</si>
  <si>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</si>
  <si>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</si>
  <si>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</si>
  <si>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</si>
  <si>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</si>
  <si>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</si>
  <si>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</si>
  <si>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</si>
  <si>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</si>
  <si>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</si>
  <si>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</si>
  <si>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</si>
  <si>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</si>
  <si>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</si>
  <si>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</si>
  <si>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</si>
  <si>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</si>
  <si>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</si>
  <si>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</si>
  <si>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</si>
  <si>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</si>
  <si>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</si>
  <si>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</si>
  <si>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</si>
  <si>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</si>
  <si>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</si>
  <si>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</si>
  <si>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</si>
  <si>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</si>
  <si>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</si>
  <si>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</si>
  <si>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</si>
  <si>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</si>
  <si>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</si>
  <si>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</si>
  <si>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</si>
  <si>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</si>
  <si>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</si>
  <si>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</si>
  <si>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</si>
  <si>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</si>
  <si>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</si>
  <si>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</si>
  <si>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</si>
  <si>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</si>
  <si>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</si>
  <si>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</si>
  <si>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</si>
  <si>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</si>
  <si>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</si>
  <si>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</si>
  <si>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</si>
  <si>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</si>
  <si>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</si>
  <si>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</si>
  <si>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</si>
  <si>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</si>
  <si>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</si>
  <si>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</si>
  <si>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</si>
  <si>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</si>
  <si>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</si>
  <si>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</si>
  <si>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</si>
  <si>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</si>
  <si>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</si>
  <si>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</si>
  <si>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</si>
  <si>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</si>
  <si>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</si>
  <si>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</si>
  <si>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</si>
  <si>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</si>
  <si>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</si>
  <si>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</si>
  <si>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</si>
  <si>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</si>
  <si>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</si>
  <si>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</si>
  <si>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</si>
  <si>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</si>
  <si>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</si>
  <si>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</si>
  <si>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</si>
  <si>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</si>
  <si>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</si>
  <si>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</si>
  <si>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</si>
  <si>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</si>
  <si>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</si>
  <si>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</si>
  <si>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</si>
  <si>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</si>
  <si>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</si>
  <si>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</si>
  <si>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</si>
  <si>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</si>
  <si>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</si>
  <si>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</si>
  <si>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</si>
  <si>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</si>
  <si>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</si>
  <si>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</si>
  <si>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</si>
  <si>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</si>
  <si>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</si>
  <si>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</si>
  <si>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</si>
  <si>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</si>
  <si>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</si>
  <si>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</si>
  <si>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</si>
  <si>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</si>
  <si>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</si>
  <si>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</si>
  <si>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</si>
  <si>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</si>
  <si>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</si>
  <si>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</si>
  <si>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</si>
  <si>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</si>
  <si>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</si>
  <si>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</si>
  <si>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</si>
  <si>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</si>
  <si>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</si>
  <si>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</si>
  <si>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</si>
  <si>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</si>
  <si>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</si>
  <si>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</si>
  <si>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</si>
  <si>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</si>
  <si>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</si>
  <si>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</si>
  <si>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</si>
  <si>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</si>
  <si>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</si>
  <si>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</si>
  <si>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</si>
  <si>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</si>
  <si>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</si>
  <si>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</si>
  <si>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</si>
  <si>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</si>
  <si>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</si>
  <si>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</si>
  <si>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</si>
  <si>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</si>
  <si>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</si>
  <si>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</si>
  <si>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</si>
  <si>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</si>
  <si>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</si>
  <si>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</si>
  <si>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</si>
  <si>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</si>
  <si>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</si>
  <si>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</si>
  <si>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</si>
  <si>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</si>
  <si>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</si>
  <si>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</si>
  <si>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</si>
  <si>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</si>
  <si>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</si>
  <si>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</si>
  <si>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</si>
  <si>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</si>
  <si>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</si>
  <si>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</si>
  <si>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</si>
  <si>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</si>
  <si>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</si>
  <si>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</si>
  <si>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</si>
  <si>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</si>
  <si>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</si>
  <si>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</si>
  <si>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</si>
  <si>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</si>
  <si>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</si>
  <si>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</si>
  <si>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</si>
  <si>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</si>
  <si>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</si>
  <si>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</si>
  <si>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</si>
  <si>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</si>
  <si>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</si>
  <si>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</si>
  <si>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</si>
  <si>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</si>
  <si>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</si>
  <si>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</si>
  <si>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</si>
  <si>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</si>
  <si>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</si>
  <si>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</si>
  <si>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</si>
  <si>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</si>
  <si>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</si>
  <si>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</si>
  <si>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</si>
  <si>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</si>
  <si>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</si>
  <si>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</si>
  <si>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</si>
  <si>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</si>
  <si>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</si>
  <si>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</si>
  <si>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</si>
  <si>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</si>
  <si>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</si>
  <si>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</si>
  <si>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</si>
  <si>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</si>
  <si>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</si>
  <si>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</si>
  <si>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</si>
  <si>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</si>
  <si>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</si>
  <si>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</si>
  <si>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</si>
  <si>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</si>
  <si>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</si>
  <si>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</si>
  <si>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</si>
  <si>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</si>
  <si>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</si>
  <si>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</si>
  <si>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</si>
  <si>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</si>
  <si>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</si>
  <si>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</si>
  <si>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</si>
  <si>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</si>
  <si>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</si>
  <si>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</si>
  <si>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</si>
  <si>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</si>
  <si>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</si>
  <si>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</si>
  <si>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</si>
  <si>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</si>
  <si>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</si>
  <si>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</si>
  <si>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</si>
  <si>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</si>
  <si>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</si>
  <si>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</si>
  <si>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</si>
  <si>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</si>
  <si>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</si>
  <si>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</si>
  <si>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</si>
  <si>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</si>
  <si>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</si>
  <si>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</si>
  <si>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</si>
  <si>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</si>
  <si>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</si>
  <si>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</si>
  <si>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</si>
  <si>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</si>
  <si>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</si>
  <si>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</si>
  <si>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</si>
  <si>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</si>
  <si>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</si>
  <si>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</si>
  <si>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</si>
  <si>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</si>
  <si>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</si>
  <si>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</si>
  <si>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</si>
  <si>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</si>
  <si>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</si>
  <si>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</si>
  <si>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</si>
  <si>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</si>
  <si>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</si>
  <si>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</si>
  <si>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</si>
  <si>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</si>
  <si>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</si>
  <si>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</si>
  <si>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</si>
  <si>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</si>
  <si>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</si>
  <si>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</si>
  <si>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</si>
  <si>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</si>
  <si>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</si>
  <si>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</si>
  <si>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</si>
  <si>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</si>
  <si>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</si>
  <si>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</si>
  <si>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</si>
  <si>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</si>
  <si>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</si>
  <si>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</si>
  <si>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</si>
  <si>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</si>
  <si>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</si>
  <si>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</si>
  <si>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</si>
  <si>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</si>
  <si>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</si>
  <si>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</si>
  <si>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</si>
  <si>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</si>
  <si>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</si>
  <si>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</si>
  <si>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</si>
  <si>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</si>
  <si>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</si>
  <si>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</si>
  <si>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</si>
  <si>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</si>
  <si>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</si>
  <si>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</si>
  <si>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</si>
  <si>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</si>
  <si>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</si>
  <si>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</si>
  <si>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</si>
  <si>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</si>
  <si>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</si>
  <si>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</si>
  <si>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</si>
  <si>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</si>
  <si>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</si>
  <si>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</si>
  <si>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</si>
  <si>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</si>
  <si>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</si>
  <si>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</si>
  <si>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</si>
  <si>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</si>
  <si>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</si>
  <si>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</si>
  <si>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</si>
  <si>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</si>
  <si>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</si>
  <si>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</si>
  <si>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</si>
  <si>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</si>
  <si>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</si>
  <si>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</si>
  <si>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</si>
  <si>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</si>
  <si>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</si>
  <si>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</si>
  <si>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</si>
  <si>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</si>
  <si>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</si>
  <si>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</si>
  <si>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</si>
  <si>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</si>
  <si>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</si>
  <si>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</si>
  <si>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</si>
  <si>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</si>
  <si>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</si>
  <si>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</si>
  <si>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</si>
  <si>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</si>
  <si>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</si>
  <si>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</si>
  <si>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</si>
  <si>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</si>
  <si>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</si>
  <si>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</si>
  <si>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</si>
  <si>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</si>
  <si>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</si>
  <si>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</si>
  <si>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</si>
  <si>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</si>
  <si>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</si>
  <si>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</si>
  <si>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</si>
  <si>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</si>
  <si>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</si>
  <si>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</si>
  <si>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</si>
  <si>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</si>
  <si>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</si>
  <si>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</si>
  <si>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</si>
  <si>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</si>
  <si>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</si>
  <si>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</si>
  <si>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</si>
  <si>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</si>
  <si>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</si>
  <si>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</si>
  <si>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</si>
  <si>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</si>
  <si>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</si>
  <si>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</si>
  <si>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</si>
  <si>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</si>
  <si>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</si>
  <si>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</si>
  <si>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</si>
  <si>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</si>
  <si>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</si>
  <si>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</si>
  <si>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</si>
  <si>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</si>
  <si>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</si>
  <si>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</si>
  <si>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</si>
  <si>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</si>
  <si>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</si>
  <si>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</si>
  <si>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</si>
  <si>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</si>
  <si>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</si>
  <si>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</si>
  <si>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</si>
  <si>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</si>
  <si>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</si>
  <si>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</si>
  <si>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</si>
  <si>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</si>
  <si>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</si>
  <si>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</si>
  <si>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</si>
  <si>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</si>
  <si>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</si>
  <si>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</si>
  <si>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</si>
  <si>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</si>
  <si>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</si>
  <si>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</si>
  <si>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</si>
  <si>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</si>
  <si>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</si>
  <si>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</si>
  <si>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</si>
  <si>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</si>
  <si>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</si>
  <si>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</si>
  <si>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</si>
  <si>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</si>
  <si>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</si>
  <si>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</si>
  <si>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</si>
  <si>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</si>
  <si>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</si>
  <si>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</si>
  <si>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</si>
  <si>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</si>
  <si>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</si>
  <si>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</si>
  <si>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</si>
  <si>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</si>
  <si>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</si>
  <si>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</si>
  <si>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</si>
  <si>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</si>
  <si>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</si>
  <si>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</si>
  <si>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</si>
  <si>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</si>
  <si>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</si>
  <si>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</si>
  <si>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</si>
  <si>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</si>
  <si>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</si>
  <si>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</si>
  <si>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</si>
  <si>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</si>
  <si>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</si>
  <si>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</si>
  <si>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</si>
  <si>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</si>
  <si>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</si>
  <si>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</si>
  <si>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</si>
  <si>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</si>
  <si>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</si>
  <si>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</si>
  <si>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</si>
  <si>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</si>
  <si>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</si>
  <si>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</si>
  <si>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</si>
  <si>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</si>
  <si>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</si>
  <si>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</si>
  <si>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</si>
  <si>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</si>
  <si>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</si>
  <si>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</si>
  <si>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</si>
  <si>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</si>
  <si>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</si>
  <si>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</si>
  <si>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</si>
  <si>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</si>
  <si>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</si>
  <si>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</si>
  <si>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</si>
  <si>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</si>
  <si>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</si>
  <si>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</si>
  <si>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</si>
  <si>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</si>
  <si>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</si>
  <si>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</si>
  <si>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</si>
  <si>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</si>
  <si>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</si>
  <si>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</si>
  <si>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</si>
  <si>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</si>
  <si>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</si>
  <si>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</si>
  <si>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</si>
  <si>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</si>
  <si>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</si>
  <si>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</si>
  <si>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</si>
  <si>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</si>
  <si>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</si>
  <si>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</si>
  <si>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</si>
  <si>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</si>
  <si>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</si>
  <si>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</si>
  <si>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</si>
  <si>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</si>
  <si>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</si>
  <si>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</si>
  <si>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</si>
  <si>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</si>
  <si>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</si>
  <si>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</si>
  <si>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</si>
  <si>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</si>
  <si>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</si>
  <si>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</si>
  <si>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</si>
  <si>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</si>
  <si>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</si>
  <si>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</si>
  <si>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</si>
  <si>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</si>
  <si>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</si>
  <si>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</si>
  <si>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</si>
  <si>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</si>
  <si>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</si>
  <si>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</si>
  <si>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</si>
  <si>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</si>
  <si>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</si>
  <si>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</si>
  <si>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</si>
  <si>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</si>
  <si>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</si>
  <si>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</si>
  <si>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</si>
  <si>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</si>
  <si>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</si>
  <si>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</si>
  <si>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</si>
  <si>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</si>
  <si>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</si>
  <si>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</si>
  <si>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</si>
  <si>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</si>
  <si>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</si>
  <si>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</si>
  <si>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</si>
  <si>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</si>
  <si>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</si>
  <si>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</si>
  <si>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</si>
  <si>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</si>
  <si>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</si>
  <si>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</si>
  <si>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</si>
  <si>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</si>
  <si>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</si>
  <si>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</si>
  <si>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</si>
  <si>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</si>
  <si>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</si>
  <si>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</si>
  <si>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</si>
  <si>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</si>
  <si>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</si>
  <si>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</si>
  <si>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</si>
  <si>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</si>
  <si>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</si>
  <si>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</si>
  <si>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</si>
  <si>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</si>
  <si>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</si>
  <si>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</si>
  <si>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</si>
  <si>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</si>
  <si>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</si>
  <si>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</si>
  <si>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</si>
  <si>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</si>
  <si>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</si>
  <si>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</si>
  <si>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</si>
  <si>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</si>
  <si>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</si>
  <si>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</si>
  <si>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</si>
  <si>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</si>
  <si>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</si>
  <si>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</si>
  <si>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</si>
  <si>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</si>
  <si>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</si>
  <si>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</si>
  <si>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</si>
  <si>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</si>
  <si>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</si>
  <si>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</si>
  <si>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</si>
  <si>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</si>
  <si>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</si>
  <si>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</si>
  <si>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</si>
  <si>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</si>
  <si>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</si>
  <si>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</si>
  <si>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</si>
  <si>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</si>
  <si>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</si>
  <si>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</si>
  <si>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</si>
  <si>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</si>
  <si>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</si>
  <si>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</si>
  <si>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</si>
  <si>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</si>
  <si>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</si>
  <si>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</si>
  <si>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</si>
  <si>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</si>
  <si>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</si>
  <si>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</si>
  <si>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</si>
  <si>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</si>
  <si>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</si>
  <si>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</si>
  <si>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</si>
  <si>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</si>
  <si>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</si>
  <si>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</si>
  <si>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</si>
  <si>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</si>
  <si>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</si>
  <si>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</si>
  <si>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</si>
  <si>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</si>
  <si>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</si>
  <si>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</si>
  <si>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</si>
  <si>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</si>
  <si>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</si>
  <si>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</si>
  <si>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</si>
  <si>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</si>
  <si>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</si>
  <si>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</si>
  <si>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</si>
  <si>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</si>
  <si>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</si>
  <si>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</si>
  <si>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</si>
  <si>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</si>
  <si>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</si>
  <si>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</si>
  <si>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</si>
  <si>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</si>
  <si>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</si>
  <si>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</si>
  <si>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</si>
  <si>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</si>
  <si>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</si>
  <si>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</si>
  <si>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</si>
  <si>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</si>
  <si>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</si>
  <si>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</si>
  <si>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</si>
  <si>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</si>
  <si>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</si>
  <si>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</si>
  <si>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</si>
  <si>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</si>
  <si>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</si>
  <si>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</si>
  <si>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</si>
  <si>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</si>
  <si>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</si>
  <si>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</si>
  <si>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</si>
  <si>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</si>
  <si>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</si>
  <si>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</si>
  <si>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</si>
  <si>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</si>
  <si>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</si>
  <si>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</si>
  <si>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</si>
  <si>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</si>
  <si>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</si>
  <si>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</si>
  <si>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</si>
  <si>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</si>
  <si>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</si>
  <si>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</si>
  <si>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</si>
  <si>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</si>
  <si>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</si>
  <si>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</si>
  <si>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</si>
  <si>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</si>
  <si>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</si>
  <si>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</si>
  <si>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</si>
  <si>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</si>
  <si>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</si>
  <si>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</si>
  <si>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</si>
  <si>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</si>
  <si>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</si>
  <si>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</si>
  <si>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</si>
  <si>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</si>
  <si>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</si>
  <si>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</si>
  <si>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</si>
  <si>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</si>
  <si>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</si>
  <si>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</si>
  <si>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</si>
  <si>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</si>
  <si>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</si>
  <si>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</si>
  <si>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</si>
  <si>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</si>
  <si>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</si>
  <si>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</si>
  <si>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</si>
  <si>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</si>
  <si>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</si>
  <si>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</si>
  <si>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</si>
  <si>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</si>
  <si>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</si>
  <si>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</si>
  <si>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</si>
  <si>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</si>
  <si>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</si>
  <si>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</si>
  <si>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</si>
  <si>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</si>
  <si>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</si>
  <si>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</si>
  <si>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</si>
  <si>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</si>
  <si>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</si>
  <si>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</si>
  <si>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</si>
  <si>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</si>
  <si>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</si>
  <si>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</si>
  <si>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</si>
  <si>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</si>
  <si>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</si>
  <si>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</si>
  <si>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</si>
  <si>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</si>
  <si>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</si>
  <si>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</si>
  <si>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</si>
  <si>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</si>
  <si>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</si>
  <si>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</si>
  <si>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</si>
  <si>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</si>
  <si>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</si>
  <si>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</si>
  <si>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</si>
  <si>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</si>
  <si>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</si>
  <si>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</si>
  <si>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</si>
  <si>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</si>
  <si>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</si>
  <si>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</si>
  <si>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</si>
  <si>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</si>
  <si>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</si>
  <si>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</si>
  <si>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</si>
  <si>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</si>
  <si>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</si>
  <si>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</si>
  <si>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</si>
  <si>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</si>
  <si>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</si>
  <si>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</si>
  <si>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</si>
  <si>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</si>
  <si>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</si>
  <si>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</si>
  <si>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</si>
  <si>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</si>
  <si>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</si>
  <si>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</si>
  <si>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</si>
  <si>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</si>
  <si>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</si>
  <si>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</si>
  <si>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</si>
  <si>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</si>
  <si>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</si>
  <si>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</si>
  <si>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</si>
  <si>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</si>
  <si>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</si>
  <si>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</si>
  <si>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</si>
  <si>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</si>
  <si>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</si>
  <si>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</si>
  <si>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</si>
  <si>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</si>
  <si>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</si>
  <si>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</si>
  <si>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</si>
  <si>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</si>
  <si>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</si>
  <si>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</si>
  <si>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</si>
  <si>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</si>
  <si>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</si>
  <si>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</si>
  <si>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</si>
  <si>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</si>
  <si>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</si>
  <si>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</si>
  <si>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</si>
  <si>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</si>
  <si>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</si>
  <si>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</si>
  <si>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</si>
  <si>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</si>
  <si>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</si>
  <si>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</si>
  <si>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</si>
  <si>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</si>
  <si>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</si>
  <si>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</si>
  <si>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</si>
  <si>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</si>
  <si>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</si>
  <si>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</si>
  <si>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</si>
  <si>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</si>
  <si>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</si>
  <si>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</si>
  <si>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</si>
  <si>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</si>
  <si>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</si>
  <si>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</si>
  <si>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</si>
  <si>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</si>
  <si>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</si>
  <si>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</si>
  <si>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</si>
  <si>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</si>
  <si>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</si>
  <si>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</si>
  <si>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</si>
  <si>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</si>
  <si>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</si>
  <si>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</si>
  <si>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</si>
  <si>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</si>
  <si>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</si>
  <si>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</si>
  <si>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</si>
  <si>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</si>
  <si>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</si>
  <si>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</si>
  <si>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</si>
  <si>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</si>
  <si>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</si>
  <si>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</si>
  <si>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</si>
  <si>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</si>
  <si>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</si>
  <si>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</si>
  <si>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</si>
  <si>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</si>
  <si>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</si>
  <si>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</si>
  <si>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</si>
  <si>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</si>
  <si>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</si>
  <si>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</si>
  <si>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</si>
  <si>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</si>
  <si>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</si>
  <si>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</si>
  <si>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</si>
  <si>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</si>
  <si>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</si>
  <si>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</si>
  <si>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</si>
  <si>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</si>
  <si>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</si>
  <si>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</si>
  <si>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</si>
  <si>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</si>
  <si>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</si>
  <si>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</si>
  <si>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</si>
  <si>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</si>
  <si>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</si>
  <si>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</si>
  <si>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</si>
  <si>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</si>
  <si>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</si>
  <si>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</si>
  <si>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</si>
  <si>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</si>
  <si>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</si>
  <si>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</si>
  <si>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</si>
  <si>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</si>
  <si>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</si>
  <si>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</si>
  <si>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</si>
  <si>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</si>
  <si>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</si>
  <si>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</si>
  <si>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</si>
  <si>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</si>
  <si>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</si>
  <si>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</si>
  <si>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</si>
  <si>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</si>
  <si>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</si>
  <si>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</si>
  <si>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</si>
  <si>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</si>
  <si>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</si>
  <si>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</si>
  <si>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</si>
  <si>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</si>
  <si>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</si>
  <si>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</si>
  <si>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</si>
  <si>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</si>
  <si>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</si>
  <si>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</si>
  <si>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</si>
  <si>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</si>
  <si>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</si>
  <si>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</si>
  <si>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</si>
  <si>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</si>
  <si>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</si>
  <si>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</si>
  <si>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</si>
  <si>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</si>
  <si>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</si>
  <si>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</si>
  <si>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</si>
  <si>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</si>
  <si>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</si>
  <si>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</si>
  <si>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</si>
  <si>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</si>
  <si>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</si>
  <si>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</si>
  <si>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</si>
  <si>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</si>
  <si>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</si>
  <si>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</si>
  <si>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</si>
  <si>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</si>
  <si>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</si>
  <si>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</si>
  <si>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</si>
  <si>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</si>
  <si>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</si>
  <si>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</si>
  <si>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</si>
  <si>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</si>
  <si>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</si>
  <si>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</si>
  <si>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</si>
  <si>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</si>
  <si>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</si>
  <si>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</si>
  <si>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</si>
  <si>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</si>
  <si>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</si>
  <si>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</si>
  <si>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</si>
  <si>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</si>
  <si>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</si>
  <si>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</si>
  <si>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</si>
  <si>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</si>
  <si>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</si>
  <si>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</si>
  <si>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</si>
  <si>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</si>
  <si>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</si>
  <si>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</si>
  <si>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</si>
  <si>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</si>
  <si>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</si>
  <si>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</si>
  <si>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</si>
  <si>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</si>
  <si>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</si>
  <si>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</si>
  <si>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</si>
  <si>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</si>
  <si>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</si>
  <si>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</si>
  <si>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</si>
  <si>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</si>
  <si>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</si>
  <si>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</si>
  <si>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</si>
  <si>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</si>
  <si>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</si>
  <si>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</si>
  <si>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</si>
  <si>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</si>
  <si>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</si>
  <si>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</si>
  <si>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</si>
  <si>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</si>
  <si>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</si>
  <si>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</si>
  <si>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</si>
  <si>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</si>
  <si>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</si>
  <si>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</si>
  <si>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</si>
  <si>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</si>
  <si>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</si>
  <si>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</si>
  <si>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</si>
  <si>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</si>
  <si>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</si>
  <si>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</si>
  <si>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</si>
  <si>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</si>
  <si>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</si>
  <si>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</si>
  <si>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</si>
  <si>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</si>
  <si>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</si>
  <si>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</si>
  <si>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</si>
  <si>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</si>
  <si>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</si>
  <si>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</si>
  <si>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</si>
  <si>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</si>
  <si>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</si>
  <si>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</si>
  <si>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</si>
  <si>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</si>
  <si>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</si>
  <si>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</si>
  <si>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</si>
  <si>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</si>
  <si>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</si>
  <si>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</si>
  <si>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</si>
  <si>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</si>
  <si>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</si>
  <si>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</si>
  <si>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</si>
  <si>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</si>
  <si>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</si>
  <si>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</si>
  <si>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</si>
  <si>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</si>
  <si>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</si>
  <si>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</si>
  <si>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</si>
  <si>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</si>
  <si>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</si>
  <si>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</si>
  <si>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</si>
  <si>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</si>
  <si>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</si>
  <si>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</si>
  <si>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</si>
  <si>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</si>
  <si>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</si>
  <si>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</si>
  <si>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</si>
  <si>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</si>
  <si>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</si>
  <si>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</si>
  <si>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</si>
  <si>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</si>
  <si>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</si>
  <si>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</si>
  <si>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</si>
  <si>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</si>
  <si>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</si>
  <si>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</si>
  <si>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</si>
  <si>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</si>
  <si>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</si>
  <si>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</si>
  <si>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</si>
  <si>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</si>
  <si>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</si>
  <si>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</si>
  <si>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</si>
  <si>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</si>
  <si>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</si>
  <si>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</si>
  <si>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</si>
  <si>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</si>
  <si>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</si>
  <si>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</si>
  <si>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</si>
  <si>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</si>
  <si>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</si>
  <si>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</si>
  <si>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</si>
  <si>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</si>
  <si>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</si>
  <si>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</si>
  <si>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</si>
  <si>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</si>
  <si>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</si>
  <si>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</si>
  <si>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</si>
  <si>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</si>
  <si>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</si>
  <si>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</si>
  <si>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</si>
  <si>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</si>
  <si>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</si>
  <si>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</si>
  <si>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</si>
  <si>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</si>
  <si>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</si>
  <si>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</si>
  <si>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</si>
  <si>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</si>
  <si>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</si>
  <si>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</si>
  <si>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</si>
  <si>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</si>
  <si>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</si>
  <si>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</si>
  <si>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</si>
  <si>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</si>
  <si>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</si>
  <si>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</si>
  <si>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</si>
  <si>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</si>
  <si>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</si>
  <si>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</si>
  <si>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</si>
  <si>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</si>
  <si>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</si>
  <si>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</si>
  <si>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</si>
  <si>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</si>
  <si>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</si>
  <si>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</si>
  <si>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</si>
  <si>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</si>
  <si>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</si>
  <si>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</si>
  <si>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</si>
  <si>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</si>
  <si>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</si>
  <si>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</si>
  <si>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</si>
  <si>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</si>
  <si>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</si>
  <si>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</si>
  <si>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</si>
  <si>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</si>
  <si>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</si>
  <si>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</si>
  <si>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</si>
  <si>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</si>
  <si>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</si>
  <si>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</si>
  <si>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</si>
  <si>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</si>
  <si>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</si>
  <si>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</si>
  <si>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</si>
  <si>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</si>
  <si>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</si>
  <si>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</si>
  <si>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</si>
  <si>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</si>
  <si>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</si>
  <si>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</si>
  <si>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</si>
  <si>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</si>
  <si>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</si>
  <si>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</si>
  <si>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</si>
  <si>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</si>
  <si>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</si>
  <si>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</si>
  <si>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</si>
  <si>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</si>
  <si>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</si>
  <si>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</si>
  <si>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</si>
  <si>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</si>
  <si>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</si>
  <si>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</si>
  <si>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</si>
  <si>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</si>
  <si>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</si>
  <si>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</si>
  <si>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</si>
  <si>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</si>
  <si>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</si>
  <si>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</si>
  <si>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</si>
  <si>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</si>
  <si>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</si>
  <si>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</si>
  <si>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</si>
  <si>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</si>
  <si>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</si>
  <si>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</si>
  <si>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</si>
  <si>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</si>
  <si>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</si>
  <si>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</si>
  <si>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</si>
  <si>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</si>
  <si>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</si>
  <si>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</si>
  <si>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</si>
  <si>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</si>
  <si>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</si>
  <si>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</si>
  <si>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</si>
  <si>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</si>
  <si>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</si>
  <si>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</si>
  <si>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</si>
  <si>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</si>
  <si>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</si>
  <si>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</si>
  <si>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</si>
  <si>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</si>
  <si>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</si>
  <si>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</si>
  <si>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</si>
  <si>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</si>
  <si>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</si>
  <si>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</si>
  <si>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</si>
  <si>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</si>
  <si>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</si>
  <si>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</si>
  <si>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</si>
  <si>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</si>
  <si>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</si>
  <si>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</si>
  <si>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</si>
  <si>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</si>
  <si>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</si>
  <si>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</si>
  <si>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</si>
  <si>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</si>
  <si>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</si>
  <si>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</si>
  <si>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</si>
  <si>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</si>
  <si>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</si>
  <si>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</si>
  <si>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</si>
  <si>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</si>
  <si>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</si>
  <si>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</si>
  <si>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</si>
  <si>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</si>
  <si>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</si>
  <si>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</si>
  <si>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</si>
  <si>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</si>
  <si>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</si>
  <si>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</si>
  <si>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</si>
  <si>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</si>
  <si>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</si>
  <si>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</si>
  <si>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</si>
  <si>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</si>
  <si>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</si>
  <si>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</si>
  <si>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</si>
  <si>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</si>
  <si>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</si>
  <si>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</si>
  <si>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</si>
  <si>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</si>
  <si>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</si>
  <si>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</si>
  <si>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</si>
  <si>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</si>
  <si>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</si>
  <si>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</si>
  <si>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</si>
  <si>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</si>
  <si>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</si>
  <si>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</si>
  <si>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</si>
  <si>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</si>
  <si>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</si>
  <si>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</si>
  <si>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</si>
  <si>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</si>
  <si>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</si>
  <si>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</si>
  <si>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</si>
  <si>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</si>
  <si>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</si>
  <si>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</si>
  <si>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</si>
  <si>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</si>
  <si>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</si>
  <si>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</si>
  <si>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</si>
  <si>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</si>
  <si>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</si>
  <si>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</si>
  <si>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</si>
  <si>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</si>
  <si>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</si>
  <si>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</si>
  <si>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</si>
  <si>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</si>
  <si>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</si>
  <si>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</si>
  <si>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</si>
  <si>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</si>
  <si>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</si>
  <si>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</si>
  <si>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</si>
  <si>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</si>
  <si>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</si>
  <si>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</si>
  <si>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</si>
  <si>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</si>
  <si>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</si>
  <si>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</si>
  <si>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</si>
  <si>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</si>
  <si>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</si>
  <si>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</si>
  <si>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</si>
  <si>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</si>
  <si>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</si>
  <si>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</si>
  <si>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</si>
  <si>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</si>
  <si>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</si>
  <si>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</si>
  <si>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</si>
  <si>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</si>
  <si>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</si>
  <si>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</si>
  <si>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</si>
  <si>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</si>
  <si>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</si>
  <si>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</si>
  <si>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</si>
  <si>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</si>
  <si>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</si>
  <si>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</si>
  <si>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</si>
  <si>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</si>
  <si>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</si>
  <si>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</si>
  <si>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</si>
  <si>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</si>
  <si>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</si>
  <si>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</si>
  <si>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</si>
  <si>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</si>
  <si>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</si>
  <si>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</si>
  <si>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</si>
  <si>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</si>
  <si>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</si>
  <si>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</si>
  <si>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</si>
  <si>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</si>
  <si>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</si>
  <si>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</si>
  <si>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</si>
  <si>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</si>
  <si>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</si>
  <si>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</si>
  <si>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</si>
  <si>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</si>
  <si>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</si>
  <si>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</si>
  <si>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</si>
  <si>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</si>
  <si>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</si>
  <si>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</si>
  <si>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</si>
  <si>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</si>
  <si>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</si>
  <si>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</si>
  <si>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</si>
  <si>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</si>
  <si>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</si>
  <si>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</si>
  <si>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</si>
  <si>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</si>
  <si>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</si>
  <si>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</si>
  <si>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</si>
  <si>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</si>
  <si>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</si>
  <si>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</si>
  <si>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</si>
  <si>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</si>
  <si>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</si>
  <si>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</si>
  <si>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</si>
  <si>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</si>
  <si>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</si>
  <si>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</si>
  <si>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</si>
  <si>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</si>
  <si>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</si>
  <si>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</si>
  <si>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</si>
  <si>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</si>
  <si>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</si>
  <si>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</si>
  <si>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</si>
  <si>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</si>
  <si>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</si>
  <si>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</si>
  <si>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</si>
  <si>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</si>
  <si>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</si>
  <si>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</si>
  <si>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</si>
  <si>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</si>
  <si>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</si>
  <si>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</si>
  <si>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</si>
  <si>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</si>
  <si>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</si>
  <si>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</si>
  <si>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</si>
  <si>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</si>
  <si>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</si>
  <si>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</si>
  <si>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</si>
  <si>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</si>
  <si>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</si>
  <si>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</si>
  <si>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</si>
  <si>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</si>
  <si>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</si>
  <si>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</si>
  <si>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</si>
  <si>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</si>
  <si>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</si>
  <si>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</si>
  <si>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</si>
  <si>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</si>
  <si>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</si>
  <si>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</si>
  <si>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</si>
  <si>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</si>
  <si>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</si>
  <si>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</si>
  <si>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</si>
  <si>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</si>
  <si>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</si>
  <si>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</si>
  <si>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</si>
  <si>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</si>
  <si>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</si>
  <si>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</si>
  <si>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</si>
  <si>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</si>
  <si>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</si>
  <si>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</si>
  <si>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</si>
  <si>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</si>
  <si>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</si>
  <si>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</si>
  <si>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</si>
  <si>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</si>
  <si>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</si>
  <si>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</si>
  <si>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</si>
  <si>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</si>
  <si>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</si>
  <si>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</si>
  <si>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</si>
  <si>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</si>
  <si>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</si>
  <si>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</si>
  <si>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</si>
  <si>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</si>
  <si>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</si>
  <si>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</si>
  <si>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</si>
  <si>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</si>
  <si>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</si>
  <si>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</si>
  <si>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</si>
  <si>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</si>
  <si>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</si>
  <si>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</si>
  <si>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</si>
  <si>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</si>
  <si>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</si>
  <si>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</si>
  <si>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</si>
  <si>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</si>
  <si>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</si>
  <si>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</si>
  <si>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</si>
  <si>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</si>
  <si>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</si>
  <si>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</si>
  <si>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</si>
  <si>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</si>
  <si>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</si>
  <si>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</si>
  <si>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</si>
  <si>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</si>
  <si>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</si>
  <si>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</si>
  <si>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</si>
  <si>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</si>
  <si>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</si>
  <si>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</si>
  <si>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</si>
  <si>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</si>
  <si>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</si>
  <si>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</si>
  <si>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</si>
  <si>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</si>
  <si>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</si>
  <si>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</si>
  <si>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</si>
  <si>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</si>
  <si>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</si>
  <si>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</si>
  <si>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</si>
  <si>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</si>
  <si>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</si>
  <si>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</si>
  <si>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</si>
  <si>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</si>
  <si>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</si>
  <si>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</si>
  <si>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</si>
  <si>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</si>
  <si>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</si>
  <si>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</si>
  <si>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</si>
  <si>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</si>
  <si>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</si>
  <si>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</si>
  <si>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</si>
  <si>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</si>
  <si>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</si>
  <si>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</si>
  <si>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</si>
  <si>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</si>
  <si>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</si>
  <si>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</si>
  <si>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</si>
  <si>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</si>
  <si>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</si>
  <si>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</si>
  <si>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</si>
  <si>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</si>
  <si>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</si>
  <si>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</si>
  <si>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</si>
  <si>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</si>
  <si>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</si>
  <si>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</si>
  <si>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</si>
  <si>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</si>
  <si>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</si>
  <si>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</si>
  <si>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</si>
  <si>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</si>
  <si>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</si>
  <si>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</si>
  <si>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</si>
  <si>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</si>
  <si>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</si>
  <si>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</si>
  <si>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</si>
  <si>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</si>
  <si>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</si>
  <si>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</si>
  <si>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</si>
  <si>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</si>
  <si>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</si>
  <si>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</si>
  <si>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</si>
  <si>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</si>
  <si>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</si>
  <si>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</si>
  <si>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</si>
  <si>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</si>
  <si>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</si>
  <si>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</si>
  <si>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</si>
  <si>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</si>
  <si>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</si>
  <si>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</si>
  <si>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</si>
  <si>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</si>
  <si>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</si>
  <si>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</si>
  <si>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</si>
  <si>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</si>
  <si>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</si>
  <si>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</si>
  <si>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</si>
  <si>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</si>
  <si>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</si>
  <si>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</si>
  <si>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</si>
  <si>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</si>
  <si>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</si>
  <si>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</si>
  <si>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</si>
  <si>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</si>
  <si>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</si>
  <si>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</si>
  <si>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</si>
  <si>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</si>
  <si>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</si>
  <si>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</si>
  <si>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</si>
  <si>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</si>
  <si>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</si>
  <si>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</si>
  <si>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</si>
  <si>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</si>
  <si>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</si>
  <si>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</si>
  <si>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</si>
  <si>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</si>
  <si>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</si>
  <si>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</si>
  <si>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</si>
  <si>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</si>
  <si>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</si>
  <si>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</si>
  <si>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</si>
  <si>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</si>
  <si>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</si>
  <si>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</si>
  <si>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</si>
  <si>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</si>
  <si>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</si>
  <si>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</si>
  <si>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</si>
  <si>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</si>
  <si>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</si>
  <si>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</si>
  <si>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</si>
  <si>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</si>
  <si>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</si>
  <si>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</si>
  <si>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</si>
  <si>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</si>
  <si>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</si>
  <si>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</si>
  <si>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</si>
  <si>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</si>
  <si>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</si>
  <si>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</si>
  <si>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</si>
  <si>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</si>
  <si>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</si>
  <si>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</si>
  <si>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</si>
  <si>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</si>
  <si>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</si>
  <si>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</si>
  <si>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</si>
  <si>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</si>
  <si>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</si>
  <si>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</si>
  <si>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</si>
  <si>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</si>
  <si>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</si>
  <si>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</si>
  <si>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</si>
  <si>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</si>
  <si>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</si>
  <si>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</si>
  <si>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</si>
  <si>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</si>
  <si>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</si>
  <si>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</si>
  <si>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</si>
  <si>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</si>
  <si>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</si>
  <si>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</si>
  <si>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</si>
  <si>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</si>
  <si>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</si>
  <si>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</si>
  <si>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</si>
  <si>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</si>
  <si>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</si>
  <si>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</si>
  <si>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</si>
  <si>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</si>
  <si>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</si>
  <si>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</si>
  <si>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</si>
  <si>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</si>
  <si>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</si>
  <si>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</si>
  <si>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</si>
  <si>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</si>
  <si>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</si>
  <si>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</si>
  <si>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</si>
  <si>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</si>
  <si>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</si>
  <si>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</si>
  <si>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</si>
  <si>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</si>
  <si>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</si>
  <si>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</si>
  <si>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</si>
  <si>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</si>
  <si>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</si>
  <si>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</si>
  <si>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</si>
  <si>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</si>
  <si>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</si>
  <si>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</si>
  <si>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</si>
  <si>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</si>
  <si>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</si>
  <si>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</si>
  <si>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</si>
  <si>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</si>
  <si>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</si>
  <si>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</si>
  <si>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</si>
  <si>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</si>
  <si>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</si>
  <si>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</si>
  <si>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</si>
  <si>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</si>
  <si>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</si>
  <si>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</si>
  <si>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</si>
  <si>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</si>
  <si>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</si>
  <si>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</si>
  <si>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</si>
  <si>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</si>
  <si>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</si>
  <si>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</si>
  <si>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</si>
  <si>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</si>
  <si>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</si>
  <si>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</si>
  <si>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</si>
  <si>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</si>
  <si>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</si>
  <si>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</si>
  <si>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</si>
  <si>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</si>
  <si>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</si>
  <si>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</si>
  <si>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</si>
  <si>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</si>
  <si>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</si>
  <si>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</si>
  <si>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</si>
  <si>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</si>
  <si>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</si>
  <si>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</si>
  <si>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</si>
  <si>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</si>
  <si>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</si>
  <si>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</si>
  <si>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</si>
  <si>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</si>
  <si>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</si>
  <si>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</si>
  <si>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</si>
  <si>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</si>
  <si>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</si>
  <si>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</si>
  <si>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</si>
  <si>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</si>
  <si>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</si>
  <si>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</si>
  <si>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</si>
  <si>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</si>
  <si>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</si>
  <si>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</si>
  <si>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</si>
  <si>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</si>
  <si>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</si>
  <si>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</si>
  <si>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</si>
  <si>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</si>
  <si>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</si>
  <si>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</si>
  <si>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</si>
  <si>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</si>
  <si>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</si>
  <si>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</si>
  <si>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</si>
  <si>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</si>
  <si>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</si>
  <si>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</si>
  <si>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</si>
  <si>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</si>
  <si>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</si>
  <si>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</si>
  <si>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</si>
  <si>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</si>
  <si>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</si>
  <si>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</si>
  <si>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</si>
  <si>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</si>
  <si>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</si>
  <si>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</si>
  <si>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</si>
  <si>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</si>
  <si>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</si>
  <si>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</si>
  <si>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</si>
  <si>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</si>
  <si>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</si>
  <si>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</si>
  <si>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</si>
  <si>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</si>
  <si>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</si>
  <si>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</si>
  <si>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</si>
  <si>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</si>
  <si>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</si>
  <si>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</si>
  <si>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</si>
  <si>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</si>
  <si>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</si>
  <si>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</si>
  <si>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</si>
  <si>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</si>
  <si>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</si>
  <si>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</si>
  <si>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</si>
  <si>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</si>
  <si>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</si>
  <si>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</si>
  <si>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</si>
  <si>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</si>
  <si>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</si>
  <si>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</si>
  <si>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</si>
  <si>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</si>
  <si>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</si>
  <si>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</si>
  <si>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</si>
  <si>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</si>
  <si>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</si>
  <si>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</si>
  <si>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</si>
  <si>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</si>
  <si>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</si>
  <si>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</si>
  <si>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</si>
  <si>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</si>
  <si>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</si>
  <si>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</si>
  <si>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</si>
  <si>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</si>
  <si>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</si>
  <si>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</si>
  <si>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</si>
  <si>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</si>
  <si>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</si>
  <si>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</si>
  <si>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</si>
  <si>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</si>
  <si>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</si>
  <si>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</si>
  <si>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</si>
  <si>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</si>
  <si>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</si>
  <si>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</si>
  <si>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</si>
  <si>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</si>
  <si>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</si>
  <si>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</si>
  <si>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</si>
  <si>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</si>
  <si>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</si>
  <si>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</si>
  <si>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</si>
  <si>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</si>
  <si>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</si>
  <si>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</si>
  <si>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</si>
  <si>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</si>
  <si>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</si>
  <si>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</si>
  <si>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</si>
  <si>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</si>
  <si>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</si>
  <si>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</si>
  <si>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</si>
  <si>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</si>
  <si>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</si>
  <si>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</si>
  <si>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</si>
  <si>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</si>
  <si>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</si>
  <si>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</si>
  <si>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</si>
  <si>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</si>
  <si>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</si>
  <si>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</si>
  <si>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</si>
  <si>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</si>
  <si>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</si>
  <si>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</si>
  <si>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</si>
  <si>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</si>
  <si>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</si>
  <si>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</si>
  <si>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</si>
  <si>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</si>
  <si>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</si>
  <si>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</si>
  <si>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</si>
  <si>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</si>
  <si>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</si>
  <si>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</si>
  <si>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</si>
  <si>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</si>
  <si>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</si>
  <si>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</si>
  <si>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</si>
  <si>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</si>
  <si>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</si>
  <si>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</si>
  <si>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</si>
  <si>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</si>
  <si>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</si>
  <si>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</si>
  <si>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</si>
  <si>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</si>
  <si>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</si>
  <si>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</si>
  <si>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</si>
  <si>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</si>
  <si>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</si>
  <si>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</si>
  <si>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</si>
  <si>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</si>
  <si>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</si>
  <si>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</si>
  <si>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</si>
  <si>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</si>
  <si>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</si>
  <si>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</si>
  <si>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</si>
  <si>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</si>
  <si>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</si>
  <si>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</si>
  <si>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</si>
  <si>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</si>
  <si>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</si>
  <si>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</si>
  <si>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</si>
  <si>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</si>
  <si>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</si>
  <si>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</si>
  <si>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</si>
  <si>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</si>
  <si>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</si>
  <si>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</si>
  <si>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</si>
  <si>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</si>
  <si>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</si>
  <si>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</si>
  <si>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</si>
  <si>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</si>
  <si>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</si>
  <si>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</si>
  <si>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</si>
  <si>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</si>
  <si>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</si>
  <si>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</si>
  <si>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</si>
  <si>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</si>
  <si>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</si>
  <si>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</si>
  <si>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</si>
  <si>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</si>
  <si>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</si>
  <si>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</si>
  <si>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</si>
  <si>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</si>
  <si>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</si>
  <si>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</si>
  <si>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</si>
  <si>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</si>
  <si>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</si>
  <si>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</si>
  <si>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</si>
  <si>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</si>
  <si>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</si>
  <si>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</si>
  <si>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</si>
  <si>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</si>
  <si>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</si>
  <si>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</si>
  <si>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</si>
  <si>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</si>
  <si>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</si>
  <si>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</si>
  <si>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</si>
  <si>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</si>
  <si>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</si>
  <si>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</si>
  <si>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</si>
  <si>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</si>
  <si>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</si>
  <si>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</si>
  <si>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</si>
  <si>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</si>
  <si>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</si>
  <si>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</si>
  <si>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</si>
  <si>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</si>
  <si>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</si>
  <si>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</si>
  <si>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</si>
  <si>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</si>
  <si>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</si>
  <si>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</si>
  <si>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</si>
  <si>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</si>
  <si>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</si>
  <si>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</si>
  <si>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</si>
  <si>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</si>
  <si>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</si>
  <si>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</si>
  <si>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</si>
  <si>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</si>
  <si>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</si>
  <si>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</si>
  <si>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</si>
  <si>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</si>
  <si>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</si>
  <si>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</si>
  <si>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</si>
  <si>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</si>
  <si>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</si>
  <si>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</si>
  <si>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</si>
  <si>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</si>
  <si>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</si>
  <si>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</si>
  <si>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</si>
  <si>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</si>
  <si>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</si>
  <si>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</si>
  <si>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</si>
  <si>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</si>
  <si>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</si>
  <si>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</si>
  <si>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</si>
  <si>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</si>
  <si>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</si>
  <si>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</si>
  <si>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</si>
  <si>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</si>
  <si>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</si>
  <si>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</si>
  <si>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</si>
  <si>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</si>
  <si>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</si>
  <si>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</si>
  <si>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</si>
  <si>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</si>
  <si>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</si>
  <si>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</si>
  <si>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</si>
  <si>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</si>
  <si>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</si>
  <si>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</si>
  <si>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</si>
  <si>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</si>
  <si>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</si>
  <si>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</si>
  <si>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</si>
  <si>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</si>
  <si>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</si>
  <si>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</si>
  <si>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</si>
  <si>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</si>
  <si>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</si>
  <si>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</si>
  <si>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</si>
  <si>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</si>
  <si>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</si>
  <si>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</si>
  <si>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</si>
  <si>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</si>
  <si>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</si>
  <si>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</si>
  <si>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</si>
  <si>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</si>
  <si>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</si>
  <si>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</si>
  <si>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</si>
  <si>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</si>
  <si>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</si>
  <si>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</si>
  <si>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</si>
  <si>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</si>
  <si>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</si>
  <si>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</si>
  <si>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</si>
  <si>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</si>
  <si>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</si>
  <si>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</si>
  <si>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</si>
  <si>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</si>
  <si>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</si>
  <si>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</si>
  <si>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</si>
  <si>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</si>
  <si>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</si>
  <si>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</si>
  <si>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</si>
  <si>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</si>
  <si>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</si>
  <si>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</si>
  <si>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</si>
  <si>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</si>
  <si>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</si>
  <si>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</si>
  <si>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</si>
  <si>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</si>
  <si>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</si>
  <si>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</si>
  <si>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</si>
  <si>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</si>
  <si>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</si>
  <si>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</si>
  <si>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</si>
  <si>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</si>
  <si>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</si>
  <si>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</si>
  <si>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</si>
  <si>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</si>
  <si>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</si>
  <si>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</si>
  <si>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</si>
  <si>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</si>
  <si>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</si>
  <si>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</si>
  <si>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</si>
  <si>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</si>
  <si>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</si>
  <si>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</si>
  <si>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</si>
  <si>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</si>
  <si>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</si>
  <si>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</si>
  <si>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</si>
  <si>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</si>
  <si>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</si>
  <si>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</si>
  <si>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</si>
  <si>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</si>
  <si>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</si>
  <si>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</si>
  <si>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</si>
  <si>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</si>
  <si>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</si>
  <si>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</si>
  <si>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</si>
  <si>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</si>
  <si>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</si>
  <si>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</si>
  <si>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</si>
  <si>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</si>
  <si>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</si>
  <si>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</si>
  <si>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</si>
  <si>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</si>
  <si>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</si>
  <si>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</si>
  <si>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</si>
  <si>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</si>
  <si>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</si>
  <si>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</si>
  <si>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</si>
  <si>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</si>
  <si>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</si>
  <si>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</si>
  <si>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</si>
  <si>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</si>
  <si>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</si>
  <si>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</si>
  <si>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</si>
  <si>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</si>
  <si>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</si>
  <si>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</si>
  <si>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</si>
  <si>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</si>
  <si>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</si>
  <si>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</si>
  <si>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</si>
  <si>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</si>
  <si>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</si>
  <si>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</si>
  <si>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</si>
  <si>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</si>
  <si>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</si>
  <si>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</si>
  <si>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</si>
  <si>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</si>
  <si>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</si>
  <si>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</si>
  <si>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</si>
  <si>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</si>
  <si>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</si>
  <si>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</si>
  <si>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</si>
  <si>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</si>
  <si>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</si>
  <si>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</si>
  <si>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</si>
  <si>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</si>
  <si>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</si>
  <si>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</si>
  <si>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</si>
  <si>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</si>
  <si>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</si>
  <si>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</si>
  <si>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</si>
  <si>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</si>
  <si>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</si>
  <si>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</si>
  <si>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</si>
  <si>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</si>
  <si>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</si>
  <si>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</si>
  <si>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</si>
  <si>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</si>
  <si>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</si>
  <si>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</si>
  <si>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</si>
  <si>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</si>
  <si>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</si>
  <si>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</si>
  <si>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</si>
  <si>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</si>
  <si>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</si>
  <si>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</si>
  <si>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</si>
  <si>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</si>
  <si>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</si>
  <si>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</si>
  <si>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</si>
  <si>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</si>
  <si>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</si>
  <si>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</si>
  <si>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</si>
  <si>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</si>
  <si>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</si>
  <si>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</si>
  <si>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</si>
  <si>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</si>
  <si>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</si>
  <si>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</si>
  <si>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</si>
  <si>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</si>
  <si>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</si>
  <si>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</si>
  <si>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</si>
  <si>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</si>
  <si>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</si>
  <si>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</si>
  <si>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</si>
  <si>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</si>
  <si>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</si>
  <si>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</si>
  <si>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</si>
  <si>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</si>
  <si>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</si>
  <si>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</si>
  <si>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</si>
  <si>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</si>
  <si>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</si>
  <si>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</si>
  <si>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</si>
  <si>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</si>
  <si>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</si>
  <si>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</si>
  <si>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</si>
  <si>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</si>
  <si>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</si>
  <si>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</si>
  <si>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</si>
  <si>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</si>
  <si>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</si>
  <si>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</si>
  <si>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</si>
  <si>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</si>
  <si>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</si>
  <si>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</si>
  <si>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</si>
  <si>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</si>
  <si>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</si>
  <si>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</si>
  <si>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</si>
  <si>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</si>
  <si>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</si>
  <si>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</si>
  <si>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</si>
  <si>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</si>
  <si>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</si>
  <si>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</si>
  <si>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</si>
  <si>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</si>
  <si>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</si>
  <si>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</si>
  <si>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</si>
  <si>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</si>
  <si>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</si>
  <si>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</si>
  <si>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</si>
  <si>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</si>
  <si>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</si>
  <si>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</si>
  <si>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</si>
  <si>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</si>
  <si>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</si>
  <si>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</si>
  <si>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</si>
  <si>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</si>
  <si>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</si>
  <si>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</si>
  <si>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</si>
  <si>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</si>
  <si>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</si>
  <si>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</si>
  <si>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</si>
  <si>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</si>
  <si>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</si>
  <si>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</si>
  <si>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</si>
  <si>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</si>
  <si>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</si>
  <si>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</si>
  <si>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</si>
  <si>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</si>
  <si>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</si>
  <si>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</si>
  <si>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</si>
  <si>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</si>
  <si>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</si>
  <si>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</si>
  <si>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</si>
  <si>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</si>
  <si>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</si>
  <si>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</si>
  <si>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</si>
  <si>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</si>
  <si>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</si>
  <si>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</si>
  <si>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</si>
  <si>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</si>
  <si>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</si>
  <si>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</si>
  <si>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</si>
  <si>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</si>
  <si>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</si>
  <si>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</si>
  <si>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</si>
  <si>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</si>
  <si>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</si>
  <si>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</si>
  <si>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</si>
  <si>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</si>
  <si>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</si>
  <si>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</si>
  <si>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</si>
  <si>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</si>
  <si>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</si>
  <si>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</si>
  <si>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</si>
  <si>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</si>
  <si>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</si>
  <si>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</si>
  <si>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</si>
  <si>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</si>
  <si>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</si>
  <si>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</si>
  <si>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</si>
  <si>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</si>
  <si>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</si>
  <si>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</si>
  <si>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</si>
  <si>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</si>
  <si>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</si>
  <si>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</si>
  <si>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</si>
  <si>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</si>
  <si>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</si>
  <si>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</si>
  <si>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</si>
  <si>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</si>
  <si>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</si>
  <si>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</si>
  <si>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</si>
  <si>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</si>
  <si>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</si>
  <si>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</si>
  <si>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</si>
  <si>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</si>
  <si>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</si>
  <si>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</si>
  <si>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</si>
  <si>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</si>
  <si>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</si>
  <si>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</si>
  <si>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</si>
  <si>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</si>
  <si>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</si>
  <si>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</si>
  <si>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</si>
  <si>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</si>
  <si>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</si>
  <si>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</si>
  <si>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</si>
  <si>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</si>
  <si>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</si>
  <si>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</si>
  <si>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</si>
  <si>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</si>
  <si>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</si>
  <si>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</si>
  <si>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</si>
  <si>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</si>
  <si>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</si>
  <si>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</si>
  <si>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</si>
  <si>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</si>
  <si>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</si>
  <si>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</si>
  <si>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</si>
  <si>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</si>
  <si>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</si>
  <si>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</si>
  <si>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</si>
  <si>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</si>
  <si>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</si>
  <si>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</si>
  <si>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</si>
  <si>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</si>
  <si>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</si>
  <si>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</si>
  <si>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</si>
  <si>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</si>
  <si>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</si>
  <si>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</si>
  <si>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</si>
  <si>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</si>
  <si>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</si>
  <si>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</si>
  <si>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</si>
  <si>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</si>
  <si>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</si>
  <si>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</si>
  <si>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</si>
  <si>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</si>
  <si>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</si>
  <si>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</si>
  <si>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</si>
  <si>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</si>
  <si>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</si>
  <si>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</si>
  <si>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</si>
  <si>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</si>
  <si>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</si>
  <si>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</si>
  <si>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</si>
  <si>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</si>
  <si>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</si>
  <si>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</si>
  <si>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</si>
  <si>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</si>
  <si>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</si>
  <si>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</si>
  <si>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</si>
  <si>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</si>
  <si>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</si>
  <si>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</si>
  <si>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</si>
  <si>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</si>
  <si>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</si>
  <si>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</si>
  <si>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</si>
  <si>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</si>
  <si>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</si>
  <si>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</si>
  <si>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</si>
  <si>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</si>
  <si>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</si>
  <si>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</si>
  <si>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</si>
  <si>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</si>
  <si>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</si>
  <si>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</si>
  <si>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</si>
  <si>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</si>
  <si>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</si>
  <si>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</si>
  <si>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</si>
  <si>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</si>
  <si>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</si>
  <si>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</si>
  <si>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</si>
  <si>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</si>
  <si>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</si>
  <si>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</si>
  <si>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</si>
  <si>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</si>
  <si>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</si>
  <si>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</si>
  <si>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</si>
  <si>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</si>
  <si>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</si>
  <si>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</si>
  <si>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</si>
  <si>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</si>
  <si>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</si>
  <si>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</si>
  <si>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</si>
  <si>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</si>
  <si>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</si>
  <si>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</si>
  <si>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</si>
  <si>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</si>
  <si>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</si>
  <si>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</si>
  <si>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</si>
  <si>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</si>
  <si>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</si>
  <si>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</si>
  <si>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</si>
  <si>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</si>
  <si>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</si>
  <si>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</si>
  <si>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</si>
  <si>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</si>
  <si>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</si>
  <si>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</si>
  <si>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</si>
  <si>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</si>
  <si>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</si>
  <si>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</si>
  <si>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</si>
  <si>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</si>
  <si>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</si>
  <si>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</si>
  <si>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</si>
  <si>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</si>
  <si>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</si>
  <si>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</si>
  <si>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</si>
  <si>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</si>
  <si>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</si>
  <si>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</si>
  <si>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</si>
  <si>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</si>
  <si>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</si>
  <si>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</si>
  <si>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</si>
  <si>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</si>
  <si>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</si>
  <si>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</si>
  <si>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</si>
  <si>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</si>
  <si>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</si>
  <si>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</si>
  <si>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</si>
  <si>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</si>
  <si>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</si>
  <si>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</si>
  <si>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</si>
  <si>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</si>
  <si>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</si>
  <si>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</si>
  <si>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</si>
  <si>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</si>
  <si>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</si>
  <si>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</si>
  <si>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</si>
  <si>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</si>
  <si>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</si>
  <si>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</si>
  <si>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</si>
  <si>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</si>
  <si>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</si>
  <si>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</si>
  <si>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</si>
  <si>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</si>
  <si>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</si>
  <si>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</si>
  <si>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</si>
  <si>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</si>
  <si>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</si>
  <si>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</si>
  <si>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</si>
  <si>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</si>
  <si>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</si>
  <si>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</si>
  <si>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</si>
  <si>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</si>
  <si>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</si>
  <si>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</si>
  <si>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</si>
  <si>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</si>
  <si>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</si>
  <si>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</si>
  <si>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</si>
  <si>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</si>
  <si>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</si>
  <si>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</si>
  <si>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</si>
  <si>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</si>
  <si>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</si>
  <si>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</si>
  <si>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</si>
  <si>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</si>
  <si>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</si>
  <si>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</si>
  <si>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</si>
  <si>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</si>
  <si>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</si>
  <si>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</si>
  <si>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</si>
  <si>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</si>
  <si>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</si>
  <si>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</si>
  <si>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</si>
  <si>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</si>
  <si>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</si>
  <si>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</si>
  <si>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</si>
  <si>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</si>
  <si>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</si>
  <si>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</si>
  <si>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</si>
  <si>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</si>
  <si>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</si>
  <si>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</si>
  <si>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</si>
  <si>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</si>
  <si>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</si>
  <si>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</si>
  <si>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</si>
  <si>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</si>
  <si>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</si>
  <si>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</si>
  <si>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</si>
  <si>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</si>
  <si>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</si>
  <si>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</si>
  <si>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</si>
  <si>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</si>
  <si>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</si>
  <si>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</si>
  <si>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</si>
  <si>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</si>
  <si>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</si>
  <si>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</si>
  <si>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</si>
  <si>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</si>
  <si>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</si>
  <si>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</si>
  <si>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</si>
  <si>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</si>
  <si>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</si>
  <si>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</si>
  <si>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</si>
  <si>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</si>
  <si>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</si>
  <si>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</si>
  <si>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</si>
  <si>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</si>
  <si>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</si>
  <si>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</si>
  <si>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</si>
  <si>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</si>
  <si>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</si>
  <si>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</si>
  <si>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</si>
  <si>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</si>
  <si>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</si>
  <si>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</si>
  <si>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</si>
  <si>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</si>
  <si>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</si>
  <si>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</si>
  <si>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</si>
  <si>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</si>
  <si>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</si>
  <si>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</si>
  <si>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</si>
  <si>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</si>
  <si>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</si>
  <si>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</si>
  <si>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</si>
  <si>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</si>
  <si>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</si>
  <si>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</si>
  <si>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</si>
  <si>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</si>
  <si>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</si>
  <si>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</si>
  <si>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</si>
  <si>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</si>
  <si>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</si>
  <si>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</si>
  <si>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</si>
  <si>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</si>
  <si>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</si>
  <si>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</si>
  <si>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</si>
  <si>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</si>
  <si>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</si>
  <si>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</si>
  <si>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</si>
  <si>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</si>
  <si>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</si>
  <si>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</si>
  <si>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</si>
  <si>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</si>
  <si>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</si>
  <si>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</si>
  <si>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</si>
  <si>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</si>
  <si>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</si>
  <si>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</si>
  <si>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</si>
  <si>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</si>
  <si>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</si>
  <si>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</si>
  <si>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</si>
  <si>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</si>
  <si>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</si>
  <si>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</si>
  <si>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</si>
  <si>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</si>
  <si>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</si>
  <si>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</si>
  <si>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</si>
  <si>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</si>
  <si>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</si>
  <si>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</si>
  <si>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</si>
  <si>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</si>
  <si>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</si>
  <si>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</si>
  <si>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</si>
  <si>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</si>
  <si>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</si>
  <si>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</si>
  <si>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</si>
  <si>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</si>
  <si>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</si>
  <si>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</si>
  <si>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</si>
  <si>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</si>
  <si>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</si>
  <si>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</si>
  <si>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</si>
  <si>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</si>
  <si>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</si>
  <si>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</si>
  <si>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</si>
  <si>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</si>
  <si>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</si>
  <si>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</si>
  <si>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</si>
  <si>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</si>
  <si>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</si>
  <si>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</si>
  <si>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</si>
  <si>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</si>
  <si>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</si>
  <si>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</si>
  <si>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</si>
  <si>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</si>
  <si>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</si>
  <si>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</si>
  <si>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</si>
  <si>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</si>
  <si>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</si>
  <si>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</si>
  <si>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</si>
  <si>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</si>
  <si>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</si>
  <si>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</si>
  <si>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</si>
  <si>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</si>
  <si>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</si>
  <si>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</si>
  <si>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</si>
  <si>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</si>
  <si>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</si>
  <si>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</si>
  <si>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</si>
  <si>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</si>
  <si>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</si>
  <si>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</si>
  <si>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</si>
  <si>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</si>
  <si>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</si>
  <si>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</si>
  <si>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</si>
  <si>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</si>
  <si>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</si>
  <si>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</si>
  <si>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</si>
  <si>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</si>
  <si>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</si>
  <si>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</si>
  <si>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</si>
  <si>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</si>
  <si>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</si>
  <si>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</si>
  <si>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</si>
  <si>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</si>
  <si>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</si>
  <si>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</si>
  <si>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</si>
  <si>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</si>
  <si>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</si>
  <si>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</si>
  <si>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</si>
  <si>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</si>
  <si>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</si>
  <si>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</si>
  <si>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</si>
  <si>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</si>
  <si>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</si>
  <si>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</si>
  <si>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</si>
  <si>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</si>
  <si>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</si>
  <si>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</si>
  <si>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</si>
  <si>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</si>
  <si>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</si>
  <si>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</si>
  <si>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</si>
  <si>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</si>
  <si>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</si>
  <si>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</si>
  <si>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</si>
  <si>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</si>
  <si>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</si>
  <si>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</si>
  <si>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</si>
  <si>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</si>
  <si>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</si>
  <si>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</si>
  <si>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</si>
  <si>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</si>
  <si>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</si>
  <si>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</si>
  <si>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</si>
  <si>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</si>
  <si>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</si>
  <si>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</si>
  <si>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</si>
  <si>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</si>
  <si>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</si>
  <si>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</si>
  <si>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</si>
  <si>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</si>
  <si>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</si>
  <si>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</si>
  <si>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</si>
  <si>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</si>
  <si>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</si>
  <si>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</si>
  <si>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</si>
  <si>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</si>
  <si>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</si>
  <si>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</si>
  <si>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</si>
  <si>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</si>
  <si>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</si>
  <si>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</si>
  <si>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</si>
  <si>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</si>
  <si>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</si>
  <si>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</si>
  <si>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</si>
  <si>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</si>
  <si>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</si>
  <si>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</si>
  <si>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</si>
  <si>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</si>
  <si>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</si>
  <si>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</si>
  <si>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</si>
  <si>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</si>
  <si>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</si>
  <si>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</si>
  <si>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</si>
  <si>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</si>
  <si>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</si>
  <si>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</si>
  <si>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</si>
  <si>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</si>
  <si>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</si>
  <si>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</si>
  <si>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</si>
  <si>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</si>
  <si>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</si>
  <si>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</si>
  <si>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</si>
  <si>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</si>
  <si>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</si>
  <si>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</si>
  <si>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</si>
  <si>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</si>
  <si>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</si>
  <si>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</si>
  <si>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</si>
  <si>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</si>
  <si>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</si>
  <si>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</si>
  <si>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</si>
  <si>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</si>
  <si>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</si>
  <si>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</si>
  <si>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</si>
  <si>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</si>
  <si>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</si>
  <si>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</si>
  <si>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</si>
  <si>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</si>
  <si>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</si>
  <si>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</si>
  <si>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</si>
  <si>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</si>
  <si>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</si>
  <si>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</si>
  <si>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</si>
  <si>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</si>
  <si>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</si>
  <si>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</si>
  <si>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</si>
  <si>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</si>
  <si>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</si>
  <si>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</si>
  <si>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</si>
  <si>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</si>
  <si>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</si>
  <si>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</si>
  <si>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</si>
  <si>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</si>
  <si>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</si>
  <si>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</si>
  <si>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</si>
  <si>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</si>
  <si>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</si>
  <si>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</si>
  <si>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</si>
  <si>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</si>
  <si>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</si>
  <si>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</si>
  <si>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</si>
  <si>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</si>
  <si>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</si>
  <si>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</si>
  <si>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</si>
  <si>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</si>
  <si>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</si>
  <si>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</si>
  <si>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</si>
  <si>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</si>
  <si>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</si>
  <si>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</si>
  <si>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</si>
  <si>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</si>
  <si>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</si>
  <si>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</si>
  <si>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</si>
  <si>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</si>
  <si>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</si>
  <si>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</si>
  <si>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</si>
  <si>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</si>
  <si>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</si>
  <si>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</si>
  <si>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</si>
  <si>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</si>
  <si>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</si>
  <si>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</si>
  <si>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</si>
  <si>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</si>
  <si>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</si>
  <si>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</si>
  <si>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</si>
  <si>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</si>
  <si>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</si>
  <si>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</si>
  <si>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</si>
  <si>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</si>
  <si>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</si>
  <si>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</si>
  <si>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</si>
  <si>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</si>
  <si>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</si>
  <si>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</si>
  <si>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</si>
  <si>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</si>
  <si>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</si>
  <si>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</si>
  <si>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</si>
  <si>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</si>
  <si>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</si>
  <si>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</si>
  <si>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</si>
  <si>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</si>
  <si>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</si>
  <si>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</si>
  <si>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</si>
  <si>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</si>
  <si>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</si>
  <si>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</si>
  <si>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</si>
  <si>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</si>
  <si>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</si>
  <si>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</si>
  <si>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</si>
  <si>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</si>
  <si>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</si>
  <si>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</si>
  <si>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</si>
  <si>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</si>
  <si>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</si>
  <si>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</si>
  <si>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</si>
  <si>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</si>
  <si>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</si>
  <si>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</si>
  <si>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</si>
  <si>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</si>
  <si>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</si>
  <si>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</si>
  <si>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</si>
  <si>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</si>
  <si>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</si>
  <si>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</si>
  <si>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</si>
  <si>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</si>
  <si>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</si>
  <si>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</si>
  <si>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</si>
  <si>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</si>
  <si>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</si>
  <si>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</si>
  <si>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</si>
  <si>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</si>
  <si>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</si>
  <si>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</si>
  <si>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</si>
  <si>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</si>
  <si>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</si>
  <si>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</si>
  <si>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</si>
  <si>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</si>
  <si>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</si>
  <si>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</si>
  <si>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</si>
  <si>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</si>
  <si>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</si>
  <si>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</si>
  <si>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</si>
  <si>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</si>
  <si>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</si>
  <si>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</si>
  <si>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</si>
  <si>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</si>
  <si>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</si>
  <si>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</si>
  <si>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</si>
  <si>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</si>
  <si>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</si>
  <si>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</si>
  <si>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</si>
  <si>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</si>
  <si>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</si>
  <si>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</si>
  <si>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</si>
  <si>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</si>
  <si>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</si>
  <si>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</si>
  <si>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</si>
  <si>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</si>
  <si>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</si>
  <si>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</si>
  <si>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</si>
  <si>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</si>
  <si>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</si>
  <si>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</si>
  <si>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</si>
  <si>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</si>
  <si>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</si>
  <si>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</si>
  <si>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</si>
  <si>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</si>
  <si>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</si>
  <si>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</si>
  <si>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</si>
  <si>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</si>
  <si>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</si>
  <si>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</si>
  <si>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</si>
  <si>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</si>
  <si>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</si>
  <si>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</si>
  <si>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</si>
  <si>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</si>
  <si>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</si>
  <si>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</si>
  <si>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</si>
  <si>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</si>
  <si>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</si>
  <si>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</si>
  <si>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</si>
  <si>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</si>
  <si>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</si>
  <si>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</si>
  <si>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</si>
  <si>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</si>
  <si>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</si>
  <si>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</si>
  <si>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</si>
  <si>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</si>
  <si>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</si>
  <si>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</si>
  <si>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</si>
  <si>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</si>
  <si>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</si>
  <si>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</si>
  <si>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</si>
  <si>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</si>
  <si>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</si>
  <si>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</si>
  <si>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</si>
  <si>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</si>
  <si>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</si>
  <si>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</si>
  <si>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</si>
  <si>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</si>
  <si>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</si>
  <si>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</si>
  <si>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</si>
  <si>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</si>
  <si>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</si>
  <si>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</si>
  <si>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</si>
  <si>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</si>
  <si>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</si>
  <si>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</si>
  <si>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</si>
  <si>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</si>
  <si>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</si>
  <si>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</si>
  <si>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</si>
  <si>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</si>
  <si>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</si>
  <si>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</si>
  <si>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</si>
  <si>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</si>
  <si>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</si>
  <si>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</si>
  <si>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</si>
  <si>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</si>
  <si>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</si>
  <si>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</si>
  <si>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</si>
  <si>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</si>
  <si>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</si>
  <si>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</si>
  <si>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</si>
  <si>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</si>
  <si>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</si>
  <si>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</si>
  <si>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</si>
  <si>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</si>
  <si>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</si>
  <si>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</si>
  <si>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</si>
  <si>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</si>
  <si>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</si>
  <si>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</si>
  <si>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</si>
  <si>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</si>
  <si>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</si>
  <si>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</si>
  <si>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</si>
  <si>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</si>
  <si>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</si>
  <si>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</si>
  <si>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</si>
  <si>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</si>
  <si>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</si>
  <si>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</si>
  <si>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</si>
  <si>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</si>
  <si>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</si>
  <si>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</si>
  <si>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</si>
  <si>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</si>
  <si>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</si>
  <si>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</si>
  <si>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</si>
  <si>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</si>
  <si>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</si>
  <si>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</si>
  <si>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</si>
  <si>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</si>
  <si>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</si>
  <si>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</si>
  <si>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</si>
  <si>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</si>
  <si>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</si>
  <si>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</si>
  <si>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</si>
  <si>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</si>
  <si>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</si>
  <si>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</si>
  <si>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</si>
  <si>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</si>
  <si>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</si>
  <si>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</si>
  <si>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</si>
  <si>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</si>
  <si>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</si>
  <si>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</si>
  <si>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</si>
  <si>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</si>
  <si>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</si>
  <si>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</si>
  <si>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</si>
  <si>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</si>
  <si>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</si>
  <si>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</si>
  <si>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</si>
  <si>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</si>
  <si>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</si>
  <si>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</si>
  <si>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</si>
  <si>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</si>
  <si>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</si>
  <si>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</si>
  <si>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</si>
  <si>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</si>
  <si>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</si>
  <si>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</si>
  <si>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</si>
  <si>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</si>
  <si>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</si>
  <si>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</si>
  <si>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</si>
  <si>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</si>
  <si>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</si>
  <si>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</si>
  <si>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</si>
  <si>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</si>
  <si>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</si>
  <si>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</si>
  <si>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</si>
  <si>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</si>
  <si>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</si>
  <si>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</si>
  <si>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</si>
  <si>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</si>
  <si>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</si>
  <si>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</si>
  <si>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</si>
  <si>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</si>
  <si>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</si>
  <si>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</si>
  <si>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</si>
  <si>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</si>
  <si>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</si>
  <si>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</si>
  <si>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</si>
  <si>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</si>
  <si>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</si>
  <si>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</si>
  <si>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</si>
  <si>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</si>
  <si>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</si>
  <si>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</si>
  <si>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</si>
  <si>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</si>
  <si>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</si>
  <si>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</si>
  <si>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</si>
  <si>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</si>
  <si>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</si>
  <si>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</si>
  <si>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</si>
  <si>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</si>
  <si>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</si>
  <si>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</si>
  <si>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</si>
  <si>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</si>
  <si>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</si>
  <si>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</si>
  <si>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</si>
  <si>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</si>
  <si>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</si>
  <si>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</si>
  <si>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</si>
  <si>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</si>
  <si>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</si>
  <si>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</si>
  <si>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</si>
  <si>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</si>
  <si>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</si>
  <si>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</si>
  <si>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</si>
  <si>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</si>
  <si>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</si>
  <si>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</si>
  <si>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</si>
  <si>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</si>
  <si>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</si>
  <si>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</si>
  <si>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</si>
  <si>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</si>
  <si>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</si>
  <si>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</si>
  <si>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</si>
  <si>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</si>
  <si>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</si>
  <si>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</si>
  <si>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</si>
  <si>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</si>
  <si>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</si>
  <si>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</si>
  <si>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</si>
  <si>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</si>
  <si>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</si>
  <si>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</si>
  <si>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</si>
  <si>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</si>
  <si>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</si>
  <si>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</si>
  <si>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</si>
  <si>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</si>
  <si>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</si>
  <si>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</si>
  <si>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</si>
  <si>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</si>
  <si>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</si>
  <si>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</si>
  <si>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</si>
  <si>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</si>
  <si>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</si>
  <si>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</si>
  <si>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</si>
  <si>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</si>
  <si>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</si>
  <si>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</si>
  <si>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</si>
  <si>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</si>
  <si>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</si>
  <si>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</si>
  <si>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</si>
  <si>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</si>
  <si>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</si>
  <si>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</si>
  <si>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</si>
  <si>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</si>
  <si>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</si>
  <si>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</si>
  <si>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</si>
  <si>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</si>
  <si>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</si>
  <si>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</si>
  <si>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</si>
  <si>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</si>
  <si>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</si>
  <si>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</si>
  <si>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</si>
  <si>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</si>
  <si>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</si>
  <si>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</si>
  <si>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</si>
  <si>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</si>
  <si>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</si>
  <si>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</si>
  <si>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</si>
  <si>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</si>
  <si>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</si>
  <si>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</si>
  <si>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</si>
  <si>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</si>
  <si>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</si>
  <si>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</si>
  <si>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</si>
  <si>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</si>
  <si>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</si>
  <si>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</si>
  <si>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</si>
  <si>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</si>
  <si>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</si>
  <si>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</si>
  <si>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</si>
  <si>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</si>
  <si>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</si>
  <si>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</si>
  <si>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</si>
  <si>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</si>
  <si>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</si>
  <si>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</si>
  <si>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</si>
  <si>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</si>
  <si>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</si>
  <si>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</si>
  <si>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</si>
  <si>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</si>
  <si>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</si>
  <si>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</si>
  <si>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</si>
  <si>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</si>
  <si>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</si>
  <si>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</si>
  <si>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</si>
  <si>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</si>
  <si>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</si>
  <si>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</si>
  <si>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</si>
  <si>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</si>
  <si>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</si>
  <si>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</si>
  <si>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</si>
  <si>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</si>
  <si>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</si>
  <si>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</si>
  <si>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</si>
  <si>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</si>
  <si>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</si>
  <si>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</si>
  <si>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</si>
  <si>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</si>
  <si>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</si>
  <si>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</si>
  <si>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</si>
  <si>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</si>
  <si>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</si>
  <si>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</si>
  <si>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</si>
  <si>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</si>
  <si>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</si>
  <si>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</si>
  <si>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</si>
  <si>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</si>
  <si>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</si>
  <si>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</si>
  <si>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</si>
  <si>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</si>
  <si>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</si>
  <si>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</si>
  <si>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</si>
  <si>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</si>
  <si>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</si>
  <si>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</si>
  <si>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</si>
  <si>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</si>
  <si>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</si>
  <si>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</si>
  <si>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</si>
  <si>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</si>
  <si>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</si>
  <si>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</si>
  <si>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</si>
  <si>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</si>
  <si>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</si>
  <si>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</si>
  <si>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</si>
  <si>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</si>
  <si>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</si>
  <si>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</si>
  <si>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</si>
  <si>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</si>
  <si>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</si>
  <si>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</si>
  <si>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</si>
  <si>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</si>
  <si>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</si>
  <si>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</si>
  <si>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</si>
  <si>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</si>
  <si>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</si>
  <si>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</si>
  <si>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</si>
  <si>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</si>
  <si>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</si>
  <si>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</si>
  <si>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</si>
  <si>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</si>
  <si>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</si>
  <si>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</si>
  <si>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</si>
  <si>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</si>
  <si>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</si>
  <si>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</si>
  <si>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</si>
  <si>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</si>
  <si>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</si>
  <si>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</si>
  <si>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</si>
  <si>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</si>
  <si>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</si>
  <si>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</si>
  <si>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</si>
  <si>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</si>
  <si>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</si>
  <si>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</si>
  <si>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</si>
  <si>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</si>
  <si>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</si>
  <si>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</si>
  <si>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</si>
  <si>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</si>
  <si>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</si>
  <si>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</si>
  <si>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</si>
  <si>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</si>
  <si>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</si>
  <si>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</si>
  <si>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</si>
  <si>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</si>
  <si>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</si>
  <si>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</si>
  <si>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</si>
  <si>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</si>
  <si>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</si>
  <si>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</si>
  <si>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</si>
  <si>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</si>
  <si>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</si>
  <si>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</si>
  <si>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</si>
  <si>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</si>
  <si>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</si>
  <si>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</si>
  <si>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</si>
  <si>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</si>
  <si>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</si>
  <si>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</si>
  <si>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</si>
  <si>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</si>
  <si>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</si>
  <si>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</si>
  <si>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</si>
  <si>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</si>
  <si>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</si>
  <si>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</si>
  <si>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</si>
  <si>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</si>
  <si>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</si>
  <si>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</si>
  <si>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</si>
  <si>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</si>
  <si>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</si>
  <si>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</si>
  <si>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</si>
  <si>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</si>
  <si>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</si>
  <si>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</si>
  <si>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</si>
  <si>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</si>
  <si>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</si>
  <si>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</si>
  <si>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</si>
  <si>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</si>
  <si>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</si>
  <si>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</si>
  <si>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</si>
  <si>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</si>
  <si>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</si>
  <si>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</si>
  <si>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</si>
  <si>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</si>
  <si>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</si>
  <si>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</si>
  <si>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</si>
  <si>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</si>
  <si>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</si>
  <si>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</si>
  <si>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</si>
  <si>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</si>
  <si>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</si>
  <si>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</si>
  <si>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</si>
  <si>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</si>
  <si>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</si>
  <si>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</si>
  <si>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</si>
  <si>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</si>
  <si>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</si>
  <si>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</si>
  <si>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</si>
  <si>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</si>
  <si>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</si>
  <si>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</si>
  <si>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</si>
  <si>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</si>
  <si>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</si>
  <si>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</si>
  <si>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</si>
  <si>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</si>
  <si>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</si>
  <si>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</si>
  <si>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</si>
  <si>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</si>
  <si>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</si>
  <si>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</si>
  <si>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</si>
  <si>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</si>
  <si>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</si>
  <si>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</si>
  <si>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</si>
  <si>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</si>
  <si>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</si>
  <si>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</si>
  <si>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</si>
  <si>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</si>
  <si>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</si>
  <si>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</si>
  <si>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</si>
  <si>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</si>
  <si>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</si>
  <si>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</si>
  <si>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</si>
  <si>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</si>
  <si>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</si>
  <si>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</si>
  <si>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</si>
  <si>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</si>
  <si>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</si>
  <si>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</si>
  <si>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</si>
  <si>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</si>
  <si>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</si>
  <si>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</si>
  <si>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</si>
  <si>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</si>
  <si>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</si>
  <si>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</si>
  <si>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</si>
  <si>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</si>
  <si>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</si>
  <si>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</si>
  <si>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</si>
  <si>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</si>
  <si>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</si>
  <si>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</si>
  <si>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</si>
  <si>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</si>
  <si>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</si>
  <si>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</si>
  <si>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</si>
  <si>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</si>
  <si>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</si>
  <si>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</si>
  <si>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</si>
  <si>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</si>
  <si>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</si>
  <si>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</si>
  <si>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</si>
  <si>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</si>
  <si>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</si>
  <si>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</si>
  <si>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</si>
  <si>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</si>
  <si>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</si>
  <si>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</si>
  <si>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</si>
  <si>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</si>
  <si>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</si>
  <si>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</si>
  <si>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</si>
  <si>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</si>
  <si>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</si>
  <si>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</si>
  <si>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</si>
  <si>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</si>
  <si>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</si>
  <si>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</si>
  <si>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</si>
  <si>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</si>
  <si>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</si>
  <si>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</si>
  <si>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</si>
  <si>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</si>
  <si>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</si>
  <si>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</si>
  <si>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</si>
  <si>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</si>
  <si>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</si>
  <si>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</si>
  <si>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</si>
  <si>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</si>
  <si>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</si>
  <si>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</si>
  <si>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</si>
  <si>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</si>
  <si>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</si>
  <si>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</si>
  <si>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</si>
  <si>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</si>
  <si>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</si>
  <si>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</si>
  <si>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</si>
  <si>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</si>
  <si>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</si>
  <si>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</si>
  <si>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</si>
  <si>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</si>
  <si>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</si>
  <si>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</si>
  <si>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</si>
  <si>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</si>
  <si>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</si>
  <si>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</si>
  <si>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</si>
  <si>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</si>
  <si>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</si>
  <si>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</si>
  <si>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</si>
  <si>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</si>
  <si>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</si>
  <si>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</si>
  <si>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</si>
  <si>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</si>
  <si>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</si>
  <si>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</si>
  <si>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</si>
  <si>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</si>
  <si>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</si>
  <si>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</si>
  <si>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</si>
  <si>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</si>
  <si>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</si>
  <si>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</si>
  <si>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</si>
  <si>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</si>
  <si>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</si>
  <si>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</si>
  <si>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</si>
  <si>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</si>
  <si>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</si>
  <si>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</si>
  <si>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</si>
  <si>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</si>
  <si>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</si>
  <si>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</si>
  <si>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</si>
  <si>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</si>
  <si>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</si>
  <si>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</si>
  <si>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</si>
  <si>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</si>
  <si>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</si>
  <si>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</si>
  <si>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</si>
  <si>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</si>
  <si>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</si>
  <si>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</si>
  <si>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</si>
  <si>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</si>
  <si>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</si>
  <si>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</si>
  <si>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</si>
  <si>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</si>
  <si>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</si>
  <si>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</si>
  <si>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</si>
  <si>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</si>
  <si>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</si>
  <si>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</si>
  <si>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</si>
  <si>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</si>
  <si>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</si>
  <si>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</si>
  <si>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</si>
  <si>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</si>
  <si>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</si>
  <si>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</si>
  <si>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</si>
  <si>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</si>
  <si>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</si>
  <si>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</si>
  <si>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</si>
  <si>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</si>
  <si>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</si>
  <si>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</si>
  <si>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</si>
  <si>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</si>
  <si>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</si>
  <si>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</si>
  <si>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</si>
  <si>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</si>
  <si>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</si>
  <si>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</si>
  <si>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</si>
  <si>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</si>
  <si>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</si>
  <si>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</si>
  <si>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</si>
  <si>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</si>
  <si>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</si>
  <si>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</si>
  <si>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</si>
  <si>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</si>
  <si>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</si>
  <si>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</si>
  <si>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</si>
  <si>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</si>
  <si>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</si>
  <si>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</si>
  <si>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</si>
  <si>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</si>
  <si>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</si>
  <si>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</si>
  <si>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</si>
  <si>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</si>
  <si>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</si>
  <si>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</si>
  <si>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</si>
  <si>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</si>
  <si>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</si>
  <si>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</si>
  <si>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</si>
  <si>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</si>
  <si>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</si>
  <si>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</si>
  <si>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</si>
  <si>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</si>
  <si>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</si>
  <si>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</si>
  <si>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</si>
  <si>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</si>
  <si>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</si>
  <si>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</si>
  <si>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</si>
  <si>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</si>
  <si>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</si>
  <si>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</si>
  <si>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</si>
  <si>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</si>
  <si>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</si>
  <si>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</si>
  <si>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</si>
  <si>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</si>
  <si>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</si>
  <si>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</si>
  <si>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</si>
  <si>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</si>
  <si>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</si>
  <si>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</si>
  <si>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</si>
  <si>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</si>
  <si>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</si>
  <si>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</si>
  <si>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</si>
  <si>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</si>
  <si>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</si>
  <si>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</si>
  <si>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</si>
  <si>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</si>
  <si>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</si>
  <si>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</si>
  <si>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</si>
  <si>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</si>
  <si>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</si>
  <si>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</si>
  <si>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</si>
  <si>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</si>
  <si>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</si>
  <si>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</si>
  <si>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</si>
  <si>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</si>
  <si>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</si>
  <si>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</si>
  <si>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</si>
  <si>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</si>
  <si>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</si>
  <si>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</si>
  <si>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</si>
  <si>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</si>
  <si>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</si>
  <si>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</si>
  <si>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</si>
  <si>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</si>
  <si>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</si>
  <si>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</si>
  <si>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</si>
  <si>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</si>
  <si>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</si>
  <si>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</si>
  <si>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</si>
  <si>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</si>
  <si>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</si>
  <si>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</si>
  <si>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</si>
  <si>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</si>
  <si>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</si>
  <si>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</si>
  <si>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</si>
  <si>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</si>
  <si>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</si>
  <si>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</si>
  <si>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</si>
  <si>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</si>
  <si>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</si>
  <si>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</si>
  <si>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</si>
  <si>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</si>
  <si>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</si>
  <si>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</si>
  <si>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</si>
  <si>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</si>
  <si>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</si>
  <si>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</si>
  <si>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</si>
  <si>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</si>
  <si>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</si>
  <si>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</si>
  <si>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</si>
  <si>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</si>
  <si>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</si>
  <si>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</si>
  <si>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</si>
  <si>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</si>
  <si>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</si>
  <si>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</si>
  <si>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</si>
  <si>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</si>
  <si>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</si>
  <si>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</si>
  <si>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</si>
  <si>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</si>
  <si>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</si>
  <si>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</si>
  <si>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</si>
  <si>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</si>
  <si>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</si>
  <si>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</si>
  <si>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</si>
  <si>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</si>
  <si>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</si>
  <si>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</si>
  <si>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</si>
  <si>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</si>
  <si>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</si>
  <si>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</si>
  <si>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</si>
  <si>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</si>
  <si>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</si>
  <si>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</si>
  <si>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</si>
  <si>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</si>
  <si>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</si>
  <si>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</si>
  <si>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</si>
  <si>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</si>
  <si>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</si>
  <si>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</si>
  <si>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</si>
  <si>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</si>
  <si>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</si>
  <si>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</si>
  <si>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</si>
  <si>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</si>
  <si>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</si>
  <si>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</si>
  <si>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</si>
  <si>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</si>
  <si>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</si>
  <si>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</si>
  <si>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</si>
  <si>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</si>
  <si>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</si>
  <si>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</si>
  <si>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</si>
  <si>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</si>
  <si>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</si>
  <si>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</si>
  <si>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</si>
  <si>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</si>
  <si>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</si>
  <si>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</si>
  <si>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</si>
  <si>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</si>
  <si>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</si>
  <si>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</si>
  <si>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</si>
  <si>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</si>
  <si>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</si>
  <si>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</si>
  <si>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</si>
  <si>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</si>
  <si>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</si>
  <si>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</si>
  <si>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</si>
  <si>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</si>
  <si>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</si>
  <si>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</si>
  <si>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</si>
  <si>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</si>
  <si>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</si>
  <si>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</si>
  <si>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</si>
  <si>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</si>
  <si>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</si>
  <si>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</si>
  <si>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</si>
  <si>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</si>
  <si>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</si>
  <si>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</si>
  <si>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</si>
  <si>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</si>
  <si>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</si>
  <si>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</si>
  <si>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</si>
  <si>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</si>
  <si>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</si>
  <si>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</si>
  <si>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</si>
  <si>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</si>
  <si>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</si>
  <si>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</si>
  <si>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</si>
  <si>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</si>
  <si>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</si>
  <si>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</si>
  <si>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</si>
  <si>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</si>
  <si>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</si>
  <si>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</si>
  <si>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</si>
  <si>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</si>
  <si>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</si>
  <si>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</si>
  <si>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</si>
  <si>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</si>
  <si>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</si>
  <si>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</si>
  <si>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</si>
  <si>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</si>
  <si>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</si>
  <si>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</si>
  <si>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</si>
  <si>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</si>
  <si>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</si>
  <si>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</si>
  <si>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</si>
  <si>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</si>
  <si>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</si>
  <si>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</si>
  <si>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</si>
  <si>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</si>
  <si>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</si>
  <si>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</si>
  <si>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</si>
  <si>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</si>
  <si>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</si>
  <si>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</si>
  <si>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</si>
  <si>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</si>
  <si>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</si>
  <si>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</si>
  <si>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</si>
  <si>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</si>
  <si>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</si>
  <si>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</si>
  <si>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</si>
  <si>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</si>
  <si>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</si>
  <si>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</si>
  <si>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</si>
  <si>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</si>
  <si>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</si>
  <si>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</si>
  <si>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</si>
  <si>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</si>
  <si>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</si>
  <si>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</si>
  <si>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</si>
  <si>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</si>
  <si>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</si>
  <si>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</si>
  <si>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</si>
  <si>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</si>
  <si>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</si>
  <si>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</si>
  <si>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</si>
  <si>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</si>
  <si>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</si>
  <si>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</si>
  <si>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</si>
  <si>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</si>
  <si>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</si>
  <si>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</si>
  <si>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</si>
  <si>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</si>
  <si>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</si>
  <si>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</si>
  <si>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</si>
  <si>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</si>
  <si>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</si>
  <si>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</si>
  <si>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</si>
  <si>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</si>
  <si>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</si>
  <si>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</si>
  <si>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</si>
  <si>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</si>
  <si>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</si>
  <si>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</si>
  <si>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</si>
  <si>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</si>
  <si>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</si>
  <si>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</si>
  <si>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</si>
  <si>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</si>
  <si>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</si>
  <si>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</si>
  <si>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</si>
  <si>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</si>
  <si>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</si>
  <si>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</si>
  <si>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</si>
  <si>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</si>
  <si>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</si>
  <si>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</si>
  <si>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</si>
  <si>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</si>
  <si>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</si>
  <si>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</si>
  <si>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</si>
  <si>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</si>
  <si>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</si>
  <si>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</si>
  <si>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</si>
  <si>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</si>
  <si>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</si>
  <si>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</si>
  <si>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</si>
  <si>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</si>
  <si>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</si>
  <si>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</si>
  <si>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</si>
  <si>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</si>
  <si>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</si>
  <si>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</si>
  <si>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</si>
  <si>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</si>
  <si>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</si>
  <si>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</si>
  <si>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</si>
  <si>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</si>
  <si>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</si>
  <si>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</si>
  <si>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</si>
  <si>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</si>
  <si>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</si>
  <si>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</si>
  <si>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</si>
  <si>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</si>
  <si>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</si>
  <si>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</si>
  <si>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</si>
  <si>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</si>
  <si>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</si>
  <si>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</si>
  <si>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</si>
  <si>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</si>
  <si>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</si>
  <si>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</si>
  <si>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</si>
  <si>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</si>
  <si>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</si>
  <si>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</si>
  <si>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</si>
  <si>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</si>
  <si>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</si>
  <si>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</si>
  <si>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</si>
  <si>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</si>
  <si>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</si>
  <si>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</si>
  <si>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</si>
  <si>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</si>
  <si>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</si>
  <si>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</si>
  <si>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</si>
  <si>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</si>
  <si>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</si>
  <si>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</si>
  <si>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</si>
  <si>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</si>
  <si>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</si>
  <si>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</si>
  <si>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</si>
  <si>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</si>
  <si>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</si>
  <si>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</si>
  <si>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</si>
  <si>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</si>
  <si>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</si>
  <si>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</si>
  <si>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</si>
  <si>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</si>
  <si>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</si>
  <si>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</si>
  <si>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</si>
  <si>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</si>
  <si>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</si>
  <si>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</si>
  <si>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</si>
  <si>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</si>
  <si>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</si>
  <si>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</si>
  <si>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</si>
  <si>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</si>
  <si>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</si>
  <si>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</si>
  <si>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</si>
  <si>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</si>
  <si>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</si>
  <si>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</si>
  <si>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</si>
  <si>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</si>
  <si>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</si>
  <si>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</si>
  <si>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</si>
  <si>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</si>
  <si>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</si>
  <si>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</si>
  <si>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</si>
  <si>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</si>
  <si>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</si>
  <si>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</si>
  <si>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</si>
  <si>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</si>
  <si>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</si>
  <si>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</si>
  <si>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</si>
  <si>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</si>
  <si>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</si>
  <si>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</si>
  <si>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</si>
  <si>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</si>
  <si>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</si>
  <si>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</si>
  <si>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</si>
  <si>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</si>
  <si>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</si>
  <si>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</si>
  <si>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</si>
  <si>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</si>
  <si>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</si>
  <si>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</si>
  <si>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</si>
  <si>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</si>
  <si>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</si>
  <si>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</si>
  <si>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</si>
  <si>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</si>
  <si>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</si>
  <si>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</si>
  <si>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</si>
  <si>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</si>
  <si>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</si>
  <si>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</si>
  <si>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</si>
  <si>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</si>
  <si>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</si>
  <si>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</si>
  <si>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</si>
  <si>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</si>
  <si>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</si>
  <si>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</si>
  <si>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</si>
  <si>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</si>
  <si>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</si>
  <si>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</si>
  <si>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</si>
  <si>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</si>
  <si>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</si>
  <si>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</si>
  <si>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</si>
  <si>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</si>
  <si>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</si>
  <si>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</si>
  <si>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</si>
  <si>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</si>
  <si>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</si>
  <si>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</si>
  <si>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</si>
  <si>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</si>
  <si>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</si>
  <si>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</si>
  <si>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</si>
  <si>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</si>
  <si>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</si>
  <si>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</si>
  <si>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</si>
  <si>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</si>
  <si>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</si>
  <si>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</si>
  <si>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</si>
  <si>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</si>
  <si>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</si>
  <si>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</si>
  <si>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</si>
  <si>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</si>
  <si>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</si>
  <si>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</si>
  <si>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</si>
  <si>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</si>
  <si>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</si>
  <si>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</si>
  <si>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</si>
  <si>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</si>
  <si>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</si>
  <si>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</si>
  <si>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</si>
  <si>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</si>
  <si>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</si>
  <si>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</si>
  <si>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</si>
  <si>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</si>
  <si>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</si>
  <si>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</si>
  <si>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</si>
  <si>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</si>
  <si>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</si>
  <si>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</si>
  <si>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</si>
  <si>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</si>
  <si>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</si>
  <si>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</si>
  <si>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</si>
  <si>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</si>
  <si>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</si>
  <si>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</si>
  <si>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</si>
  <si>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</si>
  <si>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</si>
  <si>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</si>
  <si>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</si>
  <si>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</si>
  <si>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</si>
  <si>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</si>
  <si>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</si>
  <si>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</si>
  <si>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</si>
  <si>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</si>
  <si>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</si>
  <si>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</si>
  <si>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</si>
  <si>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</si>
  <si>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</si>
  <si>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</si>
  <si>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</si>
  <si>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</si>
  <si>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</si>
  <si>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</si>
  <si>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</si>
  <si>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</si>
  <si>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</si>
  <si>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</si>
  <si>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</si>
  <si>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</si>
  <si>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</si>
  <si>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</si>
  <si>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</si>
  <si>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</si>
  <si>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</si>
  <si>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</si>
  <si>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</si>
  <si>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</si>
  <si>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</si>
  <si>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</si>
  <si>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</si>
  <si>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</si>
  <si>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</si>
  <si>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</si>
  <si>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</si>
  <si>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</si>
  <si>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</si>
  <si>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</si>
  <si>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</si>
  <si>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</si>
  <si>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</si>
  <si>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</si>
  <si>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</si>
  <si>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</si>
  <si>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</si>
  <si>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</si>
  <si>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</si>
  <si>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</si>
  <si>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</si>
  <si>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</si>
  <si>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</si>
  <si>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</si>
  <si>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</si>
  <si>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</si>
  <si>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</si>
  <si>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</si>
  <si>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</si>
  <si>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</si>
  <si>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</si>
  <si>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</si>
  <si>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</si>
  <si>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</si>
  <si>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</si>
  <si>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</si>
  <si>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</si>
  <si>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</si>
  <si>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</si>
  <si>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</si>
  <si>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</si>
  <si>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</si>
  <si>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</si>
  <si>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</si>
  <si>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</si>
  <si>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</si>
  <si>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</si>
  <si>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</si>
  <si>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</si>
  <si>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</si>
  <si>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</si>
  <si>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</si>
  <si>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</si>
  <si>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</si>
  <si>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</si>
  <si>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</si>
  <si>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</si>
  <si>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</si>
  <si>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</si>
  <si>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</si>
  <si>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</si>
  <si>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</si>
  <si>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</si>
  <si>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</si>
  <si>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</si>
  <si>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</si>
  <si>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</si>
  <si>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</si>
  <si>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</si>
  <si>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</si>
  <si>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</si>
  <si>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</si>
  <si>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</si>
  <si>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</si>
  <si>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</si>
  <si>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</si>
  <si>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</si>
  <si>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</si>
  <si>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</si>
  <si>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</si>
  <si>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</si>
  <si>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</si>
  <si>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</si>
  <si>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</si>
  <si>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</si>
  <si>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</si>
  <si>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</si>
  <si>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</si>
  <si>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</si>
  <si>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</si>
  <si>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</si>
  <si>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</si>
  <si>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</si>
  <si>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</si>
  <si>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</si>
  <si>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</si>
  <si>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</si>
  <si>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</si>
  <si>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</si>
  <si>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</si>
  <si>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</si>
  <si>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</si>
  <si>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</si>
  <si>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</si>
  <si>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</si>
  <si>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</si>
  <si>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</si>
  <si>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</si>
  <si>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</si>
  <si>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</si>
  <si>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</si>
  <si>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</si>
  <si>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</si>
  <si>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</si>
  <si>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</si>
  <si>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</si>
  <si>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</si>
  <si>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</si>
  <si>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</si>
  <si>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</si>
  <si>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</si>
  <si>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</si>
  <si>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</si>
  <si>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</si>
  <si>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</si>
  <si>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</si>
  <si>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</si>
  <si>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</si>
  <si>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</si>
  <si>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</si>
  <si>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</si>
  <si>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</si>
  <si>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</si>
  <si>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</si>
  <si>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</si>
  <si>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</si>
  <si>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</si>
  <si>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</si>
  <si>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</si>
  <si>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</si>
  <si>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</si>
  <si>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</si>
  <si>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</si>
  <si>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</si>
  <si>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</si>
  <si>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</si>
  <si>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</si>
  <si>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</si>
  <si>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</si>
  <si>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</si>
  <si>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</si>
  <si>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</si>
  <si>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</si>
  <si>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</si>
  <si>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</si>
  <si>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</si>
  <si>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</si>
  <si>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</si>
  <si>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</si>
  <si>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</si>
  <si>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</si>
  <si>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</si>
  <si>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</si>
  <si>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</si>
  <si>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</si>
  <si>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</si>
  <si>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</si>
  <si>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</si>
  <si>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</si>
  <si>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</si>
  <si>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</si>
  <si>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</si>
  <si>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</si>
  <si>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</si>
  <si>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</si>
  <si>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</si>
  <si>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</si>
  <si>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</si>
  <si>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</si>
  <si>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</si>
  <si>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</si>
  <si>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</si>
  <si>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</si>
  <si>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</si>
  <si>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</si>
  <si>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</si>
  <si>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</si>
  <si>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</si>
  <si>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</si>
  <si>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</si>
  <si>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</si>
  <si>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</si>
  <si>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</si>
  <si>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</si>
  <si>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</si>
  <si>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</si>
  <si>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</si>
  <si>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</si>
  <si>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</si>
  <si>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</si>
  <si>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</si>
  <si>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</si>
  <si>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</si>
  <si>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</si>
  <si>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</si>
  <si>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</si>
  <si>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</si>
  <si>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</si>
  <si>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</si>
  <si>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</si>
  <si>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</si>
  <si>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</si>
  <si>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</si>
  <si>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</si>
  <si>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</si>
  <si>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</si>
  <si>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</si>
  <si>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</si>
  <si>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</si>
  <si>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</si>
  <si>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</si>
  <si>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</si>
  <si>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</si>
  <si>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</si>
  <si>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</si>
  <si>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</si>
  <si>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</si>
  <si>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</si>
  <si>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</si>
  <si>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</si>
  <si>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</si>
  <si>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</si>
  <si>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</si>
  <si>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</si>
  <si>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</si>
  <si>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</si>
  <si>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</si>
  <si>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</si>
  <si>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</si>
  <si>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</si>
  <si>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</si>
  <si>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</si>
  <si>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</si>
  <si>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</si>
  <si>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</si>
  <si>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</si>
  <si>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</si>
  <si>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</si>
  <si>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</si>
  <si>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</si>
  <si>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</si>
  <si>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</si>
  <si>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</si>
  <si>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</si>
  <si>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</si>
  <si>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</si>
  <si>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</si>
  <si>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</si>
  <si>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</si>
  <si>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</si>
  <si>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</si>
  <si>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</si>
  <si>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</si>
  <si>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</si>
  <si>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</si>
  <si>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</si>
  <si>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</si>
  <si>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</si>
  <si>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</si>
  <si>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</si>
  <si>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</si>
  <si>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</si>
  <si>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</si>
  <si>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</si>
  <si>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</si>
  <si>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</si>
  <si>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</si>
  <si>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</si>
  <si>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</si>
  <si>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</si>
  <si>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</si>
  <si>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</si>
  <si>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</si>
  <si>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</si>
  <si>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</si>
  <si>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</si>
  <si>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</si>
  <si>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</si>
  <si>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</si>
  <si>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</si>
  <si>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</si>
  <si>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</si>
  <si>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</si>
  <si>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</si>
  <si>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</si>
  <si>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</si>
  <si>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</si>
  <si>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</si>
  <si>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</si>
  <si>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</si>
  <si>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</si>
  <si>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</si>
  <si>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</si>
  <si>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</si>
  <si>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</si>
  <si>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</si>
  <si>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</si>
  <si>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</si>
  <si>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</si>
  <si>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</si>
  <si>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</si>
  <si>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</si>
  <si>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</si>
  <si>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</si>
  <si>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</si>
  <si>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</si>
  <si>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</si>
  <si>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</si>
  <si>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</si>
  <si>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</si>
  <si>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</si>
  <si>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</si>
  <si>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</si>
  <si>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</si>
  <si>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</si>
  <si>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</si>
  <si>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</si>
  <si>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</si>
  <si>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</si>
  <si>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</si>
  <si>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</si>
  <si>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</si>
  <si>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</si>
  <si>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</si>
  <si>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</si>
  <si>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</si>
  <si>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</si>
  <si>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</si>
  <si>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</si>
  <si>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</si>
  <si>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</si>
  <si>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</si>
  <si>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</si>
  <si>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</si>
  <si>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</si>
  <si>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</si>
  <si>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</si>
  <si>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</si>
  <si>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</si>
  <si>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</si>
  <si>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</si>
  <si>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</si>
  <si>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</si>
  <si>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</si>
  <si>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</si>
  <si>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</si>
  <si>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</si>
  <si>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</si>
  <si>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</si>
  <si>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</si>
  <si>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</si>
  <si>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</si>
  <si>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</si>
  <si>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</si>
  <si>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</si>
  <si>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</si>
  <si>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</si>
  <si>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</si>
  <si>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</si>
  <si>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</si>
  <si>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</si>
  <si>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</si>
  <si>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</si>
  <si>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</si>
  <si>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</si>
  <si>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</si>
  <si>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</si>
  <si>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</si>
  <si>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</si>
  <si>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</si>
  <si>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</si>
  <si>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</si>
  <si>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</si>
  <si>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</si>
  <si>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</si>
  <si>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</si>
  <si>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</si>
  <si>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</si>
  <si>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</si>
  <si>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</si>
  <si>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</si>
  <si>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</si>
  <si>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</si>
  <si>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</si>
  <si>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</si>
  <si>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</si>
  <si>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</si>
  <si>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</si>
  <si>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</si>
  <si>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</si>
  <si>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</si>
  <si>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</si>
  <si>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</si>
  <si>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</si>
  <si>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</si>
  <si>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</si>
  <si>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</si>
  <si>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</si>
  <si>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</si>
  <si>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</si>
  <si>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</si>
  <si>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</si>
  <si>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</si>
  <si>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</si>
  <si>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</si>
  <si>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</si>
  <si>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</si>
  <si>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</si>
  <si>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</si>
  <si>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</si>
  <si>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</si>
  <si>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</si>
  <si>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</si>
  <si>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</si>
  <si>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</si>
  <si>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</si>
  <si>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</si>
  <si>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</si>
  <si>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</si>
  <si>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</si>
  <si>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</si>
  <si>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</si>
  <si>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</si>
  <si>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</si>
  <si>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</si>
  <si>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</si>
  <si>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</si>
  <si>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</si>
  <si>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</si>
  <si>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</si>
  <si>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</si>
  <si>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</si>
  <si>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</si>
  <si>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</si>
  <si>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</si>
  <si>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</si>
  <si>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</si>
  <si>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</si>
  <si>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</si>
  <si>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</si>
  <si>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</si>
  <si>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</si>
  <si>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</si>
  <si>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</si>
  <si>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</si>
  <si>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</si>
  <si>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</si>
  <si>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</si>
  <si>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</si>
  <si>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</si>
  <si>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</si>
  <si>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</si>
  <si>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</si>
  <si>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</si>
  <si>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</si>
  <si>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</si>
  <si>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</si>
  <si>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</si>
  <si>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</si>
  <si>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</si>
  <si>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</si>
  <si>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</si>
  <si>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</si>
  <si>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</si>
  <si>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</si>
  <si>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</si>
  <si>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</si>
  <si>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</si>
  <si>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</si>
  <si>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</si>
  <si>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</si>
  <si>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</si>
  <si>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</si>
  <si>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</si>
  <si>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</si>
  <si>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</si>
  <si>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</si>
  <si>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</si>
  <si>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</si>
  <si>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</si>
  <si>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</si>
  <si>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</si>
  <si>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</si>
  <si>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</si>
  <si>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</si>
  <si>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</si>
  <si>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</si>
  <si>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</si>
  <si>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</si>
  <si>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</si>
  <si>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</si>
  <si>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</si>
  <si>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</si>
  <si>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</si>
  <si>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</si>
  <si>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</si>
  <si>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</si>
  <si>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</si>
  <si>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</si>
  <si>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</si>
  <si>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</si>
  <si>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</si>
  <si>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</si>
  <si>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</si>
  <si>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</si>
  <si>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</si>
  <si>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</si>
  <si>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</si>
  <si>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</si>
  <si>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</si>
  <si>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</si>
  <si>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</si>
  <si>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</si>
  <si>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</si>
  <si>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</si>
  <si>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</si>
  <si>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</si>
  <si>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</si>
  <si>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</si>
  <si>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</si>
  <si>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</si>
  <si>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</si>
  <si>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</si>
  <si>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</si>
  <si>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</si>
  <si>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</si>
  <si>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</si>
  <si>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</si>
  <si>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</si>
  <si>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</si>
  <si>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</si>
  <si>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</si>
  <si>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</si>
  <si>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</si>
  <si>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</si>
  <si>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</si>
  <si>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</si>
  <si>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</si>
  <si>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</si>
  <si>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</si>
  <si>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</si>
  <si>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</si>
  <si>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</si>
  <si>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</si>
  <si>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</si>
  <si>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</si>
  <si>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</si>
  <si>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</si>
  <si>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</si>
  <si>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</si>
  <si>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</si>
  <si>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</si>
  <si>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</si>
  <si>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</si>
  <si>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</si>
  <si>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</si>
  <si>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</si>
  <si>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</si>
  <si>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</si>
  <si>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</si>
  <si>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</si>
  <si>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</si>
  <si>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</si>
  <si>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</si>
  <si>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</si>
  <si>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</si>
  <si>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</si>
  <si>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</si>
  <si>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</si>
  <si>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</si>
  <si>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</si>
  <si>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</si>
  <si>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</si>
  <si>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</si>
  <si>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</si>
  <si>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</si>
  <si>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</si>
  <si>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</si>
  <si>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</si>
  <si>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</si>
  <si>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</si>
  <si>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</si>
  <si>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</si>
  <si>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</si>
  <si>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</si>
  <si>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</si>
  <si>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</si>
  <si>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</si>
  <si>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</si>
  <si>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</si>
  <si>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</si>
  <si>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</si>
  <si>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</si>
  <si>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</si>
  <si>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</si>
  <si>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</si>
  <si>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</si>
  <si>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</si>
  <si>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</si>
  <si>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</si>
  <si>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</si>
  <si>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</si>
  <si>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</si>
  <si>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</si>
  <si>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</si>
  <si>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</si>
  <si>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</si>
  <si>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</si>
  <si>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</si>
  <si>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</si>
  <si>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</si>
  <si>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</si>
  <si>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</si>
  <si>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</si>
  <si>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</si>
  <si>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</si>
  <si>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</si>
  <si>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</si>
  <si>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</si>
  <si>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</si>
  <si>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</si>
  <si>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</si>
  <si>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</si>
  <si>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</si>
  <si>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</si>
  <si>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</si>
  <si>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</si>
  <si>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</si>
  <si>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</si>
  <si>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</si>
  <si>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</si>
  <si>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</si>
  <si>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</si>
  <si>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</si>
  <si>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</si>
  <si>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</si>
  <si>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</si>
  <si>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</si>
  <si>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</si>
  <si>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</si>
  <si>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</si>
  <si>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</si>
  <si>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</si>
  <si>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</si>
  <si>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</si>
  <si>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</si>
  <si>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</si>
  <si>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</si>
  <si>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</si>
  <si>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</si>
  <si>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</si>
  <si>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</si>
  <si>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</si>
  <si>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</si>
  <si>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</si>
  <si>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</si>
  <si>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</si>
  <si>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</si>
  <si>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</si>
  <si>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</si>
  <si>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</si>
  <si>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</si>
  <si>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</si>
  <si>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</si>
  <si>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</si>
  <si>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</si>
  <si>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</si>
  <si>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</si>
  <si>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</si>
  <si>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</si>
  <si>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</si>
  <si>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</si>
  <si>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</si>
  <si>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</si>
  <si>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</si>
  <si>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</si>
  <si>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</si>
  <si>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</si>
  <si>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</si>
  <si>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</si>
  <si>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</si>
  <si>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</si>
  <si>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</si>
  <si>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</si>
  <si>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</si>
  <si>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</si>
  <si>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</si>
  <si>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</si>
  <si>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</si>
  <si>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</si>
  <si>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</si>
  <si>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</si>
  <si>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</si>
  <si>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</si>
  <si>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</si>
  <si>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</si>
  <si>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</si>
  <si>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</si>
  <si>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</si>
  <si>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</si>
  <si>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</si>
  <si>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</si>
  <si>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</si>
  <si>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</si>
  <si>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</si>
  <si>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</si>
  <si>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</si>
  <si>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</si>
  <si>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</si>
  <si>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</si>
  <si>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</si>
  <si>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</si>
  <si>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</si>
  <si>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</si>
  <si>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</si>
  <si>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</si>
  <si>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</si>
  <si>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</si>
  <si>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</si>
  <si>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</si>
  <si>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</si>
  <si>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</si>
  <si>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</si>
  <si>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</si>
  <si>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</si>
  <si>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</si>
  <si>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</si>
  <si>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</si>
  <si>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</si>
  <si>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</si>
  <si>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</si>
  <si>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</si>
  <si>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</si>
  <si>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</si>
  <si>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</si>
  <si>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</si>
  <si>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</si>
  <si>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</si>
  <si>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</si>
  <si>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</si>
  <si>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</si>
  <si>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</si>
  <si>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</si>
  <si>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</si>
  <si>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</si>
  <si>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</si>
  <si>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</si>
  <si>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</si>
  <si>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</si>
  <si>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</si>
  <si>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</si>
  <si>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</si>
  <si>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</si>
  <si>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</si>
  <si>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</si>
  <si>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</si>
  <si>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</si>
  <si>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</si>
  <si>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</si>
  <si>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</si>
  <si>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</si>
  <si>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</si>
  <si>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</si>
  <si>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</si>
  <si>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</si>
  <si>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</si>
  <si>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</si>
  <si>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</si>
  <si>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</si>
  <si>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</si>
  <si>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</si>
  <si>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</si>
  <si>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</si>
  <si>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</si>
  <si>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</si>
  <si>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</si>
  <si>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</si>
  <si>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</si>
  <si>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</si>
  <si>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</si>
  <si>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</si>
  <si>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</si>
  <si>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</si>
  <si>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</si>
  <si>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</si>
  <si>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</si>
  <si>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</si>
  <si>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</si>
  <si>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</si>
  <si>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</si>
  <si>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</si>
  <si>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</si>
  <si>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</si>
  <si>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</si>
  <si>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</si>
  <si>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</si>
  <si>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</si>
  <si>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</si>
  <si>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</si>
  <si>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</si>
  <si>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</si>
  <si>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</si>
  <si>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</si>
  <si>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</si>
  <si>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</si>
  <si>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</si>
  <si>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</si>
  <si>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</si>
  <si>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</si>
  <si>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</si>
  <si>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</si>
  <si>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</si>
  <si>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</si>
  <si>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</si>
  <si>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</si>
  <si>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</si>
  <si>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</si>
  <si>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</si>
  <si>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</si>
  <si>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</si>
  <si>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</si>
  <si>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</si>
  <si>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</si>
  <si>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</si>
  <si>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</si>
  <si>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</si>
  <si>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</si>
  <si>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</si>
  <si>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</si>
  <si>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</si>
  <si>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</si>
  <si>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</si>
  <si>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</si>
  <si>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</si>
  <si>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</si>
  <si>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</si>
  <si>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</si>
  <si>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</si>
  <si>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</si>
  <si>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</si>
  <si>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</si>
  <si>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</si>
  <si>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</si>
  <si>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</si>
  <si>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</si>
  <si>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</si>
  <si>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</si>
  <si>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</si>
  <si>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</si>
  <si>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</si>
  <si>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</si>
  <si>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</si>
  <si>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</si>
  <si>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</si>
  <si>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</si>
  <si>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</si>
  <si>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</si>
  <si>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</si>
  <si>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</si>
  <si>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</si>
  <si>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</si>
  <si>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</si>
  <si>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</si>
  <si>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</si>
  <si>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</si>
  <si>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</si>
  <si>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</si>
  <si>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</si>
  <si>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</si>
  <si>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</si>
  <si>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</si>
  <si>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</si>
  <si>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</si>
  <si>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</si>
  <si>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</si>
  <si>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</si>
  <si>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</si>
  <si>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</si>
  <si>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</si>
  <si>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</si>
  <si>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</si>
  <si>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</si>
  <si>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</si>
  <si>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</si>
  <si>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</si>
  <si>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</si>
  <si>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</si>
  <si>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</si>
  <si>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</si>
  <si>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</si>
  <si>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</si>
  <si>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</si>
  <si>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</si>
  <si>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</si>
  <si>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</si>
  <si>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</si>
  <si>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</si>
  <si>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</si>
  <si>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</si>
  <si>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</si>
  <si>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</si>
  <si>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</si>
  <si>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</si>
  <si>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</si>
  <si>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</si>
  <si>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</si>
  <si>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</si>
  <si>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</si>
  <si>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</si>
  <si>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</si>
  <si>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</si>
  <si>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</si>
  <si>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</si>
  <si>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</si>
  <si>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</si>
  <si>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</si>
  <si>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</si>
  <si>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</si>
  <si>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</si>
  <si>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</si>
  <si>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</si>
  <si>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</si>
  <si>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</si>
  <si>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</si>
  <si>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</si>
  <si>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</si>
  <si>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</si>
  <si>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</si>
  <si>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</si>
  <si>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</si>
  <si>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</si>
  <si>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</si>
  <si>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</si>
  <si>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</si>
  <si>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</si>
  <si>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</si>
  <si>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</si>
  <si>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</si>
  <si>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</si>
  <si>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</si>
  <si>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</si>
  <si>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</si>
  <si>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</si>
  <si>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</si>
  <si>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</si>
  <si>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</si>
  <si>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</si>
  <si>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</si>
  <si>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</si>
  <si>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</si>
  <si>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</si>
  <si>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</si>
  <si>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</si>
  <si>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</si>
  <si>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</si>
  <si>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</si>
  <si>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</si>
  <si>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</si>
  <si>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</si>
  <si>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</si>
  <si>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</si>
  <si>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</si>
  <si>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</si>
  <si>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</si>
  <si>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</si>
  <si>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</si>
  <si>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</si>
  <si>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</si>
  <si>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</si>
  <si>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</si>
  <si>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</si>
  <si>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</si>
  <si>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</si>
  <si>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</si>
  <si>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</si>
  <si>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</si>
  <si>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</si>
  <si>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</si>
  <si>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</si>
  <si>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</si>
  <si>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</si>
  <si>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</si>
  <si>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</si>
  <si>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</si>
  <si>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</si>
  <si>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</si>
  <si>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</si>
  <si>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</si>
  <si>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</si>
  <si>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</si>
  <si>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</si>
  <si>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</si>
  <si>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</si>
  <si>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</si>
  <si>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</si>
  <si>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</si>
  <si>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</si>
  <si>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</si>
  <si>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</si>
  <si>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</si>
  <si>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</si>
  <si>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</si>
  <si>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</si>
  <si>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</si>
  <si>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</si>
  <si>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</si>
  <si>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</si>
  <si>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</si>
  <si>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</si>
  <si>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</si>
  <si>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</si>
  <si>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</si>
  <si>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</si>
  <si>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</si>
  <si>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</si>
  <si>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</si>
  <si>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</si>
  <si>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</si>
  <si>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</si>
  <si>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</si>
  <si>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</si>
  <si>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</si>
  <si>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</si>
  <si>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</si>
  <si>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</si>
  <si>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</si>
  <si>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</si>
  <si>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</si>
  <si>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</si>
  <si>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</si>
  <si>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</si>
  <si>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</si>
  <si>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</si>
  <si>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</si>
  <si>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</si>
  <si>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</si>
  <si>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</si>
  <si>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</si>
  <si>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</si>
  <si>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</si>
  <si>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</si>
  <si>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</si>
  <si>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</si>
  <si>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</si>
  <si>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</si>
  <si>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</si>
  <si>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</si>
  <si>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</si>
  <si>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</si>
  <si>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</si>
  <si>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</si>
  <si>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</si>
  <si>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</si>
  <si>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</si>
  <si>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</si>
  <si>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</si>
  <si>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</si>
  <si>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</si>
  <si>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</si>
  <si>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</si>
  <si>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</si>
  <si>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</si>
  <si>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</si>
  <si>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</si>
  <si>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</si>
  <si>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</si>
  <si>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</si>
  <si>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</si>
  <si>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</si>
  <si>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</si>
  <si>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</si>
  <si>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</si>
  <si>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</si>
  <si>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</si>
  <si>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</si>
  <si>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</si>
  <si>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</si>
  <si>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</si>
  <si>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</si>
  <si>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</si>
  <si>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</si>
  <si>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</si>
  <si>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</si>
  <si>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</si>
  <si>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</si>
  <si>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</si>
  <si>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</si>
  <si>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</si>
  <si>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</si>
  <si>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</si>
  <si>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</si>
  <si>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</si>
  <si>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</si>
  <si>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</si>
  <si>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</si>
  <si>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</si>
  <si>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</si>
  <si>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</si>
  <si>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</si>
  <si>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</si>
  <si>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</si>
  <si>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</si>
  <si>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</si>
  <si>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</si>
  <si>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</si>
  <si>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</si>
  <si>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</si>
  <si>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</si>
  <si>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</si>
  <si>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</si>
  <si>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</si>
  <si>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</si>
  <si>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</si>
  <si>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</si>
  <si>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</si>
  <si>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</si>
  <si>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</si>
  <si>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</si>
  <si>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</si>
  <si>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</si>
  <si>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</si>
  <si>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</si>
  <si>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</si>
  <si>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</si>
  <si>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</si>
  <si>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</si>
  <si>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</si>
  <si>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</si>
  <si>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</si>
  <si>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</si>
  <si>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</si>
  <si>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</si>
  <si>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</si>
  <si>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</si>
  <si>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</si>
  <si>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</si>
  <si>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</si>
  <si>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</si>
  <si>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</si>
  <si>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</si>
  <si>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</si>
  <si>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</si>
  <si>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</si>
  <si>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</si>
  <si>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</si>
  <si>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</si>
  <si>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</si>
  <si>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</si>
  <si>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</si>
  <si>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</si>
  <si>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</si>
  <si>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</si>
  <si>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</si>
  <si>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</si>
  <si>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</si>
  <si>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</si>
  <si>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</si>
  <si>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</si>
  <si>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</si>
  <si>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</si>
  <si>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</si>
  <si>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</si>
  <si>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</si>
  <si>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</si>
  <si>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</si>
  <si>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</si>
  <si>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</si>
  <si>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</si>
  <si>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</si>
  <si>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</si>
  <si>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</si>
  <si>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</si>
  <si>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</si>
  <si>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</si>
  <si>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</si>
  <si>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</si>
  <si>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</si>
  <si>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</si>
  <si>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</si>
  <si>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</si>
  <si>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</si>
  <si>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</si>
  <si>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</si>
  <si>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</si>
  <si>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</si>
  <si>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</si>
  <si>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</si>
  <si>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</si>
  <si>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</si>
  <si>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</si>
  <si>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</si>
  <si>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</si>
  <si>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</si>
  <si>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</si>
  <si>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</si>
  <si>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</si>
  <si>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</si>
  <si>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</si>
  <si>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</si>
  <si>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</si>
  <si>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</si>
  <si>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</si>
  <si>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</si>
  <si>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</si>
  <si>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</si>
  <si>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</si>
  <si>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</si>
  <si>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</si>
  <si>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</si>
  <si>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</si>
  <si>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</si>
  <si>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</si>
  <si>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</si>
  <si>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</si>
  <si>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</si>
  <si>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</si>
  <si>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</si>
  <si>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</si>
  <si>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</si>
  <si>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</si>
  <si>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</si>
  <si>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</si>
  <si>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</si>
  <si>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</si>
  <si>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</si>
  <si>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</si>
  <si>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</si>
  <si>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</si>
  <si>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</si>
  <si>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</si>
  <si>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</si>
  <si>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</si>
  <si>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</si>
  <si>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</si>
  <si>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</si>
  <si>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</si>
  <si>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</si>
  <si>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</si>
  <si>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</si>
  <si>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</si>
  <si>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</si>
  <si>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</si>
  <si>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</si>
  <si>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</si>
  <si>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</si>
  <si>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</si>
  <si>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</si>
  <si>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</si>
  <si>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</si>
  <si>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</si>
  <si>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</si>
  <si>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</si>
  <si>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</si>
  <si>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</si>
  <si>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</si>
  <si>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</si>
  <si>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</si>
  <si>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</si>
  <si>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</si>
  <si>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</si>
  <si>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</si>
  <si>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</si>
  <si>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</si>
  <si>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</si>
  <si>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</si>
  <si>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</si>
  <si>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</si>
  <si>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</si>
  <si>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</si>
  <si>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</si>
  <si>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</si>
  <si>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</si>
  <si>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</si>
  <si>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</si>
  <si>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</si>
  <si>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</si>
  <si>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</si>
  <si>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</si>
  <si>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</si>
  <si>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</si>
  <si>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</si>
  <si>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</si>
  <si>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</si>
  <si>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</si>
  <si>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</si>
  <si>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</si>
  <si>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</si>
  <si>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</si>
  <si>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</si>
  <si>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</si>
  <si>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</si>
  <si>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</si>
  <si>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</si>
  <si>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</si>
  <si>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</si>
  <si>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</si>
  <si>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</si>
  <si>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</si>
  <si>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</si>
  <si>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</si>
  <si>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</si>
  <si>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</si>
  <si>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</si>
  <si>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</si>
  <si>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</si>
  <si>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</si>
  <si>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</si>
  <si>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</si>
  <si>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</si>
  <si>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</si>
  <si>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</si>
  <si>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</si>
  <si>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</si>
  <si>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</si>
  <si>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</si>
  <si>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</si>
  <si>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</si>
  <si>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</si>
  <si>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</si>
  <si>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</si>
  <si>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</si>
  <si>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</si>
  <si>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</si>
  <si>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</si>
  <si>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</si>
  <si>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</si>
  <si>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</si>
  <si>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</si>
  <si>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</si>
  <si>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</si>
  <si>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</si>
  <si>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</si>
  <si>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</si>
  <si>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</si>
  <si>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</si>
  <si>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</si>
  <si>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</si>
  <si>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</si>
  <si>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</si>
  <si>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</si>
  <si>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</si>
  <si>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</si>
  <si>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</si>
  <si>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</si>
  <si>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</si>
  <si>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</si>
  <si>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</si>
  <si>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</si>
  <si>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</si>
  <si>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</si>
  <si>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</si>
  <si>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</si>
  <si>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</si>
  <si>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</si>
  <si>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</si>
  <si>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</si>
  <si>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</si>
  <si>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</si>
  <si>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</si>
  <si>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</si>
  <si>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</si>
  <si>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</si>
  <si>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</si>
  <si>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</si>
  <si>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</si>
  <si>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</si>
  <si>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</si>
  <si>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</si>
  <si>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</si>
  <si>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</si>
  <si>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</si>
  <si>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</si>
  <si>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</si>
  <si>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</si>
  <si>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</si>
  <si>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</si>
  <si>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</si>
  <si>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</si>
  <si>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</si>
  <si>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</si>
  <si>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</si>
  <si>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</si>
  <si>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</si>
  <si>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</si>
  <si>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</si>
  <si>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</si>
  <si>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</si>
  <si>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</si>
  <si>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</si>
  <si>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</si>
  <si>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</si>
  <si>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</si>
  <si>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</si>
  <si>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</si>
  <si>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</si>
  <si>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</si>
  <si>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</si>
  <si>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</si>
  <si>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</si>
  <si>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</si>
  <si>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</si>
  <si>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</si>
  <si>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</si>
  <si>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</si>
  <si>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</si>
  <si>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</si>
  <si>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</si>
  <si>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</si>
  <si>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</si>
  <si>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</si>
  <si>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</si>
  <si>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</si>
  <si>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</si>
  <si>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</si>
  <si>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</si>
  <si>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</si>
  <si>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</si>
  <si>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</si>
  <si>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</si>
  <si>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</si>
  <si>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</si>
  <si>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</si>
  <si>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</si>
  <si>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</si>
  <si>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</si>
  <si>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</si>
  <si>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</si>
  <si>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</si>
  <si>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</si>
  <si>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</si>
  <si>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</si>
  <si>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</si>
  <si>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</si>
  <si>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</si>
  <si>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</si>
  <si>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</si>
  <si>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</si>
  <si>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</si>
  <si>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</si>
  <si>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</si>
  <si>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</si>
  <si>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</si>
  <si>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</si>
  <si>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</si>
  <si>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</si>
  <si>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</si>
  <si>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</si>
  <si>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</si>
  <si>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</si>
  <si>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</si>
  <si>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</si>
  <si>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</si>
  <si>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</si>
  <si>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</si>
  <si>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</si>
  <si>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</si>
  <si>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</si>
  <si>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</si>
  <si>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</si>
  <si>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</si>
  <si>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</si>
  <si>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</si>
  <si>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</si>
  <si>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</si>
  <si>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</si>
  <si>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</si>
  <si>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</si>
  <si>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</si>
  <si>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</si>
  <si>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</si>
  <si>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</si>
  <si>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</si>
  <si>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</si>
  <si>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</si>
  <si>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</si>
  <si>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</si>
  <si>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</si>
  <si>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</si>
  <si>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</si>
  <si>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</si>
  <si>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</si>
  <si>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</si>
  <si>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</si>
  <si>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</si>
  <si>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</si>
  <si>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</si>
  <si>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</si>
  <si>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</si>
  <si>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</si>
  <si>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</si>
  <si>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</si>
  <si>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</si>
  <si>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</si>
  <si>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</si>
  <si>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</si>
  <si>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</si>
  <si>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</si>
  <si>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</si>
  <si>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</si>
  <si>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</si>
  <si>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</si>
  <si>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</si>
  <si>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</si>
  <si>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</si>
  <si>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</si>
  <si>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</si>
  <si>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</si>
  <si>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</si>
  <si>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</si>
  <si>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</si>
  <si>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</si>
  <si>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</si>
  <si>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</si>
  <si>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</si>
  <si>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</si>
  <si>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</si>
  <si>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</si>
  <si>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</si>
  <si>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</si>
  <si>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</si>
  <si>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</si>
  <si>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</si>
  <si>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</si>
  <si>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</si>
  <si>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</si>
  <si>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</si>
  <si>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</si>
  <si>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</si>
  <si>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</si>
  <si>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</si>
  <si>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</si>
  <si>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</si>
  <si>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</si>
  <si>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</si>
  <si>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</si>
  <si>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</si>
  <si>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</si>
  <si>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</si>
  <si>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</si>
  <si>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</si>
  <si>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</si>
  <si>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</si>
  <si>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</si>
  <si>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</si>
  <si>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</si>
  <si>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</si>
  <si>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</si>
  <si>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</si>
  <si>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</si>
  <si>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</si>
  <si>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</si>
  <si>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</si>
  <si>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</si>
  <si>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</si>
  <si>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</si>
  <si>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</si>
  <si>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</si>
  <si>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</si>
  <si>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</si>
  <si>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</si>
  <si>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</si>
  <si>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</si>
  <si>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</si>
  <si>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</si>
  <si>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</si>
  <si>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</si>
  <si>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</si>
  <si>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</si>
  <si>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</si>
  <si>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</si>
  <si>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</si>
  <si>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</si>
  <si>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</si>
  <si>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</si>
  <si>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</si>
  <si>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</si>
  <si>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</si>
  <si>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</si>
  <si>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</si>
  <si>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</si>
  <si>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</si>
  <si>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</si>
  <si>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</si>
  <si>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</si>
  <si>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</si>
  <si>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</si>
  <si>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</si>
  <si>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</si>
  <si>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</si>
  <si>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</si>
  <si>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</si>
  <si>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</si>
  <si>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</si>
  <si>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</si>
  <si>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</si>
  <si>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</si>
  <si>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</si>
  <si>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</si>
  <si>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</si>
  <si>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</si>
  <si>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</si>
  <si>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</si>
  <si>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</si>
  <si>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</si>
  <si>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</si>
  <si>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</si>
  <si>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</si>
  <si>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</si>
  <si>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</si>
  <si>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</si>
  <si>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</si>
  <si>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</si>
  <si>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</si>
  <si>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</si>
  <si>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</si>
  <si>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</si>
  <si>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</si>
  <si>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</si>
  <si>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</si>
  <si>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</si>
  <si>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</si>
  <si>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</si>
  <si>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</si>
  <si>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</si>
  <si>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</si>
  <si>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</si>
  <si>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</si>
  <si>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</si>
  <si>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</si>
  <si>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</si>
  <si>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</si>
  <si>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</si>
  <si>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</si>
  <si>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</si>
  <si>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</si>
  <si>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</si>
  <si>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</si>
  <si>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</si>
  <si>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</si>
  <si>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</si>
  <si>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</si>
  <si>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</si>
  <si>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</si>
  <si>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</si>
  <si>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</si>
  <si>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</si>
  <si>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</si>
  <si>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</si>
  <si>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</si>
  <si>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</si>
  <si>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</si>
  <si>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</si>
  <si>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</si>
  <si>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</si>
  <si>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</si>
  <si>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</si>
  <si>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</si>
  <si>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</si>
  <si>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</si>
  <si>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</si>
  <si>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</si>
  <si>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</si>
  <si>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</si>
  <si>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</si>
  <si>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</si>
  <si>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</si>
  <si>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</si>
  <si>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</si>
  <si>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</si>
  <si>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</si>
  <si>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</si>
  <si>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</si>
  <si>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</si>
  <si>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</si>
  <si>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</si>
  <si>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</si>
  <si>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</si>
  <si>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</si>
  <si>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</si>
  <si>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</si>
  <si>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</si>
  <si>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</si>
  <si>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</si>
  <si>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</si>
  <si>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</si>
  <si>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</si>
  <si>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</si>
  <si>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</si>
  <si>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</si>
  <si>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</si>
  <si>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</si>
  <si>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</si>
  <si>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</si>
  <si>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</si>
  <si>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</si>
  <si>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</si>
  <si>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</si>
  <si>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</si>
  <si>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</si>
  <si>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</si>
  <si>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</si>
  <si>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</si>
  <si>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</si>
  <si>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</si>
  <si>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</si>
  <si>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</si>
  <si>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</si>
  <si>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</si>
  <si>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</si>
  <si>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</si>
  <si>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</si>
  <si>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</si>
  <si>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</si>
  <si>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</si>
  <si>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</si>
  <si>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</si>
  <si>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</si>
  <si>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</si>
  <si>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</si>
  <si>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</si>
  <si>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</si>
  <si>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</si>
  <si>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</si>
  <si>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</si>
  <si>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</si>
  <si>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</si>
  <si>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</si>
  <si>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</si>
  <si>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</si>
  <si>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</si>
  <si>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</si>
  <si>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</si>
  <si>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</si>
  <si>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</si>
  <si>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</si>
  <si>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</si>
  <si>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</si>
  <si>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</si>
  <si>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</si>
  <si>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</si>
  <si>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</si>
  <si>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</si>
  <si>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</si>
  <si>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</si>
  <si>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</si>
  <si>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</si>
  <si>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</si>
  <si>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</si>
  <si>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</si>
  <si>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</si>
  <si>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</si>
  <si>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</si>
  <si>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</si>
  <si>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</si>
  <si>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</si>
  <si>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</si>
  <si>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</si>
  <si>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</si>
  <si>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</si>
  <si>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</si>
  <si>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</si>
  <si>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</si>
  <si>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</si>
  <si>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</si>
  <si>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</si>
  <si>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</si>
  <si>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</si>
  <si>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</si>
  <si>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</si>
  <si>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</si>
  <si>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</si>
  <si>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</si>
  <si>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</si>
  <si>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</si>
  <si>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</si>
  <si>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</si>
  <si>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</si>
  <si>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</si>
  <si>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</si>
  <si>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</si>
  <si>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</si>
  <si>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</si>
  <si>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</si>
  <si>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</si>
  <si>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</si>
  <si>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</si>
  <si>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</si>
  <si>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</si>
  <si>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</si>
  <si>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</si>
  <si>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</si>
  <si>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</si>
  <si>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</si>
  <si>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</si>
  <si>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</si>
  <si>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</si>
  <si>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</si>
  <si>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</si>
  <si>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</si>
  <si>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</si>
  <si>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</si>
  <si>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</si>
  <si>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</si>
  <si>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</si>
  <si>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</si>
  <si>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</si>
  <si>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</si>
  <si>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</si>
  <si>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</si>
  <si>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</si>
  <si>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</si>
  <si>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</si>
  <si>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</si>
  <si>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</si>
  <si>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</si>
  <si>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</si>
  <si>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</si>
  <si>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</si>
  <si>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</si>
  <si>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</si>
  <si>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</si>
  <si>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</si>
  <si>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</si>
  <si>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</si>
  <si>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</si>
  <si>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</si>
  <si>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</si>
  <si>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</si>
  <si>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</si>
  <si>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</si>
  <si>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</si>
  <si>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</si>
  <si>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</si>
  <si>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</si>
  <si>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</si>
  <si>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</si>
  <si>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</si>
  <si>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</si>
  <si>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</si>
  <si>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</si>
  <si>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</si>
  <si>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</si>
  <si>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</si>
  <si>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</si>
  <si>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</si>
  <si>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</si>
  <si>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</si>
  <si>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</si>
  <si>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</si>
  <si>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</si>
  <si>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</si>
  <si>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</si>
  <si>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</si>
  <si>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</si>
  <si>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</si>
  <si>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</si>
  <si>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</si>
  <si>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</si>
  <si>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</si>
  <si>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</si>
  <si>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</si>
  <si>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</si>
  <si>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</si>
  <si>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</si>
  <si>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</si>
  <si>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</si>
  <si>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</si>
  <si>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</si>
  <si>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</si>
  <si>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</si>
  <si>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</si>
  <si>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</si>
  <si>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</si>
  <si>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</si>
  <si>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</si>
  <si>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</si>
  <si>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</si>
  <si>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</si>
  <si>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</si>
  <si>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</si>
  <si>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</si>
  <si>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</si>
  <si>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</si>
  <si>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</si>
  <si>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</si>
  <si>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</si>
  <si>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</si>
  <si>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</si>
  <si>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</si>
  <si>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</si>
  <si>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</si>
  <si>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</si>
  <si>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</si>
  <si>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</si>
  <si>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</si>
  <si>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</si>
  <si>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</si>
  <si>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</si>
  <si>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</si>
  <si>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</si>
  <si>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</si>
  <si>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</si>
  <si>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</si>
  <si>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</si>
  <si>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</si>
  <si>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</si>
  <si>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</si>
  <si>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</si>
  <si>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</si>
  <si>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</si>
  <si>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</si>
  <si>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</si>
  <si>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</si>
  <si>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</si>
  <si>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</si>
  <si>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</si>
  <si>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</si>
  <si>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</si>
  <si>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</si>
  <si>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</si>
  <si>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</si>
  <si>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</si>
  <si>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</si>
  <si>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</si>
  <si>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</si>
  <si>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</si>
  <si>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</si>
  <si>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</si>
  <si>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</si>
  <si>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</si>
  <si>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</si>
  <si>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</si>
  <si>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</si>
  <si>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</si>
  <si>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</si>
  <si>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</si>
  <si>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</si>
  <si>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</si>
  <si>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</si>
  <si>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</si>
  <si>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</si>
  <si>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</si>
  <si>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</si>
  <si>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</si>
  <si>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</si>
  <si>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</si>
  <si>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</si>
  <si>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</si>
  <si>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</si>
  <si>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</si>
  <si>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</si>
  <si>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</si>
  <si>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</si>
  <si>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</si>
  <si>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</si>
  <si>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</si>
  <si>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</si>
  <si>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</si>
  <si>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</si>
  <si>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</si>
  <si>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</si>
  <si>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</si>
  <si>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</si>
  <si>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</si>
  <si>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</si>
  <si>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</si>
  <si>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</si>
  <si>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</si>
  <si>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</si>
  <si>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</si>
  <si>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</si>
  <si>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</si>
  <si>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</si>
  <si>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</si>
  <si>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</si>
  <si>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</si>
  <si>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</si>
  <si>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</si>
  <si>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</si>
  <si>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</si>
  <si>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</si>
  <si>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</si>
  <si>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</si>
  <si>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</si>
  <si>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</si>
  <si>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</si>
  <si>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</si>
  <si>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</si>
  <si>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</si>
  <si>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</si>
  <si>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</si>
  <si>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</si>
  <si>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</si>
  <si>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</si>
  <si>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</si>
  <si>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</si>
  <si>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</si>
  <si>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</si>
  <si>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</si>
  <si>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</si>
  <si>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</si>
  <si>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</si>
  <si>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</si>
  <si>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</si>
  <si>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</si>
  <si>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</si>
  <si>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</si>
  <si>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</si>
  <si>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</si>
  <si>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</si>
  <si>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</si>
  <si>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</si>
  <si>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</si>
  <si>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</si>
  <si>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</si>
  <si>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</si>
  <si>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</si>
  <si>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</si>
  <si>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</si>
  <si>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</si>
  <si>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</si>
  <si>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</si>
  <si>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</si>
  <si>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</si>
  <si>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</si>
  <si>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</si>
  <si>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</si>
  <si>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</si>
  <si>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</si>
  <si>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</si>
  <si>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</si>
  <si>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</si>
  <si>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</si>
  <si>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</si>
  <si>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</si>
  <si>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</si>
  <si>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</si>
  <si>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</si>
  <si>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</si>
  <si>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</si>
  <si>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</si>
  <si>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</si>
  <si>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</si>
  <si>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</si>
  <si>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</si>
  <si>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</si>
  <si>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</si>
  <si>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</si>
  <si>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</si>
  <si>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</si>
  <si>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</si>
  <si>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</si>
  <si>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</si>
  <si>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</si>
  <si>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</si>
  <si>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</si>
  <si>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</si>
  <si>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</si>
  <si>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</si>
  <si>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</si>
  <si>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</si>
  <si>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</si>
  <si>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</si>
  <si>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</si>
  <si>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</si>
  <si>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</si>
  <si>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</si>
  <si>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</si>
  <si>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</si>
  <si>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</si>
  <si>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</si>
  <si>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</si>
  <si>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</si>
  <si>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</si>
  <si>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</si>
  <si>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</si>
  <si>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</si>
  <si>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</si>
  <si>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</si>
  <si>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</si>
  <si>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</si>
  <si>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</si>
  <si>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</si>
  <si>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</si>
  <si>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</si>
  <si>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</si>
  <si>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</si>
  <si>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</si>
  <si>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</si>
  <si>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</si>
  <si>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</si>
  <si>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</si>
  <si>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</si>
  <si>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</si>
  <si>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</si>
  <si>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</si>
  <si>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</si>
  <si>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</si>
  <si>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</si>
  <si>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</si>
  <si>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</si>
  <si>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</si>
  <si>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</si>
  <si>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</si>
  <si>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</si>
  <si>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</si>
  <si>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</si>
  <si>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</si>
  <si>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</si>
  <si>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</si>
  <si>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</si>
  <si>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</si>
  <si>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</si>
  <si>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</si>
  <si>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</si>
  <si>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</si>
  <si>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</si>
  <si>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</si>
  <si>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</si>
  <si>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</si>
  <si>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</si>
  <si>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</si>
  <si>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</si>
  <si>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</si>
  <si>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</si>
  <si>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</si>
  <si>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</si>
  <si>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</si>
  <si>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</si>
  <si>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</si>
  <si>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</si>
  <si>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</si>
  <si>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</si>
  <si>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</si>
  <si>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</si>
  <si>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</si>
  <si>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</si>
  <si>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</si>
  <si>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</si>
  <si>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</si>
  <si>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</si>
  <si>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</si>
  <si>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</si>
  <si>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</si>
  <si>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</si>
  <si>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</si>
  <si>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</si>
  <si>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</si>
  <si>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</si>
  <si>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</si>
  <si>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</si>
  <si>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</si>
  <si>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</si>
  <si>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</si>
  <si>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</si>
  <si>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</si>
  <si>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</si>
  <si>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</si>
  <si>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</si>
  <si>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</si>
  <si>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</si>
  <si>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</si>
  <si>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</si>
  <si>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</si>
  <si>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</si>
  <si>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</si>
  <si>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</si>
  <si>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</si>
  <si>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</si>
  <si>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</si>
  <si>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</si>
  <si>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</si>
  <si>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</si>
  <si>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</si>
  <si>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</si>
  <si>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</si>
  <si>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</si>
  <si>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</si>
  <si>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</si>
  <si>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</si>
  <si>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</si>
  <si>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</si>
  <si>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</si>
  <si>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</si>
  <si>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</si>
  <si>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</si>
  <si>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</si>
  <si>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</si>
  <si>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</si>
  <si>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</si>
  <si>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</si>
  <si>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</si>
  <si>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</si>
  <si>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</si>
  <si>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</si>
  <si>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</si>
  <si>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</si>
  <si>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</si>
  <si>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</si>
  <si>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</si>
  <si>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</si>
  <si>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</si>
  <si>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</si>
  <si>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</si>
  <si>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</si>
  <si>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</si>
  <si>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</si>
  <si>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</si>
  <si>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</si>
  <si>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</si>
  <si>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</si>
  <si>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</si>
  <si>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</si>
  <si>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</si>
  <si>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</si>
  <si>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</si>
  <si>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</si>
  <si>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</si>
  <si>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</si>
  <si>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</si>
  <si>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</si>
  <si>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</si>
  <si>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</si>
  <si>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</si>
  <si>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</si>
  <si>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</si>
  <si>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</si>
  <si>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</si>
  <si>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</si>
  <si>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</si>
  <si>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</si>
  <si>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</si>
  <si>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</si>
  <si>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</si>
  <si>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</si>
  <si>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</si>
  <si>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</si>
  <si>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</si>
  <si>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</si>
  <si>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</si>
  <si>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</si>
  <si>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</si>
  <si>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</si>
  <si>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</si>
  <si>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</si>
  <si>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</si>
  <si>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</si>
  <si>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</si>
  <si>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</si>
  <si>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</si>
  <si>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</si>
  <si>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</si>
  <si>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</si>
  <si>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</si>
  <si>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</si>
  <si>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</si>
  <si>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</si>
  <si>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</si>
  <si>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</si>
  <si>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</si>
  <si>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</si>
  <si>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</si>
  <si>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</si>
  <si>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</si>
  <si>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</si>
  <si>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</si>
  <si>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</si>
  <si>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</si>
  <si>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</si>
  <si>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</si>
  <si>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</si>
  <si>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</si>
  <si>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</si>
  <si>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</si>
  <si>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</si>
  <si>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</si>
  <si>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</si>
  <si>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</si>
  <si>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</si>
  <si>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</si>
  <si>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</si>
  <si>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</si>
  <si>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</si>
  <si>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</si>
  <si>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</si>
  <si>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</si>
  <si>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</si>
  <si>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</si>
  <si>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</si>
  <si>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</si>
  <si>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</si>
  <si>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</si>
  <si>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</si>
  <si>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</si>
  <si>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</si>
  <si>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</si>
  <si>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</si>
  <si>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</si>
  <si>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</si>
  <si>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</si>
  <si>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</si>
  <si>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</si>
  <si>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</si>
  <si>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</si>
  <si>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</si>
  <si>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</si>
  <si>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</si>
  <si>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</si>
  <si>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</si>
  <si>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</si>
  <si>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</si>
  <si>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</si>
  <si>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</si>
  <si>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</si>
  <si>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</si>
  <si>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</si>
  <si>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</si>
  <si>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</si>
  <si>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</si>
  <si>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</si>
  <si>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</si>
  <si>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</si>
  <si>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</si>
  <si>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</si>
  <si>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</si>
  <si>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</si>
  <si>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</si>
  <si>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</si>
  <si>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</si>
  <si>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</si>
  <si>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</si>
  <si>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</si>
  <si>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</si>
  <si>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</si>
  <si>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</si>
  <si>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</si>
  <si>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</si>
  <si>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</si>
  <si>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</si>
  <si>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</si>
  <si>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</si>
  <si>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</si>
  <si>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</si>
  <si>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</si>
  <si>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</si>
  <si>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</si>
  <si>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</si>
  <si>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</si>
  <si>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</si>
  <si>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</si>
  <si>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</si>
  <si>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</si>
  <si>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</si>
  <si>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</si>
  <si>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</si>
  <si>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</si>
  <si>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</si>
  <si>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</si>
  <si>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</si>
  <si>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</si>
  <si>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</si>
  <si>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</si>
  <si>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</si>
  <si>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</si>
  <si>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</si>
  <si>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</si>
  <si>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</si>
  <si>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</si>
  <si>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</si>
  <si>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</si>
  <si>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</si>
  <si>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</si>
  <si>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</si>
  <si>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</si>
  <si>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</si>
  <si>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</si>
  <si>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</si>
  <si>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</si>
  <si>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</si>
  <si>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</si>
  <si>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</si>
  <si>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</si>
  <si>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</si>
  <si>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</si>
  <si>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</si>
  <si>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</si>
  <si>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</si>
  <si>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</si>
  <si>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</si>
  <si>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</si>
  <si>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</si>
  <si>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</si>
  <si>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</si>
  <si>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</si>
  <si>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</si>
  <si>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</si>
  <si>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</si>
  <si>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</si>
  <si>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</si>
  <si>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</si>
  <si>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</si>
  <si>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</si>
  <si>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</si>
  <si>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</si>
  <si>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</si>
  <si>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</si>
  <si>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</si>
  <si>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</si>
  <si>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</si>
  <si>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</si>
  <si>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</si>
  <si>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</si>
  <si>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</si>
  <si>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</si>
  <si>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</si>
  <si>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</si>
  <si>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</si>
  <si>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</si>
  <si>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</si>
  <si>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</si>
  <si>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</si>
  <si>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</si>
  <si>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</si>
  <si>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</si>
  <si>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</si>
  <si>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</si>
  <si>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</si>
  <si>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</si>
  <si>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</si>
  <si>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</si>
  <si>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</si>
  <si>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</si>
  <si>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</si>
  <si>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</si>
  <si>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</si>
  <si>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</si>
  <si>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</si>
  <si>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</si>
  <si>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</si>
  <si>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</si>
  <si>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</si>
  <si>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</si>
  <si>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</si>
  <si>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</si>
  <si>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</si>
  <si>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</si>
  <si>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</si>
  <si>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</si>
  <si>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</si>
  <si>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</si>
  <si>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</si>
  <si>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</si>
  <si>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</si>
  <si>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</si>
  <si>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</si>
  <si>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</si>
  <si>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</si>
  <si>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</si>
  <si>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</si>
  <si>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</si>
  <si>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</si>
  <si>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</si>
  <si>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</si>
  <si>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</si>
  <si>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</si>
  <si>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</si>
  <si>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</si>
  <si>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</si>
  <si>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</si>
  <si>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</si>
  <si>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</si>
  <si>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</si>
  <si>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</si>
  <si>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</si>
  <si>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</si>
  <si>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</si>
  <si>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</si>
  <si>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</si>
  <si>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</si>
  <si>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</si>
  <si>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</si>
  <si>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</si>
  <si>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</si>
  <si>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</si>
  <si>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</si>
  <si>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</si>
  <si>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</si>
  <si>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</si>
  <si>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</si>
  <si>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</si>
  <si>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</si>
  <si>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</si>
  <si>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</si>
  <si>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</si>
  <si>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</si>
  <si>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</si>
  <si>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</si>
  <si>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</si>
  <si>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</si>
  <si>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</si>
  <si>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</si>
  <si>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</si>
  <si>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</si>
  <si>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</si>
  <si>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</si>
  <si>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</si>
  <si>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</si>
  <si>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</si>
  <si>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</si>
  <si>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</si>
  <si>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</si>
  <si>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</si>
  <si>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</si>
  <si>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</si>
  <si>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</si>
  <si>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</si>
  <si>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</si>
  <si>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</si>
  <si>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</si>
  <si>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</si>
  <si>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</si>
  <si>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</si>
  <si>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</si>
  <si>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</si>
  <si>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</si>
  <si>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</si>
  <si>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</si>
  <si>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</si>
  <si>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</si>
  <si>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</si>
  <si>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</si>
  <si>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</si>
  <si>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</si>
  <si>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</si>
  <si>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</si>
  <si>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</si>
  <si>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</si>
  <si>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</si>
  <si>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</si>
  <si>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</si>
  <si>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</si>
  <si>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</si>
  <si>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</si>
  <si>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</si>
  <si>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</si>
  <si>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</si>
  <si>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</si>
  <si>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</si>
  <si>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</si>
  <si>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</si>
  <si>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</si>
  <si>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</si>
  <si>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</si>
  <si>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</si>
  <si>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</si>
  <si>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</si>
  <si>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</si>
  <si>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</si>
  <si>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</si>
  <si>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</si>
  <si>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</si>
  <si>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</si>
  <si>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</si>
  <si>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</si>
  <si>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</si>
  <si>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</si>
  <si>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</si>
  <si>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</si>
  <si>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</si>
  <si>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</si>
  <si>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</si>
  <si>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</si>
  <si>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</si>
  <si>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</si>
  <si>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</si>
  <si>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</si>
  <si>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</si>
  <si>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</si>
  <si>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</si>
  <si>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</si>
  <si>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</si>
  <si>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</si>
  <si>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</si>
  <si>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</si>
  <si>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</si>
  <si>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</si>
  <si>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</si>
  <si>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</si>
  <si>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</si>
  <si>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</si>
  <si>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</si>
  <si>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</si>
  <si>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</si>
  <si>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</si>
  <si>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</si>
  <si>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</si>
  <si>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</si>
  <si>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</si>
  <si>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</si>
  <si>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</si>
  <si>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</si>
  <si>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</si>
  <si>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</si>
  <si>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</si>
  <si>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</si>
  <si>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</si>
  <si>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</si>
  <si>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</si>
  <si>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</si>
  <si>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</si>
  <si>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</si>
  <si>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</si>
  <si>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</si>
  <si>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</si>
  <si>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</si>
  <si>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</si>
  <si>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</si>
  <si>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</si>
  <si>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</si>
  <si>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</si>
  <si>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</si>
  <si>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</si>
  <si>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</si>
  <si>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</si>
  <si>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</si>
  <si>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</si>
  <si>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</si>
  <si>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</si>
  <si>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</si>
  <si>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</si>
  <si>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</si>
  <si>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</si>
  <si>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</si>
  <si>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</si>
  <si>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</si>
  <si>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</si>
  <si>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</si>
  <si>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</si>
  <si>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</si>
  <si>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</si>
  <si>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</si>
  <si>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</si>
  <si>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</si>
  <si>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</si>
  <si>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</si>
  <si>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</si>
  <si>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</si>
  <si>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</si>
  <si>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</si>
  <si>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</si>
  <si>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</si>
  <si>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</si>
  <si>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</si>
  <si>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</si>
  <si>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</si>
  <si>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</si>
  <si>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</si>
  <si>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</si>
  <si>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</si>
  <si>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</si>
  <si>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</si>
  <si>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</si>
  <si>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</si>
  <si>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</si>
  <si>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</si>
  <si>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</si>
  <si>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</si>
  <si>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</si>
  <si>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</si>
  <si>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</si>
  <si>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</si>
  <si>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</si>
  <si>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</si>
  <si>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</si>
  <si>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</si>
  <si>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</si>
  <si>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</si>
  <si>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</si>
  <si>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</si>
  <si>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</si>
  <si>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</si>
  <si>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</si>
  <si>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</si>
  <si>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</si>
  <si>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</si>
  <si>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</si>
  <si>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</si>
  <si>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</si>
  <si>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</si>
  <si>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</si>
  <si>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</si>
  <si>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</si>
  <si>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</si>
  <si>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</si>
  <si>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</si>
  <si>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</si>
  <si>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</si>
  <si>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</si>
  <si>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</si>
  <si>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</si>
  <si>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</si>
  <si>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</si>
  <si>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</si>
  <si>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</si>
  <si>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</si>
  <si>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</si>
  <si>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</si>
  <si>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</si>
  <si>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</si>
  <si>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</si>
  <si>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</si>
  <si>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</si>
  <si>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</si>
  <si>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</si>
  <si>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</si>
  <si>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</si>
  <si>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</si>
  <si>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</si>
  <si>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</si>
  <si>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</si>
  <si>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</si>
  <si>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</si>
  <si>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</si>
  <si>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</si>
  <si>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</si>
  <si>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</si>
  <si>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</si>
  <si>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</si>
  <si>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</si>
  <si>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</si>
  <si>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</si>
  <si>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</si>
  <si>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</si>
  <si>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</si>
  <si>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</si>
  <si>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</si>
  <si>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</si>
  <si>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</si>
  <si>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</si>
  <si>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</si>
  <si>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</si>
  <si>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</si>
  <si>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</si>
  <si>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</si>
  <si>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</si>
  <si>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</si>
  <si>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</si>
  <si>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</si>
  <si>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</si>
  <si>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</si>
  <si>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</si>
  <si>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</si>
  <si>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</si>
  <si>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</si>
  <si>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</si>
  <si>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</si>
  <si>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</si>
  <si>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Adani Green Energy Ltd</t>
  </si>
  <si>
    <t>Mar 2016  15m</t>
  </si>
  <si>
    <t>Adani Power</t>
  </si>
  <si>
    <t>Power Grid Corpn</t>
  </si>
  <si>
    <t>Adani Green</t>
  </si>
  <si>
    <t>Adani Energy Sol</t>
  </si>
  <si>
    <t>Tata Power Co.</t>
  </si>
  <si>
    <t>JSW Energy</t>
  </si>
  <si>
    <t>NHPC Ltd</t>
  </si>
  <si>
    <t>NTPC Green Ene.</t>
  </si>
  <si>
    <t>Torrent Power</t>
  </si>
  <si>
    <t>Cash Flow Statement - Adani Green Energy Ltd</t>
  </si>
  <si>
    <t>Adani Green Energy Ltd Comparable Valuation</t>
  </si>
  <si>
    <t>52 Week (High - INR - 1,632.00 &amp; low INR - 765.00)</t>
  </si>
  <si>
    <t>Adani Green Energy Limited (AGEL) is an Indian renewable energy company, headquartered in Ahmedabad, India. It is majority-owned by the Indian conglomerate Adani Group, which is a major international coal-mining enterprise, and minority-owned by TotalEnergies. The company operates Kamuthi Solar Power Project, one of the largest solar photovoltaic plants in the world.</t>
  </si>
  <si>
    <t>Adani stocks soar up to 12% after Jefferies sees up to 53% upside in Adani Energy and others</t>
  </si>
  <si>
    <t>Adani Green Energy - MFs kept buying these 9 largecap stocks for 2 quarters; shares surged up to 50%</t>
  </si>
  <si>
    <t>Market Trading Guide: Adani Green among 4 stock recommendations for Wednesday - Stock Ideas</t>
  </si>
  <si>
    <t>Adani Power vs. Green vs. Energy: Why mutual funds are betting billions on this electrification trio</t>
  </si>
  <si>
    <t>Adani Green shares tumble 5% after Q1 results. Here’s why Bernstein has an Underperform rating</t>
  </si>
  <si>
    <t>Adani Green Energy Ltd continued strategic operational investments and customer engagements to drive sustainable long-term business performance.</t>
  </si>
  <si>
    <t>Adani Green Energy Ltd (ADANIGREEN) - Institutional Valuation</t>
  </si>
  <si>
    <t>Intrinsic Value</t>
  </si>
  <si>
    <t>Margin of Safety</t>
  </si>
  <si>
    <t>Verdict</t>
  </si>
  <si>
    <t>Altman Z-Score</t>
  </si>
  <si>
    <t>DuPont ROE</t>
  </si>
  <si>
    <t>THE 4 CORE VALUATION PILLARS</t>
  </si>
  <si>
    <t>Pillar 1: FCF Engine</t>
  </si>
  <si>
    <t>CFO ₹10135.0 Cr vs PAT ₹1987.0 Cr | EBIT Mgn 65.63% | CCC 60.0 days</t>
  </si>
  <si>
    <t>Pillar 2: Growth Trajectory</t>
  </si>
  <si>
    <t>3Y Sales CAGR 13.72% | 5Y CAGR 21.44% | Forecast g 5.2% | Terminal g 4.0%</t>
  </si>
  <si>
    <t>Pillar 3: Cost of Capital (WACC)</t>
  </si>
  <si>
    <t>WACC 11.16% | Ke 14.36% | Beta 1.13 | ERP 6.5% | Rf 7.0%</t>
  </si>
  <si>
    <t>Pillar 4: Relative Multiples</t>
  </si>
  <si>
    <t>P/E 113.0x | P/B 11.02x | EV/EBITDA 5.0x | EV/Sales 4.21x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</si>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</sst>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175" fontId="0" fillId="0" borderId="0" xfId="0" applyNumberFormat="1"/>
    <xf numFmtId="175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9220</c:v>
                </c:pt>
                <c:pt idx="1">
                  <c:v>11212</c:v>
                </c:pt>
                <c:pt idx="2">
                  <c:v>12928</c:v>
                </c:pt>
                <c:pt idx="3">
                  <c:v>13559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1260</c:v>
                </c:pt>
                <c:pt idx="1">
                  <c:v>2001</c:v>
                </c:pt>
                <c:pt idx="2">
                  <c:v>1987</c:v>
                </c:pt>
                <c:pt idx="3">
                  <c:v>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62931.5</c:v>
                </c:pt>
                <c:pt idx="1">
                  <c:v>77497.5</c:v>
                </c:pt>
                <c:pt idx="2">
                  <c:v>99425</c:v>
                </c:pt>
                <c:pt idx="3">
                  <c:v>126876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9220</c:v>
                </c:pt>
                <c:pt idx="1">
                  <c:v>11212</c:v>
                </c:pt>
                <c:pt idx="2">
                  <c:v>12928</c:v>
                </c:pt>
                <c:pt idx="3">
                  <c:v>13559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0.25408348457350266</c:v>
                </c:pt>
                <c:pt idx="1">
                  <c:v>0.23351616291282529</c:v>
                </c:pt>
                <c:pt idx="2">
                  <c:v>0.18087478949524374</c:v>
                </c:pt>
                <c:pt idx="3">
                  <c:v>0.13369883496355364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9220</c:v>
                </c:pt>
                <c:pt idx="1">
                  <c:v>11212</c:v>
                </c:pt>
                <c:pt idx="2">
                  <c:v>12928</c:v>
                </c:pt>
                <c:pt idx="3">
                  <c:v>13559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9220</c:v>
                </c:pt>
                <c:pt idx="1">
                  <c:v>11212</c:v>
                </c:pt>
                <c:pt idx="2">
                  <c:v>12928</c:v>
                </c:pt>
                <c:pt idx="3">
                  <c:v>13559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2.0021769701977547E-2</c:v>
                </c:pt>
                <c:pt idx="1">
                  <c:v>2.5820187747991871E-2</c:v>
                </c:pt>
                <c:pt idx="2">
                  <c:v>1.9984913251194367E-2</c:v>
                </c:pt>
                <c:pt idx="3">
                  <c:v>1.6914152400769256E-2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12.690360959870942</c:v>
                </c:pt>
                <c:pt idx="1">
                  <c:v>9.0439374489438666</c:v>
                </c:pt>
                <c:pt idx="2">
                  <c:v>9.0505666560466072</c:v>
                </c:pt>
                <c:pt idx="3">
                  <c:v>7.9045542333810976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66909</c:v>
                </c:pt>
                <c:pt idx="1">
                  <c:v>88086</c:v>
                </c:pt>
                <c:pt idx="2">
                  <c:v>110764</c:v>
                </c:pt>
                <c:pt idx="3">
                  <c:v>142988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5720</c:v>
                </c:pt>
                <c:pt idx="1">
                  <c:v>8250</c:v>
                </c:pt>
                <c:pt idx="2">
                  <c:v>10553</c:v>
                </c:pt>
                <c:pt idx="3">
                  <c:v>18318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66909</c:v>
                </c:pt>
                <c:pt idx="1">
                  <c:v>88086</c:v>
                </c:pt>
                <c:pt idx="2">
                  <c:v>110764</c:v>
                </c:pt>
                <c:pt idx="3">
                  <c:v>142988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66909</c:v>
                </c:pt>
                <c:pt idx="1">
                  <c:v>88086</c:v>
                </c:pt>
                <c:pt idx="2">
                  <c:v>110764</c:v>
                </c:pt>
                <c:pt idx="3">
                  <c:v>142988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5.5376501597444081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1.5522225484439223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4.1491763149823644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1.293192330700518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1.2682875966282727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66909</c:v>
                </c:pt>
                <c:pt idx="1">
                  <c:v>88086</c:v>
                </c:pt>
                <c:pt idx="2">
                  <c:v>110764</c:v>
                </c:pt>
                <c:pt idx="3">
                  <c:v>142988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66909</c:v>
                </c:pt>
                <c:pt idx="1">
                  <c:v>88086</c:v>
                </c:pt>
                <c:pt idx="2">
                  <c:v>110764</c:v>
                </c:pt>
                <c:pt idx="3">
                  <c:v>142988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0.13217084506564439</c:v>
                </c:pt>
                <c:pt idx="1">
                  <c:v>0.13779910027051667</c:v>
                </c:pt>
                <c:pt idx="2">
                  <c:v>0.12728469904411599</c:v>
                </c:pt>
                <c:pt idx="3">
                  <c:v>0.11671662272940667</c:v>
                </c:pt>
                <c:pt idx="4">
                  <c:v>9.4826139256441094E-2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3.8551968740126727</c:v>
                </c:pt>
                <c:pt idx="1">
                  <c:v>1.6392098984635943</c:v>
                </c:pt>
                <c:pt idx="2">
                  <c:v>3.0974832201362523</c:v>
                </c:pt>
                <c:pt idx="3">
                  <c:v>1.2250748726177034</c:v>
                </c:pt>
                <c:pt idx="4">
                  <c:v>1.2326953598904109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6808-85BF-4C2E-9F1C-B42DF62D3212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0.664062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3" t="s">
        <v>8632</v>
      </c>
      <c r="B1" s="174"/>
      <c r="C1" s="174"/>
      <c r="D1" s="174"/>
      <c r="E1" s="174"/>
      <c r="F1" s="174"/>
      <c r="G1" s="174"/>
    </row>
    <row r="2" spans="1:7" x14ac:dyDescent="0.3">
      <c r="A2" s="174"/>
      <c r="B2" s="174"/>
      <c r="C2" s="174"/>
      <c r="D2" s="174"/>
      <c r="E2" s="174"/>
      <c r="F2" s="174"/>
      <c r="G2" s="174"/>
    </row>
    <row r="4" spans="1:7" x14ac:dyDescent="0.3">
      <c r="A4" s="175" t="s">
        <v>43</v>
      </c>
      <c r="B4" s="175" t="s">
        <v>8633</v>
      </c>
      <c r="C4" s="175" t="s">
        <v>8634</v>
      </c>
      <c r="D4" s="175" t="s">
        <v>8635</v>
      </c>
      <c r="E4" s="175" t="s">
        <v>238</v>
      </c>
      <c r="F4" s="175" t="s">
        <v>8636</v>
      </c>
      <c r="G4" s="175" t="s">
        <v>8637</v>
      </c>
    </row>
    <row r="5" spans="1:7" ht="15.6" x14ac:dyDescent="0.3">
      <c r="A5" s="177">
        <f>DCF!D44</f>
        <v>1334</v>
      </c>
      <c r="B5" s="177">
        <f>DCF!D42</f>
        <v>-292.25852181597099</v>
      </c>
      <c r="C5" s="179">
        <f>(B5-A5)/A5</f>
        <v>-1.2190843491873846</v>
      </c>
      <c r="D5" s="181" t="str">
        <f>IF(C5&gt;0.15,"UNDERVALUED / BUY",IF(C5&lt;-0.15,"OVERVALUED / SELL","FAIRLY VALUED / HOLD"))</f>
        <v>OVERVALUED / SELL</v>
      </c>
      <c r="E5" s="182">
        <f>DCF!D20</f>
        <v>0.11854280833244707</v>
      </c>
      <c r="F5" s="183">
        <f>'Altman''s Z Score'!I89</f>
        <v>1.2326953598904109</v>
      </c>
      <c r="G5" s="182">
        <f>'Dupont Analysis'!I78</f>
        <v>0.13369883496355364</v>
      </c>
    </row>
    <row r="7" spans="1:7" ht="15.6" x14ac:dyDescent="0.3">
      <c r="A7" s="180" t="s">
        <v>8638</v>
      </c>
    </row>
    <row r="8" spans="1:7" x14ac:dyDescent="0.3">
      <c r="A8" s="37" t="s">
        <v>8639</v>
      </c>
      <c r="B8" s="172" t="s">
        <v>8640</v>
      </c>
      <c r="C8" s="172"/>
      <c r="D8" s="172"/>
      <c r="E8" s="172"/>
      <c r="F8" s="172"/>
      <c r="G8" s="172"/>
    </row>
    <row r="9" spans="1:7" x14ac:dyDescent="0.3">
      <c r="A9" s="37" t="s">
        <v>8641</v>
      </c>
      <c r="B9" s="172" t="s">
        <v>8642</v>
      </c>
      <c r="C9" s="172"/>
      <c r="D9" s="172"/>
      <c r="E9" s="172"/>
      <c r="F9" s="172"/>
      <c r="G9" s="172"/>
    </row>
    <row r="10" spans="1:7" x14ac:dyDescent="0.3">
      <c r="A10" s="37" t="s">
        <v>8643</v>
      </c>
      <c r="B10" s="172" t="s">
        <v>8644</v>
      </c>
      <c r="C10" s="172"/>
      <c r="D10" s="172"/>
      <c r="E10" s="172"/>
      <c r="F10" s="172"/>
      <c r="G10" s="172"/>
    </row>
    <row r="11" spans="1:7" x14ac:dyDescent="0.3">
      <c r="A11" s="37" t="s">
        <v>8645</v>
      </c>
      <c r="B11" s="172" t="s">
        <v>8646</v>
      </c>
      <c r="C11" s="172"/>
      <c r="D11" s="172"/>
      <c r="E11" s="172"/>
      <c r="F11" s="172"/>
      <c r="G11" s="172"/>
    </row>
    <row r="13" spans="1:7" x14ac:dyDescent="0.3">
      <c r="A13" s="37" t="s">
        <v>8647</v>
      </c>
    </row>
    <row r="14" spans="1:7" x14ac:dyDescent="0.3">
      <c r="A14" s="184" t="s">
        <v>188</v>
      </c>
      <c r="B14" s="184" t="s">
        <v>106</v>
      </c>
      <c r="C14" s="184" t="s">
        <v>8648</v>
      </c>
      <c r="D14" s="184" t="s">
        <v>8649</v>
      </c>
      <c r="E14" s="184" t="s">
        <v>8650</v>
      </c>
      <c r="F14" s="184" t="s">
        <v>8651</v>
      </c>
      <c r="G14" s="184" t="s">
        <v>302</v>
      </c>
    </row>
    <row r="15" spans="1:7" x14ac:dyDescent="0.3">
      <c r="A15" s="160" t="s">
        <v>8652</v>
      </c>
      <c r="B15" s="185">
        <f>DCF!I8</f>
        <v>9250.2360000000008</v>
      </c>
      <c r="C15" s="185">
        <f>DCF!I10</f>
        <v>6475.1652000000004</v>
      </c>
      <c r="D15" s="46">
        <f>DCF!I11</f>
        <v>0.85</v>
      </c>
      <c r="E15" s="185">
        <f>DCF!I12</f>
        <v>971.27478000000019</v>
      </c>
      <c r="F15" s="186">
        <f>DCF!I14</f>
        <v>0.94552647794838629</v>
      </c>
      <c r="G15" s="185">
        <f>DCF!I16</f>
        <v>918.36602185349398</v>
      </c>
    </row>
    <row r="16" spans="1:7" x14ac:dyDescent="0.3">
      <c r="A16" s="160" t="s">
        <v>8653</v>
      </c>
      <c r="B16" s="185">
        <f>DCF!J8</f>
        <v>9731.2482720000007</v>
      </c>
      <c r="C16" s="185">
        <f>DCF!J10</f>
        <v>6811.8737904</v>
      </c>
      <c r="D16" s="46">
        <f>DCF!J11</f>
        <v>0.72185771128313014</v>
      </c>
      <c r="E16" s="185">
        <f>DCF!J12</f>
        <v>1894.6701665123155</v>
      </c>
      <c r="F16" s="186">
        <f>DCF!J14</f>
        <v>0.84531988485805187</v>
      </c>
      <c r="G16" s="185">
        <f>DCF!J16</f>
        <v>1601.6023670001766</v>
      </c>
    </row>
    <row r="17" spans="1:7" x14ac:dyDescent="0.3">
      <c r="A17" s="160" t="s">
        <v>8654</v>
      </c>
      <c r="B17" s="185">
        <f>DCF!K8</f>
        <v>10237.273182144001</v>
      </c>
      <c r="C17" s="185">
        <f>DCF!K10</f>
        <v>7166.0912275008004</v>
      </c>
      <c r="D17" s="46">
        <f>DCF!K11</f>
        <v>0.5937154225662602</v>
      </c>
      <c r="E17" s="185">
        <f>DCF!K12</f>
        <v>2911.4723462167926</v>
      </c>
      <c r="F17" s="186">
        <f>DCF!K14</f>
        <v>0.75573315438706978</v>
      </c>
      <c r="G17" s="185">
        <f>DCF!K16</f>
        <v>2200.2961801171396</v>
      </c>
    </row>
    <row r="18" spans="1:7" x14ac:dyDescent="0.3">
      <c r="A18" s="160" t="s">
        <v>8655</v>
      </c>
      <c r="B18" s="185">
        <f>DCF!L8</f>
        <v>10769.61138761549</v>
      </c>
      <c r="C18" s="185">
        <f>DCF!L10</f>
        <v>7538.7279713308426</v>
      </c>
      <c r="D18" s="46">
        <f>DCF!L11</f>
        <v>0.46557313384939031</v>
      </c>
      <c r="E18" s="185">
        <f>DCF!L12</f>
        <v>4028.898764480286</v>
      </c>
      <c r="F18" s="186">
        <f>DCF!L14</f>
        <v>0.6756407968987227</v>
      </c>
      <c r="G18" s="185">
        <f>DCF!L16</f>
        <v>2722.0883718577397</v>
      </c>
    </row>
    <row r="19" spans="1:7" x14ac:dyDescent="0.3">
      <c r="A19" s="160" t="s">
        <v>8656</v>
      </c>
      <c r="B19" s="185">
        <f>DCF!M8</f>
        <v>11329.631179771497</v>
      </c>
      <c r="C19" s="185">
        <f>DCF!M10</f>
        <v>7930.7418258400476</v>
      </c>
      <c r="D19" s="46">
        <f>DCF!M11</f>
        <v>0.33743084513252042</v>
      </c>
      <c r="E19" s="185">
        <f>DCF!M12</f>
        <v>5254.6649090190122</v>
      </c>
      <c r="F19" s="186">
        <f>DCF!M14</f>
        <v>0.60403660178727148</v>
      </c>
      <c r="G19" s="185">
        <f>DCF!M16</f>
        <v>3174.0099351746662</v>
      </c>
    </row>
    <row r="21" spans="1:7" x14ac:dyDescent="0.3">
      <c r="A21" s="37" t="s">
        <v>8657</v>
      </c>
    </row>
    <row r="22" spans="1:7" x14ac:dyDescent="0.3">
      <c r="A22" s="37" t="s">
        <v>8658</v>
      </c>
      <c r="B22" s="185">
        <f>DCF!D33</f>
        <v>10616.362876003215</v>
      </c>
    </row>
    <row r="23" spans="1:7" x14ac:dyDescent="0.3">
      <c r="A23" s="37" t="s">
        <v>8659</v>
      </c>
      <c r="B23" s="185">
        <f>DCF!D29</f>
        <v>69577.999837346928</v>
      </c>
    </row>
    <row r="24" spans="1:7" x14ac:dyDescent="0.3">
      <c r="A24" s="37" t="s">
        <v>8660</v>
      </c>
      <c r="B24" s="185">
        <f>DCF!D34</f>
        <v>42027.658580906369</v>
      </c>
    </row>
    <row r="25" spans="1:7" x14ac:dyDescent="0.3">
      <c r="A25" s="37" t="s">
        <v>8661</v>
      </c>
      <c r="B25" s="185">
        <f>DCF!D35</f>
        <v>52644.021456909584</v>
      </c>
    </row>
    <row r="26" spans="1:7" x14ac:dyDescent="0.3">
      <c r="A26" s="37" t="s">
        <v>8662</v>
      </c>
      <c r="B26" s="185">
        <f>DCF!D37</f>
        <v>2766</v>
      </c>
    </row>
    <row r="27" spans="1:7" x14ac:dyDescent="0.3">
      <c r="A27" s="37" t="s">
        <v>8663</v>
      </c>
      <c r="B27" s="185">
        <f>DCF!D38</f>
        <v>103545</v>
      </c>
    </row>
    <row r="28" spans="1:7" x14ac:dyDescent="0.3">
      <c r="A28" s="37" t="s">
        <v>8664</v>
      </c>
      <c r="B28" s="185">
        <f>DCF!D39</f>
        <v>-48134.978543090416</v>
      </c>
    </row>
    <row r="29" spans="1:7" x14ac:dyDescent="0.3">
      <c r="A29" s="37" t="s">
        <v>8665</v>
      </c>
      <c r="B29" s="185">
        <f>DCF!D40</f>
        <v>164.7</v>
      </c>
    </row>
    <row r="30" spans="1:7" x14ac:dyDescent="0.3">
      <c r="A30" s="37" t="s">
        <v>8666</v>
      </c>
      <c r="B30" s="176">
        <f>DCF!D42</f>
        <v>-292.25852181597099</v>
      </c>
    </row>
    <row r="31" spans="1:7" x14ac:dyDescent="0.3">
      <c r="A31" s="37" t="s">
        <v>8667</v>
      </c>
      <c r="B31" s="176">
        <f>DCF!D44</f>
        <v>1334</v>
      </c>
    </row>
    <row r="32" spans="1:7" x14ac:dyDescent="0.3">
      <c r="A32" s="37" t="s">
        <v>8668</v>
      </c>
      <c r="B32" s="178">
        <f>(B5-A5)/A5</f>
        <v>-1.2190843491873846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Adani Green Energy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43160</v>
      </c>
      <c r="C3" s="16">
        <f>'Data Sheet'!C16</f>
        <v>43525</v>
      </c>
      <c r="D3" s="16">
        <f>'Data Sheet'!D16</f>
        <v>43891</v>
      </c>
      <c r="E3" s="16">
        <f>'Data Sheet'!E16</f>
        <v>44256</v>
      </c>
      <c r="F3" s="16">
        <f>'Data Sheet'!F16</f>
        <v>44621</v>
      </c>
      <c r="G3" s="16">
        <f>'Data Sheet'!G16</f>
        <v>44986</v>
      </c>
      <c r="H3" s="16">
        <f>'Data Sheet'!H16</f>
        <v>45352</v>
      </c>
      <c r="I3" s="16">
        <f>'Data Sheet'!I16</f>
        <v>45717</v>
      </c>
      <c r="J3" s="16">
        <f>'Data Sheet'!J16</f>
        <v>46082</v>
      </c>
      <c r="K3" s="16" t="str">
        <f>'Data Sheet'!K16</f>
        <v>TTM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1480</v>
      </c>
      <c r="C4" s="1">
        <f>'Data Sheet'!C17</f>
        <v>2058</v>
      </c>
      <c r="D4" s="1">
        <f>'Data Sheet'!D17</f>
        <v>2549</v>
      </c>
      <c r="E4" s="1">
        <f>'Data Sheet'!E17</f>
        <v>3124</v>
      </c>
      <c r="F4" s="1">
        <f>'Data Sheet'!F17</f>
        <v>5133</v>
      </c>
      <c r="G4" s="1">
        <f>'Data Sheet'!G17</f>
        <v>7792</v>
      </c>
      <c r="H4" s="1">
        <f>'Data Sheet'!H17</f>
        <v>9220</v>
      </c>
      <c r="I4" s="1">
        <f>'Data Sheet'!I17</f>
        <v>11212</v>
      </c>
      <c r="J4" s="1">
        <f>'Data Sheet'!J17</f>
        <v>12928</v>
      </c>
      <c r="K4" s="1">
        <f>'Data Sheet'!K17</f>
        <v>13559</v>
      </c>
      <c r="L4" s="1">
        <f>SUM(Quarters!H4:K4)</f>
        <v>13559</v>
      </c>
      <c r="M4" s="1">
        <f>$K4+M23*K4</f>
        <v>15419.131323074836</v>
      </c>
      <c r="N4" s="1">
        <f>$K4+N23*L4</f>
        <v>14220.798344678218</v>
      </c>
    </row>
    <row r="5" spans="1:14" x14ac:dyDescent="0.3">
      <c r="A5" s="6" t="s">
        <v>7</v>
      </c>
      <c r="B5" s="9">
        <f>SUM('Data Sheet'!B18,'Data Sheet'!B20:B24, -1*'Data Sheet'!B19)</f>
        <v>636.9899999999999</v>
      </c>
      <c r="C5" s="9">
        <f>SUM('Data Sheet'!C18,'Data Sheet'!C20:C24, -1*'Data Sheet'!C19)</f>
        <v>532.20000000000005</v>
      </c>
      <c r="D5" s="9">
        <f>SUM('Data Sheet'!D18,'Data Sheet'!D20:D24, -1*'Data Sheet'!D19)</f>
        <v>1099.1300000000001</v>
      </c>
      <c r="E5" s="9">
        <f>SUM('Data Sheet'!E18,'Data Sheet'!E20:E24, -1*'Data Sheet'!E19)</f>
        <v>883.15</v>
      </c>
      <c r="F5" s="9">
        <f>SUM('Data Sheet'!F18,'Data Sheet'!F20:F24, -1*'Data Sheet'!F19)</f>
        <v>1621</v>
      </c>
      <c r="G5" s="9">
        <f>SUM('Data Sheet'!G18,'Data Sheet'!G20:G24, -1*'Data Sheet'!G19)</f>
        <v>2822.27</v>
      </c>
      <c r="H5" s="9">
        <f>SUM('Data Sheet'!H18,'Data Sheet'!H20:H24, -1*'Data Sheet'!H19)</f>
        <v>1902.08</v>
      </c>
      <c r="I5" s="9">
        <f>SUM('Data Sheet'!I18,'Data Sheet'!I20:I24, -1*'Data Sheet'!I19)</f>
        <v>2323.12</v>
      </c>
      <c r="J5" s="9">
        <f>SUM('Data Sheet'!J18,'Data Sheet'!J20:J24, -1*'Data Sheet'!J19)</f>
        <v>2143.4700000000003</v>
      </c>
      <c r="K5" s="9">
        <f>SUM('Data Sheet'!K18,'Data Sheet'!K20:K24, -1*'Data Sheet'!K19)</f>
        <v>0</v>
      </c>
      <c r="L5" s="9">
        <f>SUM(Quarters!H5:K5)</f>
        <v>1848</v>
      </c>
      <c r="M5" s="9">
        <f t="shared" ref="M5:N5" si="0">M4-M6</f>
        <v>1826.8637835574627</v>
      </c>
      <c r="N5" s="9">
        <f t="shared" si="0"/>
        <v>2875.5461272038701</v>
      </c>
    </row>
    <row r="6" spans="1:14" s="8" customFormat="1" x14ac:dyDescent="0.3">
      <c r="A6" s="8" t="s">
        <v>8</v>
      </c>
      <c r="B6" s="1">
        <f>B4-B5</f>
        <v>843.0100000000001</v>
      </c>
      <c r="C6" s="1">
        <f t="shared" ref="C6:K6" si="1">C4-C5</f>
        <v>1525.8</v>
      </c>
      <c r="D6" s="1">
        <f t="shared" si="1"/>
        <v>1449.87</v>
      </c>
      <c r="E6" s="1">
        <f t="shared" si="1"/>
        <v>2240.85</v>
      </c>
      <c r="F6" s="1">
        <f t="shared" si="1"/>
        <v>3512</v>
      </c>
      <c r="G6" s="1">
        <f t="shared" si="1"/>
        <v>4969.7299999999996</v>
      </c>
      <c r="H6" s="1">
        <f t="shared" si="1"/>
        <v>7317.92</v>
      </c>
      <c r="I6" s="1">
        <f t="shared" si="1"/>
        <v>8888.880000000001</v>
      </c>
      <c r="J6" s="1">
        <f t="shared" si="1"/>
        <v>10784.529999999999</v>
      </c>
      <c r="K6" s="1">
        <f t="shared" si="1"/>
        <v>13559</v>
      </c>
      <c r="L6" s="1">
        <f>SUM(Quarters!H6:K6)</f>
        <v>11711</v>
      </c>
      <c r="M6" s="1">
        <f>M4*M24</f>
        <v>13592.267539517374</v>
      </c>
      <c r="N6" s="1">
        <f>N4*N24</f>
        <v>11345.252217474348</v>
      </c>
    </row>
    <row r="7" spans="1:14" x14ac:dyDescent="0.3">
      <c r="A7" s="6" t="s">
        <v>9</v>
      </c>
      <c r="B7" s="9">
        <f>'Data Sheet'!B25</f>
        <v>42</v>
      </c>
      <c r="C7" s="9">
        <f>'Data Sheet'!C25</f>
        <v>73</v>
      </c>
      <c r="D7" s="9">
        <f>'Data Sheet'!D25</f>
        <v>-111</v>
      </c>
      <c r="E7" s="9">
        <f>'Data Sheet'!E25</f>
        <v>385</v>
      </c>
      <c r="F7" s="9">
        <f>'Data Sheet'!F25</f>
        <v>507</v>
      </c>
      <c r="G7" s="9">
        <f>'Data Sheet'!G25</f>
        <v>667</v>
      </c>
      <c r="H7" s="9">
        <f>'Data Sheet'!H25</f>
        <v>1262</v>
      </c>
      <c r="I7" s="9">
        <f>'Data Sheet'!I25</f>
        <v>1316</v>
      </c>
      <c r="J7" s="9">
        <f>'Data Sheet'!J25</f>
        <v>1072</v>
      </c>
      <c r="K7" s="9">
        <f>'Data Sheet'!K25</f>
        <v>713</v>
      </c>
      <c r="L7" s="9">
        <f>SUM(Quarters!H7:K7)</f>
        <v>713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543</v>
      </c>
      <c r="C8" s="9">
        <f>'Data Sheet'!C26</f>
        <v>1062</v>
      </c>
      <c r="D8" s="9">
        <f>'Data Sheet'!D26</f>
        <v>394</v>
      </c>
      <c r="E8" s="9">
        <f>'Data Sheet'!E26</f>
        <v>486</v>
      </c>
      <c r="F8" s="9">
        <f>'Data Sheet'!F26</f>
        <v>849</v>
      </c>
      <c r="G8" s="9">
        <f>'Data Sheet'!G26</f>
        <v>1300</v>
      </c>
      <c r="H8" s="9">
        <f>'Data Sheet'!H26</f>
        <v>1903</v>
      </c>
      <c r="I8" s="9">
        <f>'Data Sheet'!I26</f>
        <v>2498</v>
      </c>
      <c r="J8" s="9">
        <f>'Data Sheet'!J26</f>
        <v>3372</v>
      </c>
      <c r="K8" s="9">
        <f>'Data Sheet'!K26</f>
        <v>3631</v>
      </c>
      <c r="L8" s="9">
        <f>SUM(Quarters!H8:K8)</f>
        <v>3631</v>
      </c>
      <c r="M8" s="9">
        <f>+$L8</f>
        <v>3631</v>
      </c>
      <c r="N8" s="9">
        <f>+$L8</f>
        <v>3631</v>
      </c>
    </row>
    <row r="9" spans="1:14" x14ac:dyDescent="0.3">
      <c r="A9" s="6" t="s">
        <v>11</v>
      </c>
      <c r="B9" s="9">
        <f>'Data Sheet'!B27</f>
        <v>552</v>
      </c>
      <c r="C9" s="9">
        <f>'Data Sheet'!C27</f>
        <v>1121</v>
      </c>
      <c r="D9" s="9">
        <f>'Data Sheet'!D27</f>
        <v>995</v>
      </c>
      <c r="E9" s="9">
        <f>'Data Sheet'!E27</f>
        <v>1953</v>
      </c>
      <c r="F9" s="9">
        <f>'Data Sheet'!F27</f>
        <v>2617</v>
      </c>
      <c r="G9" s="9">
        <f>'Data Sheet'!G27</f>
        <v>2911</v>
      </c>
      <c r="H9" s="9">
        <f>'Data Sheet'!H27</f>
        <v>5006</v>
      </c>
      <c r="I9" s="9">
        <f>'Data Sheet'!I27</f>
        <v>5492</v>
      </c>
      <c r="J9" s="9">
        <f>'Data Sheet'!J27</f>
        <v>6484</v>
      </c>
      <c r="K9" s="9">
        <f>'Data Sheet'!K27</f>
        <v>6960</v>
      </c>
      <c r="L9" s="9">
        <f>SUM(Quarters!H9:K9)</f>
        <v>6960</v>
      </c>
      <c r="M9" s="9">
        <f>+$L9</f>
        <v>6960</v>
      </c>
      <c r="N9" s="9">
        <f>+$L9</f>
        <v>6960</v>
      </c>
    </row>
    <row r="10" spans="1:14" x14ac:dyDescent="0.3">
      <c r="A10" s="6" t="s">
        <v>12</v>
      </c>
      <c r="B10" s="9">
        <f>'Data Sheet'!B28</f>
        <v>-210</v>
      </c>
      <c r="C10" s="9">
        <f>'Data Sheet'!C28</f>
        <v>-585</v>
      </c>
      <c r="D10" s="9">
        <f>'Data Sheet'!D28</f>
        <v>-50</v>
      </c>
      <c r="E10" s="9">
        <f>'Data Sheet'!E28</f>
        <v>187</v>
      </c>
      <c r="F10" s="9">
        <f>'Data Sheet'!F28</f>
        <v>553</v>
      </c>
      <c r="G10" s="9">
        <f>'Data Sheet'!G28</f>
        <v>1426</v>
      </c>
      <c r="H10" s="9">
        <f>'Data Sheet'!H28</f>
        <v>1671</v>
      </c>
      <c r="I10" s="9">
        <f>'Data Sheet'!I28</f>
        <v>2215</v>
      </c>
      <c r="J10" s="9">
        <f>'Data Sheet'!J28</f>
        <v>2001</v>
      </c>
      <c r="K10" s="9">
        <f>'Data Sheet'!K28</f>
        <v>1833</v>
      </c>
      <c r="L10" s="9">
        <f>SUM(Quarters!H10:K10)</f>
        <v>1833</v>
      </c>
      <c r="M10" s="9">
        <f>M6+M7-SUM(M8:M9)</f>
        <v>3001.2675395173737</v>
      </c>
      <c r="N10" s="9">
        <f>N6+N7-SUM(N8:N9)</f>
        <v>754.25221747434807</v>
      </c>
    </row>
    <row r="11" spans="1:14" x14ac:dyDescent="0.3">
      <c r="A11" s="6" t="s">
        <v>13</v>
      </c>
      <c r="B11" s="9">
        <f>'Data Sheet'!B29</f>
        <v>-210</v>
      </c>
      <c r="C11" s="9">
        <f>'Data Sheet'!C29</f>
        <v>-585</v>
      </c>
      <c r="D11" s="9">
        <f>'Data Sheet'!D29</f>
        <v>-50</v>
      </c>
      <c r="E11" s="9">
        <f>'Data Sheet'!E29</f>
        <v>187</v>
      </c>
      <c r="F11" s="9">
        <f>'Data Sheet'!F29</f>
        <v>553</v>
      </c>
      <c r="G11" s="9">
        <f>'Data Sheet'!G29</f>
        <v>1426</v>
      </c>
      <c r="H11" s="9">
        <f>'Data Sheet'!H29</f>
        <v>1671</v>
      </c>
      <c r="I11" s="9">
        <f>'Data Sheet'!I29</f>
        <v>2215</v>
      </c>
      <c r="J11" s="9">
        <f>'Data Sheet'!J29</f>
        <v>2001</v>
      </c>
      <c r="K11" s="9">
        <f>'Data Sheet'!K29</f>
        <v>1833</v>
      </c>
      <c r="L11" s="9">
        <f>SUM(Quarters!H11:K11)</f>
        <v>1833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-138</v>
      </c>
      <c r="C12" s="1">
        <f>'Data Sheet'!C30</f>
        <v>-475</v>
      </c>
      <c r="D12" s="1">
        <f>'Data Sheet'!D30</f>
        <v>-68</v>
      </c>
      <c r="E12" s="1">
        <f>'Data Sheet'!E30</f>
        <v>182</v>
      </c>
      <c r="F12" s="1">
        <f>'Data Sheet'!F30</f>
        <v>489</v>
      </c>
      <c r="G12" s="1">
        <f>'Data Sheet'!G30</f>
        <v>973</v>
      </c>
      <c r="H12" s="1">
        <f>'Data Sheet'!H30</f>
        <v>1260</v>
      </c>
      <c r="I12" s="1">
        <f>'Data Sheet'!I30</f>
        <v>2001</v>
      </c>
      <c r="J12" s="1">
        <f>'Data Sheet'!J30</f>
        <v>1987</v>
      </c>
      <c r="K12" s="1">
        <f>'Data Sheet'!K30</f>
        <v>2146</v>
      </c>
      <c r="L12" s="1">
        <f>SUM(Quarters!H12:K12)</f>
        <v>2146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-0.8378870673952642</v>
      </c>
      <c r="C13" s="9">
        <f>IF('Data Sheet'!C93&gt;0,C12/'Data Sheet'!C93,0)</f>
        <v>-2.8840315725561627</v>
      </c>
      <c r="D13" s="9">
        <f>IF('Data Sheet'!D93&gt;0,D12/'Data Sheet'!D93,0)</f>
        <v>-0.41287188828172439</v>
      </c>
      <c r="E13" s="9">
        <f>IF('Data Sheet'!E93&gt;0,E12/'Data Sheet'!E93,0)</f>
        <v>1.1050394656952034</v>
      </c>
      <c r="F13" s="9">
        <f>IF('Data Sheet'!F93&gt;0,F12/'Data Sheet'!F93,0)</f>
        <v>2.969034608378871</v>
      </c>
      <c r="G13" s="9">
        <f>IF('Data Sheet'!G93&gt;0,G12/'Data Sheet'!G93,0)</f>
        <v>5.9077109896782032</v>
      </c>
      <c r="H13" s="9">
        <f>IF('Data Sheet'!H93&gt;0,H12/'Data Sheet'!H93,0)</f>
        <v>7.6502732240437163</v>
      </c>
      <c r="I13" s="9">
        <f>IF('Data Sheet'!I93&gt;0,I12/'Data Sheet'!I93,0)</f>
        <v>12.14936247723133</v>
      </c>
      <c r="J13" s="9">
        <f>IF('Data Sheet'!J93&gt;0,J12/'Data Sheet'!J93,0)</f>
        <v>12.064359441408623</v>
      </c>
      <c r="K13" s="9">
        <f>IF('Data Sheet'!K93&gt;0,K12/'Data Sheet'!K93,0)</f>
        <v>13.029751062537949</v>
      </c>
      <c r="L13" s="9">
        <f>IF('Data Sheet'!$B6&gt;0,'Profit &amp; Loss'!L12/'Data Sheet'!$B6,0)</f>
        <v>13.023455981366233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>
        <f>IF(B15&gt;0,B15/B13,"")</f>
        <v>-1592.1</v>
      </c>
      <c r="C14" s="9">
        <f t="shared" ref="C14:K14" si="2">IF(C15&gt;0,C15/C13,"")</f>
        <v>-462.54694736842106</v>
      </c>
      <c r="D14" s="9">
        <f t="shared" si="2"/>
        <v>-82.834411764705877</v>
      </c>
      <c r="E14" s="9">
        <f t="shared" si="2"/>
        <v>140.22123626373624</v>
      </c>
      <c r="F14" s="9">
        <f t="shared" si="2"/>
        <v>390.64886503067476</v>
      </c>
      <c r="G14" s="9">
        <f t="shared" si="2"/>
        <v>320.64872559095579</v>
      </c>
      <c r="H14" s="9">
        <f t="shared" si="2"/>
        <v>73.428749999999994</v>
      </c>
      <c r="I14" s="9">
        <f t="shared" si="2"/>
        <v>162.25954272863567</v>
      </c>
      <c r="J14" s="9">
        <f t="shared" si="2"/>
        <v>64.189068948163055</v>
      </c>
      <c r="K14" s="9">
        <f t="shared" si="2"/>
        <v>72.706684529356934</v>
      </c>
      <c r="L14" s="9">
        <f t="shared" ref="L14" si="3">IF(L13&gt;0,L15/L13,0)</f>
        <v>102.43056849953402</v>
      </c>
      <c r="M14" s="9">
        <f>M25</f>
        <v>102.43056849953402</v>
      </c>
      <c r="N14" s="9">
        <f>N25</f>
        <v>100.39646617642242</v>
      </c>
    </row>
    <row r="15" spans="1:14" s="8" customFormat="1" x14ac:dyDescent="0.3">
      <c r="A15" s="8" t="s">
        <v>58</v>
      </c>
      <c r="B15" s="1">
        <f>'Data Sheet'!B90</f>
        <v>1334</v>
      </c>
      <c r="C15" s="1">
        <f>'Data Sheet'!C90</f>
        <v>1334</v>
      </c>
      <c r="D15" s="1">
        <f>'Data Sheet'!D90</f>
        <v>34.200000000000003</v>
      </c>
      <c r="E15" s="1">
        <f>'Data Sheet'!E90</f>
        <v>154.94999999999999</v>
      </c>
      <c r="F15" s="1">
        <f>'Data Sheet'!F90</f>
        <v>1159.8499999999999</v>
      </c>
      <c r="G15" s="1">
        <f>'Data Sheet'!G90</f>
        <v>1894.3</v>
      </c>
      <c r="H15" s="1">
        <f>'Data Sheet'!H90</f>
        <v>561.75</v>
      </c>
      <c r="I15" s="1">
        <f>'Data Sheet'!I90</f>
        <v>1971.35</v>
      </c>
      <c r="J15" s="1">
        <f>'Data Sheet'!J90</f>
        <v>774.4</v>
      </c>
      <c r="K15" s="1">
        <f>'Data Sheet'!K90</f>
        <v>947.35</v>
      </c>
      <c r="L15" s="1">
        <f>'Data Sheet'!B8</f>
        <v>1334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</v>
      </c>
      <c r="J18" s="7">
        <f>IF('Data Sheet'!J30&gt;0, 'Data Sheet'!J31/'Data Sheet'!J30, 0)</f>
        <v>0</v>
      </c>
      <c r="K18" s="7">
        <f>IF('Data Sheet'!K30&gt;0, 'Data Sheet'!K31/'Data Sheet'!K30, 0)</f>
        <v>0</v>
      </c>
    </row>
    <row r="19" spans="1:14" x14ac:dyDescent="0.3">
      <c r="A19" s="6" t="s">
        <v>18</v>
      </c>
      <c r="B19" s="7">
        <f t="shared" ref="B19:L19" si="4">IF(B6&gt;0,B6/B4,0)</f>
        <v>0.56960135135135137</v>
      </c>
      <c r="C19" s="7">
        <f t="shared" ref="C19:K19" si="5">IF(C6&gt;0,C6/C4,0)</f>
        <v>0.74139941690962097</v>
      </c>
      <c r="D19" s="7">
        <f t="shared" si="5"/>
        <v>0.56879952922714783</v>
      </c>
      <c r="E19" s="7">
        <f t="shared" si="5"/>
        <v>0.71730153649167727</v>
      </c>
      <c r="F19" s="7">
        <f t="shared" si="5"/>
        <v>0.68420027274498341</v>
      </c>
      <c r="G19" s="7">
        <f t="shared" si="5"/>
        <v>0.63779902464065708</v>
      </c>
      <c r="H19" s="7">
        <f t="shared" si="5"/>
        <v>0.79370065075921914</v>
      </c>
      <c r="I19" s="7">
        <f t="shared" si="5"/>
        <v>0.79280057081698185</v>
      </c>
      <c r="J19" s="7">
        <f t="shared" si="5"/>
        <v>0.83419941212871274</v>
      </c>
      <c r="K19" s="7">
        <f t="shared" si="5"/>
        <v>1</v>
      </c>
      <c r="L19" s="7">
        <f t="shared" si="4"/>
        <v>0.8637067630356221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0.2790428816571664</v>
      </c>
      <c r="I23" s="7">
        <f>IF(D4=0,"",POWER($K4/D4,1/7)-1)</f>
        <v>0.26967911241527576</v>
      </c>
      <c r="J23" s="7">
        <f>IF(F4=0,"",POWER($K4/F4,1/5)-1)</f>
        <v>0.21442662275864754</v>
      </c>
      <c r="K23" s="7">
        <f>IF(H4=0,"",POWER($K4/H4, 1/3)-1)</f>
        <v>0.13718794329042239</v>
      </c>
      <c r="L23" s="7">
        <f>IF(ISERROR(MAX(IF(J4=0,"",(K4-J4)/J4),IF(K4=0,"",(L4-K4)/K4))),"",MAX(IF(J4=0,"",(K4-J4)/J4),IF(K4=0,"",(L4-K4)/K4)))</f>
        <v>4.8808787128712873E-2</v>
      </c>
      <c r="M23" s="22">
        <f>MAX(K23:L23)</f>
        <v>0.13718794329042239</v>
      </c>
      <c r="N23" s="22">
        <f>MIN(H23:L23)</f>
        <v>4.8808787128712873E-2</v>
      </c>
    </row>
    <row r="24" spans="1:14" x14ac:dyDescent="0.3">
      <c r="G24" s="6" t="s">
        <v>18</v>
      </c>
      <c r="H24" s="7">
        <f>IF(SUM(B4:$K$4)=0,"",SUMPRODUCT(B19:$K$19,B4:$K$4)/SUM(B4:$K$4))</f>
        <v>0.79779291868800228</v>
      </c>
      <c r="I24" s="7">
        <f>IF(SUM(E4:$K$4)=0,"",SUMPRODUCT(E19:$K$19,E4:$K$4)/SUM(E4:$K$4))</f>
        <v>0.81426931139626479</v>
      </c>
      <c r="J24" s="7">
        <f>IF(SUM(G4:$K$4)=0,"",SUMPRODUCT(G19:$K$19,G4:$K$4)/SUM(G4:$K$4))</f>
        <v>0.8320092851528943</v>
      </c>
      <c r="K24" s="7">
        <f>IF(SUM(I4:$K$4)=0, "", SUMPRODUCT(I19:$K$19,I4:$K$4)/SUM(I4:$K$4))</f>
        <v>0.88151966895673639</v>
      </c>
      <c r="L24" s="7">
        <f>L19</f>
        <v>0.8637067630356221</v>
      </c>
      <c r="M24" s="22">
        <f>MAX(K24:L24)</f>
        <v>0.88151966895673639</v>
      </c>
      <c r="N24" s="22">
        <f>MIN(H24:L24)</f>
        <v>0.79779291868800228</v>
      </c>
    </row>
    <row r="25" spans="1:14" x14ac:dyDescent="0.3">
      <c r="G25" s="6" t="s">
        <v>23</v>
      </c>
      <c r="H25" s="9">
        <f>IF(ISERROR(AVERAGEIF(B14:$L14,"&gt;0")),"",AVERAGEIF(B14:$L14,"&gt;0"))</f>
        <v>165.81668019888207</v>
      </c>
      <c r="I25" s="9">
        <f>IF(ISERROR(AVERAGEIF(E14:$L14,"&gt;0")),"",AVERAGEIF(E14:$L14,"&gt;0"))</f>
        <v>165.81668019888207</v>
      </c>
      <c r="J25" s="9">
        <f>IF(ISERROR(AVERAGEIF(G14:$L14,"&gt;0")),"",AVERAGEIF(G14:$L14,"&gt;0"))</f>
        <v>132.61055671610757</v>
      </c>
      <c r="K25" s="9">
        <f>IF(ISERROR(AVERAGEIF(I14:$L14,"&gt;0")),"",AVERAGEIF(I14:$L14,"&gt;0"))</f>
        <v>100.39646617642242</v>
      </c>
      <c r="L25" s="9">
        <f>L14</f>
        <v>102.43056849953402</v>
      </c>
      <c r="M25" s="1">
        <f>MAX(K25:L25)</f>
        <v>102.43056849953402</v>
      </c>
      <c r="N25" s="1">
        <f>MIN(H25:L25)</f>
        <v>100.39646617642242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Adani Green Energy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2527</v>
      </c>
      <c r="C4" s="1">
        <f>'Data Sheet'!C42</f>
        <v>2794</v>
      </c>
      <c r="D4" s="1">
        <f>'Data Sheet'!D42</f>
        <v>3005</v>
      </c>
      <c r="E4" s="1">
        <f>'Data Sheet'!E42</f>
        <v>2340</v>
      </c>
      <c r="F4" s="1">
        <f>'Data Sheet'!F42</f>
        <v>3073</v>
      </c>
      <c r="G4" s="1">
        <f>'Data Sheet'!G42</f>
        <v>3800</v>
      </c>
      <c r="H4" s="1">
        <f>'Data Sheet'!H42</f>
        <v>3008</v>
      </c>
      <c r="I4" s="1">
        <f>'Data Sheet'!I42</f>
        <v>2618</v>
      </c>
      <c r="J4" s="1">
        <f>'Data Sheet'!J42</f>
        <v>3502</v>
      </c>
      <c r="K4" s="1">
        <f>'Data Sheet'!K42</f>
        <v>4431</v>
      </c>
    </row>
    <row r="5" spans="1:11" x14ac:dyDescent="0.3">
      <c r="A5" s="6" t="s">
        <v>7</v>
      </c>
      <c r="B5" s="9">
        <f>'Data Sheet'!B43</f>
        <v>693</v>
      </c>
      <c r="C5" s="9">
        <f>'Data Sheet'!C43</f>
        <v>415</v>
      </c>
      <c r="D5" s="9">
        <f>'Data Sheet'!D43</f>
        <v>788</v>
      </c>
      <c r="E5" s="9">
        <f>'Data Sheet'!E43</f>
        <v>460</v>
      </c>
      <c r="F5" s="9">
        <f>'Data Sheet'!F43</f>
        <v>671</v>
      </c>
      <c r="G5" s="9">
        <f>'Data Sheet'!G43</f>
        <v>758</v>
      </c>
      <c r="H5" s="9">
        <f>'Data Sheet'!H43</f>
        <v>405</v>
      </c>
      <c r="I5" s="9">
        <f>'Data Sheet'!I43</f>
        <v>377</v>
      </c>
      <c r="J5" s="9">
        <f>'Data Sheet'!J43</f>
        <v>620</v>
      </c>
      <c r="K5" s="9">
        <f>'Data Sheet'!K43</f>
        <v>446</v>
      </c>
    </row>
    <row r="6" spans="1:11" s="8" customFormat="1" x14ac:dyDescent="0.3">
      <c r="A6" s="8" t="s">
        <v>8</v>
      </c>
      <c r="B6" s="1">
        <f>'Data Sheet'!B50</f>
        <v>1834</v>
      </c>
      <c r="C6" s="1">
        <f>'Data Sheet'!C50</f>
        <v>2379</v>
      </c>
      <c r="D6" s="1">
        <f>'Data Sheet'!D50</f>
        <v>2217</v>
      </c>
      <c r="E6" s="1">
        <f>'Data Sheet'!E50</f>
        <v>1880</v>
      </c>
      <c r="F6" s="1">
        <f>'Data Sheet'!F50</f>
        <v>2402</v>
      </c>
      <c r="G6" s="1">
        <f>'Data Sheet'!G50</f>
        <v>3042</v>
      </c>
      <c r="H6" s="1">
        <f>'Data Sheet'!H50</f>
        <v>2603</v>
      </c>
      <c r="I6" s="1">
        <f>'Data Sheet'!I50</f>
        <v>2241</v>
      </c>
      <c r="J6" s="1">
        <f>'Data Sheet'!J50</f>
        <v>2882</v>
      </c>
      <c r="K6" s="1">
        <f>'Data Sheet'!K50</f>
        <v>3985</v>
      </c>
    </row>
    <row r="7" spans="1:11" x14ac:dyDescent="0.3">
      <c r="A7" s="6" t="s">
        <v>9</v>
      </c>
      <c r="B7" s="9">
        <f>'Data Sheet'!B44</f>
        <v>234</v>
      </c>
      <c r="C7" s="9">
        <f>'Data Sheet'!C44</f>
        <v>271</v>
      </c>
      <c r="D7" s="9">
        <f>'Data Sheet'!D44</f>
        <v>294</v>
      </c>
      <c r="E7" s="9">
        <f>'Data Sheet'!E44</f>
        <v>280</v>
      </c>
      <c r="F7" s="9">
        <f>'Data Sheet'!F44</f>
        <v>39</v>
      </c>
      <c r="G7" s="9">
        <f>'Data Sheet'!G44</f>
        <v>189</v>
      </c>
      <c r="H7" s="9">
        <f>'Data Sheet'!H44</f>
        <v>158</v>
      </c>
      <c r="I7" s="9">
        <f>'Data Sheet'!I44</f>
        <v>208</v>
      </c>
      <c r="J7" s="9">
        <f>'Data Sheet'!J44</f>
        <v>117</v>
      </c>
      <c r="K7" s="9">
        <f>'Data Sheet'!K44</f>
        <v>230</v>
      </c>
    </row>
    <row r="8" spans="1:11" x14ac:dyDescent="0.3">
      <c r="A8" s="6" t="s">
        <v>10</v>
      </c>
      <c r="B8" s="9">
        <f>'Data Sheet'!B45</f>
        <v>497</v>
      </c>
      <c r="C8" s="9">
        <f>'Data Sheet'!C45</f>
        <v>596</v>
      </c>
      <c r="D8" s="9">
        <f>'Data Sheet'!D45</f>
        <v>621</v>
      </c>
      <c r="E8" s="9">
        <f>'Data Sheet'!E45</f>
        <v>618</v>
      </c>
      <c r="F8" s="9">
        <f>'Data Sheet'!F45</f>
        <v>663</v>
      </c>
      <c r="G8" s="9">
        <f>'Data Sheet'!G45</f>
        <v>767</v>
      </c>
      <c r="H8" s="9">
        <f>'Data Sheet'!H45</f>
        <v>834</v>
      </c>
      <c r="I8" s="9">
        <f>'Data Sheet'!I45</f>
        <v>886</v>
      </c>
      <c r="J8" s="9">
        <f>'Data Sheet'!J45</f>
        <v>885</v>
      </c>
      <c r="K8" s="9">
        <f>'Data Sheet'!K45</f>
        <v>1026</v>
      </c>
    </row>
    <row r="9" spans="1:11" x14ac:dyDescent="0.3">
      <c r="A9" s="6" t="s">
        <v>11</v>
      </c>
      <c r="B9" s="9">
        <f>'Data Sheet'!B46</f>
        <v>1224</v>
      </c>
      <c r="C9" s="9">
        <f>'Data Sheet'!C46</f>
        <v>1426</v>
      </c>
      <c r="D9" s="9">
        <f>'Data Sheet'!D46</f>
        <v>1448</v>
      </c>
      <c r="E9" s="9">
        <f>'Data Sheet'!E46</f>
        <v>1251</v>
      </c>
      <c r="F9" s="9">
        <f>'Data Sheet'!F46</f>
        <v>1368</v>
      </c>
      <c r="G9" s="9">
        <f>'Data Sheet'!G46</f>
        <v>1525</v>
      </c>
      <c r="H9" s="9">
        <f>'Data Sheet'!H46</f>
        <v>1635</v>
      </c>
      <c r="I9" s="9">
        <f>'Data Sheet'!I46</f>
        <v>1698</v>
      </c>
      <c r="J9" s="9">
        <f>'Data Sheet'!J46</f>
        <v>1626</v>
      </c>
      <c r="K9" s="9">
        <f>'Data Sheet'!K46</f>
        <v>2001</v>
      </c>
    </row>
    <row r="10" spans="1:11" x14ac:dyDescent="0.3">
      <c r="A10" s="6" t="s">
        <v>12</v>
      </c>
      <c r="B10" s="9">
        <f>'Data Sheet'!B47</f>
        <v>347</v>
      </c>
      <c r="C10" s="9">
        <f>'Data Sheet'!C47</f>
        <v>628</v>
      </c>
      <c r="D10" s="9">
        <f>'Data Sheet'!D47</f>
        <v>442</v>
      </c>
      <c r="E10" s="9">
        <f>'Data Sheet'!E47</f>
        <v>291</v>
      </c>
      <c r="F10" s="9">
        <f>'Data Sheet'!F47</f>
        <v>410</v>
      </c>
      <c r="G10" s="9">
        <f>'Data Sheet'!G47</f>
        <v>939</v>
      </c>
      <c r="H10" s="9">
        <f>'Data Sheet'!H47</f>
        <v>292</v>
      </c>
      <c r="I10" s="9">
        <f>'Data Sheet'!I47</f>
        <v>-135</v>
      </c>
      <c r="J10" s="9">
        <f>'Data Sheet'!J47</f>
        <v>488</v>
      </c>
      <c r="K10" s="9">
        <f>'Data Sheet'!K47</f>
        <v>1188</v>
      </c>
    </row>
    <row r="11" spans="1:11" x14ac:dyDescent="0.3">
      <c r="A11" s="6" t="s">
        <v>13</v>
      </c>
      <c r="B11" s="9">
        <f>'Data Sheet'!B48</f>
        <v>347</v>
      </c>
      <c r="C11" s="9">
        <f>'Data Sheet'!C48</f>
        <v>628</v>
      </c>
      <c r="D11" s="9">
        <f>'Data Sheet'!D48</f>
        <v>442</v>
      </c>
      <c r="E11" s="9">
        <f>'Data Sheet'!E48</f>
        <v>291</v>
      </c>
      <c r="F11" s="9">
        <f>'Data Sheet'!F48</f>
        <v>410</v>
      </c>
      <c r="G11" s="9">
        <f>'Data Sheet'!G48</f>
        <v>939</v>
      </c>
      <c r="H11" s="9">
        <f>'Data Sheet'!H48</f>
        <v>292</v>
      </c>
      <c r="I11" s="9">
        <f>'Data Sheet'!I48</f>
        <v>-135</v>
      </c>
      <c r="J11" s="9">
        <f>'Data Sheet'!J48</f>
        <v>488</v>
      </c>
      <c r="K11" s="9">
        <f>'Data Sheet'!K48</f>
        <v>1188</v>
      </c>
    </row>
    <row r="12" spans="1:11" s="8" customFormat="1" x14ac:dyDescent="0.3">
      <c r="A12" s="8" t="s">
        <v>14</v>
      </c>
      <c r="B12" s="1">
        <f>'Data Sheet'!B49</f>
        <v>310</v>
      </c>
      <c r="C12" s="1">
        <f>'Data Sheet'!C49</f>
        <v>629</v>
      </c>
      <c r="D12" s="1">
        <f>'Data Sheet'!D49</f>
        <v>515</v>
      </c>
      <c r="E12" s="1">
        <f>'Data Sheet'!E49</f>
        <v>474</v>
      </c>
      <c r="F12" s="1">
        <f>'Data Sheet'!F49</f>
        <v>383</v>
      </c>
      <c r="G12" s="1">
        <f>'Data Sheet'!G49</f>
        <v>824</v>
      </c>
      <c r="H12" s="1">
        <f>'Data Sheet'!H49</f>
        <v>644</v>
      </c>
      <c r="I12" s="1">
        <f>'Data Sheet'!I49</f>
        <v>5</v>
      </c>
      <c r="J12" s="1">
        <f>'Data Sheet'!J49</f>
        <v>514</v>
      </c>
      <c r="K12" s="1">
        <f>'Data Sheet'!K49</f>
        <v>983</v>
      </c>
    </row>
    <row r="14" spans="1:11" s="8" customFormat="1" x14ac:dyDescent="0.3">
      <c r="A14" s="2" t="s">
        <v>18</v>
      </c>
      <c r="B14" s="14">
        <f>IF(B4&gt;0,B6/B4,"")</f>
        <v>0.72576177285318555</v>
      </c>
      <c r="C14" s="14">
        <f t="shared" ref="C14:K14" si="0">IF(C4&gt;0,C6/C4,"")</f>
        <v>0.85146743020758764</v>
      </c>
      <c r="D14" s="14">
        <f t="shared" si="0"/>
        <v>0.73777038269550754</v>
      </c>
      <c r="E14" s="14">
        <f t="shared" si="0"/>
        <v>0.80341880341880345</v>
      </c>
      <c r="F14" s="14">
        <f t="shared" si="0"/>
        <v>0.78164659941425318</v>
      </c>
      <c r="G14" s="14">
        <f t="shared" si="0"/>
        <v>0.80052631578947364</v>
      </c>
      <c r="H14" s="14">
        <f t="shared" si="0"/>
        <v>0.86535904255319152</v>
      </c>
      <c r="I14" s="14">
        <f t="shared" si="0"/>
        <v>0.85599694423223838</v>
      </c>
      <c r="J14" s="14">
        <f t="shared" si="0"/>
        <v>0.82295830953740723</v>
      </c>
      <c r="K14" s="14">
        <f t="shared" si="0"/>
        <v>0.89934552019860081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Adani Green Energy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1274</v>
      </c>
      <c r="C4" s="19">
        <f>'Data Sheet'!C57</f>
        <v>1564</v>
      </c>
      <c r="D4" s="19">
        <f>'Data Sheet'!D57</f>
        <v>1564</v>
      </c>
      <c r="E4" s="19">
        <f>'Data Sheet'!E57</f>
        <v>1564</v>
      </c>
      <c r="F4" s="19">
        <f>'Data Sheet'!F57</f>
        <v>1564</v>
      </c>
      <c r="G4" s="19">
        <f>'Data Sheet'!G57</f>
        <v>1564</v>
      </c>
      <c r="H4" s="19">
        <f>'Data Sheet'!H57</f>
        <v>1584</v>
      </c>
      <c r="I4" s="19">
        <f>'Data Sheet'!I57</f>
        <v>1584</v>
      </c>
      <c r="J4" s="19">
        <f>'Data Sheet'!J57</f>
        <v>1584</v>
      </c>
      <c r="K4" s="19">
        <f>'Data Sheet'!K57</f>
        <v>1647</v>
      </c>
    </row>
    <row r="5" spans="1:11" s="6" customFormat="1" x14ac:dyDescent="0.3">
      <c r="A5" s="6" t="s">
        <v>25</v>
      </c>
      <c r="B5" s="19">
        <f>'Data Sheet'!B58</f>
        <v>-71</v>
      </c>
      <c r="C5" s="19">
        <f>'Data Sheet'!C58</f>
        <v>-223</v>
      </c>
      <c r="D5" s="19">
        <f>'Data Sheet'!D58</f>
        <v>369</v>
      </c>
      <c r="E5" s="19">
        <f>'Data Sheet'!E58</f>
        <v>792</v>
      </c>
      <c r="F5" s="19">
        <f>'Data Sheet'!F58</f>
        <v>636</v>
      </c>
      <c r="G5" s="19">
        <f>'Data Sheet'!G58</f>
        <v>1050</v>
      </c>
      <c r="H5" s="19">
        <f>'Data Sheet'!H58</f>
        <v>5720</v>
      </c>
      <c r="I5" s="19">
        <f>'Data Sheet'!I58</f>
        <v>8250</v>
      </c>
      <c r="J5" s="19">
        <f>'Data Sheet'!J58</f>
        <v>10553</v>
      </c>
      <c r="K5" s="19">
        <f>'Data Sheet'!K58</f>
        <v>18318</v>
      </c>
    </row>
    <row r="6" spans="1:11" x14ac:dyDescent="0.3">
      <c r="A6" s="11" t="s">
        <v>71</v>
      </c>
      <c r="B6" s="19">
        <f>'Data Sheet'!B59</f>
        <v>4347</v>
      </c>
      <c r="C6" s="19">
        <f>'Data Sheet'!C59</f>
        <v>9864</v>
      </c>
      <c r="D6" s="19">
        <f>'Data Sheet'!D59</f>
        <v>11142</v>
      </c>
      <c r="E6" s="19">
        <f>'Data Sheet'!E59</f>
        <v>14867</v>
      </c>
      <c r="F6" s="19">
        <f>'Data Sheet'!F59</f>
        <v>24209</v>
      </c>
      <c r="G6" s="19">
        <f>'Data Sheet'!G59</f>
        <v>52832</v>
      </c>
      <c r="H6" s="19">
        <f>'Data Sheet'!H59</f>
        <v>54223</v>
      </c>
      <c r="I6" s="19">
        <f>'Data Sheet'!I59</f>
        <v>64858</v>
      </c>
      <c r="J6" s="19">
        <f>'Data Sheet'!J59</f>
        <v>80040</v>
      </c>
      <c r="K6" s="19">
        <f>'Data Sheet'!K59</f>
        <v>103545</v>
      </c>
    </row>
    <row r="7" spans="1:11" s="6" customFormat="1" x14ac:dyDescent="0.3">
      <c r="A7" s="11" t="s">
        <v>72</v>
      </c>
      <c r="B7" s="19">
        <f>'Data Sheet'!B60</f>
        <v>610</v>
      </c>
      <c r="C7" s="19">
        <f>'Data Sheet'!C60</f>
        <v>4503</v>
      </c>
      <c r="D7" s="19">
        <f>'Data Sheet'!D60</f>
        <v>1582</v>
      </c>
      <c r="E7" s="19">
        <f>'Data Sheet'!E60</f>
        <v>1201</v>
      </c>
      <c r="F7" s="19">
        <f>'Data Sheet'!F60</f>
        <v>2283</v>
      </c>
      <c r="G7" s="19">
        <f>'Data Sheet'!G60</f>
        <v>3508</v>
      </c>
      <c r="H7" s="19">
        <f>'Data Sheet'!H60</f>
        <v>5382</v>
      </c>
      <c r="I7" s="19">
        <f>'Data Sheet'!I60</f>
        <v>13394</v>
      </c>
      <c r="J7" s="19">
        <f>'Data Sheet'!J60</f>
        <v>18587</v>
      </c>
      <c r="K7" s="19">
        <f>'Data Sheet'!K60</f>
        <v>19478</v>
      </c>
    </row>
    <row r="8" spans="1:11" s="8" customFormat="1" x14ac:dyDescent="0.3">
      <c r="A8" s="8" t="s">
        <v>26</v>
      </c>
      <c r="B8" s="20">
        <f>'Data Sheet'!B61</f>
        <v>6160</v>
      </c>
      <c r="C8" s="20">
        <f>'Data Sheet'!C61</f>
        <v>15709</v>
      </c>
      <c r="D8" s="20">
        <f>'Data Sheet'!D61</f>
        <v>14658</v>
      </c>
      <c r="E8" s="20">
        <f>'Data Sheet'!E61</f>
        <v>18424</v>
      </c>
      <c r="F8" s="20">
        <f>'Data Sheet'!F61</f>
        <v>28692</v>
      </c>
      <c r="G8" s="20">
        <f>'Data Sheet'!G61</f>
        <v>58954</v>
      </c>
      <c r="H8" s="20">
        <f>'Data Sheet'!H61</f>
        <v>66909</v>
      </c>
      <c r="I8" s="20">
        <f>'Data Sheet'!I61</f>
        <v>88086</v>
      </c>
      <c r="J8" s="20">
        <f>'Data Sheet'!J61</f>
        <v>110764</v>
      </c>
      <c r="K8" s="20">
        <f>'Data Sheet'!K61</f>
        <v>142988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4341</v>
      </c>
      <c r="C10" s="19">
        <f>'Data Sheet'!C62</f>
        <v>9120</v>
      </c>
      <c r="D10" s="19">
        <f>'Data Sheet'!D62</f>
        <v>10388</v>
      </c>
      <c r="E10" s="19">
        <f>'Data Sheet'!E62</f>
        <v>12554</v>
      </c>
      <c r="F10" s="19">
        <f>'Data Sheet'!F62</f>
        <v>16429</v>
      </c>
      <c r="G10" s="19">
        <f>'Data Sheet'!G62</f>
        <v>28452</v>
      </c>
      <c r="H10" s="19">
        <f>'Data Sheet'!H62</f>
        <v>48336</v>
      </c>
      <c r="I10" s="19">
        <f>'Data Sheet'!I62</f>
        <v>62284</v>
      </c>
      <c r="J10" s="19">
        <f>'Data Sheet'!J62</f>
        <v>79914</v>
      </c>
      <c r="K10" s="19">
        <f>'Data Sheet'!K62</f>
        <v>102138</v>
      </c>
    </row>
    <row r="11" spans="1:11" x14ac:dyDescent="0.3">
      <c r="A11" s="6" t="s">
        <v>28</v>
      </c>
      <c r="B11" s="19">
        <f>'Data Sheet'!B63</f>
        <v>267</v>
      </c>
      <c r="C11" s="19">
        <f>'Data Sheet'!C63</f>
        <v>1725</v>
      </c>
      <c r="D11" s="19">
        <f>'Data Sheet'!D63</f>
        <v>743</v>
      </c>
      <c r="E11" s="19">
        <f>'Data Sheet'!E63</f>
        <v>1208</v>
      </c>
      <c r="F11" s="19">
        <f>'Data Sheet'!F63</f>
        <v>4452</v>
      </c>
      <c r="G11" s="19">
        <f>'Data Sheet'!G63</f>
        <v>19899</v>
      </c>
      <c r="H11" s="19">
        <f>'Data Sheet'!H63</f>
        <v>5291</v>
      </c>
      <c r="I11" s="19">
        <f>'Data Sheet'!I63</f>
        <v>6427</v>
      </c>
      <c r="J11" s="19">
        <f>'Data Sheet'!J63</f>
        <v>14480</v>
      </c>
      <c r="K11" s="19">
        <f>'Data Sheet'!K63</f>
        <v>19031</v>
      </c>
    </row>
    <row r="12" spans="1:11" x14ac:dyDescent="0.3">
      <c r="A12" s="6" t="s">
        <v>29</v>
      </c>
      <c r="B12" s="19">
        <f>'Data Sheet'!B64</f>
        <v>26</v>
      </c>
      <c r="C12" s="19">
        <f>'Data Sheet'!C64</f>
        <v>87</v>
      </c>
      <c r="D12" s="19">
        <f>'Data Sheet'!D64</f>
        <v>77</v>
      </c>
      <c r="E12" s="19">
        <f>'Data Sheet'!E64</f>
        <v>477</v>
      </c>
      <c r="F12" s="19">
        <f>'Data Sheet'!F64</f>
        <v>502</v>
      </c>
      <c r="G12" s="19">
        <f>'Data Sheet'!G64</f>
        <v>574</v>
      </c>
      <c r="H12" s="19">
        <f>'Data Sheet'!H64</f>
        <v>1149</v>
      </c>
      <c r="I12" s="19">
        <f>'Data Sheet'!I64</f>
        <v>1515</v>
      </c>
      <c r="J12" s="19">
        <f>'Data Sheet'!J64</f>
        <v>2743</v>
      </c>
      <c r="K12" s="19">
        <f>'Data Sheet'!K64</f>
        <v>2983</v>
      </c>
    </row>
    <row r="13" spans="1:11" x14ac:dyDescent="0.3">
      <c r="A13" s="11" t="s">
        <v>73</v>
      </c>
      <c r="B13" s="19">
        <f>'Data Sheet'!B65</f>
        <v>1525</v>
      </c>
      <c r="C13" s="19">
        <f>'Data Sheet'!C65</f>
        <v>4777</v>
      </c>
      <c r="D13" s="19">
        <f>'Data Sheet'!D65</f>
        <v>3449</v>
      </c>
      <c r="E13" s="19">
        <f>'Data Sheet'!E65</f>
        <v>4185</v>
      </c>
      <c r="F13" s="19">
        <f>'Data Sheet'!F65</f>
        <v>7309</v>
      </c>
      <c r="G13" s="19">
        <f>'Data Sheet'!G65</f>
        <v>10029</v>
      </c>
      <c r="H13" s="19">
        <f>'Data Sheet'!H65</f>
        <v>12133</v>
      </c>
      <c r="I13" s="19">
        <f>'Data Sheet'!I65</f>
        <v>17860</v>
      </c>
      <c r="J13" s="19">
        <f>'Data Sheet'!J65</f>
        <v>13627</v>
      </c>
      <c r="K13" s="19">
        <f>'Data Sheet'!K65</f>
        <v>18836</v>
      </c>
    </row>
    <row r="14" spans="1:11" s="8" customFormat="1" x14ac:dyDescent="0.3">
      <c r="A14" s="8" t="s">
        <v>26</v>
      </c>
      <c r="B14" s="19">
        <f>'Data Sheet'!B66</f>
        <v>6160</v>
      </c>
      <c r="C14" s="19">
        <f>'Data Sheet'!C66</f>
        <v>15709</v>
      </c>
      <c r="D14" s="19">
        <f>'Data Sheet'!D66</f>
        <v>14658</v>
      </c>
      <c r="E14" s="19">
        <f>'Data Sheet'!E66</f>
        <v>18424</v>
      </c>
      <c r="F14" s="19">
        <f>'Data Sheet'!F66</f>
        <v>28692</v>
      </c>
      <c r="G14" s="19">
        <f>'Data Sheet'!G66</f>
        <v>58954</v>
      </c>
      <c r="H14" s="19">
        <f>'Data Sheet'!H66</f>
        <v>66909</v>
      </c>
      <c r="I14" s="19">
        <f>'Data Sheet'!I66</f>
        <v>88086</v>
      </c>
      <c r="J14" s="19">
        <f>'Data Sheet'!J66</f>
        <v>110764</v>
      </c>
      <c r="K14" s="19">
        <f>'Data Sheet'!K66</f>
        <v>142988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915</v>
      </c>
      <c r="C16" s="21">
        <f t="shared" ref="C16:K16" si="0">C13-C7</f>
        <v>274</v>
      </c>
      <c r="D16" s="21">
        <f t="shared" si="0"/>
        <v>1867</v>
      </c>
      <c r="E16" s="21">
        <f t="shared" si="0"/>
        <v>2984</v>
      </c>
      <c r="F16" s="21">
        <f t="shared" si="0"/>
        <v>5026</v>
      </c>
      <c r="G16" s="21">
        <f t="shared" si="0"/>
        <v>6521</v>
      </c>
      <c r="H16" s="21">
        <f t="shared" si="0"/>
        <v>6751</v>
      </c>
      <c r="I16" s="21">
        <f t="shared" si="0"/>
        <v>4466</v>
      </c>
      <c r="J16" s="21">
        <f t="shared" si="0"/>
        <v>-4960</v>
      </c>
      <c r="K16" s="21">
        <f t="shared" si="0"/>
        <v>-642</v>
      </c>
    </row>
    <row r="17" spans="1:11" x14ac:dyDescent="0.3">
      <c r="A17" s="11" t="s">
        <v>44</v>
      </c>
      <c r="B17" s="21">
        <f>'Data Sheet'!B67</f>
        <v>336</v>
      </c>
      <c r="C17" s="21">
        <f>'Data Sheet'!C67</f>
        <v>848</v>
      </c>
      <c r="D17" s="21">
        <f>'Data Sheet'!D67</f>
        <v>758</v>
      </c>
      <c r="E17" s="21">
        <f>'Data Sheet'!E67</f>
        <v>740</v>
      </c>
      <c r="F17" s="21">
        <f>'Data Sheet'!F67</f>
        <v>1203</v>
      </c>
      <c r="G17" s="21">
        <f>'Data Sheet'!G67</f>
        <v>1809</v>
      </c>
      <c r="H17" s="21">
        <f>'Data Sheet'!H67</f>
        <v>2206</v>
      </c>
      <c r="I17" s="21">
        <f>'Data Sheet'!I67</f>
        <v>1342</v>
      </c>
      <c r="J17" s="21">
        <f>'Data Sheet'!J67</f>
        <v>1540</v>
      </c>
      <c r="K17" s="21">
        <f>'Data Sheet'!K67</f>
        <v>2129</v>
      </c>
    </row>
    <row r="18" spans="1:11" x14ac:dyDescent="0.3">
      <c r="A18" s="11" t="s">
        <v>45</v>
      </c>
      <c r="B18" s="21">
        <f>'Data Sheet'!B68</f>
        <v>0</v>
      </c>
      <c r="C18" s="21">
        <f>'Data Sheet'!C68</f>
        <v>1692</v>
      </c>
      <c r="D18" s="21">
        <f>'Data Sheet'!D68</f>
        <v>136</v>
      </c>
      <c r="E18" s="21">
        <f>'Data Sheet'!E68</f>
        <v>104</v>
      </c>
      <c r="F18" s="21">
        <f>'Data Sheet'!F68</f>
        <v>29</v>
      </c>
      <c r="G18" s="21">
        <f>'Data Sheet'!G68</f>
        <v>17</v>
      </c>
      <c r="H18" s="21">
        <f>'Data Sheet'!H68</f>
        <v>52</v>
      </c>
      <c r="I18" s="21">
        <f>'Data Sheet'!I68</f>
        <v>291</v>
      </c>
      <c r="J18" s="21">
        <f>'Data Sheet'!J68</f>
        <v>101</v>
      </c>
      <c r="K18" s="21">
        <f>'Data Sheet'!K68</f>
        <v>136</v>
      </c>
    </row>
    <row r="20" spans="1:11" x14ac:dyDescent="0.3">
      <c r="A20" s="11" t="s">
        <v>46</v>
      </c>
      <c r="B20" s="5">
        <f>IF('Profit &amp; Loss'!B4&gt;0,'Balance Sheet'!B17/('Profit &amp; Loss'!B4/365),0)</f>
        <v>82.864864864864856</v>
      </c>
      <c r="C20" s="5">
        <f>IF('Profit &amp; Loss'!C4&gt;0,'Balance Sheet'!C17/('Profit &amp; Loss'!C4/365),0)</f>
        <v>150.39844509232265</v>
      </c>
      <c r="D20" s="5">
        <f>IF('Profit &amp; Loss'!D4&gt;0,'Balance Sheet'!D17/('Profit &amp; Loss'!D4/365),0)</f>
        <v>108.54060415849352</v>
      </c>
      <c r="E20" s="5">
        <f>IF('Profit &amp; Loss'!E4&gt;0,'Balance Sheet'!E17/('Profit &amp; Loss'!E4/365),0)</f>
        <v>86.459667093469903</v>
      </c>
      <c r="F20" s="5">
        <f>IF('Profit &amp; Loss'!F4&gt;0,'Balance Sheet'!F17/('Profit &amp; Loss'!F4/365),0)</f>
        <v>85.543541788427817</v>
      </c>
      <c r="G20" s="5">
        <f>IF('Profit &amp; Loss'!G4&gt;0,'Balance Sheet'!G17/('Profit &amp; Loss'!G4/365),0)</f>
        <v>84.738834702258728</v>
      </c>
      <c r="H20" s="5">
        <f>IF('Profit &amp; Loss'!H4&gt;0,'Balance Sheet'!H17/('Profit &amp; Loss'!H4/365),0)</f>
        <v>87.330802603036872</v>
      </c>
      <c r="I20" s="5">
        <f>IF('Profit &amp; Loss'!I4&gt;0,'Balance Sheet'!I17/('Profit &amp; Loss'!I4/365),0)</f>
        <v>43.68801284338209</v>
      </c>
      <c r="J20" s="5">
        <f>IF('Profit &amp; Loss'!J4&gt;0,'Balance Sheet'!J17/('Profit &amp; Loss'!J4/365),0)</f>
        <v>43.479269801980202</v>
      </c>
      <c r="K20" s="5">
        <f>IF('Profit &amp; Loss'!K4&gt;0,'Balance Sheet'!K17/('Profit &amp; Loss'!K4/365),0)</f>
        <v>57.311379895272509</v>
      </c>
    </row>
    <row r="21" spans="1:11" x14ac:dyDescent="0.3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1.2163120567375887</v>
      </c>
      <c r="D21" s="5">
        <f>IF('Balance Sheet'!D18&gt;0,'Profit &amp; Loss'!D4/'Balance Sheet'!D18,0)</f>
        <v>18.742647058823529</v>
      </c>
      <c r="E21" s="5">
        <f>IF('Balance Sheet'!E18&gt;0,'Profit &amp; Loss'!E4/'Balance Sheet'!E18,0)</f>
        <v>30.03846153846154</v>
      </c>
      <c r="F21" s="5">
        <f>IF('Balance Sheet'!F18&gt;0,'Profit &amp; Loss'!F4/'Balance Sheet'!F18,0)</f>
        <v>177</v>
      </c>
      <c r="G21" s="5">
        <f>IF('Balance Sheet'!G18&gt;0,'Profit &amp; Loss'!G4/'Balance Sheet'!G18,0)</f>
        <v>458.35294117647061</v>
      </c>
      <c r="H21" s="5">
        <f>IF('Balance Sheet'!H18&gt;0,'Profit &amp; Loss'!H4/'Balance Sheet'!H18,0)</f>
        <v>177.30769230769232</v>
      </c>
      <c r="I21" s="5">
        <f>IF('Balance Sheet'!I18&gt;0,'Profit &amp; Loss'!I4/'Balance Sheet'!I18,0)</f>
        <v>38.529209621993125</v>
      </c>
      <c r="J21" s="5">
        <f>IF('Balance Sheet'!J18&gt;0,'Profit &amp; Loss'!J4/'Balance Sheet'!J18,0)</f>
        <v>128</v>
      </c>
      <c r="K21" s="5">
        <f>IF('Balance Sheet'!K18&gt;0,'Profit &amp; Loss'!K4/'Balance Sheet'!K18,0)</f>
        <v>99.69852941176471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-0.11471321695760599</v>
      </c>
      <c r="C23" s="14">
        <f>IF(SUM('Balance Sheet'!C4:C5)&gt;0,'Profit &amp; Loss'!C12/SUM('Balance Sheet'!C4:C5),"")</f>
        <v>-0.35421327367636091</v>
      </c>
      <c r="D23" s="14">
        <f>IF(SUM('Balance Sheet'!D4:D5)&gt;0,'Profit &amp; Loss'!D12/SUM('Balance Sheet'!D4:D5),"")</f>
        <v>-3.5178479048111742E-2</v>
      </c>
      <c r="E23" s="14">
        <f>IF(SUM('Balance Sheet'!E4:E5)&gt;0,'Profit &amp; Loss'!E12/SUM('Balance Sheet'!E4:E5),"")</f>
        <v>7.7249575551782676E-2</v>
      </c>
      <c r="F23" s="14">
        <f>IF(SUM('Balance Sheet'!F4:F5)&gt;0,'Profit &amp; Loss'!F12/SUM('Balance Sheet'!F4:F5),"")</f>
        <v>0.22227272727272726</v>
      </c>
      <c r="G23" s="14">
        <f>IF(SUM('Balance Sheet'!G4:G5)&gt;0,'Profit &amp; Loss'!G12/SUM('Balance Sheet'!G4:G5),"")</f>
        <v>0.37222647283856158</v>
      </c>
      <c r="H23" s="14">
        <f>IF(SUM('Balance Sheet'!H4:H5)&gt;0,'Profit &amp; Loss'!H12/SUM('Balance Sheet'!H4:H5),"")</f>
        <v>0.17250821467688937</v>
      </c>
      <c r="I23" s="14">
        <f>IF(SUM('Balance Sheet'!I4:I5)&gt;0,'Profit &amp; Loss'!I12/SUM('Balance Sheet'!I4:I5),"")</f>
        <v>0.20347773032336791</v>
      </c>
      <c r="J23" s="14">
        <f>IF(SUM('Balance Sheet'!J4:J5)&gt;0,'Profit &amp; Loss'!J12/SUM('Balance Sheet'!J4:J5),"")</f>
        <v>0.163714262173519</v>
      </c>
      <c r="K23" s="14">
        <f>IF(SUM('Balance Sheet'!K4:K5)&gt;0,'Profit &amp; Loss'!K12/SUM('Balance Sheet'!K4:K5),"")</f>
        <v>0.10748810418231906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6.3980901223515366E-2</v>
      </c>
      <c r="D24" s="14">
        <f>IF((C4+C5+C6+D4+D5+D6)&gt;0,('Profit &amp; Loss'!D10+'Profit &amp; Loss'!D9)*2/(C4+C5+C6+D4+D5+D6),"")</f>
        <v>7.784184514003295E-2</v>
      </c>
      <c r="E24" s="14">
        <f>IF((D4+D5+D6+E4+E5+E6)&gt;0,('Profit &amp; Loss'!E10+'Profit &amp; Loss'!E9)*2/(D4+D5+D6+E4+E5+E6),"")</f>
        <v>0.14126344973265562</v>
      </c>
      <c r="F24" s="14">
        <f>IF((E4+E5+E6+F4+F5+F6)&gt;0,('Profit &amp; Loss'!F10+'Profit &amp; Loss'!F9)*2/(E4+E5+E6+F4+F5+F6),"")</f>
        <v>0.14530619728639529</v>
      </c>
      <c r="G24" s="14">
        <f>IF((F4+F5+F6+G4+G5+G6)&gt;0,('Profit &amp; Loss'!G10+'Profit &amp; Loss'!G9)*2/(F4+F5+F6+G4+G5+G6),"")</f>
        <v>0.10596787001404924</v>
      </c>
      <c r="H24" s="14">
        <f>IF((G4+G5+G6+H4+H5+H6)&gt;0,('Profit &amp; Loss'!H10+'Profit &amp; Loss'!H9)*2/(G4+G5+G6+H4+H5+H6),"")</f>
        <v>0.11416309746693681</v>
      </c>
      <c r="I24" s="14">
        <f>IF((H4+H5+H6+I4+I5+I6)&gt;0,('Profit &amp; Loss'!I10+'Profit &amp; Loss'!I9)*2/(H4+H5+H6+I4+I5+I6),"")</f>
        <v>0.1131560208194158</v>
      </c>
      <c r="J24" s="14">
        <f>IF((I4+I5+I6+J4+J5+J6)&gt;0,('Profit &amp; Loss'!J10+'Profit &amp; Loss'!J9)*2/(I4+I5+I6+J4+J5+J6),"")</f>
        <v>0.10169654039995446</v>
      </c>
      <c r="K24" s="14">
        <f>IF((J4+J5+J6+K4+K5+K6)&gt;0,('Profit &amp; Loss'!K10+'Profit &amp; Loss'!K9)*2/(J4+J5+J6+K4+K5+K6),"")</f>
        <v>8.153481665561671E-2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Adani Green Energy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28</v>
      </c>
      <c r="C4" s="1">
        <f>'Data Sheet'!C82</f>
        <v>649</v>
      </c>
      <c r="D4" s="1">
        <f>'Data Sheet'!D82</f>
        <v>1625</v>
      </c>
      <c r="E4" s="1">
        <f>'Data Sheet'!E82</f>
        <v>1965</v>
      </c>
      <c r="F4" s="1">
        <f>'Data Sheet'!F82</f>
        <v>1601</v>
      </c>
      <c r="G4" s="1">
        <f>'Data Sheet'!G82</f>
        <v>3060</v>
      </c>
      <c r="H4" s="1">
        <f>'Data Sheet'!H82</f>
        <v>7265</v>
      </c>
      <c r="I4" s="1">
        <f>'Data Sheet'!I82</f>
        <v>7713</v>
      </c>
      <c r="J4" s="1">
        <f>'Data Sheet'!J82</f>
        <v>8364</v>
      </c>
      <c r="K4" s="1">
        <f>'Data Sheet'!K82</f>
        <v>10135</v>
      </c>
    </row>
    <row r="5" spans="1:11" x14ac:dyDescent="0.3">
      <c r="A5" s="6" t="s">
        <v>33</v>
      </c>
      <c r="B5" s="9">
        <f>'Data Sheet'!B83</f>
        <v>-1511</v>
      </c>
      <c r="C5" s="9">
        <f>'Data Sheet'!C83</f>
        <v>-4428</v>
      </c>
      <c r="D5" s="9">
        <f>'Data Sheet'!D83</f>
        <v>-2666</v>
      </c>
      <c r="E5" s="9">
        <f>'Data Sheet'!E83</f>
        <v>-3743</v>
      </c>
      <c r="F5" s="9">
        <f>'Data Sheet'!F83</f>
        <v>-9137</v>
      </c>
      <c r="G5" s="9">
        <f>'Data Sheet'!G83</f>
        <v>-18663</v>
      </c>
      <c r="H5" s="9">
        <f>'Data Sheet'!H83</f>
        <v>-3857</v>
      </c>
      <c r="I5" s="9">
        <f>'Data Sheet'!I83</f>
        <v>-21060</v>
      </c>
      <c r="J5" s="9">
        <f>'Data Sheet'!J83</f>
        <v>-19828</v>
      </c>
      <c r="K5" s="9">
        <f>'Data Sheet'!K83</f>
        <v>-26227</v>
      </c>
    </row>
    <row r="6" spans="1:11" x14ac:dyDescent="0.3">
      <c r="A6" s="6" t="s">
        <v>34</v>
      </c>
      <c r="B6" s="9">
        <f>'Data Sheet'!B84</f>
        <v>1559</v>
      </c>
      <c r="C6" s="9">
        <f>'Data Sheet'!C84</f>
        <v>3942</v>
      </c>
      <c r="D6" s="9">
        <f>'Data Sheet'!D84</f>
        <v>1045</v>
      </c>
      <c r="E6" s="9">
        <f>'Data Sheet'!E84</f>
        <v>2161</v>
      </c>
      <c r="F6" s="9">
        <f>'Data Sheet'!F84</f>
        <v>7083</v>
      </c>
      <c r="G6" s="9">
        <f>'Data Sheet'!G84</f>
        <v>15986</v>
      </c>
      <c r="H6" s="9">
        <f>'Data Sheet'!H84</f>
        <v>-2973</v>
      </c>
      <c r="I6" s="9">
        <f>'Data Sheet'!I84</f>
        <v>13953</v>
      </c>
      <c r="J6" s="9">
        <f>'Data Sheet'!J84</f>
        <v>12068</v>
      </c>
      <c r="K6" s="9">
        <f>'Data Sheet'!K84</f>
        <v>15615</v>
      </c>
    </row>
    <row r="7" spans="1:11" s="8" customFormat="1" x14ac:dyDescent="0.3">
      <c r="A7" s="8" t="s">
        <v>35</v>
      </c>
      <c r="B7" s="1">
        <f>'Data Sheet'!B85</f>
        <v>76</v>
      </c>
      <c r="C7" s="1">
        <f>'Data Sheet'!C85</f>
        <v>162</v>
      </c>
      <c r="D7" s="1">
        <f>'Data Sheet'!D85</f>
        <v>3</v>
      </c>
      <c r="E7" s="1">
        <f>'Data Sheet'!E85</f>
        <v>383</v>
      </c>
      <c r="F7" s="1">
        <f>'Data Sheet'!F85</f>
        <v>-453</v>
      </c>
      <c r="G7" s="1">
        <f>'Data Sheet'!G85</f>
        <v>383</v>
      </c>
      <c r="H7" s="1">
        <f>'Data Sheet'!H85</f>
        <v>435</v>
      </c>
      <c r="I7" s="1">
        <f>'Data Sheet'!I85</f>
        <v>606</v>
      </c>
      <c r="J7" s="1">
        <f>'Data Sheet'!J85</f>
        <v>604</v>
      </c>
      <c r="K7" s="1">
        <f>'Data Sheet'!K85</f>
        <v>-477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Adani Green Energy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43160</v>
      </c>
      <c r="D4" s="38">
        <f>'Data Sheet'!C$16</f>
        <v>43525</v>
      </c>
      <c r="E4" s="38">
        <f>'Data Sheet'!D$16</f>
        <v>43891</v>
      </c>
      <c r="F4" s="38">
        <f>'Data Sheet'!E$16</f>
        <v>44256</v>
      </c>
      <c r="G4" s="38">
        <f>'Data Sheet'!F$16</f>
        <v>44621</v>
      </c>
      <c r="H4" s="38">
        <f>'Data Sheet'!G$16</f>
        <v>44986</v>
      </c>
      <c r="I4" s="38">
        <f>'Data Sheet'!H$16</f>
        <v>45352</v>
      </c>
      <c r="J4" s="38">
        <f>'Data Sheet'!I$16</f>
        <v>45717</v>
      </c>
      <c r="K4" s="38">
        <f>'Data Sheet'!J$16</f>
        <v>46082</v>
      </c>
      <c r="L4" s="38" t="str">
        <f>'Data Sheet'!K$16</f>
        <v>TTM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</v>
      </c>
      <c r="D7" s="36">
        <f>'Data Sheet'!C18/'Data Sheet'!C$17</f>
        <v>6.290087463556851E-2</v>
      </c>
      <c r="E7" s="36">
        <f>'Data Sheet'!D18/'Data Sheet'!D$17</f>
        <v>7.5009807767752066E-3</v>
      </c>
      <c r="F7" s="36">
        <f>'Data Sheet'!E18/'Data Sheet'!E$17</f>
        <v>3.070102432778489E-2</v>
      </c>
      <c r="G7" s="36">
        <f>'Data Sheet'!F18/'Data Sheet'!F$17</f>
        <v>0</v>
      </c>
      <c r="H7" s="36">
        <f>'Data Sheet'!G18/'Data Sheet'!G$17</f>
        <v>0</v>
      </c>
      <c r="I7" s="36">
        <f>'Data Sheet'!H18/'Data Sheet'!H$17</f>
        <v>0</v>
      </c>
      <c r="J7" s="36">
        <f>'Data Sheet'!I18/'Data Sheet'!I$17</f>
        <v>0</v>
      </c>
      <c r="K7" s="36">
        <f>'Data Sheet'!J18/'Data Sheet'!J$17</f>
        <v>0</v>
      </c>
      <c r="L7" s="36">
        <f>'Data Sheet'!K18/'Data Sheet'!K$17</f>
        <v>0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0.36539864864864863</v>
      </c>
      <c r="D10" s="36">
        <f>'Data Sheet'!C21/'Data Sheet'!C$17</f>
        <v>3.2099125364431491E-2</v>
      </c>
      <c r="E10" s="36">
        <f>'Data Sheet'!D21/'Data Sheet'!D$17</f>
        <v>0.2153981953707336</v>
      </c>
      <c r="F10" s="36">
        <f>'Data Sheet'!E21/'Data Sheet'!E$17</f>
        <v>0.20169974391805379</v>
      </c>
      <c r="G10" s="36">
        <f>'Data Sheet'!F21/'Data Sheet'!F$17</f>
        <v>0.28369959088252483</v>
      </c>
      <c r="H10" s="36">
        <f>'Data Sheet'!G21/'Data Sheet'!G$17</f>
        <v>0.26119994866529772</v>
      </c>
      <c r="I10" s="36">
        <f>'Data Sheet'!H21/'Data Sheet'!H$17</f>
        <v>0.16769956616052062</v>
      </c>
      <c r="J10" s="36">
        <f>'Data Sheet'!I21/'Data Sheet'!I$17</f>
        <v>0.16439975026757045</v>
      </c>
      <c r="K10" s="36">
        <f>'Data Sheet'!J21/'Data Sheet'!J$17</f>
        <v>9.6300278465346542E-2</v>
      </c>
      <c r="L10" s="36">
        <f>'Data Sheet'!K21/'Data Sheet'!K$17</f>
        <v>0</v>
      </c>
    </row>
    <row r="11" spans="2:12" x14ac:dyDescent="0.3">
      <c r="B11" s="33" t="str">
        <f>'Data Sheet'!A22</f>
        <v>Employee Cost</v>
      </c>
      <c r="C11" s="36">
        <f>'Data Sheet'!B22/'Data Sheet'!B$17</f>
        <v>2.9499999999999998E-2</v>
      </c>
      <c r="D11" s="36">
        <f>'Data Sheet'!C22/'Data Sheet'!C$17</f>
        <v>2.8999028182701652E-2</v>
      </c>
      <c r="E11" s="36">
        <f>'Data Sheet'!D22/'Data Sheet'!D$17</f>
        <v>4.2000784621420165E-2</v>
      </c>
      <c r="F11" s="36">
        <f>'Data Sheet'!E22/'Data Sheet'!E$17</f>
        <v>1.219910371318822E-2</v>
      </c>
      <c r="G11" s="36">
        <f>'Data Sheet'!F22/'Data Sheet'!F$17</f>
        <v>6.999805182154685E-3</v>
      </c>
      <c r="H11" s="36">
        <f>'Data Sheet'!G22/'Data Sheet'!G$17</f>
        <v>5.4004106776180697E-3</v>
      </c>
      <c r="I11" s="36">
        <f>'Data Sheet'!H22/'Data Sheet'!H$17</f>
        <v>8.5997830802603051E-3</v>
      </c>
      <c r="J11" s="36">
        <f>'Data Sheet'!I22/'Data Sheet'!I$17</f>
        <v>1.1699964323938638E-2</v>
      </c>
      <c r="K11" s="36">
        <f>'Data Sheet'!J22/'Data Sheet'!J$17</f>
        <v>1.2000309405940593E-2</v>
      </c>
      <c r="L11" s="36">
        <f>'Data Sheet'!K22/'Data Sheet'!K$17</f>
        <v>0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3.5499999999999997E-2</v>
      </c>
      <c r="D13" s="36">
        <f>'Data Sheet'!C24/'Data Sheet'!C$17</f>
        <v>0.13460155490767736</v>
      </c>
      <c r="E13" s="36">
        <f>'Data Sheet'!D24/'Data Sheet'!D$17</f>
        <v>0.1663005100039231</v>
      </c>
      <c r="F13" s="36">
        <f>'Data Sheet'!E24/'Data Sheet'!E$17</f>
        <v>3.8098591549295777E-2</v>
      </c>
      <c r="G13" s="36">
        <f>'Data Sheet'!F24/'Data Sheet'!F$17</f>
        <v>2.5100331190337034E-2</v>
      </c>
      <c r="H13" s="36">
        <f>'Data Sheet'!G24/'Data Sheet'!G$17</f>
        <v>9.5600616016427095E-2</v>
      </c>
      <c r="I13" s="36">
        <f>'Data Sheet'!H24/'Data Sheet'!H$17</f>
        <v>3.0000000000000002E-2</v>
      </c>
      <c r="J13" s="36">
        <f>'Data Sheet'!I24/'Data Sheet'!I$17</f>
        <v>3.1099714591509096E-2</v>
      </c>
      <c r="K13" s="36">
        <f>'Data Sheet'!J24/'Data Sheet'!J$17</f>
        <v>5.7500000000000002E-2</v>
      </c>
      <c r="L13" s="36">
        <f>'Data Sheet'!K24/'Data Sheet'!K$17</f>
        <v>0</v>
      </c>
    </row>
    <row r="14" spans="2:12" x14ac:dyDescent="0.3">
      <c r="B14" s="33" t="str">
        <f>'Data Sheet'!A25</f>
        <v>Other Income</v>
      </c>
      <c r="C14" s="36">
        <f>'Data Sheet'!B25/'Data Sheet'!B$17</f>
        <v>2.837837837837838E-2</v>
      </c>
      <c r="D14" s="36">
        <f>'Data Sheet'!C25/'Data Sheet'!C$17</f>
        <v>3.5471331389698733E-2</v>
      </c>
      <c r="E14" s="36">
        <f>'Data Sheet'!D25/'Data Sheet'!D$17</f>
        <v>-4.354648881914476E-2</v>
      </c>
      <c r="F14" s="36">
        <f>'Data Sheet'!E25/'Data Sheet'!E$17</f>
        <v>0.12323943661971831</v>
      </c>
      <c r="G14" s="36">
        <f>'Data Sheet'!F25/'Data Sheet'!F$17</f>
        <v>9.8772647574517827E-2</v>
      </c>
      <c r="H14" s="36">
        <f>'Data Sheet'!G25/'Data Sheet'!G$17</f>
        <v>8.56006160164271E-2</v>
      </c>
      <c r="I14" s="36">
        <f>'Data Sheet'!H25/'Data Sheet'!H$17</f>
        <v>0.13687635574837309</v>
      </c>
      <c r="J14" s="36">
        <f>'Data Sheet'!I25/'Data Sheet'!I$17</f>
        <v>0.11737424188369604</v>
      </c>
      <c r="K14" s="36">
        <f>'Data Sheet'!J25/'Data Sheet'!J$17</f>
        <v>8.2920792079207925E-2</v>
      </c>
      <c r="L14" s="36">
        <f>'Data Sheet'!K25/'Data Sheet'!K$17</f>
        <v>5.2584998893723728E-2</v>
      </c>
    </row>
    <row r="15" spans="2:12" x14ac:dyDescent="0.3">
      <c r="B15" s="33" t="str">
        <f>'Data Sheet'!A26</f>
        <v>Depreciation</v>
      </c>
      <c r="C15" s="36">
        <f>'Data Sheet'!B26/'Data Sheet'!B$17</f>
        <v>0.36689189189189192</v>
      </c>
      <c r="D15" s="36">
        <f>'Data Sheet'!C26/'Data Sheet'!C$17</f>
        <v>0.51603498542274051</v>
      </c>
      <c r="E15" s="36">
        <f>'Data Sheet'!D26/'Data Sheet'!D$17</f>
        <v>0.15457041977245978</v>
      </c>
      <c r="F15" s="36">
        <f>'Data Sheet'!E26/'Data Sheet'!E$17</f>
        <v>0.15556978233034571</v>
      </c>
      <c r="G15" s="36">
        <f>'Data Sheet'!F26/'Data Sheet'!F$17</f>
        <v>0.16540035067212155</v>
      </c>
      <c r="H15" s="36">
        <f>'Data Sheet'!G26/'Data Sheet'!G$17</f>
        <v>0.16683778234086241</v>
      </c>
      <c r="I15" s="36">
        <f>'Data Sheet'!H26/'Data Sheet'!H$17</f>
        <v>0.20639913232104121</v>
      </c>
      <c r="J15" s="36">
        <f>'Data Sheet'!I26/'Data Sheet'!I$17</f>
        <v>0.22279700321084553</v>
      </c>
      <c r="K15" s="36">
        <f>'Data Sheet'!J26/'Data Sheet'!J$17</f>
        <v>0.26082920792079206</v>
      </c>
      <c r="L15" s="36">
        <f>'Data Sheet'!K26/'Data Sheet'!K$17</f>
        <v>0.26779261007448929</v>
      </c>
    </row>
    <row r="16" spans="2:12" x14ac:dyDescent="0.3">
      <c r="B16" s="33" t="str">
        <f>'Data Sheet'!A27</f>
        <v>Interest</v>
      </c>
      <c r="C16" s="36">
        <f>'Data Sheet'!B27/'Data Sheet'!B$17</f>
        <v>0.37297297297297299</v>
      </c>
      <c r="D16" s="36">
        <f>'Data Sheet'!C27/'Data Sheet'!C$17</f>
        <v>0.54470359572400384</v>
      </c>
      <c r="E16" s="36">
        <f>'Data Sheet'!D27/'Data Sheet'!D$17</f>
        <v>0.39034915653197333</v>
      </c>
      <c r="F16" s="36">
        <f>'Data Sheet'!E27/'Data Sheet'!E$17</f>
        <v>0.62516005121638929</v>
      </c>
      <c r="G16" s="36">
        <f>'Data Sheet'!F27/'Data Sheet'!F$17</f>
        <v>0.50983830118838891</v>
      </c>
      <c r="H16" s="36">
        <f>'Data Sheet'!G27/'Data Sheet'!G$17</f>
        <v>0.37358829568788499</v>
      </c>
      <c r="I16" s="36">
        <f>'Data Sheet'!H27/'Data Sheet'!H$17</f>
        <v>0.5429501084598698</v>
      </c>
      <c r="J16" s="36">
        <f>'Data Sheet'!I27/'Data Sheet'!I$17</f>
        <v>0.4898323225115947</v>
      </c>
      <c r="K16" s="36">
        <f>'Data Sheet'!J27/'Data Sheet'!J$17</f>
        <v>0.50154702970297027</v>
      </c>
      <c r="L16" s="36">
        <f>'Data Sheet'!K27/'Data Sheet'!K$17</f>
        <v>0.51331219116454019</v>
      </c>
    </row>
    <row r="17" spans="2:12" x14ac:dyDescent="0.3">
      <c r="B17" s="33" t="str">
        <f>'Data Sheet'!A28</f>
        <v>Profit before tax</v>
      </c>
      <c r="C17" s="36">
        <f>'Data Sheet'!B28/'Data Sheet'!B$17</f>
        <v>-0.14189189189189189</v>
      </c>
      <c r="D17" s="36">
        <f>'Data Sheet'!C28/'Data Sheet'!C$17</f>
        <v>-0.28425655976676384</v>
      </c>
      <c r="E17" s="36">
        <f>'Data Sheet'!D28/'Data Sheet'!D$17</f>
        <v>-1.9615535504119264E-2</v>
      </c>
      <c r="F17" s="36">
        <f>'Data Sheet'!E28/'Data Sheet'!E$17</f>
        <v>5.9859154929577461E-2</v>
      </c>
      <c r="G17" s="36">
        <f>'Data Sheet'!F28/'Data Sheet'!F$17</f>
        <v>0.10773426845899084</v>
      </c>
      <c r="H17" s="36">
        <f>'Data Sheet'!G28/'Data Sheet'!G$17</f>
        <v>0.18300821355236141</v>
      </c>
      <c r="I17" s="36">
        <f>'Data Sheet'!H28/'Data Sheet'!H$17</f>
        <v>0.18123644251626897</v>
      </c>
      <c r="J17" s="36">
        <f>'Data Sheet'!I28/'Data Sheet'!I$17</f>
        <v>0.19755618979664644</v>
      </c>
      <c r="K17" s="36">
        <f>'Data Sheet'!J28/'Data Sheet'!J$17</f>
        <v>0.15478032178217821</v>
      </c>
      <c r="L17" s="36">
        <f>'Data Sheet'!K28/'Data Sheet'!K$17</f>
        <v>0.13518696069031638</v>
      </c>
    </row>
    <row r="18" spans="2:12" x14ac:dyDescent="0.3">
      <c r="B18" s="33" t="str">
        <f>'Data Sheet'!A29</f>
        <v>Tax</v>
      </c>
      <c r="C18" s="36">
        <f>'Data Sheet'!B29/'Data Sheet'!B$17</f>
        <v>-0.14189189189189189</v>
      </c>
      <c r="D18" s="36">
        <f>'Data Sheet'!C29/'Data Sheet'!C$17</f>
        <v>-0.28425655976676384</v>
      </c>
      <c r="E18" s="36">
        <f>'Data Sheet'!D29/'Data Sheet'!D$17</f>
        <v>-1.9615535504119264E-2</v>
      </c>
      <c r="F18" s="36">
        <f>'Data Sheet'!E29/'Data Sheet'!E$17</f>
        <v>5.9859154929577461E-2</v>
      </c>
      <c r="G18" s="36">
        <f>'Data Sheet'!F29/'Data Sheet'!F$17</f>
        <v>0.10773426845899084</v>
      </c>
      <c r="H18" s="36">
        <f>'Data Sheet'!G29/'Data Sheet'!G$17</f>
        <v>0.18300821355236141</v>
      </c>
      <c r="I18" s="36">
        <f>'Data Sheet'!H29/'Data Sheet'!H$17</f>
        <v>0.18123644251626897</v>
      </c>
      <c r="J18" s="36">
        <f>'Data Sheet'!I29/'Data Sheet'!I$17</f>
        <v>0.19755618979664644</v>
      </c>
      <c r="K18" s="36">
        <f>'Data Sheet'!J29/'Data Sheet'!J$17</f>
        <v>0.15478032178217821</v>
      </c>
      <c r="L18" s="36">
        <f>'Data Sheet'!K29/'Data Sheet'!K$17</f>
        <v>0.13518696069031638</v>
      </c>
    </row>
    <row r="19" spans="2:12" x14ac:dyDescent="0.3">
      <c r="B19" s="33" t="str">
        <f>'Data Sheet'!A30</f>
        <v>Net profit</v>
      </c>
      <c r="C19" s="36">
        <f>'Data Sheet'!B30/'Data Sheet'!B$17</f>
        <v>-9.3243243243243248E-2</v>
      </c>
      <c r="D19" s="36">
        <f>'Data Sheet'!C30/'Data Sheet'!C$17</f>
        <v>-0.23080660835762876</v>
      </c>
      <c r="E19" s="36">
        <f>'Data Sheet'!D30/'Data Sheet'!D$17</f>
        <v>-2.6677128285602196E-2</v>
      </c>
      <c r="F19" s="36">
        <f>'Data Sheet'!E30/'Data Sheet'!E$17</f>
        <v>5.8258642765685022E-2</v>
      </c>
      <c r="G19" s="36">
        <f>'Data Sheet'!F30/'Data Sheet'!F$17</f>
        <v>9.5265926358854475E-2</v>
      </c>
      <c r="H19" s="36">
        <f>'Data Sheet'!G30/'Data Sheet'!G$17</f>
        <v>0.12487166324435318</v>
      </c>
      <c r="I19" s="36">
        <f>'Data Sheet'!H30/'Data Sheet'!H$17</f>
        <v>0.13665943600867678</v>
      </c>
      <c r="J19" s="36">
        <f>'Data Sheet'!I30/'Data Sheet'!I$17</f>
        <v>0.17846949696753478</v>
      </c>
      <c r="K19" s="36">
        <f>'Data Sheet'!J30/'Data Sheet'!J$17</f>
        <v>0.15369740099009901</v>
      </c>
      <c r="L19" s="36">
        <f>'Data Sheet'!K30/'Data Sheet'!K$17</f>
        <v>0.15827125894239988</v>
      </c>
    </row>
    <row r="20" spans="2:12" x14ac:dyDescent="0.3">
      <c r="B20" s="33" t="str">
        <f>'Data Sheet'!A31</f>
        <v>Dividend Amount</v>
      </c>
      <c r="C20" s="36">
        <f>'Data Sheet'!B31/'Data Sheet'!B$17</f>
        <v>0</v>
      </c>
      <c r="D20" s="36">
        <f>'Data Sheet'!C31/'Data Sheet'!C$17</f>
        <v>0</v>
      </c>
      <c r="E20" s="36">
        <f>'Data Sheet'!D31/'Data Sheet'!D$17</f>
        <v>0</v>
      </c>
      <c r="F20" s="36">
        <f>'Data Sheet'!E31/'Data Sheet'!E$17</f>
        <v>0</v>
      </c>
      <c r="G20" s="36">
        <f>'Data Sheet'!F31/'Data Sheet'!F$17</f>
        <v>0</v>
      </c>
      <c r="H20" s="36">
        <f>'Data Sheet'!G31/'Data Sheet'!G$17</f>
        <v>0</v>
      </c>
      <c r="I20" s="36">
        <f>'Data Sheet'!H31/'Data Sheet'!H$17</f>
        <v>0</v>
      </c>
      <c r="J20" s="36">
        <f>'Data Sheet'!I31/'Data Sheet'!I$17</f>
        <v>0</v>
      </c>
      <c r="K20" s="36">
        <f>'Data Sheet'!J31/'Data Sheet'!J$17</f>
        <v>0</v>
      </c>
      <c r="L20" s="36">
        <f>'Data Sheet'!K31/'Data Sheet'!K$17</f>
        <v>0</v>
      </c>
    </row>
    <row r="21" spans="2:12" x14ac:dyDescent="0.3">
      <c r="B21" s="33" t="str">
        <f>'Data Sheet'!A32</f>
        <v>EBITDA</v>
      </c>
      <c r="C21" s="36">
        <f>'Data Sheet'!B32/'Data Sheet'!B$17</f>
        <v>0.59797297297297303</v>
      </c>
      <c r="D21" s="36">
        <f>'Data Sheet'!C32/'Data Sheet'!C$17</f>
        <v>0.77648202137998057</v>
      </c>
      <c r="E21" s="36">
        <f>'Data Sheet'!D32/'Data Sheet'!D$17</f>
        <v>0.5253040408003139</v>
      </c>
      <c r="F21" s="36">
        <f>'Data Sheet'!E32/'Data Sheet'!E$17</f>
        <v>0.84058898847631247</v>
      </c>
      <c r="G21" s="36">
        <f>'Data Sheet'!F32/'Data Sheet'!F$17</f>
        <v>0.78297292031950128</v>
      </c>
      <c r="H21" s="36">
        <f>'Data Sheet'!G32/'Data Sheet'!G$17</f>
        <v>0.72343429158110883</v>
      </c>
      <c r="I21" s="36">
        <f>'Data Sheet'!H32/'Data Sheet'!H$17</f>
        <v>0.93058568329718006</v>
      </c>
      <c r="J21" s="36">
        <f>'Data Sheet'!I32/'Data Sheet'!I$17</f>
        <v>0.91018551551908666</v>
      </c>
      <c r="K21" s="36">
        <f>'Data Sheet'!J32/'Data Sheet'!J$17</f>
        <v>0.91715655940594054</v>
      </c>
      <c r="L21" s="36">
        <f>'Data Sheet'!K32/'Data Sheet'!K$17</f>
        <v>0.9162917619293458</v>
      </c>
    </row>
    <row r="23" spans="2:12" x14ac:dyDescent="0.3">
      <c r="B23" s="161" t="str">
        <f>"Common Size Balance Sheet - "&amp;'Data Sheet'!$B$1</f>
        <v>Common Size Balance Sheet - Adani Green Energy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43160</v>
      </c>
      <c r="D25" s="38">
        <f>'Data Sheet'!C$16</f>
        <v>43525</v>
      </c>
      <c r="E25" s="38">
        <f>'Data Sheet'!D$16</f>
        <v>43891</v>
      </c>
      <c r="F25" s="38">
        <f>'Data Sheet'!E$16</f>
        <v>44256</v>
      </c>
      <c r="G25" s="38">
        <f>'Data Sheet'!F$16</f>
        <v>44621</v>
      </c>
      <c r="H25" s="38">
        <f>'Data Sheet'!G$16</f>
        <v>44986</v>
      </c>
      <c r="I25" s="38">
        <f>'Data Sheet'!H$16</f>
        <v>45352</v>
      </c>
      <c r="J25" s="38">
        <f>'Data Sheet'!I$16</f>
        <v>45717</v>
      </c>
      <c r="K25" s="38">
        <f>'Data Sheet'!J$16</f>
        <v>46082</v>
      </c>
      <c r="L25" s="38" t="str">
        <f>'Data Sheet'!K$16</f>
        <v>TTM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0.20681818181818182</v>
      </c>
      <c r="D28" s="36">
        <f>'Data Sheet'!C57/'Data Sheet'!C$61</f>
        <v>9.9560761346998539E-2</v>
      </c>
      <c r="E28" s="36">
        <f>'Data Sheet'!D57/'Data Sheet'!D$61</f>
        <v>0.10669941328967117</v>
      </c>
      <c r="F28" s="36">
        <f>'Data Sheet'!E57/'Data Sheet'!E$61</f>
        <v>8.4889274858879718E-2</v>
      </c>
      <c r="G28" s="36">
        <f>'Data Sheet'!F57/'Data Sheet'!F$61</f>
        <v>5.4509967935312979E-2</v>
      </c>
      <c r="H28" s="36">
        <f>'Data Sheet'!G57/'Data Sheet'!G$61</f>
        <v>2.6529158326831087E-2</v>
      </c>
      <c r="I28" s="36">
        <f>'Data Sheet'!H57/'Data Sheet'!H$61</f>
        <v>2.3673945209164687E-2</v>
      </c>
      <c r="J28" s="36">
        <f>'Data Sheet'!I57/'Data Sheet'!I$61</f>
        <v>1.7982426265240787E-2</v>
      </c>
      <c r="K28" s="36">
        <f>'Data Sheet'!J57/'Data Sheet'!J$61</f>
        <v>1.4300675309667402E-2</v>
      </c>
      <c r="L28" s="36">
        <f>'Data Sheet'!K57/'Data Sheet'!K$61</f>
        <v>1.1518449100623829E-2</v>
      </c>
    </row>
    <row r="29" spans="2:12" x14ac:dyDescent="0.3">
      <c r="B29" s="33" t="str">
        <f>'Data Sheet'!A58</f>
        <v>Reserves</v>
      </c>
      <c r="C29" s="36">
        <f>'Data Sheet'!B58/'Data Sheet'!B$61</f>
        <v>-1.1525974025974026E-2</v>
      </c>
      <c r="D29" s="36">
        <f>'Data Sheet'!C58/'Data Sheet'!C$61</f>
        <v>-1.4195684002800942E-2</v>
      </c>
      <c r="E29" s="36">
        <f>'Data Sheet'!D58/'Data Sheet'!D$61</f>
        <v>2.5173966434711419E-2</v>
      </c>
      <c r="F29" s="36">
        <f>'Data Sheet'!E58/'Data Sheet'!E$61</f>
        <v>4.2987407729049069E-2</v>
      </c>
      <c r="G29" s="36">
        <f>'Data Sheet'!F58/'Data Sheet'!F$61</f>
        <v>2.2166457549142617E-2</v>
      </c>
      <c r="H29" s="36">
        <f>'Data Sheet'!G58/'Data Sheet'!G$61</f>
        <v>1.7810496319164093E-2</v>
      </c>
      <c r="I29" s="36">
        <f>'Data Sheet'!H58/'Data Sheet'!H$61</f>
        <v>8.5489246588650258E-2</v>
      </c>
      <c r="J29" s="36">
        <f>'Data Sheet'!I58/'Data Sheet'!I$61</f>
        <v>9.3658470131462432E-2</v>
      </c>
      <c r="K29" s="36">
        <f>'Data Sheet'!J58/'Data Sheet'!J$61</f>
        <v>9.5274637969015197E-2</v>
      </c>
      <c r="L29" s="36">
        <f>'Data Sheet'!K58/'Data Sheet'!K$61</f>
        <v>0.12810865247433351</v>
      </c>
    </row>
    <row r="30" spans="2:12" x14ac:dyDescent="0.3">
      <c r="B30" s="33" t="str">
        <f>'Data Sheet'!A59</f>
        <v>Borrowings</v>
      </c>
      <c r="C30" s="36">
        <f>'Data Sheet'!B59/'Data Sheet'!B$61</f>
        <v>0.70568181818181819</v>
      </c>
      <c r="D30" s="36">
        <f>'Data Sheet'!C59/'Data Sheet'!C$61</f>
        <v>0.62792030046470171</v>
      </c>
      <c r="E30" s="36">
        <f>'Data Sheet'!D59/'Data Sheet'!D$61</f>
        <v>0.76013098649201805</v>
      </c>
      <c r="F30" s="36">
        <f>'Data Sheet'!E59/'Data Sheet'!E$61</f>
        <v>0.80693660442900561</v>
      </c>
      <c r="G30" s="36">
        <f>'Data Sheet'!F59/'Data Sheet'!F$61</f>
        <v>0.84375435661508436</v>
      </c>
      <c r="H30" s="36">
        <f>'Data Sheet'!G59/'Data Sheet'!G$61</f>
        <v>0.89615632527054989</v>
      </c>
      <c r="I30" s="36">
        <f>'Data Sheet'!H59/'Data Sheet'!H$61</f>
        <v>0.810399198911955</v>
      </c>
      <c r="J30" s="36">
        <f>'Data Sheet'!I59/'Data Sheet'!I$61</f>
        <v>0.73630315827713821</v>
      </c>
      <c r="K30" s="36">
        <f>'Data Sheet'!J59/'Data Sheet'!J$61</f>
        <v>0.72261745693546642</v>
      </c>
      <c r="L30" s="36">
        <f>'Data Sheet'!K59/'Data Sheet'!K$61</f>
        <v>0.72415167706380956</v>
      </c>
    </row>
    <row r="31" spans="2:12" x14ac:dyDescent="0.3">
      <c r="B31" s="33" t="str">
        <f>'Data Sheet'!A60</f>
        <v>Other Liabilities</v>
      </c>
      <c r="C31" s="36">
        <f>'Data Sheet'!B60/'Data Sheet'!B$61</f>
        <v>9.9025974025974031E-2</v>
      </c>
      <c r="D31" s="36">
        <f>'Data Sheet'!C60/'Data Sheet'!C$61</f>
        <v>0.28665096441530336</v>
      </c>
      <c r="E31" s="36">
        <f>'Data Sheet'!D60/'Data Sheet'!D$61</f>
        <v>0.10792741165234002</v>
      </c>
      <c r="F31" s="36">
        <f>'Data Sheet'!E60/'Data Sheet'!E$61</f>
        <v>6.5186712983065567E-2</v>
      </c>
      <c r="G31" s="36">
        <f>'Data Sheet'!F60/'Data Sheet'!F$61</f>
        <v>7.9569217900460065E-2</v>
      </c>
      <c r="H31" s="36">
        <f>'Data Sheet'!G60/'Data Sheet'!G$61</f>
        <v>5.95040200834549E-2</v>
      </c>
      <c r="I31" s="36">
        <f>'Data Sheet'!H60/'Data Sheet'!H$61</f>
        <v>8.0437609290230014E-2</v>
      </c>
      <c r="J31" s="36">
        <f>'Data Sheet'!I60/'Data Sheet'!I$61</f>
        <v>0.15205594532615851</v>
      </c>
      <c r="K31" s="36">
        <f>'Data Sheet'!J60/'Data Sheet'!J$61</f>
        <v>0.167807229785851</v>
      </c>
      <c r="L31" s="36">
        <f>'Data Sheet'!K60/'Data Sheet'!K$61</f>
        <v>0.1362212213612331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0.70470779220779223</v>
      </c>
      <c r="D34" s="36">
        <f>'Data Sheet'!C62/'Data Sheet'!C$66</f>
        <v>0.58055891527150039</v>
      </c>
      <c r="E34" s="36">
        <f>'Data Sheet'!D62/'Data Sheet'!D$66</f>
        <v>0.70869149952244503</v>
      </c>
      <c r="F34" s="36">
        <f>'Data Sheet'!E62/'Data Sheet'!E$66</f>
        <v>0.68139383412939647</v>
      </c>
      <c r="G34" s="36">
        <f>'Data Sheet'!F62/'Data Sheet'!F$66</f>
        <v>0.57259863376550957</v>
      </c>
      <c r="H34" s="36">
        <f>'Data Sheet'!G62/'Data Sheet'!G$66</f>
        <v>0.48261356311700648</v>
      </c>
      <c r="I34" s="36">
        <f>'Data Sheet'!H62/'Data Sheet'!H$66</f>
        <v>0.72241402501905572</v>
      </c>
      <c r="J34" s="36">
        <f>'Data Sheet'!I62/'Data Sheet'!I$66</f>
        <v>0.70708171559612198</v>
      </c>
      <c r="K34" s="36">
        <f>'Data Sheet'!J62/'Data Sheet'!J$66</f>
        <v>0.72147990321765199</v>
      </c>
      <c r="L34" s="36">
        <f>'Data Sheet'!K62/'Data Sheet'!K$66</f>
        <v>0.71431169049150978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4.3344155844155845E-2</v>
      </c>
      <c r="D35" s="36">
        <f>'Data Sheet'!C63/'Data Sheet'!C$66</f>
        <v>0.10980966325036604</v>
      </c>
      <c r="E35" s="36">
        <f>'Data Sheet'!D63/'Data Sheet'!D$66</f>
        <v>5.0689043525719742E-2</v>
      </c>
      <c r="F35" s="36">
        <f>'Data Sheet'!E63/'Data Sheet'!E$66</f>
        <v>6.5566652192792008E-2</v>
      </c>
      <c r="G35" s="36">
        <f>'Data Sheet'!F63/'Data Sheet'!F$66</f>
        <v>0.15516520284399832</v>
      </c>
      <c r="H35" s="36">
        <f>'Data Sheet'!G63/'Data Sheet'!G$66</f>
        <v>0.33753434881432981</v>
      </c>
      <c r="I35" s="36">
        <f>'Data Sheet'!H63/'Data Sheet'!H$66</f>
        <v>7.9077553094501485E-2</v>
      </c>
      <c r="J35" s="36">
        <f>'Data Sheet'!I63/'Data Sheet'!I$66</f>
        <v>7.2962786367867766E-2</v>
      </c>
      <c r="K35" s="36">
        <f>'Data Sheet'!J63/'Data Sheet'!J$66</f>
        <v>0.13072839550756563</v>
      </c>
      <c r="L35" s="36">
        <f>'Data Sheet'!K63/'Data Sheet'!K$66</f>
        <v>0.13309508490222957</v>
      </c>
    </row>
    <row r="36" spans="2:12" x14ac:dyDescent="0.3">
      <c r="B36" s="33" t="str">
        <f>'Data Sheet'!A64</f>
        <v>Investments</v>
      </c>
      <c r="C36" s="36">
        <f>'Data Sheet'!B64/'Data Sheet'!B$66</f>
        <v>4.2207792207792205E-3</v>
      </c>
      <c r="D36" s="36">
        <f>'Data Sheet'!C64/'Data Sheet'!C$66</f>
        <v>5.5382264943662869E-3</v>
      </c>
      <c r="E36" s="36">
        <f>'Data Sheet'!D64/'Data Sheet'!D$66</f>
        <v>5.2531041069723014E-3</v>
      </c>
      <c r="F36" s="36">
        <f>'Data Sheet'!E64/'Data Sheet'!E$66</f>
        <v>2.5890143291359097E-2</v>
      </c>
      <c r="G36" s="36">
        <f>'Data Sheet'!F64/'Data Sheet'!F$66</f>
        <v>1.7496166178725778E-2</v>
      </c>
      <c r="H36" s="36">
        <f>'Data Sheet'!G64/'Data Sheet'!G$66</f>
        <v>9.7364046544763713E-3</v>
      </c>
      <c r="I36" s="36">
        <f>'Data Sheet'!H64/'Data Sheet'!H$66</f>
        <v>1.7172577680132719E-2</v>
      </c>
      <c r="J36" s="36">
        <f>'Data Sheet'!I64/'Data Sheet'!I$66</f>
        <v>1.7199100878686736E-2</v>
      </c>
      <c r="K36" s="36">
        <f>'Data Sheet'!J64/'Data Sheet'!J$66</f>
        <v>2.4764363872738435E-2</v>
      </c>
      <c r="L36" s="36">
        <f>'Data Sheet'!K64/'Data Sheet'!K$66</f>
        <v>2.0861890508294401E-2</v>
      </c>
    </row>
    <row r="37" spans="2:12" x14ac:dyDescent="0.3">
      <c r="B37" s="33" t="str">
        <f>'Data Sheet'!A65</f>
        <v>Other Assets</v>
      </c>
      <c r="C37" s="36">
        <f>'Data Sheet'!B74/'Data Sheet'!B66</f>
        <v>0.16266233766233767</v>
      </c>
      <c r="D37" s="36">
        <f>'Data Sheet'!C74/'Data Sheet'!C66</f>
        <v>0.11331084091921828</v>
      </c>
      <c r="E37" s="36">
        <f>'Data Sheet'!D74/'Data Sheet'!D66</f>
        <v>0.14967935598308091</v>
      </c>
      <c r="F37" s="36">
        <f>'Data Sheet'!E74/'Data Sheet'!E66</f>
        <v>0.14361702127659576</v>
      </c>
      <c r="G37" s="36">
        <f>'Data Sheet'!F74/'Data Sheet'!F66</f>
        <v>0.17628607277289837</v>
      </c>
      <c r="H37" s="36">
        <f>'Data Sheet'!G74/'Data Sheet'!G66</f>
        <v>0.11212131492349968</v>
      </c>
      <c r="I37" s="36">
        <f>'Data Sheet'!H74/'Data Sheet'!H66</f>
        <v>0.11793630154388797</v>
      </c>
      <c r="J37" s="36">
        <f>'Data Sheet'!I74/'Data Sheet'!I66</f>
        <v>8.4724019708012618E-2</v>
      </c>
      <c r="K37" s="36">
        <f>'Data Sheet'!J74/'Data Sheet'!J66</f>
        <v>7.8130078364811673E-2</v>
      </c>
      <c r="L37" s="36">
        <f>'Data Sheet'!K74/'Data Sheet'!K66</f>
        <v>9.6546563347973263E-2</v>
      </c>
    </row>
    <row r="38" spans="2:12" x14ac:dyDescent="0.3">
      <c r="B38" s="33" t="str">
        <f>'Data Sheet'!A67</f>
        <v>Receivables</v>
      </c>
      <c r="C38" s="36">
        <f>'Data Sheet'!B67/'Data Sheet'!B$66</f>
        <v>5.4545454545454543E-2</v>
      </c>
      <c r="D38" s="36">
        <f>'Data Sheet'!C67/'Data Sheet'!C$66</f>
        <v>5.3981793876121967E-2</v>
      </c>
      <c r="E38" s="36">
        <f>'Data Sheet'!D67/'Data Sheet'!D$66</f>
        <v>5.1712375494610455E-2</v>
      </c>
      <c r="F38" s="36">
        <f>'Data Sheet'!E67/'Data Sheet'!E$66</f>
        <v>4.0165002171081196E-2</v>
      </c>
      <c r="G38" s="36">
        <f>'Data Sheet'!F67/'Data Sheet'!F$66</f>
        <v>4.1928063571727313E-2</v>
      </c>
      <c r="H38" s="36">
        <f>'Data Sheet'!G67/'Data Sheet'!G$66</f>
        <v>3.0684940801302709E-2</v>
      </c>
      <c r="I38" s="36">
        <f>'Data Sheet'!H67/'Data Sheet'!H$66</f>
        <v>3.2970153492056377E-2</v>
      </c>
      <c r="J38" s="36">
        <f>'Data Sheet'!I67/'Data Sheet'!I$66</f>
        <v>1.5235111141384556E-2</v>
      </c>
      <c r="K38" s="36">
        <f>'Data Sheet'!J67/'Data Sheet'!J$66</f>
        <v>1.3903434328843306E-2</v>
      </c>
      <c r="L38" s="36">
        <f>'Data Sheet'!K67/'Data Sheet'!K$66</f>
        <v>1.4889361345007972E-2</v>
      </c>
    </row>
    <row r="39" spans="2:12" x14ac:dyDescent="0.3">
      <c r="B39" s="33" t="str">
        <f>'Data Sheet'!A68</f>
        <v>Inventory</v>
      </c>
      <c r="C39" s="36">
        <f>'Data Sheet'!B68/'Data Sheet'!B$66</f>
        <v>0</v>
      </c>
      <c r="D39" s="36">
        <f>'Data Sheet'!C68/'Data Sheet'!C$66</f>
        <v>0.10770895664905468</v>
      </c>
      <c r="E39" s="36">
        <f>'Data Sheet'!D68/'Data Sheet'!D$66</f>
        <v>9.2782098512757538E-3</v>
      </c>
      <c r="F39" s="36">
        <f>'Data Sheet'!E68/'Data Sheet'!E$66</f>
        <v>5.6448111159357363E-3</v>
      </c>
      <c r="G39" s="36">
        <f>'Data Sheet'!F68/'Data Sheet'!F$66</f>
        <v>1.0107346995678237E-3</v>
      </c>
      <c r="H39" s="36">
        <f>'Data Sheet'!G68/'Data Sheet'!G$66</f>
        <v>2.8836041659599011E-4</v>
      </c>
      <c r="I39" s="36">
        <f>'Data Sheet'!H68/'Data Sheet'!H$66</f>
        <v>7.7717496898772962E-4</v>
      </c>
      <c r="J39" s="36">
        <f>'Data Sheet'!I68/'Data Sheet'!I$66</f>
        <v>3.3035896737279476E-3</v>
      </c>
      <c r="K39" s="36">
        <f>'Data Sheet'!J68/'Data Sheet'!J$66</f>
        <v>9.1184861507348958E-4</v>
      </c>
      <c r="L39" s="36">
        <f>'Data Sheet'!K68/'Data Sheet'!K$66</f>
        <v>9.5112876605029793E-4</v>
      </c>
    </row>
    <row r="40" spans="2:12" x14ac:dyDescent="0.3">
      <c r="B40" s="33" t="str">
        <f>'Data Sheet'!A69</f>
        <v>Cash &amp; Bank</v>
      </c>
      <c r="C40" s="36">
        <f>'Data Sheet'!B69/'Data Sheet'!B$66</f>
        <v>3.0357142857142857E-2</v>
      </c>
      <c r="D40" s="36">
        <f>'Data Sheet'!C69/'Data Sheet'!C$66</f>
        <v>2.9091603539372336E-2</v>
      </c>
      <c r="E40" s="36">
        <f>'Data Sheet'!D69/'Data Sheet'!D$66</f>
        <v>2.4628189384636377E-2</v>
      </c>
      <c r="F40" s="36">
        <f>'Data Sheet'!E69/'Data Sheet'!E$66</f>
        <v>3.7722535822839777E-2</v>
      </c>
      <c r="G40" s="36">
        <f>'Data Sheet'!F69/'Data Sheet'!F$66</f>
        <v>3.5515126167572846E-2</v>
      </c>
      <c r="H40" s="36">
        <f>'Data Sheet'!G69/'Data Sheet'!G$66</f>
        <v>2.7021067272788954E-2</v>
      </c>
      <c r="I40" s="36">
        <f>'Data Sheet'!H69/'Data Sheet'!H$66</f>
        <v>2.965221420137799E-2</v>
      </c>
      <c r="J40" s="36">
        <f>'Data Sheet'!I69/'Data Sheet'!I$66</f>
        <v>9.9493676634198391E-2</v>
      </c>
      <c r="K40" s="36">
        <f>'Data Sheet'!J69/'Data Sheet'!J$66</f>
        <v>3.0081976093315518E-2</v>
      </c>
      <c r="L40" s="36">
        <f>'Data Sheet'!K69/'Data Sheet'!K$66</f>
        <v>1.9344280638934737E-2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8611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164.77961019490255</v>
      </c>
    </row>
    <row r="7" spans="1:11" x14ac:dyDescent="0.3">
      <c r="A7" s="5" t="s">
        <v>31</v>
      </c>
      <c r="B7">
        <v>10</v>
      </c>
    </row>
    <row r="8" spans="1:11" x14ac:dyDescent="0.3">
      <c r="A8" s="5" t="s">
        <v>43</v>
      </c>
      <c r="B8">
        <v>1334</v>
      </c>
    </row>
    <row r="9" spans="1:11" x14ac:dyDescent="0.3">
      <c r="A9" s="5" t="s">
        <v>79</v>
      </c>
      <c r="B9">
        <v>219816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43160</v>
      </c>
      <c r="C16" s="16">
        <v>43525</v>
      </c>
      <c r="D16" s="16">
        <v>43891</v>
      </c>
      <c r="E16" s="16">
        <v>44256</v>
      </c>
      <c r="F16" s="16">
        <v>44621</v>
      </c>
      <c r="G16" s="16">
        <v>44986</v>
      </c>
      <c r="H16" s="16">
        <v>45352</v>
      </c>
      <c r="I16" s="16">
        <v>45717</v>
      </c>
      <c r="J16" s="16">
        <v>46082</v>
      </c>
      <c r="K16" s="16" t="s">
        <v>280</v>
      </c>
    </row>
    <row r="17" spans="1:11" s="9" customFormat="1" x14ac:dyDescent="0.3">
      <c r="A17" s="9" t="s">
        <v>6</v>
      </c>
      <c r="B17">
        <v>1480</v>
      </c>
      <c r="C17">
        <v>2058</v>
      </c>
      <c r="D17">
        <v>2549</v>
      </c>
      <c r="E17">
        <v>3124</v>
      </c>
      <c r="F17">
        <v>5133</v>
      </c>
      <c r="G17">
        <v>7792</v>
      </c>
      <c r="H17">
        <v>9220</v>
      </c>
      <c r="I17">
        <v>11212</v>
      </c>
      <c r="J17">
        <v>12928</v>
      </c>
      <c r="K17">
        <v>13559</v>
      </c>
    </row>
    <row r="18" spans="1:11" s="9" customFormat="1" x14ac:dyDescent="0.3">
      <c r="A18" s="5" t="s">
        <v>80</v>
      </c>
      <c r="B18">
        <v>0</v>
      </c>
      <c r="C18">
        <v>129.44999999999999</v>
      </c>
      <c r="D18">
        <v>19.12</v>
      </c>
      <c r="E18">
        <v>95.91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540.79</v>
      </c>
      <c r="C21">
        <v>66.06</v>
      </c>
      <c r="D21">
        <v>549.04999999999995</v>
      </c>
      <c r="E21">
        <v>630.11</v>
      </c>
      <c r="F21">
        <v>1456.23</v>
      </c>
      <c r="G21">
        <v>2035.27</v>
      </c>
      <c r="H21">
        <v>1546.19</v>
      </c>
      <c r="I21">
        <v>1843.25</v>
      </c>
      <c r="J21">
        <v>1244.97</v>
      </c>
      <c r="K21">
        <v>0</v>
      </c>
    </row>
    <row r="22" spans="1:11" s="9" customFormat="1" x14ac:dyDescent="0.3">
      <c r="A22" s="5" t="s">
        <v>84</v>
      </c>
      <c r="B22">
        <v>43.66</v>
      </c>
      <c r="C22">
        <v>59.68</v>
      </c>
      <c r="D22">
        <v>107.06</v>
      </c>
      <c r="E22">
        <v>38.11</v>
      </c>
      <c r="F22">
        <v>35.93</v>
      </c>
      <c r="G22">
        <v>42.08</v>
      </c>
      <c r="H22">
        <v>79.290000000000006</v>
      </c>
      <c r="I22">
        <v>131.18</v>
      </c>
      <c r="J22">
        <v>155.13999999999999</v>
      </c>
      <c r="K22">
        <v>0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52.54</v>
      </c>
      <c r="C24">
        <v>277.01</v>
      </c>
      <c r="D24">
        <v>423.9</v>
      </c>
      <c r="E24">
        <v>119.02</v>
      </c>
      <c r="F24">
        <v>128.84</v>
      </c>
      <c r="G24">
        <v>744.92</v>
      </c>
      <c r="H24">
        <v>276.60000000000002</v>
      </c>
      <c r="I24">
        <v>348.69</v>
      </c>
      <c r="J24">
        <v>743.36</v>
      </c>
      <c r="K24">
        <v>0</v>
      </c>
    </row>
    <row r="25" spans="1:11" s="9" customFormat="1" x14ac:dyDescent="0.3">
      <c r="A25" s="9" t="s">
        <v>9</v>
      </c>
      <c r="B25">
        <v>42</v>
      </c>
      <c r="C25">
        <v>73</v>
      </c>
      <c r="D25">
        <v>-111</v>
      </c>
      <c r="E25">
        <v>385</v>
      </c>
      <c r="F25">
        <v>507</v>
      </c>
      <c r="G25">
        <v>667</v>
      </c>
      <c r="H25">
        <v>1262</v>
      </c>
      <c r="I25">
        <v>1316</v>
      </c>
      <c r="J25">
        <v>1072</v>
      </c>
      <c r="K25">
        <v>713</v>
      </c>
    </row>
    <row r="26" spans="1:11" s="9" customFormat="1" x14ac:dyDescent="0.3">
      <c r="A26" s="9" t="s">
        <v>10</v>
      </c>
      <c r="B26">
        <v>543</v>
      </c>
      <c r="C26">
        <v>1062</v>
      </c>
      <c r="D26">
        <v>394</v>
      </c>
      <c r="E26">
        <v>486</v>
      </c>
      <c r="F26">
        <v>849</v>
      </c>
      <c r="G26">
        <v>1300</v>
      </c>
      <c r="H26">
        <v>1903</v>
      </c>
      <c r="I26">
        <v>2498</v>
      </c>
      <c r="J26">
        <v>3372</v>
      </c>
      <c r="K26">
        <v>3631</v>
      </c>
    </row>
    <row r="27" spans="1:11" s="9" customFormat="1" x14ac:dyDescent="0.3">
      <c r="A27" s="9" t="s">
        <v>11</v>
      </c>
      <c r="B27">
        <v>552</v>
      </c>
      <c r="C27">
        <v>1121</v>
      </c>
      <c r="D27">
        <v>995</v>
      </c>
      <c r="E27">
        <v>1953</v>
      </c>
      <c r="F27">
        <v>2617</v>
      </c>
      <c r="G27">
        <v>2911</v>
      </c>
      <c r="H27">
        <v>5006</v>
      </c>
      <c r="I27">
        <v>5492</v>
      </c>
      <c r="J27">
        <v>6484</v>
      </c>
      <c r="K27">
        <v>6960</v>
      </c>
    </row>
    <row r="28" spans="1:11" s="9" customFormat="1" x14ac:dyDescent="0.3">
      <c r="A28" s="9" t="s">
        <v>12</v>
      </c>
      <c r="B28">
        <v>-210</v>
      </c>
      <c r="C28">
        <v>-585</v>
      </c>
      <c r="D28">
        <v>-50</v>
      </c>
      <c r="E28">
        <v>187</v>
      </c>
      <c r="F28">
        <v>553</v>
      </c>
      <c r="G28">
        <v>1426</v>
      </c>
      <c r="H28">
        <v>1671</v>
      </c>
      <c r="I28">
        <v>2215</v>
      </c>
      <c r="J28">
        <v>2001</v>
      </c>
      <c r="K28">
        <v>1833</v>
      </c>
    </row>
    <row r="29" spans="1:11" s="9" customFormat="1" x14ac:dyDescent="0.3">
      <c r="A29" s="9" t="s">
        <v>13</v>
      </c>
      <c r="B29">
        <v>-210</v>
      </c>
      <c r="C29">
        <v>-585</v>
      </c>
      <c r="D29">
        <v>-50</v>
      </c>
      <c r="E29">
        <v>187</v>
      </c>
      <c r="F29">
        <v>553</v>
      </c>
      <c r="G29">
        <v>1426</v>
      </c>
      <c r="H29">
        <v>1671</v>
      </c>
      <c r="I29">
        <v>2215</v>
      </c>
      <c r="J29">
        <v>2001</v>
      </c>
      <c r="K29">
        <v>1833</v>
      </c>
    </row>
    <row r="30" spans="1:11" s="9" customFormat="1" x14ac:dyDescent="0.3">
      <c r="A30" s="9" t="s">
        <v>14</v>
      </c>
      <c r="B30">
        <v>-138</v>
      </c>
      <c r="C30">
        <v>-475</v>
      </c>
      <c r="D30">
        <v>-68</v>
      </c>
      <c r="E30">
        <v>182</v>
      </c>
      <c r="F30">
        <v>489</v>
      </c>
      <c r="G30">
        <v>973</v>
      </c>
      <c r="H30">
        <v>1260</v>
      </c>
      <c r="I30">
        <v>2001</v>
      </c>
      <c r="J30">
        <v>1987</v>
      </c>
      <c r="K30">
        <v>2146</v>
      </c>
    </row>
    <row r="31" spans="1:11" s="9" customFormat="1" x14ac:dyDescent="0.3">
      <c r="A31" s="9" t="s">
        <v>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s="9" customFormat="1" x14ac:dyDescent="0.3">
      <c r="A32" s="9" t="s">
        <v>94</v>
      </c>
      <c r="B32" s="9">
        <f>SUM(B26:B28)</f>
        <v>885</v>
      </c>
      <c r="C32" s="9">
        <f t="shared" ref="C32:K32" si="0">SUM(C26:C28)</f>
        <v>1598</v>
      </c>
      <c r="D32" s="9">
        <f t="shared" si="0"/>
        <v>1339</v>
      </c>
      <c r="E32" s="9">
        <f t="shared" si="0"/>
        <v>2626</v>
      </c>
      <c r="F32" s="9">
        <f t="shared" si="0"/>
        <v>4019</v>
      </c>
      <c r="G32" s="9">
        <f t="shared" si="0"/>
        <v>5637</v>
      </c>
      <c r="H32" s="9">
        <f t="shared" si="0"/>
        <v>8580</v>
      </c>
      <c r="I32" s="9">
        <f t="shared" si="0"/>
        <v>10205</v>
      </c>
      <c r="J32" s="9">
        <f t="shared" si="0"/>
        <v>11857</v>
      </c>
      <c r="K32" s="9">
        <f t="shared" si="0"/>
        <v>12424</v>
      </c>
    </row>
    <row r="33" spans="1:11" x14ac:dyDescent="0.3">
      <c r="A33" s="9"/>
      <c r="B33" s="5">
        <f>B30+B29+B27+B26</f>
        <v>747</v>
      </c>
      <c r="C33" s="5">
        <f>C30+C29+C27+C26</f>
        <v>1123</v>
      </c>
      <c r="D33" s="5">
        <f>D30+D29+D27+D26</f>
        <v>1271</v>
      </c>
      <c r="E33" s="5">
        <f>E30+E29+E27+E26</f>
        <v>2808</v>
      </c>
      <c r="F33" s="5">
        <f>F30+F29+F27+F26</f>
        <v>4508</v>
      </c>
      <c r="G33" s="5">
        <f>G30+G29+G27+G26</f>
        <v>6610</v>
      </c>
      <c r="H33" s="5">
        <f>H30+H29+H27+H26</f>
        <v>9840</v>
      </c>
      <c r="I33" s="5">
        <f>I30+I29+I27+I26</f>
        <v>12206</v>
      </c>
      <c r="J33" s="5">
        <f>J30+J29+J27+J26</f>
        <v>13844</v>
      </c>
      <c r="K33" s="5">
        <f>K30+K29+K27+K26</f>
        <v>14570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2527</v>
      </c>
      <c r="C42">
        <v>2794</v>
      </c>
      <c r="D42">
        <v>3005</v>
      </c>
      <c r="E42">
        <v>2340</v>
      </c>
      <c r="F42">
        <v>3073</v>
      </c>
      <c r="G42">
        <v>3800</v>
      </c>
      <c r="H42">
        <v>3008</v>
      </c>
      <c r="I42">
        <v>2618</v>
      </c>
      <c r="J42">
        <v>3502</v>
      </c>
      <c r="K42">
        <v>4431</v>
      </c>
    </row>
    <row r="43" spans="1:11" s="9" customFormat="1" x14ac:dyDescent="0.3">
      <c r="A43" s="9" t="s">
        <v>7</v>
      </c>
      <c r="B43">
        <v>693</v>
      </c>
      <c r="C43">
        <v>415</v>
      </c>
      <c r="D43">
        <v>788</v>
      </c>
      <c r="E43">
        <v>460</v>
      </c>
      <c r="F43">
        <v>671</v>
      </c>
      <c r="G43">
        <v>758</v>
      </c>
      <c r="H43">
        <v>405</v>
      </c>
      <c r="I43">
        <v>377</v>
      </c>
      <c r="J43">
        <v>620</v>
      </c>
      <c r="K43">
        <v>446</v>
      </c>
    </row>
    <row r="44" spans="1:11" s="9" customFormat="1" x14ac:dyDescent="0.3">
      <c r="A44" s="9" t="s">
        <v>9</v>
      </c>
      <c r="B44">
        <v>234</v>
      </c>
      <c r="C44">
        <v>271</v>
      </c>
      <c r="D44">
        <v>294</v>
      </c>
      <c r="E44">
        <v>280</v>
      </c>
      <c r="F44">
        <v>39</v>
      </c>
      <c r="G44">
        <v>189</v>
      </c>
      <c r="H44">
        <v>158</v>
      </c>
      <c r="I44">
        <v>208</v>
      </c>
      <c r="J44">
        <v>117</v>
      </c>
      <c r="K44">
        <v>230</v>
      </c>
    </row>
    <row r="45" spans="1:11" s="9" customFormat="1" x14ac:dyDescent="0.3">
      <c r="A45" s="9" t="s">
        <v>10</v>
      </c>
      <c r="B45">
        <v>497</v>
      </c>
      <c r="C45">
        <v>596</v>
      </c>
      <c r="D45">
        <v>621</v>
      </c>
      <c r="E45">
        <v>618</v>
      </c>
      <c r="F45">
        <v>663</v>
      </c>
      <c r="G45">
        <v>767</v>
      </c>
      <c r="H45">
        <v>834</v>
      </c>
      <c r="I45">
        <v>886</v>
      </c>
      <c r="J45">
        <v>885</v>
      </c>
      <c r="K45">
        <v>1026</v>
      </c>
    </row>
    <row r="46" spans="1:11" s="9" customFormat="1" x14ac:dyDescent="0.3">
      <c r="A46" s="9" t="s">
        <v>11</v>
      </c>
      <c r="B46">
        <v>1224</v>
      </c>
      <c r="C46">
        <v>1426</v>
      </c>
      <c r="D46">
        <v>1448</v>
      </c>
      <c r="E46">
        <v>1251</v>
      </c>
      <c r="F46">
        <v>1368</v>
      </c>
      <c r="G46">
        <v>1525</v>
      </c>
      <c r="H46">
        <v>1635</v>
      </c>
      <c r="I46">
        <v>1698</v>
      </c>
      <c r="J46">
        <v>1626</v>
      </c>
      <c r="K46">
        <v>2001</v>
      </c>
    </row>
    <row r="47" spans="1:11" s="9" customFormat="1" x14ac:dyDescent="0.3">
      <c r="A47" s="9" t="s">
        <v>12</v>
      </c>
      <c r="B47">
        <v>347</v>
      </c>
      <c r="C47">
        <v>628</v>
      </c>
      <c r="D47">
        <v>442</v>
      </c>
      <c r="E47">
        <v>291</v>
      </c>
      <c r="F47">
        <v>410</v>
      </c>
      <c r="G47">
        <v>939</v>
      </c>
      <c r="H47">
        <v>292</v>
      </c>
      <c r="I47">
        <v>-135</v>
      </c>
      <c r="J47">
        <v>488</v>
      </c>
      <c r="K47">
        <v>1188</v>
      </c>
    </row>
    <row r="48" spans="1:11" s="9" customFormat="1" x14ac:dyDescent="0.3">
      <c r="A48" s="9" t="s">
        <v>13</v>
      </c>
      <c r="B48">
        <v>347</v>
      </c>
      <c r="C48">
        <v>628</v>
      </c>
      <c r="D48">
        <v>442</v>
      </c>
      <c r="E48">
        <v>291</v>
      </c>
      <c r="F48">
        <v>410</v>
      </c>
      <c r="G48">
        <v>939</v>
      </c>
      <c r="H48">
        <v>292</v>
      </c>
      <c r="I48">
        <v>-135</v>
      </c>
      <c r="J48">
        <v>488</v>
      </c>
      <c r="K48">
        <v>1188</v>
      </c>
    </row>
    <row r="49" spans="1:11" s="9" customFormat="1" x14ac:dyDescent="0.3">
      <c r="A49" s="9" t="s">
        <v>14</v>
      </c>
      <c r="B49">
        <v>310</v>
      </c>
      <c r="C49">
        <v>629</v>
      </c>
      <c r="D49">
        <v>515</v>
      </c>
      <c r="E49">
        <v>474</v>
      </c>
      <c r="F49">
        <v>383</v>
      </c>
      <c r="G49">
        <v>824</v>
      </c>
      <c r="H49">
        <v>644</v>
      </c>
      <c r="I49">
        <v>5</v>
      </c>
      <c r="J49">
        <v>514</v>
      </c>
      <c r="K49">
        <v>983</v>
      </c>
    </row>
    <row r="50" spans="1:11" x14ac:dyDescent="0.3">
      <c r="A50" s="9" t="s">
        <v>8</v>
      </c>
      <c r="B50">
        <v>1834</v>
      </c>
      <c r="C50">
        <v>2379</v>
      </c>
      <c r="D50">
        <v>2217</v>
      </c>
      <c r="E50">
        <v>1880</v>
      </c>
      <c r="F50">
        <v>2402</v>
      </c>
      <c r="G50">
        <v>3042</v>
      </c>
      <c r="H50">
        <v>2603</v>
      </c>
      <c r="I50">
        <v>2241</v>
      </c>
      <c r="J50">
        <v>2882</v>
      </c>
      <c r="K50">
        <v>3985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1274</v>
      </c>
      <c r="C57">
        <v>1564</v>
      </c>
      <c r="D57">
        <v>1564</v>
      </c>
      <c r="E57">
        <v>1564</v>
      </c>
      <c r="F57">
        <v>1564</v>
      </c>
      <c r="G57">
        <v>1564</v>
      </c>
      <c r="H57">
        <v>1584</v>
      </c>
      <c r="I57">
        <v>1584</v>
      </c>
      <c r="J57">
        <v>1584</v>
      </c>
      <c r="K57">
        <v>1647</v>
      </c>
    </row>
    <row r="58" spans="1:11" x14ac:dyDescent="0.3">
      <c r="A58" s="9" t="s">
        <v>25</v>
      </c>
      <c r="B58">
        <v>-71</v>
      </c>
      <c r="C58">
        <v>-223</v>
      </c>
      <c r="D58">
        <v>369</v>
      </c>
      <c r="E58">
        <v>792</v>
      </c>
      <c r="F58">
        <v>636</v>
      </c>
      <c r="G58">
        <v>1050</v>
      </c>
      <c r="H58">
        <v>5720</v>
      </c>
      <c r="I58">
        <v>8250</v>
      </c>
      <c r="J58">
        <v>10553</v>
      </c>
      <c r="K58">
        <v>18318</v>
      </c>
    </row>
    <row r="59" spans="1:11" x14ac:dyDescent="0.3">
      <c r="A59" s="9" t="s">
        <v>71</v>
      </c>
      <c r="B59">
        <v>4347</v>
      </c>
      <c r="C59">
        <v>9864</v>
      </c>
      <c r="D59">
        <v>11142</v>
      </c>
      <c r="E59">
        <v>14867</v>
      </c>
      <c r="F59">
        <v>24209</v>
      </c>
      <c r="G59">
        <v>52832</v>
      </c>
      <c r="H59">
        <v>54223</v>
      </c>
      <c r="I59">
        <v>64858</v>
      </c>
      <c r="J59">
        <v>80040</v>
      </c>
      <c r="K59">
        <v>103545</v>
      </c>
    </row>
    <row r="60" spans="1:11" x14ac:dyDescent="0.3">
      <c r="A60" s="9" t="s">
        <v>72</v>
      </c>
      <c r="B60">
        <v>610</v>
      </c>
      <c r="C60">
        <v>4503</v>
      </c>
      <c r="D60">
        <v>1582</v>
      </c>
      <c r="E60">
        <v>1201</v>
      </c>
      <c r="F60">
        <v>2283</v>
      </c>
      <c r="G60">
        <v>3508</v>
      </c>
      <c r="H60">
        <v>5382</v>
      </c>
      <c r="I60">
        <v>13394</v>
      </c>
      <c r="J60">
        <v>18587</v>
      </c>
      <c r="K60">
        <v>19478</v>
      </c>
    </row>
    <row r="61" spans="1:11" s="1" customFormat="1" x14ac:dyDescent="0.3">
      <c r="A61" s="1" t="s">
        <v>26</v>
      </c>
      <c r="B61">
        <v>6160</v>
      </c>
      <c r="C61">
        <v>15709</v>
      </c>
      <c r="D61">
        <v>14658</v>
      </c>
      <c r="E61">
        <v>18424</v>
      </c>
      <c r="F61">
        <v>28692</v>
      </c>
      <c r="G61">
        <v>58954</v>
      </c>
      <c r="H61">
        <v>66909</v>
      </c>
      <c r="I61">
        <v>88086</v>
      </c>
      <c r="J61">
        <v>110764</v>
      </c>
      <c r="K61">
        <v>142988</v>
      </c>
    </row>
    <row r="62" spans="1:11" x14ac:dyDescent="0.3">
      <c r="A62" s="9" t="s">
        <v>27</v>
      </c>
      <c r="B62">
        <v>4341</v>
      </c>
      <c r="C62">
        <v>9120</v>
      </c>
      <c r="D62">
        <v>10388</v>
      </c>
      <c r="E62">
        <v>12554</v>
      </c>
      <c r="F62">
        <v>16429</v>
      </c>
      <c r="G62">
        <v>28452</v>
      </c>
      <c r="H62">
        <v>48336</v>
      </c>
      <c r="I62">
        <v>62284</v>
      </c>
      <c r="J62">
        <v>79914</v>
      </c>
      <c r="K62">
        <v>102138</v>
      </c>
    </row>
    <row r="63" spans="1:11" x14ac:dyDescent="0.3">
      <c r="A63" s="9" t="s">
        <v>28</v>
      </c>
      <c r="B63">
        <v>267</v>
      </c>
      <c r="C63">
        <v>1725</v>
      </c>
      <c r="D63">
        <v>743</v>
      </c>
      <c r="E63">
        <v>1208</v>
      </c>
      <c r="F63">
        <v>4452</v>
      </c>
      <c r="G63">
        <v>19899</v>
      </c>
      <c r="H63">
        <v>5291</v>
      </c>
      <c r="I63">
        <v>6427</v>
      </c>
      <c r="J63">
        <v>14480</v>
      </c>
      <c r="K63">
        <v>19031</v>
      </c>
    </row>
    <row r="64" spans="1:11" x14ac:dyDescent="0.3">
      <c r="A64" s="9" t="s">
        <v>29</v>
      </c>
      <c r="B64">
        <v>26</v>
      </c>
      <c r="C64">
        <v>87</v>
      </c>
      <c r="D64">
        <v>77</v>
      </c>
      <c r="E64">
        <v>477</v>
      </c>
      <c r="F64">
        <v>502</v>
      </c>
      <c r="G64">
        <v>574</v>
      </c>
      <c r="H64">
        <v>1149</v>
      </c>
      <c r="I64">
        <v>1515</v>
      </c>
      <c r="J64">
        <v>2743</v>
      </c>
      <c r="K64">
        <v>2983</v>
      </c>
    </row>
    <row r="65" spans="1:11" x14ac:dyDescent="0.3">
      <c r="A65" s="9" t="s">
        <v>73</v>
      </c>
      <c r="B65">
        <v>1525</v>
      </c>
      <c r="C65">
        <v>4777</v>
      </c>
      <c r="D65">
        <v>3449</v>
      </c>
      <c r="E65">
        <v>4185</v>
      </c>
      <c r="F65">
        <v>7309</v>
      </c>
      <c r="G65">
        <v>10029</v>
      </c>
      <c r="H65">
        <v>12133</v>
      </c>
      <c r="I65">
        <v>17860</v>
      </c>
      <c r="J65">
        <v>13627</v>
      </c>
      <c r="K65">
        <v>18836</v>
      </c>
    </row>
    <row r="66" spans="1:11" s="1" customFormat="1" x14ac:dyDescent="0.3">
      <c r="A66" s="1" t="s">
        <v>26</v>
      </c>
      <c r="B66">
        <v>6160</v>
      </c>
      <c r="C66">
        <v>15709</v>
      </c>
      <c r="D66">
        <v>14658</v>
      </c>
      <c r="E66">
        <v>18424</v>
      </c>
      <c r="F66">
        <v>28692</v>
      </c>
      <c r="G66">
        <v>58954</v>
      </c>
      <c r="H66">
        <v>66909</v>
      </c>
      <c r="I66">
        <v>88086</v>
      </c>
      <c r="J66">
        <v>110764</v>
      </c>
      <c r="K66">
        <v>142988</v>
      </c>
    </row>
    <row r="67" spans="1:11" s="9" customFormat="1" x14ac:dyDescent="0.3">
      <c r="A67" s="9" t="s">
        <v>78</v>
      </c>
      <c r="B67">
        <v>336</v>
      </c>
      <c r="C67">
        <v>848</v>
      </c>
      <c r="D67">
        <v>758</v>
      </c>
      <c r="E67">
        <v>740</v>
      </c>
      <c r="F67">
        <v>1203</v>
      </c>
      <c r="G67">
        <v>1809</v>
      </c>
      <c r="H67">
        <v>2206</v>
      </c>
      <c r="I67">
        <v>1342</v>
      </c>
      <c r="J67">
        <v>1540</v>
      </c>
      <c r="K67">
        <v>2129</v>
      </c>
    </row>
    <row r="68" spans="1:11" x14ac:dyDescent="0.3">
      <c r="A68" s="9" t="s">
        <v>45</v>
      </c>
      <c r="B68">
        <v>0</v>
      </c>
      <c r="C68">
        <v>1692</v>
      </c>
      <c r="D68">
        <v>136</v>
      </c>
      <c r="E68">
        <v>104</v>
      </c>
      <c r="F68">
        <v>29</v>
      </c>
      <c r="G68">
        <v>17</v>
      </c>
      <c r="H68">
        <v>52</v>
      </c>
      <c r="I68">
        <v>291</v>
      </c>
      <c r="J68">
        <v>101</v>
      </c>
      <c r="K68">
        <v>136</v>
      </c>
    </row>
    <row r="69" spans="1:11" x14ac:dyDescent="0.3">
      <c r="A69" s="5" t="s">
        <v>87</v>
      </c>
      <c r="B69">
        <v>187</v>
      </c>
      <c r="C69">
        <v>457</v>
      </c>
      <c r="D69">
        <v>361</v>
      </c>
      <c r="E69">
        <v>695</v>
      </c>
      <c r="F69">
        <v>1019</v>
      </c>
      <c r="G69">
        <v>1593</v>
      </c>
      <c r="H69">
        <v>1984</v>
      </c>
      <c r="I69">
        <v>8764</v>
      </c>
      <c r="J69">
        <v>3332</v>
      </c>
      <c r="K69">
        <v>2766</v>
      </c>
    </row>
    <row r="70" spans="1:11" x14ac:dyDescent="0.3">
      <c r="A70" s="5" t="s">
        <v>74</v>
      </c>
      <c r="B70">
        <v>1274000000</v>
      </c>
      <c r="C70">
        <v>1564000000</v>
      </c>
      <c r="D70">
        <v>1564000000</v>
      </c>
      <c r="E70">
        <v>1564000000</v>
      </c>
      <c r="F70">
        <v>1564000000</v>
      </c>
      <c r="G70">
        <v>1564000000</v>
      </c>
      <c r="H70">
        <v>1584000000</v>
      </c>
      <c r="I70">
        <v>1584000000</v>
      </c>
      <c r="J70">
        <v>1584000000</v>
      </c>
      <c r="K70">
        <v>1647000000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9"/>
      <c r="B74" s="5">
        <f>B65-SUM(B67:B69)</f>
        <v>1002</v>
      </c>
      <c r="C74" s="5">
        <f t="shared" ref="C74:K74" si="1">C65-SUM(C67:C69)</f>
        <v>1780</v>
      </c>
      <c r="D74" s="5">
        <f t="shared" si="1"/>
        <v>2194</v>
      </c>
      <c r="E74" s="5">
        <f t="shared" si="1"/>
        <v>2646</v>
      </c>
      <c r="F74" s="5">
        <f t="shared" si="1"/>
        <v>5058</v>
      </c>
      <c r="G74" s="5">
        <f t="shared" si="1"/>
        <v>6610</v>
      </c>
      <c r="H74" s="5">
        <f t="shared" si="1"/>
        <v>7891</v>
      </c>
      <c r="I74" s="5">
        <f t="shared" si="1"/>
        <v>7463</v>
      </c>
      <c r="J74" s="5">
        <f t="shared" si="1"/>
        <v>8654</v>
      </c>
      <c r="K74" s="5">
        <f t="shared" si="1"/>
        <v>13805</v>
      </c>
    </row>
    <row r="75" spans="1:11" x14ac:dyDescent="0.3">
      <c r="A75" s="9" t="s">
        <v>73</v>
      </c>
      <c r="B75" s="5">
        <f>B65-SUM(B67:B69)</f>
        <v>1002</v>
      </c>
      <c r="C75" s="5">
        <f>C65-SUM(C67:C69)</f>
        <v>1780</v>
      </c>
      <c r="D75" s="5">
        <f>D65-SUM(D67:D69)</f>
        <v>2194</v>
      </c>
      <c r="E75" s="5">
        <f>E65-SUM(E67:E69)</f>
        <v>2646</v>
      </c>
      <c r="F75" s="5">
        <f>F65-SUM(F67:F69)</f>
        <v>5058</v>
      </c>
      <c r="G75" s="5">
        <f>G65-SUM(G67:G69)</f>
        <v>6610</v>
      </c>
      <c r="H75" s="5">
        <f>H65-SUM(H67:H69)</f>
        <v>7891</v>
      </c>
      <c r="I75" s="5">
        <f>I65-SUM(I67:I69)</f>
        <v>7463</v>
      </c>
      <c r="J75" s="5">
        <f>J65-SUM(J67:J69)</f>
        <v>8654</v>
      </c>
      <c r="K75" s="5">
        <f>K65-SUM(K67:K69)</f>
        <v>13805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28</v>
      </c>
      <c r="C82">
        <v>649</v>
      </c>
      <c r="D82">
        <v>1625</v>
      </c>
      <c r="E82">
        <v>1965</v>
      </c>
      <c r="F82">
        <v>1601</v>
      </c>
      <c r="G82">
        <v>3060</v>
      </c>
      <c r="H82">
        <v>7265</v>
      </c>
      <c r="I82">
        <v>7713</v>
      </c>
      <c r="J82">
        <v>8364</v>
      </c>
      <c r="K82">
        <v>10135</v>
      </c>
    </row>
    <row r="83" spans="1:11" s="9" customFormat="1" x14ac:dyDescent="0.3">
      <c r="A83" s="9" t="s">
        <v>33</v>
      </c>
      <c r="B83">
        <v>-1511</v>
      </c>
      <c r="C83">
        <v>-4428</v>
      </c>
      <c r="D83">
        <v>-2666</v>
      </c>
      <c r="E83">
        <v>-3743</v>
      </c>
      <c r="F83">
        <v>-9137</v>
      </c>
      <c r="G83">
        <v>-18663</v>
      </c>
      <c r="H83">
        <v>-3857</v>
      </c>
      <c r="I83">
        <v>-21060</v>
      </c>
      <c r="J83">
        <v>-19828</v>
      </c>
      <c r="K83">
        <v>-26227</v>
      </c>
    </row>
    <row r="84" spans="1:11" s="9" customFormat="1" x14ac:dyDescent="0.3">
      <c r="A84" s="9" t="s">
        <v>34</v>
      </c>
      <c r="B84">
        <v>1559</v>
      </c>
      <c r="C84">
        <v>3942</v>
      </c>
      <c r="D84">
        <v>1045</v>
      </c>
      <c r="E84">
        <v>2161</v>
      </c>
      <c r="F84">
        <v>7083</v>
      </c>
      <c r="G84">
        <v>15986</v>
      </c>
      <c r="H84">
        <v>-2973</v>
      </c>
      <c r="I84">
        <v>13953</v>
      </c>
      <c r="J84">
        <v>12068</v>
      </c>
      <c r="K84">
        <v>15615</v>
      </c>
    </row>
    <row r="85" spans="1:11" s="1" customFormat="1" x14ac:dyDescent="0.3">
      <c r="A85" s="9" t="s">
        <v>35</v>
      </c>
      <c r="B85">
        <v>76</v>
      </c>
      <c r="C85">
        <v>162</v>
      </c>
      <c r="D85">
        <v>3</v>
      </c>
      <c r="E85">
        <v>383</v>
      </c>
      <c r="F85">
        <v>-453</v>
      </c>
      <c r="G85">
        <v>383</v>
      </c>
      <c r="H85">
        <v>435</v>
      </c>
      <c r="I85">
        <v>606</v>
      </c>
      <c r="J85">
        <v>604</v>
      </c>
      <c r="K85">
        <v>-477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1334</v>
      </c>
      <c r="C90">
        <v>1334</v>
      </c>
      <c r="D90">
        <v>34.200000000000003</v>
      </c>
      <c r="E90">
        <v>154.94999999999999</v>
      </c>
      <c r="F90">
        <v>1159.8499999999999</v>
      </c>
      <c r="G90">
        <v>1894.3</v>
      </c>
      <c r="H90">
        <v>561.75</v>
      </c>
      <c r="I90">
        <v>1971.35</v>
      </c>
      <c r="J90">
        <v>774.4</v>
      </c>
      <c r="K90">
        <v>947.35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164.7</v>
      </c>
      <c r="C93" s="31">
        <v>164.7</v>
      </c>
      <c r="D93" s="31">
        <v>164.7</v>
      </c>
      <c r="E93" s="31">
        <v>164.7</v>
      </c>
      <c r="F93" s="31">
        <v>164.7</v>
      </c>
      <c r="G93" s="31">
        <v>164.7</v>
      </c>
      <c r="H93" s="31">
        <v>164.7</v>
      </c>
      <c r="I93" s="31">
        <v>164.7</v>
      </c>
      <c r="J93" s="31">
        <v>164.7</v>
      </c>
      <c r="K93" s="31">
        <v>164.7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8622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42430</v>
      </c>
      <c r="D4" s="50">
        <v>42795</v>
      </c>
      <c r="E4" s="50">
        <v>43160</v>
      </c>
      <c r="F4" s="50">
        <v>43525</v>
      </c>
      <c r="G4" s="50">
        <v>43891</v>
      </c>
      <c r="H4" s="50">
        <v>44256</v>
      </c>
      <c r="I4" s="50">
        <v>44621</v>
      </c>
      <c r="J4" s="50">
        <v>44986</v>
      </c>
      <c r="K4" s="50">
        <v>45352</v>
      </c>
      <c r="L4" s="50">
        <v>45717</v>
      </c>
      <c r="M4" s="50">
        <v>46082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0</v>
      </c>
      <c r="D6" s="48">
        <v>28</v>
      </c>
      <c r="E6" s="48">
        <v>649</v>
      </c>
      <c r="F6" s="48">
        <v>1625</v>
      </c>
      <c r="G6" s="48">
        <v>1965</v>
      </c>
      <c r="H6" s="48">
        <v>1601</v>
      </c>
      <c r="I6" s="48">
        <v>3060</v>
      </c>
      <c r="J6" s="48">
        <v>7265</v>
      </c>
      <c r="K6" s="48">
        <v>7713</v>
      </c>
      <c r="L6" s="48">
        <v>8364</v>
      </c>
      <c r="M6" s="48">
        <v>10135</v>
      </c>
      <c r="N6" s="48">
        <v>18464</v>
      </c>
    </row>
    <row r="7" spans="2:28" x14ac:dyDescent="0.3">
      <c r="B7" t="s">
        <v>130</v>
      </c>
      <c r="C7" s="48">
        <v>0</v>
      </c>
      <c r="D7" s="48">
        <v>405</v>
      </c>
      <c r="E7" s="48">
        <v>860</v>
      </c>
      <c r="F7" s="48">
        <v>1561</v>
      </c>
      <c r="G7" s="48">
        <v>1776</v>
      </c>
      <c r="H7" s="48">
        <v>2244</v>
      </c>
      <c r="I7" s="48">
        <v>3545</v>
      </c>
      <c r="J7" s="48">
        <v>5571</v>
      </c>
      <c r="K7" s="48">
        <v>7346</v>
      </c>
      <c r="L7" s="48">
        <v>9046</v>
      </c>
      <c r="M7" s="48">
        <v>10912</v>
      </c>
      <c r="N7" s="48">
        <v>27600</v>
      </c>
    </row>
    <row r="8" spans="2:28" x14ac:dyDescent="0.3">
      <c r="B8" t="s">
        <v>78</v>
      </c>
      <c r="C8">
        <v>0</v>
      </c>
      <c r="D8">
        <v>-333</v>
      </c>
      <c r="E8">
        <v>-512</v>
      </c>
      <c r="F8">
        <v>90</v>
      </c>
      <c r="G8">
        <v>10</v>
      </c>
      <c r="H8" s="48">
        <v>-346</v>
      </c>
      <c r="I8">
        <v>-109</v>
      </c>
      <c r="J8">
        <v>-450</v>
      </c>
      <c r="K8">
        <v>893</v>
      </c>
      <c r="L8">
        <v>-222</v>
      </c>
      <c r="M8" s="48">
        <v>-626</v>
      </c>
      <c r="N8">
        <v>468</v>
      </c>
    </row>
    <row r="9" spans="2:28" x14ac:dyDescent="0.3">
      <c r="B9" t="s">
        <v>45</v>
      </c>
      <c r="C9">
        <v>0</v>
      </c>
      <c r="D9">
        <v>0</v>
      </c>
      <c r="E9">
        <v>-1692</v>
      </c>
      <c r="F9">
        <v>1556</v>
      </c>
      <c r="G9">
        <v>32</v>
      </c>
      <c r="H9">
        <v>75</v>
      </c>
      <c r="I9" s="48">
        <v>12</v>
      </c>
      <c r="J9">
        <v>-27</v>
      </c>
      <c r="K9" s="48">
        <v>-252</v>
      </c>
      <c r="L9" s="48">
        <v>190</v>
      </c>
      <c r="M9" s="48">
        <v>-35</v>
      </c>
      <c r="N9" s="48">
        <v>-3306</v>
      </c>
    </row>
    <row r="10" spans="2:28" x14ac:dyDescent="0.3">
      <c r="B10" t="s">
        <v>131</v>
      </c>
      <c r="C10">
        <v>0</v>
      </c>
      <c r="D10">
        <v>1</v>
      </c>
      <c r="E10">
        <v>90</v>
      </c>
      <c r="F10" s="48">
        <v>63</v>
      </c>
      <c r="G10">
        <v>15</v>
      </c>
      <c r="H10">
        <v>-106</v>
      </c>
      <c r="I10" s="48">
        <v>-172</v>
      </c>
      <c r="J10" s="48">
        <v>316</v>
      </c>
      <c r="K10" s="48">
        <v>122</v>
      </c>
      <c r="L10">
        <v>148</v>
      </c>
      <c r="M10" s="48">
        <v>1531</v>
      </c>
      <c r="N10">
        <v>76</v>
      </c>
    </row>
    <row r="11" spans="2:28" x14ac:dyDescent="0.3">
      <c r="B11" t="s">
        <v>132</v>
      </c>
      <c r="C11">
        <v>0</v>
      </c>
      <c r="D11">
        <v>-375</v>
      </c>
      <c r="E11">
        <v>-205</v>
      </c>
      <c r="F11" s="48">
        <v>92</v>
      </c>
      <c r="G11">
        <v>207</v>
      </c>
      <c r="H11">
        <v>-629</v>
      </c>
      <c r="I11">
        <v>-465</v>
      </c>
      <c r="J11">
        <v>1683</v>
      </c>
      <c r="K11">
        <v>417</v>
      </c>
      <c r="L11" s="48">
        <v>-460</v>
      </c>
      <c r="M11" s="48">
        <v>-634</v>
      </c>
      <c r="N11" s="48">
        <v>-2762</v>
      </c>
    </row>
    <row r="12" spans="2:28" x14ac:dyDescent="0.3">
      <c r="B12" t="s">
        <v>133</v>
      </c>
      <c r="C12" s="48">
        <v>0</v>
      </c>
      <c r="D12" s="48">
        <v>-2</v>
      </c>
      <c r="E12" s="48">
        <v>-6</v>
      </c>
      <c r="F12" s="48">
        <v>-29</v>
      </c>
      <c r="G12" s="48">
        <v>-18</v>
      </c>
      <c r="H12" s="48">
        <v>-14</v>
      </c>
      <c r="I12" s="48">
        <v>-20</v>
      </c>
      <c r="J12" s="48">
        <v>11</v>
      </c>
      <c r="K12" s="48">
        <v>-50</v>
      </c>
      <c r="L12" s="48">
        <v>-222</v>
      </c>
      <c r="M12" s="48">
        <v>-143</v>
      </c>
      <c r="N12" s="48">
        <v>-6374</v>
      </c>
    </row>
    <row r="13" spans="2:28" x14ac:dyDescent="0.3">
      <c r="B13" t="s">
        <v>134</v>
      </c>
      <c r="C13" s="48">
        <v>0</v>
      </c>
      <c r="D13" s="48">
        <v>-1511</v>
      </c>
      <c r="E13" s="48">
        <v>-4428</v>
      </c>
      <c r="F13" s="48">
        <v>-2666</v>
      </c>
      <c r="G13" s="48">
        <v>-3743</v>
      </c>
      <c r="H13" s="48">
        <v>-9137</v>
      </c>
      <c r="I13" s="48">
        <v>-18663</v>
      </c>
      <c r="J13" s="48">
        <v>-3857</v>
      </c>
      <c r="K13" s="48">
        <v>-21060</v>
      </c>
      <c r="L13" s="48">
        <v>-19828</v>
      </c>
      <c r="M13">
        <v>-26227</v>
      </c>
      <c r="N13" s="48">
        <v>-2321</v>
      </c>
    </row>
    <row r="14" spans="2:28" x14ac:dyDescent="0.3">
      <c r="B14" t="s">
        <v>135</v>
      </c>
      <c r="C14" s="48">
        <v>0</v>
      </c>
      <c r="D14" s="48">
        <v>-917</v>
      </c>
      <c r="E14" s="48">
        <v>-4428</v>
      </c>
      <c r="F14" s="48">
        <v>-2869</v>
      </c>
      <c r="G14" s="48">
        <v>-3399</v>
      </c>
      <c r="H14" s="48">
        <v>-6143</v>
      </c>
      <c r="I14" s="48">
        <v>-14792</v>
      </c>
      <c r="J14" s="48">
        <v>-3376</v>
      </c>
      <c r="K14" s="48">
        <v>-15773</v>
      </c>
      <c r="L14" s="48">
        <v>-24776</v>
      </c>
      <c r="M14" s="48">
        <v>-26097</v>
      </c>
      <c r="N14" s="48">
        <v>-2183</v>
      </c>
    </row>
    <row r="15" spans="2:28" x14ac:dyDescent="0.3">
      <c r="B15" t="s">
        <v>136</v>
      </c>
      <c r="C15">
        <v>0</v>
      </c>
      <c r="D15">
        <v>0</v>
      </c>
      <c r="E15">
        <v>16</v>
      </c>
      <c r="F15">
        <v>1</v>
      </c>
      <c r="G15">
        <v>3</v>
      </c>
      <c r="H15">
        <v>13</v>
      </c>
      <c r="I15">
        <v>4</v>
      </c>
      <c r="J15">
        <v>38</v>
      </c>
      <c r="K15">
        <v>73</v>
      </c>
      <c r="L15">
        <v>15</v>
      </c>
      <c r="M15">
        <v>105</v>
      </c>
      <c r="N15">
        <v>50</v>
      </c>
    </row>
    <row r="16" spans="2:28" x14ac:dyDescent="0.3">
      <c r="B16" t="s">
        <v>137</v>
      </c>
      <c r="C16" s="48">
        <v>0</v>
      </c>
      <c r="D16" s="48">
        <v>-20</v>
      </c>
      <c r="E16" s="48">
        <v>-13</v>
      </c>
      <c r="F16" s="48">
        <v>-2</v>
      </c>
      <c r="G16" s="48">
        <v>-395</v>
      </c>
      <c r="H16" s="48">
        <v>-14</v>
      </c>
      <c r="I16" s="48">
        <v>-208</v>
      </c>
      <c r="J16" s="48">
        <v>-482</v>
      </c>
      <c r="K16" s="48">
        <v>-74</v>
      </c>
      <c r="L16" s="48">
        <v>-630</v>
      </c>
      <c r="M16" s="48">
        <v>0</v>
      </c>
      <c r="N16" s="48">
        <v>-68173</v>
      </c>
    </row>
    <row r="17" spans="2:14" x14ac:dyDescent="0.3">
      <c r="B17" t="s">
        <v>138</v>
      </c>
      <c r="C17" s="48">
        <v>0</v>
      </c>
      <c r="D17" s="48">
        <v>0</v>
      </c>
      <c r="E17" s="48">
        <v>0</v>
      </c>
      <c r="F17" s="48">
        <v>14</v>
      </c>
      <c r="G17" s="48">
        <v>0</v>
      </c>
      <c r="H17" s="48">
        <v>0</v>
      </c>
      <c r="I17" s="48">
        <v>0</v>
      </c>
      <c r="J17" s="48">
        <v>0</v>
      </c>
      <c r="K17" s="48">
        <v>84</v>
      </c>
      <c r="L17" s="48">
        <v>0</v>
      </c>
      <c r="M17" s="48">
        <v>315</v>
      </c>
      <c r="N17" s="48">
        <v>65737</v>
      </c>
    </row>
    <row r="18" spans="2:14" x14ac:dyDescent="0.3">
      <c r="B18" t="s">
        <v>139</v>
      </c>
      <c r="C18">
        <v>0</v>
      </c>
      <c r="D18">
        <v>5</v>
      </c>
      <c r="E18">
        <v>17</v>
      </c>
      <c r="F18">
        <v>35</v>
      </c>
      <c r="G18" s="48">
        <v>45</v>
      </c>
      <c r="H18" s="48">
        <v>291</v>
      </c>
      <c r="I18" s="48">
        <v>249</v>
      </c>
      <c r="J18" s="48">
        <v>709</v>
      </c>
      <c r="K18" s="48">
        <v>807</v>
      </c>
      <c r="L18" s="48">
        <v>722</v>
      </c>
      <c r="M18" s="48">
        <v>227</v>
      </c>
      <c r="N18">
        <v>917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288</v>
      </c>
      <c r="H22">
        <v>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0</v>
      </c>
      <c r="D23" s="48">
        <v>-580</v>
      </c>
      <c r="E23" s="48">
        <v>-20</v>
      </c>
      <c r="F23" s="48">
        <v>155</v>
      </c>
      <c r="G23" s="48">
        <v>-285</v>
      </c>
      <c r="H23" s="48">
        <v>-2848</v>
      </c>
      <c r="I23" s="48">
        <v>1705</v>
      </c>
      <c r="J23" s="48">
        <v>-746</v>
      </c>
      <c r="K23">
        <v>-6177</v>
      </c>
      <c r="L23" s="48">
        <v>4841</v>
      </c>
      <c r="M23">
        <v>-777</v>
      </c>
      <c r="N23" s="48">
        <v>1469</v>
      </c>
    </row>
    <row r="24" spans="2:14" x14ac:dyDescent="0.3">
      <c r="B24" t="s">
        <v>143</v>
      </c>
      <c r="C24" s="48">
        <v>0</v>
      </c>
      <c r="D24" s="48">
        <v>1559</v>
      </c>
      <c r="E24" s="48">
        <v>3942</v>
      </c>
      <c r="F24" s="48">
        <v>1045</v>
      </c>
      <c r="G24" s="48">
        <v>2161</v>
      </c>
      <c r="H24" s="48">
        <v>7083</v>
      </c>
      <c r="I24" s="48">
        <v>15986</v>
      </c>
      <c r="J24" s="48">
        <v>-2973</v>
      </c>
      <c r="K24" s="48">
        <v>13953</v>
      </c>
      <c r="L24" s="48">
        <v>12068</v>
      </c>
      <c r="M24" s="48">
        <v>15615</v>
      </c>
      <c r="N24" s="48">
        <v>-16147</v>
      </c>
    </row>
    <row r="25" spans="2:14" x14ac:dyDescent="0.3">
      <c r="B25" t="s">
        <v>144</v>
      </c>
      <c r="C25">
        <v>0</v>
      </c>
      <c r="D25">
        <v>1114</v>
      </c>
      <c r="E25" s="48">
        <v>103</v>
      </c>
      <c r="F25">
        <v>0</v>
      </c>
      <c r="G25">
        <v>0</v>
      </c>
      <c r="H25">
        <v>5</v>
      </c>
      <c r="I25">
        <v>0</v>
      </c>
      <c r="J25">
        <v>3898</v>
      </c>
      <c r="K25" s="48">
        <v>0</v>
      </c>
      <c r="L25" s="48">
        <v>0</v>
      </c>
      <c r="M25">
        <v>0</v>
      </c>
      <c r="N25">
        <v>405</v>
      </c>
    </row>
    <row r="26" spans="2:14" x14ac:dyDescent="0.3">
      <c r="B26" t="s">
        <v>145</v>
      </c>
      <c r="C26">
        <v>0</v>
      </c>
      <c r="D26">
        <v>1686</v>
      </c>
      <c r="E26">
        <v>10039</v>
      </c>
      <c r="F26">
        <v>8245</v>
      </c>
      <c r="G26">
        <v>12295</v>
      </c>
      <c r="H26">
        <v>12530</v>
      </c>
      <c r="I26">
        <v>33148</v>
      </c>
      <c r="J26">
        <v>20837</v>
      </c>
      <c r="K26">
        <v>26838</v>
      </c>
      <c r="L26">
        <v>39199</v>
      </c>
      <c r="M26">
        <v>37391</v>
      </c>
      <c r="N26" s="48">
        <v>2120</v>
      </c>
    </row>
    <row r="27" spans="2:14" x14ac:dyDescent="0.3">
      <c r="B27" t="s">
        <v>146</v>
      </c>
      <c r="C27">
        <v>0</v>
      </c>
      <c r="D27">
        <v>-871</v>
      </c>
      <c r="E27">
        <v>-5646</v>
      </c>
      <c r="F27">
        <v>-5942</v>
      </c>
      <c r="G27">
        <v>-8897</v>
      </c>
      <c r="H27">
        <v>-3369</v>
      </c>
      <c r="I27">
        <v>-13915</v>
      </c>
      <c r="J27">
        <v>-22304</v>
      </c>
      <c r="K27">
        <v>-12903</v>
      </c>
      <c r="L27">
        <v>-25015</v>
      </c>
      <c r="M27">
        <v>-20093</v>
      </c>
      <c r="N27">
        <v>-105</v>
      </c>
    </row>
    <row r="28" spans="2:14" x14ac:dyDescent="0.3">
      <c r="B28" t="s">
        <v>147</v>
      </c>
      <c r="C28">
        <v>0</v>
      </c>
      <c r="D28">
        <v>0</v>
      </c>
      <c r="E28">
        <v>-404</v>
      </c>
      <c r="F28">
        <v>-1257</v>
      </c>
      <c r="G28">
        <v>-1109</v>
      </c>
      <c r="H28">
        <v>-1632</v>
      </c>
      <c r="I28">
        <v>-3202</v>
      </c>
      <c r="J28">
        <v>-5139</v>
      </c>
      <c r="K28">
        <v>-4601</v>
      </c>
      <c r="L28">
        <v>-4965</v>
      </c>
      <c r="M28">
        <v>-7434</v>
      </c>
      <c r="N28">
        <v>-82</v>
      </c>
    </row>
    <row r="29" spans="2:14" x14ac:dyDescent="0.3">
      <c r="B29" t="s">
        <v>148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0</v>
      </c>
      <c r="M29" s="48">
        <v>-332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-25</v>
      </c>
      <c r="H30">
        <v>-25</v>
      </c>
      <c r="I30">
        <v>-48</v>
      </c>
      <c r="J30">
        <v>-183</v>
      </c>
      <c r="K30">
        <v>-212</v>
      </c>
      <c r="L30">
        <v>-270</v>
      </c>
      <c r="M30">
        <v>-458</v>
      </c>
      <c r="N30">
        <v>-68</v>
      </c>
    </row>
    <row r="31" spans="2:14" x14ac:dyDescent="0.3">
      <c r="B31" t="s">
        <v>150</v>
      </c>
      <c r="C31">
        <v>0</v>
      </c>
      <c r="D31">
        <v>-370</v>
      </c>
      <c r="E31" s="48">
        <v>-150</v>
      </c>
      <c r="F31" s="48">
        <v>0</v>
      </c>
      <c r="G31" s="48">
        <v>-103</v>
      </c>
      <c r="H31" s="48">
        <v>-426</v>
      </c>
      <c r="I31">
        <v>3</v>
      </c>
      <c r="J31">
        <v>-82</v>
      </c>
      <c r="K31">
        <v>2338</v>
      </c>
      <c r="L31">
        <v>-590</v>
      </c>
      <c r="M31">
        <v>6541</v>
      </c>
      <c r="N31">
        <v>-146</v>
      </c>
    </row>
    <row r="32" spans="2:14" x14ac:dyDescent="0.3">
      <c r="B32" t="s">
        <v>35</v>
      </c>
      <c r="C32">
        <v>0</v>
      </c>
      <c r="D32">
        <v>76</v>
      </c>
      <c r="E32">
        <v>162</v>
      </c>
      <c r="F32">
        <v>3</v>
      </c>
      <c r="G32">
        <v>383</v>
      </c>
      <c r="H32">
        <v>-453</v>
      </c>
      <c r="I32">
        <v>383</v>
      </c>
      <c r="J32">
        <v>435</v>
      </c>
      <c r="K32">
        <v>606</v>
      </c>
      <c r="L32">
        <v>604</v>
      </c>
      <c r="M32">
        <v>-477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Adani Green Energy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1480</v>
      </c>
      <c r="D7" s="106">
        <f>'Data Sheet'!C17</f>
        <v>2058</v>
      </c>
      <c r="E7" s="106">
        <f>'Data Sheet'!D17</f>
        <v>2549</v>
      </c>
      <c r="F7" s="106">
        <f>'Data Sheet'!E17</f>
        <v>3124</v>
      </c>
      <c r="G7" s="106">
        <f>'Data Sheet'!F17</f>
        <v>5133</v>
      </c>
      <c r="H7" s="106">
        <f>'Data Sheet'!G17</f>
        <v>7792</v>
      </c>
      <c r="I7" s="106">
        <f>'Data Sheet'!H17</f>
        <v>9220</v>
      </c>
      <c r="J7" s="106">
        <f>'Data Sheet'!I17</f>
        <v>11212</v>
      </c>
      <c r="K7" s="106">
        <f>'Data Sheet'!J17</f>
        <v>12928</v>
      </c>
      <c r="L7" s="106">
        <f>'Data Sheet'!K17</f>
        <v>13559</v>
      </c>
    </row>
    <row r="8" spans="1:14" x14ac:dyDescent="0.3">
      <c r="B8" t="s">
        <v>22</v>
      </c>
      <c r="C8" s="110" t="s">
        <v>120</v>
      </c>
      <c r="D8" s="111">
        <f>D7/C7-1</f>
        <v>0.39054054054054044</v>
      </c>
      <c r="E8" s="111">
        <f t="shared" ref="E8:L8" si="0">E7/D7-1</f>
        <v>0.23858114674441211</v>
      </c>
      <c r="F8" s="111">
        <f t="shared" si="0"/>
        <v>0.22557865829737156</v>
      </c>
      <c r="G8" s="111">
        <f t="shared" si="0"/>
        <v>0.64308578745198464</v>
      </c>
      <c r="H8" s="111">
        <f t="shared" si="0"/>
        <v>0.51802065069160341</v>
      </c>
      <c r="I8" s="111">
        <f t="shared" si="0"/>
        <v>0.18326488706365507</v>
      </c>
      <c r="J8" s="111">
        <f t="shared" si="0"/>
        <v>0.21605206073752714</v>
      </c>
      <c r="K8" s="111">
        <f t="shared" si="0"/>
        <v>0.15305030324652158</v>
      </c>
      <c r="L8" s="111">
        <f t="shared" si="0"/>
        <v>4.8808787128712838E-2</v>
      </c>
    </row>
    <row r="10" spans="1:14" x14ac:dyDescent="0.3">
      <c r="B10" t="s">
        <v>99</v>
      </c>
      <c r="C10" s="106">
        <f>SUM('Data Sheet'!B18,'Data Sheet'!B20:B22)-'Data Sheet'!B19</f>
        <v>584.44999999999993</v>
      </c>
      <c r="D10" s="106">
        <f>SUM('Data Sheet'!C18,'Data Sheet'!C20:C22)-'Data Sheet'!C19</f>
        <v>255.19</v>
      </c>
      <c r="E10" s="106">
        <f>SUM('Data Sheet'!D18,'Data Sheet'!D20:D22)-'Data Sheet'!D19</f>
        <v>675.23</v>
      </c>
      <c r="F10" s="106">
        <f>SUM('Data Sheet'!E18,'Data Sheet'!E20:E22)-'Data Sheet'!E19</f>
        <v>764.13</v>
      </c>
      <c r="G10" s="106">
        <f>SUM('Data Sheet'!F18,'Data Sheet'!F20:F22)-'Data Sheet'!F19</f>
        <v>1492.16</v>
      </c>
      <c r="H10" s="106">
        <f>SUM('Data Sheet'!G18,'Data Sheet'!G20:G22)-'Data Sheet'!G19</f>
        <v>2077.35</v>
      </c>
      <c r="I10" s="106">
        <f>SUM('Data Sheet'!H18,'Data Sheet'!H20:H22)-'Data Sheet'!H19</f>
        <v>1625.48</v>
      </c>
      <c r="J10" s="106">
        <f>SUM('Data Sheet'!I18,'Data Sheet'!I20:I22)-'Data Sheet'!I19</f>
        <v>1974.43</v>
      </c>
      <c r="K10" s="106">
        <f>SUM('Data Sheet'!J18,'Data Sheet'!J20:J22)-'Data Sheet'!J19</f>
        <v>1400.1100000000001</v>
      </c>
      <c r="L10" s="106">
        <f>SUM('Data Sheet'!K18,'Data Sheet'!K20:K22)-'Data Sheet'!K19</f>
        <v>0</v>
      </c>
    </row>
    <row r="11" spans="1:14" x14ac:dyDescent="0.3">
      <c r="B11" t="s">
        <v>98</v>
      </c>
      <c r="C11" s="112">
        <f>C10/C7</f>
        <v>0.3948986486486486</v>
      </c>
      <c r="D11" s="112">
        <f t="shared" ref="D11:L11" si="1">D10/D7</f>
        <v>0.12399902818270166</v>
      </c>
      <c r="E11" s="112">
        <f t="shared" si="1"/>
        <v>0.26489996076892902</v>
      </c>
      <c r="F11" s="112">
        <f t="shared" si="1"/>
        <v>0.24459987195902688</v>
      </c>
      <c r="G11" s="112">
        <f t="shared" si="1"/>
        <v>0.29069939606467954</v>
      </c>
      <c r="H11" s="112">
        <f t="shared" si="1"/>
        <v>0.26660035934291582</v>
      </c>
      <c r="I11" s="112">
        <f t="shared" si="1"/>
        <v>0.17629934924078092</v>
      </c>
      <c r="J11" s="112">
        <f t="shared" si="1"/>
        <v>0.17609971459150911</v>
      </c>
      <c r="K11" s="112">
        <f t="shared" si="1"/>
        <v>0.10830058787128714</v>
      </c>
      <c r="L11" s="112">
        <f t="shared" si="1"/>
        <v>0</v>
      </c>
    </row>
    <row r="13" spans="1:14" x14ac:dyDescent="0.3">
      <c r="B13" t="s">
        <v>100</v>
      </c>
      <c r="C13" s="106">
        <f>C7-C10</f>
        <v>895.55000000000007</v>
      </c>
      <c r="D13" s="106">
        <f t="shared" ref="D13:L13" si="2">D7-D10</f>
        <v>1802.81</v>
      </c>
      <c r="E13" s="106">
        <f t="shared" si="2"/>
        <v>1873.77</v>
      </c>
      <c r="F13" s="106">
        <f t="shared" si="2"/>
        <v>2359.87</v>
      </c>
      <c r="G13" s="106">
        <f t="shared" si="2"/>
        <v>3640.84</v>
      </c>
      <c r="H13" s="106">
        <f t="shared" si="2"/>
        <v>5714.65</v>
      </c>
      <c r="I13" s="106">
        <f t="shared" si="2"/>
        <v>7594.52</v>
      </c>
      <c r="J13" s="106">
        <f t="shared" si="2"/>
        <v>9237.57</v>
      </c>
      <c r="K13" s="106">
        <f t="shared" si="2"/>
        <v>11527.89</v>
      </c>
      <c r="L13" s="106">
        <f t="shared" si="2"/>
        <v>13559</v>
      </c>
    </row>
    <row r="14" spans="1:14" x14ac:dyDescent="0.3">
      <c r="B14" t="s">
        <v>101</v>
      </c>
      <c r="C14" s="112">
        <f>C13/C7</f>
        <v>0.60510135135135135</v>
      </c>
      <c r="D14" s="112">
        <f t="shared" ref="D14:L14" si="3">D13/D7</f>
        <v>0.8760009718172983</v>
      </c>
      <c r="E14" s="112">
        <f t="shared" si="3"/>
        <v>0.73510003923107103</v>
      </c>
      <c r="F14" s="112">
        <f t="shared" si="3"/>
        <v>0.75540012804097312</v>
      </c>
      <c r="G14" s="112">
        <f t="shared" si="3"/>
        <v>0.70930060393532046</v>
      </c>
      <c r="H14" s="112">
        <f t="shared" si="3"/>
        <v>0.73339964065708418</v>
      </c>
      <c r="I14" s="112">
        <f t="shared" si="3"/>
        <v>0.82370065075921917</v>
      </c>
      <c r="J14" s="112">
        <f t="shared" si="3"/>
        <v>0.82390028540849092</v>
      </c>
      <c r="K14" s="112">
        <f t="shared" si="3"/>
        <v>0.89169941212871284</v>
      </c>
      <c r="L14" s="112">
        <f t="shared" si="3"/>
        <v>1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895.55000000000007</v>
      </c>
      <c r="D19" s="106">
        <f t="shared" ref="D19:L19" si="5">D13-D16</f>
        <v>1802.81</v>
      </c>
      <c r="E19" s="106">
        <f t="shared" si="5"/>
        <v>1873.77</v>
      </c>
      <c r="F19" s="106">
        <f t="shared" si="5"/>
        <v>2359.87</v>
      </c>
      <c r="G19" s="106">
        <f t="shared" si="5"/>
        <v>3640.84</v>
      </c>
      <c r="H19" s="106">
        <f t="shared" si="5"/>
        <v>5714.65</v>
      </c>
      <c r="I19" s="106">
        <f t="shared" si="5"/>
        <v>7594.52</v>
      </c>
      <c r="J19" s="106">
        <f t="shared" si="5"/>
        <v>9237.57</v>
      </c>
      <c r="K19" s="106">
        <f t="shared" si="5"/>
        <v>11527.89</v>
      </c>
      <c r="L19" s="106">
        <f t="shared" si="5"/>
        <v>13559</v>
      </c>
    </row>
    <row r="20" spans="2:12" x14ac:dyDescent="0.3">
      <c r="B20" t="s">
        <v>104</v>
      </c>
      <c r="C20" s="112">
        <f>C19/C7</f>
        <v>0.60510135135135135</v>
      </c>
      <c r="D20" s="112">
        <f t="shared" ref="D20:L20" si="6">D19/D7</f>
        <v>0.8760009718172983</v>
      </c>
      <c r="E20" s="112">
        <f t="shared" si="6"/>
        <v>0.73510003923107103</v>
      </c>
      <c r="F20" s="112">
        <f t="shared" si="6"/>
        <v>0.75540012804097312</v>
      </c>
      <c r="G20" s="112">
        <f t="shared" si="6"/>
        <v>0.70930060393532046</v>
      </c>
      <c r="H20" s="112">
        <f t="shared" si="6"/>
        <v>0.73339964065708418</v>
      </c>
      <c r="I20" s="112">
        <f t="shared" si="6"/>
        <v>0.82370065075921917</v>
      </c>
      <c r="J20" s="112">
        <f t="shared" si="6"/>
        <v>0.82390028540849092</v>
      </c>
      <c r="K20" s="112">
        <f t="shared" si="6"/>
        <v>0.89169941212871284</v>
      </c>
      <c r="L20" s="112">
        <f t="shared" si="6"/>
        <v>1</v>
      </c>
    </row>
    <row r="22" spans="2:12" x14ac:dyDescent="0.3">
      <c r="B22" t="s">
        <v>10</v>
      </c>
      <c r="C22" s="106">
        <f>'Data Sheet'!B26</f>
        <v>543</v>
      </c>
      <c r="D22" s="106">
        <f>'Data Sheet'!C26</f>
        <v>1062</v>
      </c>
      <c r="E22" s="106">
        <f>'Data Sheet'!D26</f>
        <v>394</v>
      </c>
      <c r="F22" s="106">
        <f>'Data Sheet'!E26</f>
        <v>486</v>
      </c>
      <c r="G22" s="106">
        <f>'Data Sheet'!F26</f>
        <v>849</v>
      </c>
      <c r="H22" s="106">
        <f>'Data Sheet'!G26</f>
        <v>1300</v>
      </c>
      <c r="I22" s="106">
        <f>'Data Sheet'!H26</f>
        <v>1903</v>
      </c>
      <c r="J22" s="106">
        <f>'Data Sheet'!I26</f>
        <v>2498</v>
      </c>
      <c r="K22" s="106">
        <f>'Data Sheet'!J26</f>
        <v>3372</v>
      </c>
      <c r="L22" s="106">
        <f>'Data Sheet'!K26</f>
        <v>3631</v>
      </c>
    </row>
    <row r="23" spans="2:12" x14ac:dyDescent="0.3">
      <c r="B23" t="s">
        <v>105</v>
      </c>
      <c r="C23" s="112">
        <f>C22/C7</f>
        <v>0.36689189189189192</v>
      </c>
      <c r="D23" s="112">
        <f t="shared" ref="D23:L23" si="7">D22/D7</f>
        <v>0.51603498542274051</v>
      </c>
      <c r="E23" s="112">
        <f t="shared" si="7"/>
        <v>0.15457041977245978</v>
      </c>
      <c r="F23" s="112">
        <f t="shared" si="7"/>
        <v>0.15556978233034571</v>
      </c>
      <c r="G23" s="112">
        <f t="shared" si="7"/>
        <v>0.16540035067212155</v>
      </c>
      <c r="H23" s="112">
        <f t="shared" si="7"/>
        <v>0.16683778234086241</v>
      </c>
      <c r="I23" s="112">
        <f t="shared" si="7"/>
        <v>0.20639913232104121</v>
      </c>
      <c r="J23" s="112">
        <f t="shared" si="7"/>
        <v>0.22279700321084553</v>
      </c>
      <c r="K23" s="112">
        <f t="shared" si="7"/>
        <v>0.26082920792079206</v>
      </c>
      <c r="L23" s="112">
        <f t="shared" si="7"/>
        <v>0.26779261007448929</v>
      </c>
    </row>
    <row r="25" spans="2:12" x14ac:dyDescent="0.3">
      <c r="B25" t="s">
        <v>106</v>
      </c>
      <c r="C25" s="106">
        <f>C19-C22</f>
        <v>352.55000000000007</v>
      </c>
      <c r="D25" s="106">
        <f t="shared" ref="D25:L25" si="8">D19-D22</f>
        <v>740.81</v>
      </c>
      <c r="E25" s="106">
        <f t="shared" si="8"/>
        <v>1479.77</v>
      </c>
      <c r="F25" s="106">
        <f t="shared" si="8"/>
        <v>1873.87</v>
      </c>
      <c r="G25" s="106">
        <f t="shared" si="8"/>
        <v>2791.84</v>
      </c>
      <c r="H25" s="106">
        <f t="shared" si="8"/>
        <v>4414.6499999999996</v>
      </c>
      <c r="I25" s="106">
        <f t="shared" si="8"/>
        <v>5691.52</v>
      </c>
      <c r="J25" s="106">
        <f t="shared" si="8"/>
        <v>6739.57</v>
      </c>
      <c r="K25" s="106">
        <f t="shared" si="8"/>
        <v>8155.8899999999994</v>
      </c>
      <c r="L25" s="106">
        <f t="shared" si="8"/>
        <v>9928</v>
      </c>
    </row>
    <row r="26" spans="2:12" x14ac:dyDescent="0.3">
      <c r="B26" t="s">
        <v>107</v>
      </c>
      <c r="C26" s="112">
        <f>C25/C7</f>
        <v>0.23820945945945951</v>
      </c>
      <c r="D26" s="112">
        <f t="shared" ref="D26:L26" si="9">D25/D7</f>
        <v>0.35996598639455779</v>
      </c>
      <c r="E26" s="112">
        <f t="shared" si="9"/>
        <v>0.58052961945861126</v>
      </c>
      <c r="F26" s="112">
        <f t="shared" si="9"/>
        <v>0.59983034571062732</v>
      </c>
      <c r="G26" s="112">
        <f t="shared" si="9"/>
        <v>0.54390025326319891</v>
      </c>
      <c r="H26" s="112">
        <f t="shared" si="9"/>
        <v>0.56656185831622174</v>
      </c>
      <c r="I26" s="112">
        <f t="shared" si="9"/>
        <v>0.61730151843817793</v>
      </c>
      <c r="J26" s="112">
        <f t="shared" si="9"/>
        <v>0.60110328219764531</v>
      </c>
      <c r="K26" s="112">
        <f t="shared" si="9"/>
        <v>0.63087020420792073</v>
      </c>
      <c r="L26" s="112">
        <f t="shared" si="9"/>
        <v>0.73220738992551071</v>
      </c>
    </row>
    <row r="28" spans="2:12" x14ac:dyDescent="0.3">
      <c r="B28" t="s">
        <v>11</v>
      </c>
      <c r="C28" s="106">
        <f>'Data Sheet'!B27</f>
        <v>552</v>
      </c>
      <c r="D28" s="106">
        <f>'Data Sheet'!C27</f>
        <v>1121</v>
      </c>
      <c r="E28" s="106">
        <f>'Data Sheet'!D27</f>
        <v>995</v>
      </c>
      <c r="F28" s="106">
        <f>'Data Sheet'!E27</f>
        <v>1953</v>
      </c>
      <c r="G28" s="106">
        <f>'Data Sheet'!F27</f>
        <v>2617</v>
      </c>
      <c r="H28" s="106">
        <f>'Data Sheet'!G27</f>
        <v>2911</v>
      </c>
      <c r="I28" s="106">
        <f>'Data Sheet'!H27</f>
        <v>5006</v>
      </c>
      <c r="J28" s="106">
        <f>'Data Sheet'!I27</f>
        <v>5492</v>
      </c>
      <c r="K28" s="106">
        <f>'Data Sheet'!J27</f>
        <v>6484</v>
      </c>
      <c r="L28" s="106">
        <f>'Data Sheet'!K27</f>
        <v>6960</v>
      </c>
    </row>
    <row r="29" spans="2:12" x14ac:dyDescent="0.3">
      <c r="B29" t="s">
        <v>108</v>
      </c>
      <c r="C29" s="112">
        <f>C28/C7</f>
        <v>0.37297297297297299</v>
      </c>
      <c r="D29" s="112">
        <f t="shared" ref="D29:L29" si="10">D28/D7</f>
        <v>0.54470359572400384</v>
      </c>
      <c r="E29" s="112">
        <f t="shared" si="10"/>
        <v>0.39034915653197333</v>
      </c>
      <c r="F29" s="112">
        <f t="shared" si="10"/>
        <v>0.62516005121638929</v>
      </c>
      <c r="G29" s="112">
        <f t="shared" si="10"/>
        <v>0.50983830118838891</v>
      </c>
      <c r="H29" s="112">
        <f t="shared" si="10"/>
        <v>0.37358829568788499</v>
      </c>
      <c r="I29" s="112">
        <f t="shared" si="10"/>
        <v>0.5429501084598698</v>
      </c>
      <c r="J29" s="112">
        <f t="shared" si="10"/>
        <v>0.4898323225115947</v>
      </c>
      <c r="K29" s="112">
        <f t="shared" si="10"/>
        <v>0.50154702970297027</v>
      </c>
      <c r="L29" s="112">
        <f t="shared" si="10"/>
        <v>0.51331219116454019</v>
      </c>
    </row>
    <row r="31" spans="2:12" x14ac:dyDescent="0.3">
      <c r="B31" t="s">
        <v>109</v>
      </c>
      <c r="C31" s="106">
        <f>C25-C28</f>
        <v>-199.44999999999993</v>
      </c>
      <c r="D31" s="106">
        <f t="shared" ref="D31:L31" si="11">D25-D28</f>
        <v>-380.19000000000005</v>
      </c>
      <c r="E31" s="106">
        <f t="shared" si="11"/>
        <v>484.77</v>
      </c>
      <c r="F31" s="106">
        <f t="shared" si="11"/>
        <v>-79.130000000000109</v>
      </c>
      <c r="G31" s="106">
        <f t="shared" si="11"/>
        <v>174.84000000000015</v>
      </c>
      <c r="H31" s="106">
        <f t="shared" si="11"/>
        <v>1503.6499999999996</v>
      </c>
      <c r="I31" s="106">
        <f t="shared" si="11"/>
        <v>685.52000000000044</v>
      </c>
      <c r="J31" s="106">
        <f t="shared" si="11"/>
        <v>1247.5699999999997</v>
      </c>
      <c r="K31" s="106">
        <f t="shared" si="11"/>
        <v>1671.8899999999994</v>
      </c>
      <c r="L31" s="106">
        <f t="shared" si="11"/>
        <v>2968</v>
      </c>
    </row>
    <row r="32" spans="2:12" x14ac:dyDescent="0.3">
      <c r="B32" t="s">
        <v>110</v>
      </c>
      <c r="C32" s="112">
        <f>C31/C7</f>
        <v>-0.13476351351351346</v>
      </c>
      <c r="D32" s="112">
        <f t="shared" ref="D32:L32" si="12">D31/D7</f>
        <v>-0.18473760932944608</v>
      </c>
      <c r="E32" s="112">
        <f t="shared" si="12"/>
        <v>0.1901804629266379</v>
      </c>
      <c r="F32" s="112">
        <f t="shared" si="12"/>
        <v>-2.5329705505761878E-2</v>
      </c>
      <c r="G32" s="112">
        <f t="shared" si="12"/>
        <v>3.4061952074810081E-2</v>
      </c>
      <c r="H32" s="112">
        <f t="shared" si="12"/>
        <v>0.1929735626283367</v>
      </c>
      <c r="I32" s="112">
        <f t="shared" si="12"/>
        <v>7.4351409978308067E-2</v>
      </c>
      <c r="J32" s="112">
        <f t="shared" si="12"/>
        <v>0.11127095968605064</v>
      </c>
      <c r="K32" s="112">
        <f t="shared" si="12"/>
        <v>0.12932317450495046</v>
      </c>
      <c r="L32" s="112">
        <f t="shared" si="12"/>
        <v>0.21889519876097058</v>
      </c>
    </row>
    <row r="34" spans="2:12" x14ac:dyDescent="0.3">
      <c r="B34" t="s">
        <v>111</v>
      </c>
      <c r="C34" s="107">
        <f>'Data Sheet'!B29</f>
        <v>-210</v>
      </c>
      <c r="D34" s="107">
        <f>'Data Sheet'!C29</f>
        <v>-585</v>
      </c>
      <c r="E34" s="107">
        <f>'Data Sheet'!D29</f>
        <v>-50</v>
      </c>
      <c r="F34" s="107">
        <f>'Data Sheet'!E29</f>
        <v>187</v>
      </c>
      <c r="G34" s="107">
        <f>'Data Sheet'!F29</f>
        <v>553</v>
      </c>
      <c r="H34" s="107">
        <f>'Data Sheet'!G29</f>
        <v>1426</v>
      </c>
      <c r="I34" s="107">
        <f>'Data Sheet'!H29</f>
        <v>1671</v>
      </c>
      <c r="J34" s="107">
        <f>'Data Sheet'!I29</f>
        <v>2215</v>
      </c>
      <c r="K34" s="107">
        <f>'Data Sheet'!J29</f>
        <v>2001</v>
      </c>
      <c r="L34" s="107">
        <f>'Data Sheet'!K29</f>
        <v>1833</v>
      </c>
    </row>
    <row r="35" spans="2:12" x14ac:dyDescent="0.3">
      <c r="B35" t="s">
        <v>112</v>
      </c>
      <c r="C35" s="112">
        <f>C34/C31</f>
        <v>1.0528954625219358</v>
      </c>
      <c r="D35" s="112">
        <f t="shared" ref="D35:L35" si="13">D34/D31</f>
        <v>1.5387043320445037</v>
      </c>
      <c r="E35" s="112">
        <f t="shared" si="13"/>
        <v>-0.10314169606205005</v>
      </c>
      <c r="F35" s="112">
        <f t="shared" si="13"/>
        <v>-2.3631997978010837</v>
      </c>
      <c r="G35" s="112">
        <f t="shared" si="13"/>
        <v>3.1628917867764788</v>
      </c>
      <c r="H35" s="112">
        <f t="shared" si="13"/>
        <v>0.94835899311674943</v>
      </c>
      <c r="I35" s="112">
        <f t="shared" si="13"/>
        <v>2.4375656435990183</v>
      </c>
      <c r="J35" s="112">
        <f t="shared" si="13"/>
        <v>1.775451477672596</v>
      </c>
      <c r="K35" s="112">
        <f t="shared" si="13"/>
        <v>1.1968490749989538</v>
      </c>
      <c r="L35" s="112">
        <f t="shared" si="13"/>
        <v>0.61758760107816713</v>
      </c>
    </row>
    <row r="37" spans="2:12" x14ac:dyDescent="0.3">
      <c r="B37" t="s">
        <v>123</v>
      </c>
      <c r="C37" s="106">
        <f>C31-C34</f>
        <v>10.550000000000068</v>
      </c>
      <c r="D37" s="106">
        <f t="shared" ref="D37:L37" si="14">D31-D34</f>
        <v>204.80999999999995</v>
      </c>
      <c r="E37" s="106">
        <f t="shared" si="14"/>
        <v>534.77</v>
      </c>
      <c r="F37" s="106">
        <f t="shared" si="14"/>
        <v>-266.13000000000011</v>
      </c>
      <c r="G37" s="106">
        <f t="shared" si="14"/>
        <v>-378.15999999999985</v>
      </c>
      <c r="H37" s="106">
        <f t="shared" si="14"/>
        <v>77.649999999999636</v>
      </c>
      <c r="I37" s="106">
        <f t="shared" si="14"/>
        <v>-985.47999999999956</v>
      </c>
      <c r="J37" s="106">
        <f t="shared" si="14"/>
        <v>-967.43000000000029</v>
      </c>
      <c r="K37" s="106">
        <f t="shared" si="14"/>
        <v>-329.11000000000058</v>
      </c>
      <c r="L37" s="106">
        <f t="shared" si="14"/>
        <v>1135</v>
      </c>
    </row>
    <row r="38" spans="2:12" x14ac:dyDescent="0.3">
      <c r="B38" t="s">
        <v>124</v>
      </c>
      <c r="C38" s="112">
        <f>C37/C7</f>
        <v>7.1283783783784244E-3</v>
      </c>
      <c r="D38" s="112">
        <f t="shared" ref="D38:L38" si="15">D37/D7</f>
        <v>9.951895043731776E-2</v>
      </c>
      <c r="E38" s="112">
        <f t="shared" si="15"/>
        <v>0.20979599843075716</v>
      </c>
      <c r="F38" s="112">
        <f t="shared" si="15"/>
        <v>-8.5188860435339339E-2</v>
      </c>
      <c r="G38" s="112">
        <f t="shared" si="15"/>
        <v>-7.3672316384180758E-2</v>
      </c>
      <c r="H38" s="112">
        <f t="shared" si="15"/>
        <v>9.9653490759753129E-3</v>
      </c>
      <c r="I38" s="112">
        <f t="shared" si="15"/>
        <v>-0.1068850325379609</v>
      </c>
      <c r="J38" s="112">
        <f t="shared" si="15"/>
        <v>-8.6285230110595815E-2</v>
      </c>
      <c r="K38" s="112">
        <f t="shared" si="15"/>
        <v>-2.5457147277227768E-2</v>
      </c>
      <c r="L38" s="112">
        <f t="shared" si="15"/>
        <v>8.3708238070654181E-2</v>
      </c>
    </row>
    <row r="40" spans="2:12" x14ac:dyDescent="0.3">
      <c r="B40" t="s">
        <v>74</v>
      </c>
      <c r="C40">
        <f>'Data Sheet'!B93</f>
        <v>164.7</v>
      </c>
      <c r="D40">
        <f>'Data Sheet'!C93</f>
        <v>164.7</v>
      </c>
      <c r="E40">
        <f>'Data Sheet'!D93</f>
        <v>164.7</v>
      </c>
      <c r="F40">
        <f>'Data Sheet'!E93</f>
        <v>164.7</v>
      </c>
      <c r="G40">
        <f>'Data Sheet'!F93</f>
        <v>164.7</v>
      </c>
      <c r="H40">
        <f>'Data Sheet'!G93</f>
        <v>164.7</v>
      </c>
      <c r="I40">
        <f>'Data Sheet'!H93</f>
        <v>164.7</v>
      </c>
      <c r="J40">
        <f>'Data Sheet'!I93</f>
        <v>164.7</v>
      </c>
      <c r="K40">
        <f>'Data Sheet'!J93</f>
        <v>164.7</v>
      </c>
      <c r="L40">
        <f>'Data Sheet'!K93</f>
        <v>164.7</v>
      </c>
    </row>
    <row r="42" spans="2:12" x14ac:dyDescent="0.3">
      <c r="B42" t="s">
        <v>113</v>
      </c>
      <c r="C42" s="106">
        <f>C37/C40</f>
        <v>6.4055859137826771E-2</v>
      </c>
      <c r="D42" s="106">
        <f t="shared" ref="D42:L42" si="16">D37/D40</f>
        <v>1.2435336976320581</v>
      </c>
      <c r="E42" s="106">
        <f t="shared" si="16"/>
        <v>3.2469338190649668</v>
      </c>
      <c r="F42" s="106">
        <f t="shared" si="16"/>
        <v>-1.6158469945355198</v>
      </c>
      <c r="G42" s="106">
        <f t="shared" si="16"/>
        <v>-2.2960534304796592</v>
      </c>
      <c r="H42" s="106">
        <f t="shared" si="16"/>
        <v>0.47146326654523157</v>
      </c>
      <c r="I42" s="106">
        <f t="shared" si="16"/>
        <v>-5.9834851244687286</v>
      </c>
      <c r="J42" s="106">
        <f t="shared" si="16"/>
        <v>-5.8738919247115993</v>
      </c>
      <c r="K42" s="106">
        <f t="shared" si="16"/>
        <v>-1.9982392228293904</v>
      </c>
      <c r="L42" s="106">
        <f t="shared" si="16"/>
        <v>6.8913175470552526</v>
      </c>
    </row>
    <row r="43" spans="2:12" x14ac:dyDescent="0.3">
      <c r="B43" t="s">
        <v>114</v>
      </c>
      <c r="C43" s="111" t="s">
        <v>120</v>
      </c>
      <c r="D43" s="111">
        <f>D42/C42-1</f>
        <v>18.413270142179964</v>
      </c>
      <c r="E43" s="111">
        <f t="shared" ref="E43:L43" si="17">E42/D42-1</f>
        <v>1.6110541477466924</v>
      </c>
      <c r="F43" s="111">
        <f t="shared" si="17"/>
        <v>-1.4976531967013857</v>
      </c>
      <c r="G43" s="111">
        <f t="shared" si="17"/>
        <v>0.4209596813587333</v>
      </c>
      <c r="H43" s="111">
        <f t="shared" si="17"/>
        <v>-1.2053363655595506</v>
      </c>
      <c r="I43" s="111">
        <f t="shared" si="17"/>
        <v>-13.691307147456589</v>
      </c>
      <c r="J43" s="111">
        <f t="shared" si="17"/>
        <v>-1.8315947558549373E-2</v>
      </c>
      <c r="K43" s="111">
        <f t="shared" si="17"/>
        <v>-0.65981001209389778</v>
      </c>
      <c r="L43" s="111">
        <f t="shared" si="17"/>
        <v>-4.4486949652091941</v>
      </c>
    </row>
    <row r="45" spans="2:12" x14ac:dyDescent="0.3">
      <c r="B45" t="s">
        <v>115</v>
      </c>
      <c r="C45" s="106">
        <f>'Data Sheet'!B31/'Historical FS'!C40</f>
        <v>0</v>
      </c>
      <c r="D45" s="106">
        <f>'Data Sheet'!C31/'Historical FS'!D40</f>
        <v>0</v>
      </c>
      <c r="E45" s="106">
        <f>'Data Sheet'!D31/'Historical FS'!E40</f>
        <v>0</v>
      </c>
      <c r="F45" s="106">
        <f>'Data Sheet'!E31/'Historical FS'!F40</f>
        <v>0</v>
      </c>
      <c r="G45" s="106">
        <f>'Data Sheet'!F31/'Historical FS'!G40</f>
        <v>0</v>
      </c>
      <c r="H45" s="106">
        <f>'Data Sheet'!G31/'Historical FS'!H40</f>
        <v>0</v>
      </c>
      <c r="I45" s="106">
        <f>'Data Sheet'!H31/'Historical FS'!I40</f>
        <v>0</v>
      </c>
      <c r="J45" s="106">
        <f>'Data Sheet'!I31/'Historical FS'!J40</f>
        <v>0</v>
      </c>
      <c r="K45" s="106">
        <f>'Data Sheet'!J31/'Historical FS'!K40</f>
        <v>0</v>
      </c>
      <c r="L45" s="106">
        <f>'Data Sheet'!K31/'Historical FS'!L40</f>
        <v>0</v>
      </c>
    </row>
    <row r="46" spans="2:12" x14ac:dyDescent="0.3">
      <c r="B46" t="s">
        <v>116</v>
      </c>
      <c r="C46" s="112">
        <f>C45/C42</f>
        <v>0</v>
      </c>
      <c r="D46" s="112">
        <f t="shared" ref="D46:L46" si="18">D45/D42</f>
        <v>0</v>
      </c>
      <c r="E46" s="112">
        <f t="shared" si="18"/>
        <v>0</v>
      </c>
      <c r="F46" s="112">
        <f t="shared" si="18"/>
        <v>0</v>
      </c>
      <c r="G46" s="112">
        <f t="shared" si="18"/>
        <v>0</v>
      </c>
      <c r="H46" s="112">
        <f t="shared" si="18"/>
        <v>0</v>
      </c>
      <c r="I46" s="112">
        <f t="shared" si="18"/>
        <v>0</v>
      </c>
      <c r="J46" s="112">
        <f t="shared" si="18"/>
        <v>0</v>
      </c>
      <c r="K46" s="112">
        <f t="shared" si="18"/>
        <v>0</v>
      </c>
      <c r="L46" s="112">
        <f t="shared" si="18"/>
        <v>0</v>
      </c>
    </row>
    <row r="48" spans="2:12" x14ac:dyDescent="0.3">
      <c r="B48" t="s">
        <v>117</v>
      </c>
      <c r="C48" s="36">
        <f>(1-C46)</f>
        <v>1</v>
      </c>
      <c r="D48" s="36">
        <f t="shared" ref="D48:L48" si="19">(1-D46)</f>
        <v>1</v>
      </c>
      <c r="E48" s="36">
        <f t="shared" si="19"/>
        <v>1</v>
      </c>
      <c r="F48" s="36">
        <f t="shared" si="19"/>
        <v>1</v>
      </c>
      <c r="G48" s="36">
        <f t="shared" si="19"/>
        <v>1</v>
      </c>
      <c r="H48" s="36">
        <f t="shared" si="19"/>
        <v>1</v>
      </c>
      <c r="I48" s="36">
        <f t="shared" si="19"/>
        <v>1</v>
      </c>
      <c r="J48" s="36">
        <f t="shared" si="19"/>
        <v>1</v>
      </c>
      <c r="K48" s="36">
        <f t="shared" si="19"/>
        <v>1</v>
      </c>
      <c r="L48" s="36">
        <f t="shared" si="19"/>
        <v>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1274</v>
      </c>
      <c r="D51" s="106">
        <f>'Data Sheet'!C57</f>
        <v>1564</v>
      </c>
      <c r="E51" s="106">
        <f>'Data Sheet'!D57</f>
        <v>1564</v>
      </c>
      <c r="F51" s="106">
        <f>'Data Sheet'!E57</f>
        <v>1564</v>
      </c>
      <c r="G51" s="106">
        <f>'Data Sheet'!F57</f>
        <v>1564</v>
      </c>
      <c r="H51" s="106">
        <f>'Data Sheet'!G57</f>
        <v>1564</v>
      </c>
      <c r="I51" s="106">
        <f>'Data Sheet'!H57</f>
        <v>1584</v>
      </c>
      <c r="J51" s="106">
        <f>'Data Sheet'!I57</f>
        <v>1584</v>
      </c>
      <c r="K51" s="106">
        <f>'Data Sheet'!J57</f>
        <v>1584</v>
      </c>
      <c r="L51" s="106">
        <f>'Data Sheet'!K57</f>
        <v>1647</v>
      </c>
    </row>
    <row r="52" spans="2:15" x14ac:dyDescent="0.3">
      <c r="B52" s="33" t="str">
        <f>'Data Sheet'!A58</f>
        <v>Reserves</v>
      </c>
      <c r="C52" s="106">
        <f>'Data Sheet'!B58</f>
        <v>-71</v>
      </c>
      <c r="D52" s="106">
        <f>'Data Sheet'!C58</f>
        <v>-223</v>
      </c>
      <c r="E52" s="106">
        <f>'Data Sheet'!D58</f>
        <v>369</v>
      </c>
      <c r="F52" s="106">
        <f>'Data Sheet'!E58</f>
        <v>792</v>
      </c>
      <c r="G52" s="106">
        <f>'Data Sheet'!F58</f>
        <v>636</v>
      </c>
      <c r="H52" s="106">
        <f>'Data Sheet'!G58</f>
        <v>1050</v>
      </c>
      <c r="I52" s="106">
        <f>'Data Sheet'!H58</f>
        <v>5720</v>
      </c>
      <c r="J52" s="106">
        <f>'Data Sheet'!I58</f>
        <v>8250</v>
      </c>
      <c r="K52" s="106">
        <f>'Data Sheet'!J58</f>
        <v>10553</v>
      </c>
      <c r="L52" s="106">
        <f>'Data Sheet'!K58</f>
        <v>18318</v>
      </c>
    </row>
    <row r="53" spans="2:15" x14ac:dyDescent="0.3">
      <c r="B53" s="33" t="str">
        <f>'Data Sheet'!A59</f>
        <v>Borrowings</v>
      </c>
      <c r="C53" s="106">
        <f>'Data Sheet'!B59</f>
        <v>4347</v>
      </c>
      <c r="D53" s="106">
        <f>'Data Sheet'!C59</f>
        <v>9864</v>
      </c>
      <c r="E53" s="106">
        <f>'Data Sheet'!D59</f>
        <v>11142</v>
      </c>
      <c r="F53" s="106">
        <f>'Data Sheet'!E59</f>
        <v>14867</v>
      </c>
      <c r="G53" s="106">
        <f>'Data Sheet'!F59</f>
        <v>24209</v>
      </c>
      <c r="H53" s="106">
        <f>'Data Sheet'!G59</f>
        <v>52832</v>
      </c>
      <c r="I53" s="106">
        <f>'Data Sheet'!H59</f>
        <v>54223</v>
      </c>
      <c r="J53" s="106">
        <f>'Data Sheet'!I59</f>
        <v>64858</v>
      </c>
      <c r="K53" s="106">
        <f>'Data Sheet'!J59</f>
        <v>80040</v>
      </c>
      <c r="L53" s="106">
        <f>'Data Sheet'!K59</f>
        <v>103545</v>
      </c>
    </row>
    <row r="54" spans="2:15" x14ac:dyDescent="0.3">
      <c r="B54" s="33" t="str">
        <f>'Data Sheet'!A60</f>
        <v>Other Liabilities</v>
      </c>
      <c r="C54" s="106">
        <f>'Data Sheet'!B60</f>
        <v>610</v>
      </c>
      <c r="D54" s="106">
        <f>'Data Sheet'!C60</f>
        <v>4503</v>
      </c>
      <c r="E54" s="106">
        <f>'Data Sheet'!D60</f>
        <v>1582</v>
      </c>
      <c r="F54" s="106">
        <f>'Data Sheet'!E60</f>
        <v>1201</v>
      </c>
      <c r="G54" s="106">
        <f>'Data Sheet'!F60</f>
        <v>2283</v>
      </c>
      <c r="H54" s="106">
        <f>'Data Sheet'!G60</f>
        <v>3508</v>
      </c>
      <c r="I54" s="106">
        <f>'Data Sheet'!H60</f>
        <v>5382</v>
      </c>
      <c r="J54" s="106">
        <f>'Data Sheet'!I60</f>
        <v>13394</v>
      </c>
      <c r="K54" s="106">
        <f>'Data Sheet'!J60</f>
        <v>18587</v>
      </c>
      <c r="L54" s="106">
        <f>'Data Sheet'!K60</f>
        <v>19478</v>
      </c>
    </row>
    <row r="55" spans="2:15" x14ac:dyDescent="0.3">
      <c r="B55" s="33" t="s">
        <v>95</v>
      </c>
      <c r="C55" s="106">
        <f>SUM(C51:C54)</f>
        <v>6160</v>
      </c>
      <c r="D55" s="106">
        <f t="shared" ref="D55:L55" si="20">SUM(D51:D54)</f>
        <v>15708</v>
      </c>
      <c r="E55" s="106">
        <f t="shared" si="20"/>
        <v>14657</v>
      </c>
      <c r="F55" s="106">
        <f t="shared" si="20"/>
        <v>18424</v>
      </c>
      <c r="G55" s="106">
        <f t="shared" si="20"/>
        <v>28692</v>
      </c>
      <c r="H55" s="106">
        <f t="shared" si="20"/>
        <v>58954</v>
      </c>
      <c r="I55" s="106">
        <f t="shared" si="20"/>
        <v>66909</v>
      </c>
      <c r="J55" s="106">
        <f t="shared" si="20"/>
        <v>88086</v>
      </c>
      <c r="K55" s="106">
        <f t="shared" si="20"/>
        <v>110764</v>
      </c>
      <c r="L55" s="106">
        <f t="shared" si="20"/>
        <v>142988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4341</v>
      </c>
      <c r="D57" s="106">
        <f>'Data Sheet'!C62</f>
        <v>9120</v>
      </c>
      <c r="E57" s="106">
        <f>'Data Sheet'!D62</f>
        <v>10388</v>
      </c>
      <c r="F57" s="106">
        <f>'Data Sheet'!E62</f>
        <v>12554</v>
      </c>
      <c r="G57" s="106">
        <f>'Data Sheet'!F62</f>
        <v>16429</v>
      </c>
      <c r="H57" s="106">
        <f>'Data Sheet'!G62</f>
        <v>28452</v>
      </c>
      <c r="I57" s="106">
        <f>'Data Sheet'!H62</f>
        <v>48336</v>
      </c>
      <c r="J57" s="106">
        <f>'Data Sheet'!I62</f>
        <v>62284</v>
      </c>
      <c r="K57" s="106">
        <f>'Data Sheet'!J62</f>
        <v>79914</v>
      </c>
      <c r="L57" s="106">
        <f>'Data Sheet'!K62</f>
        <v>102138</v>
      </c>
    </row>
    <row r="58" spans="2:15" x14ac:dyDescent="0.3">
      <c r="B58" s="33" t="str">
        <f>'Data Sheet'!A63</f>
        <v>Capital Work in Progress</v>
      </c>
      <c r="C58" s="106">
        <f>'Data Sheet'!B63</f>
        <v>267</v>
      </c>
      <c r="D58" s="106">
        <f>'Data Sheet'!C63</f>
        <v>1725</v>
      </c>
      <c r="E58" s="106">
        <f>'Data Sheet'!D63</f>
        <v>743</v>
      </c>
      <c r="F58" s="106">
        <f>'Data Sheet'!E63</f>
        <v>1208</v>
      </c>
      <c r="G58" s="106">
        <f>'Data Sheet'!F63</f>
        <v>4452</v>
      </c>
      <c r="H58" s="106">
        <f>'Data Sheet'!G63</f>
        <v>19899</v>
      </c>
      <c r="I58" s="106">
        <f>'Data Sheet'!H63</f>
        <v>5291</v>
      </c>
      <c r="J58" s="106">
        <f>'Data Sheet'!I63</f>
        <v>6427</v>
      </c>
      <c r="K58" s="106">
        <f>'Data Sheet'!J63</f>
        <v>14480</v>
      </c>
      <c r="L58" s="106">
        <f>'Data Sheet'!K63</f>
        <v>19031</v>
      </c>
    </row>
    <row r="59" spans="2:15" x14ac:dyDescent="0.3">
      <c r="B59" s="33" t="str">
        <f>'Data Sheet'!A64</f>
        <v>Investments</v>
      </c>
      <c r="C59" s="106">
        <f>'Data Sheet'!B64</f>
        <v>26</v>
      </c>
      <c r="D59" s="106">
        <f>'Data Sheet'!C64</f>
        <v>87</v>
      </c>
      <c r="E59" s="106">
        <f>'Data Sheet'!D64</f>
        <v>77</v>
      </c>
      <c r="F59" s="106">
        <f>'Data Sheet'!E64</f>
        <v>477</v>
      </c>
      <c r="G59" s="106">
        <f>'Data Sheet'!F64</f>
        <v>502</v>
      </c>
      <c r="H59" s="106">
        <f>'Data Sheet'!G64</f>
        <v>574</v>
      </c>
      <c r="I59" s="106">
        <f>'Data Sheet'!H64</f>
        <v>1149</v>
      </c>
      <c r="J59" s="106">
        <f>'Data Sheet'!I64</f>
        <v>1515</v>
      </c>
      <c r="K59" s="106">
        <f>'Data Sheet'!J64</f>
        <v>2743</v>
      </c>
      <c r="L59" s="106">
        <f>'Data Sheet'!K64</f>
        <v>2983</v>
      </c>
    </row>
    <row r="60" spans="2:15" x14ac:dyDescent="0.3">
      <c r="B60" s="33" t="str">
        <f>'Data Sheet'!A65</f>
        <v>Other Assets</v>
      </c>
      <c r="C60" s="106">
        <f>'Data Sheet'!B75</f>
        <v>1002</v>
      </c>
      <c r="D60" s="106">
        <f>'Data Sheet'!C75</f>
        <v>1780</v>
      </c>
      <c r="E60" s="106">
        <f>'Data Sheet'!D75</f>
        <v>2194</v>
      </c>
      <c r="F60" s="106">
        <f>'Data Sheet'!E75</f>
        <v>2646</v>
      </c>
      <c r="G60" s="106">
        <f>'Data Sheet'!F75</f>
        <v>5058</v>
      </c>
      <c r="H60" s="106">
        <f>'Data Sheet'!G75</f>
        <v>6610</v>
      </c>
      <c r="I60" s="106">
        <f>'Data Sheet'!H75</f>
        <v>7891</v>
      </c>
      <c r="J60" s="106">
        <f>'Data Sheet'!I75</f>
        <v>7463</v>
      </c>
      <c r="K60" s="106">
        <f>'Data Sheet'!J75</f>
        <v>8654</v>
      </c>
      <c r="L60" s="106">
        <f>'Data Sheet'!K75</f>
        <v>13805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5636</v>
      </c>
      <c r="D61" s="106">
        <f>SUM(D57:D60)</f>
        <v>12712</v>
      </c>
      <c r="E61" s="106">
        <f t="shared" ref="E61:L61" si="21">SUM(E57:E60)</f>
        <v>13402</v>
      </c>
      <c r="F61" s="106">
        <f t="shared" si="21"/>
        <v>16885</v>
      </c>
      <c r="G61" s="106">
        <f t="shared" si="21"/>
        <v>26441</v>
      </c>
      <c r="H61" s="106">
        <f t="shared" si="21"/>
        <v>55535</v>
      </c>
      <c r="I61" s="106">
        <f t="shared" si="21"/>
        <v>62667</v>
      </c>
      <c r="J61" s="106">
        <f t="shared" si="21"/>
        <v>77689</v>
      </c>
      <c r="K61" s="106">
        <f t="shared" si="21"/>
        <v>105791</v>
      </c>
      <c r="L61" s="106">
        <f t="shared" si="21"/>
        <v>137957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336</v>
      </c>
      <c r="D63" s="106">
        <f>'Data Sheet'!C67</f>
        <v>848</v>
      </c>
      <c r="E63" s="106">
        <f>'Data Sheet'!D67</f>
        <v>758</v>
      </c>
      <c r="F63" s="106">
        <f>'Data Sheet'!E67</f>
        <v>740</v>
      </c>
      <c r="G63" s="106">
        <f>'Data Sheet'!F67</f>
        <v>1203</v>
      </c>
      <c r="H63" s="106">
        <f>'Data Sheet'!G67</f>
        <v>1809</v>
      </c>
      <c r="I63" s="106">
        <f>'Data Sheet'!H67</f>
        <v>2206</v>
      </c>
      <c r="J63" s="106">
        <f>'Data Sheet'!I67</f>
        <v>1342</v>
      </c>
      <c r="K63" s="106">
        <f>'Data Sheet'!J67</f>
        <v>1540</v>
      </c>
      <c r="L63" s="106">
        <f>'Data Sheet'!K67</f>
        <v>2129</v>
      </c>
    </row>
    <row r="64" spans="2:15" x14ac:dyDescent="0.3">
      <c r="B64" s="33" t="str">
        <f>'Data Sheet'!A68</f>
        <v>Inventory</v>
      </c>
      <c r="C64" s="106">
        <f>'Data Sheet'!B68</f>
        <v>0</v>
      </c>
      <c r="D64" s="106">
        <f>'Data Sheet'!C68</f>
        <v>1692</v>
      </c>
      <c r="E64" s="106">
        <f>'Data Sheet'!D68</f>
        <v>136</v>
      </c>
      <c r="F64" s="106">
        <f>'Data Sheet'!E68</f>
        <v>104</v>
      </c>
      <c r="G64" s="106">
        <f>'Data Sheet'!F68</f>
        <v>29</v>
      </c>
      <c r="H64" s="106">
        <f>'Data Sheet'!G68</f>
        <v>17</v>
      </c>
      <c r="I64" s="106">
        <f>'Data Sheet'!H68</f>
        <v>52</v>
      </c>
      <c r="J64" s="106">
        <f>'Data Sheet'!I68</f>
        <v>291</v>
      </c>
      <c r="K64" s="106">
        <f>'Data Sheet'!J68</f>
        <v>101</v>
      </c>
      <c r="L64" s="106">
        <f>'Data Sheet'!K68</f>
        <v>136</v>
      </c>
    </row>
    <row r="65" spans="2:13" x14ac:dyDescent="0.3">
      <c r="B65" s="33" t="str">
        <f>'Data Sheet'!A69</f>
        <v>Cash &amp; Bank</v>
      </c>
      <c r="C65" s="106">
        <f>'Data Sheet'!B69</f>
        <v>187</v>
      </c>
      <c r="D65" s="106">
        <f>'Data Sheet'!C69</f>
        <v>457</v>
      </c>
      <c r="E65" s="106">
        <f>'Data Sheet'!D69</f>
        <v>361</v>
      </c>
      <c r="F65" s="106">
        <f>'Data Sheet'!E69</f>
        <v>695</v>
      </c>
      <c r="G65" s="106">
        <f>'Data Sheet'!F69</f>
        <v>1019</v>
      </c>
      <c r="H65" s="106">
        <f>'Data Sheet'!G69</f>
        <v>1593</v>
      </c>
      <c r="I65" s="106">
        <f>'Data Sheet'!H69</f>
        <v>1984</v>
      </c>
      <c r="J65" s="106">
        <f>'Data Sheet'!I69</f>
        <v>8764</v>
      </c>
      <c r="K65" s="106">
        <f>'Data Sheet'!J69</f>
        <v>3332</v>
      </c>
      <c r="L65" s="106">
        <f>'Data Sheet'!K69</f>
        <v>2766</v>
      </c>
    </row>
    <row r="66" spans="2:13" x14ac:dyDescent="0.3">
      <c r="B66" s="33" t="s">
        <v>126</v>
      </c>
      <c r="C66" s="106">
        <f>SUM(C63:C65)</f>
        <v>523</v>
      </c>
      <c r="D66" s="106">
        <f t="shared" ref="D66:L66" si="22">SUM(D63:D65)</f>
        <v>2997</v>
      </c>
      <c r="E66" s="106">
        <f t="shared" si="22"/>
        <v>1255</v>
      </c>
      <c r="F66" s="106">
        <f t="shared" si="22"/>
        <v>1539</v>
      </c>
      <c r="G66" s="106">
        <f t="shared" si="22"/>
        <v>2251</v>
      </c>
      <c r="H66" s="106">
        <f t="shared" si="22"/>
        <v>3419</v>
      </c>
      <c r="I66" s="106">
        <f t="shared" si="22"/>
        <v>4242</v>
      </c>
      <c r="J66" s="106">
        <f t="shared" si="22"/>
        <v>10397</v>
      </c>
      <c r="K66" s="106">
        <f t="shared" si="22"/>
        <v>4973</v>
      </c>
      <c r="L66" s="106">
        <f t="shared" si="22"/>
        <v>5031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6159</v>
      </c>
      <c r="D68" s="106">
        <f t="shared" ref="D68:L68" si="23">D61+D66</f>
        <v>15709</v>
      </c>
      <c r="E68" s="106">
        <f t="shared" si="23"/>
        <v>14657</v>
      </c>
      <c r="F68" s="106">
        <f t="shared" si="23"/>
        <v>18424</v>
      </c>
      <c r="G68" s="106">
        <f t="shared" si="23"/>
        <v>28692</v>
      </c>
      <c r="H68" s="106">
        <f t="shared" si="23"/>
        <v>58954</v>
      </c>
      <c r="I68" s="106">
        <f t="shared" si="23"/>
        <v>66909</v>
      </c>
      <c r="J68" s="106">
        <f t="shared" si="23"/>
        <v>88086</v>
      </c>
      <c r="K68" s="106">
        <f t="shared" si="23"/>
        <v>110764</v>
      </c>
      <c r="L68" s="106">
        <f t="shared" si="23"/>
        <v>142988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860</v>
      </c>
      <c r="D74" s="106">
        <f>'Cash Flow Statement'!F7</f>
        <v>1561</v>
      </c>
      <c r="E74" s="106">
        <f>'Cash Flow Statement'!G7</f>
        <v>1776</v>
      </c>
      <c r="F74" s="106">
        <f>'Cash Flow Statement'!H7</f>
        <v>2244</v>
      </c>
      <c r="G74" s="106">
        <f>'Cash Flow Statement'!I7</f>
        <v>3545</v>
      </c>
      <c r="H74" s="106">
        <f>'Cash Flow Statement'!J7</f>
        <v>5571</v>
      </c>
      <c r="I74" s="106">
        <f>'Cash Flow Statement'!K7</f>
        <v>7346</v>
      </c>
      <c r="J74" s="106">
        <f>'Cash Flow Statement'!L7</f>
        <v>9046</v>
      </c>
      <c r="K74" s="106">
        <f>'Cash Flow Statement'!M7</f>
        <v>10912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-512</v>
      </c>
      <c r="D75" s="106">
        <f>'Cash Flow Statement'!F8</f>
        <v>90</v>
      </c>
      <c r="E75" s="106">
        <f>'Cash Flow Statement'!G8</f>
        <v>10</v>
      </c>
      <c r="F75" s="106">
        <f>'Cash Flow Statement'!H8</f>
        <v>-346</v>
      </c>
      <c r="G75" s="106">
        <f>'Cash Flow Statement'!I8</f>
        <v>-109</v>
      </c>
      <c r="H75" s="106">
        <f>'Cash Flow Statement'!J8</f>
        <v>-450</v>
      </c>
      <c r="I75" s="106">
        <f>'Cash Flow Statement'!K8</f>
        <v>893</v>
      </c>
      <c r="J75" s="106">
        <f>'Cash Flow Statement'!L8</f>
        <v>-222</v>
      </c>
      <c r="K75" s="106">
        <f>'Cash Flow Statement'!M8</f>
        <v>-626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-1692</v>
      </c>
      <c r="D76" s="106">
        <f>'Cash Flow Statement'!F9</f>
        <v>1556</v>
      </c>
      <c r="E76" s="106">
        <f>'Cash Flow Statement'!G9</f>
        <v>32</v>
      </c>
      <c r="F76" s="106">
        <f>'Cash Flow Statement'!H9</f>
        <v>75</v>
      </c>
      <c r="G76" s="106">
        <f>'Cash Flow Statement'!I9</f>
        <v>12</v>
      </c>
      <c r="H76" s="106">
        <f>'Cash Flow Statement'!J9</f>
        <v>-27</v>
      </c>
      <c r="I76" s="106">
        <f>'Cash Flow Statement'!K9</f>
        <v>-252</v>
      </c>
      <c r="J76" s="106">
        <f>'Cash Flow Statement'!L9</f>
        <v>190</v>
      </c>
      <c r="K76" s="106">
        <f>'Cash Flow Statement'!M9</f>
        <v>-35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90</v>
      </c>
      <c r="D77" s="106">
        <f>'Cash Flow Statement'!F10</f>
        <v>63</v>
      </c>
      <c r="E77" s="106">
        <f>'Cash Flow Statement'!G10</f>
        <v>15</v>
      </c>
      <c r="F77" s="106">
        <f>'Cash Flow Statement'!H10</f>
        <v>-106</v>
      </c>
      <c r="G77" s="106">
        <f>'Cash Flow Statement'!I10</f>
        <v>-172</v>
      </c>
      <c r="H77" s="106">
        <f>'Cash Flow Statement'!J10</f>
        <v>316</v>
      </c>
      <c r="I77" s="106">
        <f>'Cash Flow Statement'!K10</f>
        <v>122</v>
      </c>
      <c r="J77" s="106">
        <f>'Cash Flow Statement'!L10</f>
        <v>148</v>
      </c>
      <c r="K77" s="106">
        <f>'Cash Flow Statement'!M10</f>
        <v>1531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-205</v>
      </c>
      <c r="D78" s="106">
        <f>'Cash Flow Statement'!F11</f>
        <v>92</v>
      </c>
      <c r="E78" s="106">
        <f>'Cash Flow Statement'!G11</f>
        <v>207</v>
      </c>
      <c r="F78" s="106">
        <f>'Cash Flow Statement'!H11</f>
        <v>-629</v>
      </c>
      <c r="G78" s="106">
        <f>'Cash Flow Statement'!I11</f>
        <v>-465</v>
      </c>
      <c r="H78" s="106">
        <f>'Cash Flow Statement'!J11</f>
        <v>1683</v>
      </c>
      <c r="I78" s="106">
        <f>'Cash Flow Statement'!K11</f>
        <v>417</v>
      </c>
      <c r="J78" s="106">
        <f>'Cash Flow Statement'!L11</f>
        <v>-460</v>
      </c>
      <c r="K78" s="106">
        <f>'Cash Flow Statement'!M11</f>
        <v>-634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-6</v>
      </c>
      <c r="D79" s="106">
        <f>'Cash Flow Statement'!F12</f>
        <v>-29</v>
      </c>
      <c r="E79" s="106">
        <f>'Cash Flow Statement'!G12</f>
        <v>-18</v>
      </c>
      <c r="F79" s="106">
        <f>'Cash Flow Statement'!H12</f>
        <v>-14</v>
      </c>
      <c r="G79" s="106">
        <f>'Cash Flow Statement'!I12</f>
        <v>-20</v>
      </c>
      <c r="H79" s="106">
        <f>'Cash Flow Statement'!J12</f>
        <v>11</v>
      </c>
      <c r="I79" s="106">
        <f>'Cash Flow Statement'!K12</f>
        <v>-50</v>
      </c>
      <c r="J79" s="106">
        <f>'Cash Flow Statement'!L12</f>
        <v>-222</v>
      </c>
      <c r="K79" s="106">
        <f>'Cash Flow Statement'!M12</f>
        <v>-143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-1465</v>
      </c>
      <c r="D80" s="106">
        <f t="shared" si="25"/>
        <v>3333</v>
      </c>
      <c r="E80" s="106">
        <f t="shared" si="25"/>
        <v>2022</v>
      </c>
      <c r="F80" s="106">
        <f>SUM(F74:F79)</f>
        <v>1224</v>
      </c>
      <c r="G80" s="106">
        <f t="shared" si="25"/>
        <v>2791</v>
      </c>
      <c r="H80" s="106">
        <f t="shared" si="25"/>
        <v>7104</v>
      </c>
      <c r="I80" s="106">
        <f t="shared" si="25"/>
        <v>8476</v>
      </c>
      <c r="J80" s="106">
        <f t="shared" si="25"/>
        <v>8480</v>
      </c>
      <c r="K80" s="106">
        <f t="shared" si="25"/>
        <v>11005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-4428</v>
      </c>
      <c r="D83" s="106">
        <f>'Cash Flow Statement'!F14</f>
        <v>-2869</v>
      </c>
      <c r="E83" s="106">
        <f>'Cash Flow Statement'!G14</f>
        <v>-3399</v>
      </c>
      <c r="F83" s="106">
        <f>'Cash Flow Statement'!H14</f>
        <v>-6143</v>
      </c>
      <c r="G83" s="106">
        <f>'Cash Flow Statement'!I14</f>
        <v>-14792</v>
      </c>
      <c r="H83" s="106">
        <f>'Cash Flow Statement'!J14</f>
        <v>-3376</v>
      </c>
      <c r="I83" s="106">
        <f>'Cash Flow Statement'!K14</f>
        <v>-15773</v>
      </c>
      <c r="J83" s="106">
        <f>'Cash Flow Statement'!L14</f>
        <v>-24776</v>
      </c>
      <c r="K83" s="106">
        <f>'Cash Flow Statement'!M14</f>
        <v>-26097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16</v>
      </c>
      <c r="D84" s="106">
        <f>'Cash Flow Statement'!F15</f>
        <v>1</v>
      </c>
      <c r="E84" s="106">
        <f>'Cash Flow Statement'!G15</f>
        <v>3</v>
      </c>
      <c r="F84" s="106">
        <f>'Cash Flow Statement'!H15</f>
        <v>13</v>
      </c>
      <c r="G84" s="106">
        <f>'Cash Flow Statement'!I15</f>
        <v>4</v>
      </c>
      <c r="H84" s="106">
        <f>'Cash Flow Statement'!J15</f>
        <v>38</v>
      </c>
      <c r="I84" s="106">
        <f>'Cash Flow Statement'!K15</f>
        <v>73</v>
      </c>
      <c r="J84" s="106">
        <f>'Cash Flow Statement'!L15</f>
        <v>15</v>
      </c>
      <c r="K84" s="106">
        <f>'Cash Flow Statement'!M15</f>
        <v>105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-13</v>
      </c>
      <c r="D85" s="106">
        <f>'Cash Flow Statement'!F16</f>
        <v>-2</v>
      </c>
      <c r="E85" s="106">
        <f>'Cash Flow Statement'!G16</f>
        <v>-395</v>
      </c>
      <c r="F85" s="106">
        <f>'Cash Flow Statement'!H16</f>
        <v>-14</v>
      </c>
      <c r="G85" s="106">
        <f>'Cash Flow Statement'!I16</f>
        <v>-208</v>
      </c>
      <c r="H85" s="106">
        <f>'Cash Flow Statement'!J16</f>
        <v>-482</v>
      </c>
      <c r="I85" s="106">
        <f>'Cash Flow Statement'!K16</f>
        <v>-74</v>
      </c>
      <c r="J85" s="106">
        <f>'Cash Flow Statement'!L16</f>
        <v>-630</v>
      </c>
      <c r="K85" s="106">
        <f>'Cash Flow Statement'!M16</f>
        <v>0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0</v>
      </c>
      <c r="D86" s="106">
        <f>'Cash Flow Statement'!F17</f>
        <v>14</v>
      </c>
      <c r="E86" s="106">
        <f>'Cash Flow Statement'!G17</f>
        <v>0</v>
      </c>
      <c r="F86" s="106">
        <f>'Cash Flow Statement'!H17</f>
        <v>0</v>
      </c>
      <c r="G86" s="106">
        <f>'Cash Flow Statement'!I17</f>
        <v>0</v>
      </c>
      <c r="H86" s="106">
        <f>'Cash Flow Statement'!J17</f>
        <v>0</v>
      </c>
      <c r="I86" s="106">
        <f>'Cash Flow Statement'!K17</f>
        <v>84</v>
      </c>
      <c r="J86" s="106">
        <f>'Cash Flow Statement'!L17</f>
        <v>0</v>
      </c>
      <c r="K86" s="106">
        <f>'Cash Flow Statement'!M17</f>
        <v>315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17</v>
      </c>
      <c r="D87" s="106">
        <f>'Cash Flow Statement'!F18</f>
        <v>35</v>
      </c>
      <c r="E87" s="106">
        <f>'Cash Flow Statement'!G18</f>
        <v>45</v>
      </c>
      <c r="F87" s="106">
        <f>'Cash Flow Statement'!H18</f>
        <v>291</v>
      </c>
      <c r="G87" s="106">
        <f>'Cash Flow Statement'!I18</f>
        <v>249</v>
      </c>
      <c r="H87" s="106">
        <f>'Cash Flow Statement'!J18</f>
        <v>709</v>
      </c>
      <c r="I87" s="106">
        <f>'Cash Flow Statement'!K18</f>
        <v>807</v>
      </c>
      <c r="J87" s="106">
        <f>'Cash Flow Statement'!L18</f>
        <v>722</v>
      </c>
      <c r="K87" s="106">
        <f>'Cash Flow Statement'!M18</f>
        <v>227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0</v>
      </c>
      <c r="D88" s="106">
        <f>'Cash Flow Statement'!F19</f>
        <v>0</v>
      </c>
      <c r="E88" s="106">
        <f>'Cash Flow Statement'!G19</f>
        <v>0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0</v>
      </c>
      <c r="I88" s="106">
        <f>'Cash Flow Statement'!K19</f>
        <v>0</v>
      </c>
      <c r="J88" s="106">
        <f>'Cash Flow Statement'!L19</f>
        <v>0</v>
      </c>
      <c r="K88" s="106">
        <f>'Cash Flow Statement'!M19</f>
        <v>0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288</v>
      </c>
      <c r="F91" s="106">
        <f>'Cash Flow Statement'!H22</f>
        <v>53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-20</v>
      </c>
      <c r="D92" s="106">
        <f>'Cash Flow Statement'!F23</f>
        <v>155</v>
      </c>
      <c r="E92" s="106">
        <f>'Cash Flow Statement'!G23</f>
        <v>-285</v>
      </c>
      <c r="F92" s="106">
        <f>'Cash Flow Statement'!H23</f>
        <v>-2848</v>
      </c>
      <c r="G92" s="106">
        <f>'Cash Flow Statement'!I23</f>
        <v>1705</v>
      </c>
      <c r="H92" s="106">
        <f>'Cash Flow Statement'!J23</f>
        <v>-746</v>
      </c>
      <c r="I92" s="106">
        <f>'Cash Flow Statement'!K23</f>
        <v>-6177</v>
      </c>
      <c r="J92" s="106">
        <f>'Cash Flow Statement'!L23</f>
        <v>4841</v>
      </c>
      <c r="K92" s="106">
        <f>'Cash Flow Statement'!M23</f>
        <v>-777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-4428</v>
      </c>
      <c r="D93" s="106">
        <f t="shared" ref="D93:K93" si="26">SUM(D83:D92)</f>
        <v>-2666</v>
      </c>
      <c r="E93" s="106">
        <f t="shared" si="26"/>
        <v>-3743</v>
      </c>
      <c r="F93" s="106">
        <f t="shared" si="26"/>
        <v>-8648</v>
      </c>
      <c r="G93" s="106">
        <f t="shared" si="26"/>
        <v>-13042</v>
      </c>
      <c r="H93" s="106">
        <f t="shared" si="26"/>
        <v>-3857</v>
      </c>
      <c r="I93" s="106">
        <f t="shared" si="26"/>
        <v>-21060</v>
      </c>
      <c r="J93" s="106">
        <f t="shared" si="26"/>
        <v>-19828</v>
      </c>
      <c r="K93" s="106">
        <f t="shared" si="26"/>
        <v>-26227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103</v>
      </c>
      <c r="D96" s="106">
        <f>'Cash Flow Statement'!F25</f>
        <v>0</v>
      </c>
      <c r="E96" s="106">
        <f>'Cash Flow Statement'!G25</f>
        <v>0</v>
      </c>
      <c r="F96" s="106">
        <f>'Cash Flow Statement'!H25</f>
        <v>5</v>
      </c>
      <c r="G96" s="106">
        <f>'Cash Flow Statement'!I25</f>
        <v>0</v>
      </c>
      <c r="H96" s="106">
        <f>'Cash Flow Statement'!J25</f>
        <v>3898</v>
      </c>
      <c r="I96" s="106">
        <f>'Cash Flow Statement'!K25</f>
        <v>0</v>
      </c>
      <c r="J96" s="106">
        <f>'Cash Flow Statement'!L25</f>
        <v>0</v>
      </c>
      <c r="K96" s="106">
        <f>'Cash Flow Statement'!M25</f>
        <v>0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10039</v>
      </c>
      <c r="D97" s="106">
        <f>'Cash Flow Statement'!F26</f>
        <v>8245</v>
      </c>
      <c r="E97" s="106">
        <f>'Cash Flow Statement'!G26</f>
        <v>12295</v>
      </c>
      <c r="F97" s="106">
        <f>'Cash Flow Statement'!H26</f>
        <v>12530</v>
      </c>
      <c r="G97" s="106">
        <f>'Cash Flow Statement'!I26</f>
        <v>33148</v>
      </c>
      <c r="H97" s="106">
        <f>'Cash Flow Statement'!J26</f>
        <v>20837</v>
      </c>
      <c r="I97" s="106">
        <f>'Cash Flow Statement'!K26</f>
        <v>26838</v>
      </c>
      <c r="J97" s="106">
        <f>'Cash Flow Statement'!L26</f>
        <v>39199</v>
      </c>
      <c r="K97" s="106">
        <f>'Cash Flow Statement'!M26</f>
        <v>37391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-5646</v>
      </c>
      <c r="D98" s="106">
        <f>'Cash Flow Statement'!F27</f>
        <v>-5942</v>
      </c>
      <c r="E98" s="106">
        <f>'Cash Flow Statement'!G27</f>
        <v>-8897</v>
      </c>
      <c r="F98" s="106">
        <f>'Cash Flow Statement'!H27</f>
        <v>-3369</v>
      </c>
      <c r="G98" s="106">
        <f>'Cash Flow Statement'!I27</f>
        <v>-13915</v>
      </c>
      <c r="H98" s="106">
        <f>'Cash Flow Statement'!J27</f>
        <v>-22304</v>
      </c>
      <c r="I98" s="106">
        <f>'Cash Flow Statement'!K27</f>
        <v>-12903</v>
      </c>
      <c r="J98" s="106">
        <f>'Cash Flow Statement'!L27</f>
        <v>-25015</v>
      </c>
      <c r="K98" s="106">
        <f>'Cash Flow Statement'!M27</f>
        <v>-20093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-404</v>
      </c>
      <c r="D99" s="106">
        <f>'Cash Flow Statement'!F28</f>
        <v>-1257</v>
      </c>
      <c r="E99" s="106">
        <f>'Cash Flow Statement'!G28</f>
        <v>-1109</v>
      </c>
      <c r="F99" s="106">
        <f>'Cash Flow Statement'!H28</f>
        <v>-1632</v>
      </c>
      <c r="G99" s="106">
        <f>'Cash Flow Statement'!I28</f>
        <v>-3202</v>
      </c>
      <c r="H99" s="106">
        <f>'Cash Flow Statement'!J28</f>
        <v>-5139</v>
      </c>
      <c r="I99" s="106">
        <f>'Cash Flow Statement'!K28</f>
        <v>-4601</v>
      </c>
      <c r="J99" s="106">
        <f>'Cash Flow Statement'!L28</f>
        <v>-4965</v>
      </c>
      <c r="K99" s="106">
        <f>'Cash Flow Statement'!M28</f>
        <v>-7434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0</v>
      </c>
      <c r="E100" s="106">
        <f>'Cash Flow Statement'!G29</f>
        <v>0</v>
      </c>
      <c r="F100" s="106">
        <f>'Cash Flow Statement'!H29</f>
        <v>0</v>
      </c>
      <c r="G100" s="106">
        <f>'Cash Flow Statement'!I29</f>
        <v>0</v>
      </c>
      <c r="H100" s="106">
        <f>'Cash Flow Statement'!J29</f>
        <v>0</v>
      </c>
      <c r="I100" s="106">
        <f>'Cash Flow Statement'!K29</f>
        <v>0</v>
      </c>
      <c r="J100" s="106">
        <f>'Cash Flow Statement'!L29</f>
        <v>0</v>
      </c>
      <c r="K100" s="106">
        <f>'Cash Flow Statement'!M29</f>
        <v>-332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-25</v>
      </c>
      <c r="F101" s="106">
        <f>'Cash Flow Statement'!H30</f>
        <v>-25</v>
      </c>
      <c r="G101" s="106">
        <f>'Cash Flow Statement'!I30</f>
        <v>-48</v>
      </c>
      <c r="H101" s="106">
        <f>'Cash Flow Statement'!J30</f>
        <v>-183</v>
      </c>
      <c r="I101" s="106">
        <f>'Cash Flow Statement'!K30</f>
        <v>-212</v>
      </c>
      <c r="J101" s="106">
        <f>'Cash Flow Statement'!L30</f>
        <v>-270</v>
      </c>
      <c r="K101" s="106">
        <f>'Cash Flow Statement'!M30</f>
        <v>-458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-150</v>
      </c>
      <c r="D102" s="106">
        <f>'Cash Flow Statement'!F31</f>
        <v>0</v>
      </c>
      <c r="E102" s="106">
        <f>'Cash Flow Statement'!G31</f>
        <v>-103</v>
      </c>
      <c r="F102" s="106">
        <f>'Cash Flow Statement'!H31</f>
        <v>-426</v>
      </c>
      <c r="G102" s="106">
        <f>'Cash Flow Statement'!I31</f>
        <v>3</v>
      </c>
      <c r="H102" s="106">
        <f>'Cash Flow Statement'!J31</f>
        <v>-82</v>
      </c>
      <c r="I102" s="106">
        <f>'Cash Flow Statement'!K31</f>
        <v>2338</v>
      </c>
      <c r="J102" s="106">
        <f>'Cash Flow Statement'!L31</f>
        <v>-590</v>
      </c>
      <c r="K102" s="106">
        <f>'Cash Flow Statement'!M31</f>
        <v>6541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3942</v>
      </c>
      <c r="D103" s="106">
        <f t="shared" ref="D103:L103" si="27">SUM(D96:D102)</f>
        <v>1046</v>
      </c>
      <c r="E103" s="106">
        <f t="shared" si="27"/>
        <v>2161</v>
      </c>
      <c r="F103" s="106">
        <f t="shared" si="27"/>
        <v>7083</v>
      </c>
      <c r="G103" s="106">
        <f t="shared" si="27"/>
        <v>15986</v>
      </c>
      <c r="H103" s="106">
        <f t="shared" si="27"/>
        <v>-2973</v>
      </c>
      <c r="I103" s="106">
        <f t="shared" si="27"/>
        <v>11460</v>
      </c>
      <c r="J103" s="106">
        <f t="shared" si="27"/>
        <v>8359</v>
      </c>
      <c r="K103" s="106">
        <f t="shared" si="27"/>
        <v>15615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-1951</v>
      </c>
      <c r="D105" s="106">
        <f t="shared" ref="D105:L105" si="28">D80+D93+D103</f>
        <v>1713</v>
      </c>
      <c r="E105" s="106">
        <f t="shared" si="28"/>
        <v>440</v>
      </c>
      <c r="F105" s="106">
        <f t="shared" si="28"/>
        <v>-341</v>
      </c>
      <c r="G105" s="106">
        <f t="shared" si="28"/>
        <v>5735</v>
      </c>
      <c r="H105" s="106">
        <f t="shared" si="28"/>
        <v>274</v>
      </c>
      <c r="I105" s="106">
        <f t="shared" si="28"/>
        <v>-1124</v>
      </c>
      <c r="J105" s="106">
        <f t="shared" si="28"/>
        <v>-2989</v>
      </c>
      <c r="K105" s="106">
        <f t="shared" si="28"/>
        <v>393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Adani Green Energy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0.39054054054054044</v>
      </c>
      <c r="E5" s="36">
        <f>IFERROR('Historical FS'!E8,0)</f>
        <v>0.23858114674441211</v>
      </c>
      <c r="F5" s="36">
        <f>IFERROR('Historical FS'!F8,0)</f>
        <v>0.22557865829737156</v>
      </c>
      <c r="G5" s="36">
        <f>IFERROR('Historical FS'!G8,0)</f>
        <v>0.64308578745198464</v>
      </c>
      <c r="H5" s="36">
        <f>IFERROR('Historical FS'!H8,0)</f>
        <v>0.51802065069160341</v>
      </c>
      <c r="I5" s="36">
        <f>IFERROR('Historical FS'!I8,0)</f>
        <v>0.18326488706365507</v>
      </c>
      <c r="J5" s="36">
        <f>IFERROR('Historical FS'!J8,0)</f>
        <v>0.21605206073752714</v>
      </c>
      <c r="K5" s="36">
        <f>IFERROR('Historical FS'!K8,0)</f>
        <v>0.15305030324652158</v>
      </c>
      <c r="L5" s="36">
        <f>IFERROR('Historical FS'!L8,0)</f>
        <v>4.8808787128712838E-2</v>
      </c>
      <c r="N5" s="46">
        <f>IFERROR(AVERAGE(D5:L5),0)</f>
        <v>0.29077586910025871</v>
      </c>
      <c r="O5" s="46">
        <f>IFERROR(MEDIAN(D5:L5),0)</f>
        <v>0.22557865829737156</v>
      </c>
    </row>
    <row r="6" spans="2:15" x14ac:dyDescent="0.3">
      <c r="B6" t="s">
        <v>166</v>
      </c>
      <c r="C6" s="36"/>
      <c r="D6" s="36">
        <f>IFERROR(('Historical FS'!D19/'Historical FS'!C19-1),0)</f>
        <v>1.0130757634972918</v>
      </c>
      <c r="E6" s="36">
        <f>IFERROR(('Historical FS'!E19/'Historical FS'!D19-1),0)</f>
        <v>3.9360775677969473E-2</v>
      </c>
      <c r="F6" s="36">
        <f>IFERROR(('Historical FS'!F19/'Historical FS'!E19-1),0)</f>
        <v>0.25942351515927786</v>
      </c>
      <c r="G6" s="36">
        <f>IFERROR(('Historical FS'!G19/'Historical FS'!F19-1),0)</f>
        <v>0.54281379906520288</v>
      </c>
      <c r="H6" s="36">
        <f>IFERROR(('Historical FS'!H19/'Historical FS'!G19-1),0)</f>
        <v>0.56959657661418772</v>
      </c>
      <c r="I6" s="36">
        <f>IFERROR(('Historical FS'!I19/'Historical FS'!H19-1),0)</f>
        <v>0.32895627903721159</v>
      </c>
      <c r="J6" s="36">
        <f>IFERROR(('Historical FS'!J19/'Historical FS'!I19-1),0)</f>
        <v>0.21634678689370745</v>
      </c>
      <c r="K6" s="36">
        <f>IFERROR(('Historical FS'!K19/'Historical FS'!J19-1),0)</f>
        <v>0.24793533364293863</v>
      </c>
      <c r="L6" s="36">
        <f>IFERROR(('Historical FS'!L19/'Historical FS'!K19-1),0)</f>
        <v>0.17619095949041852</v>
      </c>
      <c r="N6" s="46">
        <f>IFERROR(AVERAGE(D6:L6),0)</f>
        <v>0.37707775434202279</v>
      </c>
      <c r="O6" s="46">
        <f>IFERROR(MEDIAN(D6:L6),0)</f>
        <v>0.25942351515927786</v>
      </c>
    </row>
    <row r="7" spans="2:15" x14ac:dyDescent="0.3">
      <c r="B7" t="s">
        <v>165</v>
      </c>
      <c r="C7" s="36"/>
      <c r="D7" s="36">
        <f>IFERROR(('Historical FS'!D25/'Historical FS'!C25-1),0)</f>
        <v>1.1012905970784281</v>
      </c>
      <c r="E7" s="36">
        <f>IFERROR(('Historical FS'!E25/'Historical FS'!D25-1),0)</f>
        <v>0.99750273349441843</v>
      </c>
      <c r="F7" s="36">
        <f>IFERROR(('Historical FS'!F25/'Historical FS'!E25-1),0)</f>
        <v>0.26632517215513207</v>
      </c>
      <c r="G7" s="36">
        <f>IFERROR(('Historical FS'!G25/'Historical FS'!F25-1),0)</f>
        <v>0.48987923388495491</v>
      </c>
      <c r="H7" s="36">
        <f>IFERROR(('Historical FS'!H25/'Historical FS'!G25-1),0)</f>
        <v>0.58126898389592507</v>
      </c>
      <c r="I7" s="36">
        <f>IFERROR(('Historical FS'!I25/'Historical FS'!H25-1),0)</f>
        <v>0.2892347071681789</v>
      </c>
      <c r="J7" s="36">
        <f>IFERROR(('Historical FS'!J25/'Historical FS'!I25-1),0)</f>
        <v>0.18414237321488791</v>
      </c>
      <c r="K7" s="36">
        <f>IFERROR(('Historical FS'!K25/'Historical FS'!J25-1),0)</f>
        <v>0.21014990570615044</v>
      </c>
      <c r="L7" s="36">
        <f>IFERROR(('Historical FS'!L25/'Historical FS'!K25-1),0)</f>
        <v>0.21727978185090779</v>
      </c>
      <c r="N7" s="46">
        <f>IFERROR(AVERAGE(D7:L7),0)</f>
        <v>0.48189705427210927</v>
      </c>
      <c r="O7" s="46">
        <f>IFERROR(MEDIAN(D7:L7),0)</f>
        <v>0.2892347071681789</v>
      </c>
    </row>
    <row r="8" spans="2:15" x14ac:dyDescent="0.3">
      <c r="B8" t="s">
        <v>189</v>
      </c>
      <c r="C8" s="36"/>
      <c r="D8" s="36">
        <f>IFERROR(('Historical FS'!D37/'Historical FS'!C37-1),0)</f>
        <v>18.413270142179964</v>
      </c>
      <c r="E8" s="36">
        <f>IFERROR(('Historical FS'!E37/'Historical FS'!D37-1),0)</f>
        <v>1.6110541477466929</v>
      </c>
      <c r="F8" s="36">
        <f>IFERROR(('Historical FS'!F37/'Historical FS'!E37-1),0)</f>
        <v>-1.497653196701386</v>
      </c>
      <c r="G8" s="36">
        <f>IFERROR(('Historical FS'!G37/'Historical FS'!F37-1),0)</f>
        <v>0.4209596813587333</v>
      </c>
      <c r="H8" s="36">
        <f>IFERROR(('Historical FS'!H37/'Historical FS'!G37-1),0)</f>
        <v>-1.2053363655595506</v>
      </c>
      <c r="I8" s="36">
        <f>IFERROR(('Historical FS'!I37/'Historical FS'!H37-1),0)</f>
        <v>-13.691307147456589</v>
      </c>
      <c r="J8" s="36">
        <f>IFERROR(('Historical FS'!J37/'Historical FS'!I37-1),0)</f>
        <v>-1.8315947558549373E-2</v>
      </c>
      <c r="K8" s="36">
        <f>IFERROR(('Historical FS'!K37/'Historical FS'!J37-1),0)</f>
        <v>-0.65981001209389778</v>
      </c>
      <c r="L8" s="36">
        <f>IFERROR(('Historical FS'!L37/'Historical FS'!K37-1),0)</f>
        <v>-4.4486949652091941</v>
      </c>
      <c r="N8" s="46">
        <f>IFERROR(AVERAGE(D8:L8),0)</f>
        <v>-0.11953707369930822</v>
      </c>
      <c r="O8" s="46">
        <f>IFERROR(MEDIAN(D8:L8),0)</f>
        <v>-0.65981001209389778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0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</v>
      </c>
      <c r="J9" s="36">
        <f>IFERROR(('Historical FS'!J45/'Historical FS'!I45-1),0)</f>
        <v>0</v>
      </c>
      <c r="K9" s="36">
        <f>IFERROR(('Historical FS'!K45/'Historical FS'!J45-1),0)</f>
        <v>0</v>
      </c>
      <c r="L9" s="36">
        <f>IFERROR(('Historical FS'!L45/'Historical FS'!K45-1),0)</f>
        <v>0</v>
      </c>
      <c r="N9" s="46">
        <f>IFERROR(AVERAGE(D9:L9),0)</f>
        <v>0</v>
      </c>
      <c r="O9" s="46">
        <f>IFERROR(MEDIAN(D9:L9),0)</f>
        <v>0</v>
      </c>
    </row>
    <row r="11" spans="2:15" x14ac:dyDescent="0.3">
      <c r="B11" t="s">
        <v>157</v>
      </c>
      <c r="C11" s="36">
        <f>IFERROR('Historical FS'!C14,0)</f>
        <v>0.60510135135135135</v>
      </c>
      <c r="D11" s="36">
        <f>IFERROR('Historical FS'!D14,0)</f>
        <v>0.8760009718172983</v>
      </c>
      <c r="E11" s="36">
        <f>IFERROR('Historical FS'!E14,0)</f>
        <v>0.73510003923107103</v>
      </c>
      <c r="F11" s="36">
        <f>IFERROR('Historical FS'!F14,0)</f>
        <v>0.75540012804097312</v>
      </c>
      <c r="G11" s="36">
        <f>IFERROR('Historical FS'!G14,0)</f>
        <v>0.70930060393532046</v>
      </c>
      <c r="H11" s="36">
        <f>IFERROR('Historical FS'!H14,0)</f>
        <v>0.73339964065708418</v>
      </c>
      <c r="I11" s="36">
        <f>IFERROR('Historical FS'!I14,0)</f>
        <v>0.82370065075921917</v>
      </c>
      <c r="J11" s="36">
        <f>IFERROR('Historical FS'!J14,0)</f>
        <v>0.82390028540849092</v>
      </c>
      <c r="K11" s="36">
        <f>IFERROR('Historical FS'!K14,0)</f>
        <v>0.89169941212871284</v>
      </c>
      <c r="L11" s="36">
        <f>IFERROR('Historical FS'!L14,0)</f>
        <v>1</v>
      </c>
      <c r="N11" s="46">
        <f>IFERROR(AVERAGE(C11:L11),0)</f>
        <v>0.79536030833295213</v>
      </c>
      <c r="O11" s="46">
        <f>IFERROR(MEDIAN(C11:L11),0)</f>
        <v>0.78955038940009614</v>
      </c>
    </row>
    <row r="12" spans="2:15" x14ac:dyDescent="0.3">
      <c r="B12" t="s">
        <v>161</v>
      </c>
      <c r="C12" s="36">
        <f>IFERROR('Historical FS'!C20,0)</f>
        <v>0.60510135135135135</v>
      </c>
      <c r="D12" s="36">
        <f>IFERROR('Historical FS'!D20,0)</f>
        <v>0.8760009718172983</v>
      </c>
      <c r="E12" s="36">
        <f>IFERROR('Historical FS'!E20,0)</f>
        <v>0.73510003923107103</v>
      </c>
      <c r="F12" s="36">
        <f>IFERROR('Historical FS'!F20,0)</f>
        <v>0.75540012804097312</v>
      </c>
      <c r="G12" s="36">
        <f>IFERROR('Historical FS'!G20,0)</f>
        <v>0.70930060393532046</v>
      </c>
      <c r="H12" s="36">
        <f>IFERROR('Historical FS'!H20,0)</f>
        <v>0.73339964065708418</v>
      </c>
      <c r="I12" s="36">
        <f>IFERROR('Historical FS'!I20,0)</f>
        <v>0.82370065075921917</v>
      </c>
      <c r="J12" s="36">
        <f>IFERROR('Historical FS'!J20,0)</f>
        <v>0.82390028540849092</v>
      </c>
      <c r="K12" s="36">
        <f>IFERROR('Historical FS'!K20,0)</f>
        <v>0.89169941212871284</v>
      </c>
      <c r="L12" s="36">
        <f>IFERROR('Historical FS'!L20,0)</f>
        <v>1</v>
      </c>
      <c r="N12" s="46">
        <f>IFERROR(AVERAGE(C12:L12),0)</f>
        <v>0.79536030833295213</v>
      </c>
      <c r="O12" s="46">
        <f>IFERROR(MEDIAN(C12:L12),0)</f>
        <v>0.78955038940009614</v>
      </c>
    </row>
    <row r="13" spans="2:15" x14ac:dyDescent="0.3">
      <c r="B13" t="s">
        <v>162</v>
      </c>
      <c r="C13" s="36">
        <f>IFERROR('Historical FS'!C26,0)</f>
        <v>0.23820945945945951</v>
      </c>
      <c r="D13" s="36">
        <f>IFERROR('Historical FS'!D26,0)</f>
        <v>0.35996598639455779</v>
      </c>
      <c r="E13" s="36">
        <f>IFERROR('Historical FS'!E26,0)</f>
        <v>0.58052961945861126</v>
      </c>
      <c r="F13" s="36">
        <f>IFERROR('Historical FS'!F26,0)</f>
        <v>0.59983034571062732</v>
      </c>
      <c r="G13" s="36">
        <f>IFERROR('Historical FS'!G26,0)</f>
        <v>0.54390025326319891</v>
      </c>
      <c r="H13" s="36">
        <f>IFERROR('Historical FS'!H26,0)</f>
        <v>0.56656185831622174</v>
      </c>
      <c r="I13" s="36">
        <f>IFERROR('Historical FS'!I26,0)</f>
        <v>0.61730151843817793</v>
      </c>
      <c r="J13" s="36">
        <f>IFERROR('Historical FS'!J26,0)</f>
        <v>0.60110328219764531</v>
      </c>
      <c r="K13" s="36">
        <f>IFERROR('Historical FS'!K26,0)</f>
        <v>0.63087020420792073</v>
      </c>
      <c r="L13" s="36">
        <f>IFERROR('Historical FS'!L26,0)</f>
        <v>0.73220738992551071</v>
      </c>
      <c r="N13" s="46">
        <f>IFERROR(AVERAGE(C13:L13),0)</f>
        <v>0.5470479917371931</v>
      </c>
      <c r="O13" s="46">
        <f>IFERROR(MEDIAN(C13:L13),0)</f>
        <v>0.59017998258461923</v>
      </c>
    </row>
    <row r="14" spans="2:15" x14ac:dyDescent="0.3">
      <c r="B14" t="s">
        <v>167</v>
      </c>
      <c r="C14" s="36">
        <f>IFERROR('Historical FS'!C32,0)</f>
        <v>-0.13476351351351346</v>
      </c>
      <c r="D14" s="36">
        <f>IFERROR('Historical FS'!D32,0)</f>
        <v>-0.18473760932944608</v>
      </c>
      <c r="E14" s="36">
        <f>IFERROR('Historical FS'!E32,0)</f>
        <v>0.1901804629266379</v>
      </c>
      <c r="F14" s="36">
        <f>IFERROR('Historical FS'!F32,0)</f>
        <v>-2.5329705505761878E-2</v>
      </c>
      <c r="G14" s="36">
        <f>IFERROR('Historical FS'!G32,0)</f>
        <v>3.4061952074810081E-2</v>
      </c>
      <c r="H14" s="36">
        <f>IFERROR('Historical FS'!H32,0)</f>
        <v>0.1929735626283367</v>
      </c>
      <c r="I14" s="36">
        <f>IFERROR('Historical FS'!I32,0)</f>
        <v>7.4351409978308067E-2</v>
      </c>
      <c r="J14" s="36">
        <f>IFERROR('Historical FS'!J32,0)</f>
        <v>0.11127095968605064</v>
      </c>
      <c r="K14" s="36">
        <f>IFERROR('Historical FS'!K32,0)</f>
        <v>0.12932317450495046</v>
      </c>
      <c r="L14" s="36">
        <f>IFERROR('Historical FS'!L32,0)</f>
        <v>0.21889519876097058</v>
      </c>
      <c r="N14" s="46">
        <f>IFERROR(AVERAGE(C14:L14),0)</f>
        <v>6.0622589221134303E-2</v>
      </c>
      <c r="O14" s="46">
        <f>IFERROR(MEDIAN(C14:L14),0)</f>
        <v>9.2811184832179344E-2</v>
      </c>
    </row>
    <row r="15" spans="2:15" x14ac:dyDescent="0.3">
      <c r="B15" t="s">
        <v>163</v>
      </c>
      <c r="C15" s="36">
        <f>IFERROR('Historical FS'!C38,0)</f>
        <v>7.1283783783784244E-3</v>
      </c>
      <c r="D15" s="36">
        <f>IFERROR('Historical FS'!D38,0)</f>
        <v>9.951895043731776E-2</v>
      </c>
      <c r="E15" s="36">
        <f>IFERROR('Historical FS'!E38,0)</f>
        <v>0.20979599843075716</v>
      </c>
      <c r="F15" s="36">
        <f>IFERROR('Historical FS'!F38,0)</f>
        <v>-8.5188860435339339E-2</v>
      </c>
      <c r="G15" s="36">
        <f>IFERROR('Historical FS'!G38,0)</f>
        <v>-7.3672316384180758E-2</v>
      </c>
      <c r="H15" s="36">
        <f>IFERROR('Historical FS'!H38,0)</f>
        <v>9.9653490759753129E-3</v>
      </c>
      <c r="I15" s="36">
        <f>IFERROR('Historical FS'!I38,0)</f>
        <v>-0.1068850325379609</v>
      </c>
      <c r="J15" s="36">
        <f>IFERROR('Historical FS'!J38,0)</f>
        <v>-8.6285230110595815E-2</v>
      </c>
      <c r="K15" s="36">
        <f>IFERROR('Historical FS'!K38,0)</f>
        <v>-2.5457147277227768E-2</v>
      </c>
      <c r="L15" s="36">
        <f>IFERROR('Historical FS'!L38,0)</f>
        <v>8.3708238070654181E-2</v>
      </c>
      <c r="N15" s="46">
        <f>IFERROR(AVERAGE(C15:L15),0)</f>
        <v>3.2628327647778259E-3</v>
      </c>
      <c r="O15" s="46">
        <f>IFERROR(MEDIAN(C15:L15),0)</f>
        <v>-9.1643844494246722E-3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0.36689189189189192</v>
      </c>
      <c r="D18" s="36">
        <f>IFERROR('Historical FS'!D23,0)</f>
        <v>0.51603498542274051</v>
      </c>
      <c r="E18" s="36">
        <f>IFERROR('Historical FS'!E23,0)</f>
        <v>0.15457041977245978</v>
      </c>
      <c r="F18" s="36">
        <f>IFERROR('Historical FS'!F23,0)</f>
        <v>0.15556978233034571</v>
      </c>
      <c r="G18" s="36">
        <f>IFERROR('Historical FS'!G23,0)</f>
        <v>0.16540035067212155</v>
      </c>
      <c r="H18" s="36">
        <f>IFERROR('Historical FS'!H23,0)</f>
        <v>0.16683778234086241</v>
      </c>
      <c r="I18" s="36">
        <f>IFERROR('Historical FS'!I23,0)</f>
        <v>0.20639913232104121</v>
      </c>
      <c r="J18" s="36">
        <f>IFERROR('Historical FS'!J23,0)</f>
        <v>0.22279700321084553</v>
      </c>
      <c r="K18" s="36">
        <f>IFERROR('Historical FS'!K23,0)</f>
        <v>0.26082920792079206</v>
      </c>
      <c r="L18" s="36">
        <f>IFERROR('Historical FS'!L23,0)</f>
        <v>0.26779261007448929</v>
      </c>
      <c r="N18" s="46">
        <f>IFERROR(AVERAGE(C18:L18),0)</f>
        <v>0.24831231659575898</v>
      </c>
      <c r="O18" s="46">
        <f>IFERROR(MEDIAN(C18:L18),0)</f>
        <v>0.21459806776594337</v>
      </c>
    </row>
    <row r="19" spans="2:15" x14ac:dyDescent="0.3">
      <c r="B19" t="s">
        <v>8606</v>
      </c>
      <c r="C19" s="36">
        <f t="shared" ref="C19:L19" si="0">C13</f>
        <v>0.23820945945945951</v>
      </c>
      <c r="D19" s="36">
        <f t="shared" si="0"/>
        <v>0.35996598639455779</v>
      </c>
      <c r="E19" s="36">
        <f t="shared" si="0"/>
        <v>0.58052961945861126</v>
      </c>
      <c r="F19" s="36">
        <f t="shared" si="0"/>
        <v>0.59983034571062732</v>
      </c>
      <c r="G19" s="36">
        <f t="shared" si="0"/>
        <v>0.54390025326319891</v>
      </c>
      <c r="H19" s="36">
        <f t="shared" si="0"/>
        <v>0.56656185831622174</v>
      </c>
      <c r="I19" s="36">
        <f t="shared" si="0"/>
        <v>0.61730151843817793</v>
      </c>
      <c r="J19" s="36">
        <f t="shared" si="0"/>
        <v>0.60110328219764531</v>
      </c>
      <c r="K19" s="36">
        <f t="shared" si="0"/>
        <v>0.63087020420792073</v>
      </c>
      <c r="L19" s="36">
        <f t="shared" si="0"/>
        <v>0.73220738992551071</v>
      </c>
      <c r="N19" s="46">
        <f>IFERROR(AVERAGE(C19:L19),0)</f>
        <v>0.5470479917371931</v>
      </c>
      <c r="O19" s="46">
        <f>IFERROR(MEDIAN(C19:L19),0)</f>
        <v>0.59017998258461923</v>
      </c>
    </row>
    <row r="21" spans="2:15" x14ac:dyDescent="0.3">
      <c r="B21" t="s">
        <v>169</v>
      </c>
      <c r="C21" s="46">
        <f>IFERROR('Historical FS'!C25/SUM('Historical FS'!C51:'Historical FS'!C53),0)</f>
        <v>6.3522522522522537E-2</v>
      </c>
      <c r="D21" s="46">
        <f>IFERROR('Historical FS'!D25/SUM('Historical FS'!D51:'Historical FS'!D53),0)</f>
        <v>6.6114234716644349E-2</v>
      </c>
      <c r="E21" s="46">
        <f>IFERROR('Historical FS'!E25/SUM('Historical FS'!E51:'Historical FS'!E53),0)</f>
        <v>0.1131755258126195</v>
      </c>
      <c r="F21" s="46">
        <f>IFERROR('Historical FS'!F25/SUM('Historical FS'!F51:'Historical FS'!F53),0)</f>
        <v>0.10880044127039423</v>
      </c>
      <c r="G21" s="46">
        <f>IFERROR('Historical FS'!G25/SUM('Historical FS'!G51:'Historical FS'!G53),0)</f>
        <v>0.10571547578477035</v>
      </c>
      <c r="H21" s="46">
        <f>IFERROR('Historical FS'!H25/SUM('Historical FS'!H51:'Historical FS'!H53),0)</f>
        <v>7.9620712044151054E-2</v>
      </c>
      <c r="I21" s="46">
        <f>IFERROR('Historical FS'!I25/SUM('Historical FS'!I51:'Historical FS'!I53),0)</f>
        <v>9.2504428949891929E-2</v>
      </c>
      <c r="J21" s="46">
        <f>IFERROR('Historical FS'!J25/SUM('Historical FS'!J51:'Historical FS'!J53),0)</f>
        <v>9.0231483960799011E-2</v>
      </c>
      <c r="K21" s="46">
        <f>IFERROR('Historical FS'!K25/SUM('Historical FS'!K51:'Historical FS'!K53),0)</f>
        <v>8.8480748993783692E-2</v>
      </c>
      <c r="L21" s="46">
        <f>IFERROR('Historical FS'!L25/SUM('Historical FS'!L51:'Historical FS'!L53),0)</f>
        <v>8.0382155291069554E-2</v>
      </c>
      <c r="N21" s="46">
        <f>IFERROR(AVERAGE(C21:L21),0)</f>
        <v>8.8854772934664622E-2</v>
      </c>
      <c r="O21" s="46">
        <f>IFERROR(MEDIAN(C21:L21),0)</f>
        <v>8.9356116477291359E-2</v>
      </c>
    </row>
    <row r="22" spans="2:15" x14ac:dyDescent="0.3">
      <c r="B22" t="s">
        <v>170</v>
      </c>
      <c r="C22" s="46">
        <f>IFERROR('Historical FS'!C48,0)</f>
        <v>1</v>
      </c>
      <c r="D22" s="46">
        <f>IFERROR('Historical FS'!D48,0)</f>
        <v>1</v>
      </c>
      <c r="E22" s="46">
        <f>IFERROR('Historical FS'!E48,0)</f>
        <v>1</v>
      </c>
      <c r="F22" s="46">
        <f>IFERROR('Historical FS'!F48,0)</f>
        <v>1</v>
      </c>
      <c r="G22" s="46">
        <f>IFERROR('Historical FS'!G48,0)</f>
        <v>1</v>
      </c>
      <c r="H22" s="46">
        <f>IFERROR('Historical FS'!H48,0)</f>
        <v>1</v>
      </c>
      <c r="I22" s="46">
        <f>IFERROR('Historical FS'!I48,0)</f>
        <v>1</v>
      </c>
      <c r="J22" s="46">
        <f>IFERROR('Historical FS'!J48,0)</f>
        <v>1</v>
      </c>
      <c r="K22" s="46">
        <f>IFERROR('Historical FS'!K48,0)</f>
        <v>1</v>
      </c>
      <c r="L22" s="46">
        <f>IFERROR('Historical FS'!L48,0)</f>
        <v>1</v>
      </c>
      <c r="N22" s="46">
        <f>IFERROR(AVERAGE(C22:L22),0)</f>
        <v>1</v>
      </c>
      <c r="O22" s="46">
        <f>IFERROR(MEDIAN(C22:L22),0)</f>
        <v>1</v>
      </c>
    </row>
    <row r="23" spans="2:15" x14ac:dyDescent="0.3">
      <c r="B23" t="s">
        <v>171</v>
      </c>
      <c r="C23" s="46">
        <f>IFERROR('Historical FS'!C37/SUM('Historical FS'!C51:'Historical FS'!C52),0)</f>
        <v>8.7697423108895004E-3</v>
      </c>
      <c r="D23" s="46">
        <f>IFERROR('Historical FS'!D37/SUM('Historical FS'!D51:'Historical FS'!D52),0)</f>
        <v>0.1527293064876957</v>
      </c>
      <c r="E23" s="46">
        <f>IFERROR('Historical FS'!E37/SUM('Historical FS'!E51:'Historical FS'!E52),0)</f>
        <v>0.27665287118468701</v>
      </c>
      <c r="F23" s="46">
        <f>IFERROR('Historical FS'!F37/SUM('Historical FS'!F51:'Historical FS'!F52),0)</f>
        <v>-0.11295840407470294</v>
      </c>
      <c r="G23" s="46">
        <f>IFERROR('Historical FS'!G37/SUM('Historical FS'!G51:'Historical FS'!G52),0)</f>
        <v>-0.17189090909090901</v>
      </c>
      <c r="H23" s="46">
        <f>IFERROR('Historical FS'!H37/SUM('Historical FS'!H51:'Historical FS'!H52),0)</f>
        <v>2.9705432287681573E-2</v>
      </c>
      <c r="I23" s="46">
        <f>IFERROR('Historical FS'!I37/SUM('Historical FS'!I51:'Historical FS'!I52),0)</f>
        <v>-0.13492332968236576</v>
      </c>
      <c r="J23" s="46">
        <f>IFERROR('Historical FS'!J37/SUM('Historical FS'!J51:'Historical FS'!J52),0)</f>
        <v>-9.8376042302216832E-2</v>
      </c>
      <c r="K23" s="46">
        <f>IFERROR('Historical FS'!K37/SUM('Historical FS'!K51:'Historical FS'!K52),0)</f>
        <v>-2.7116256076460458E-2</v>
      </c>
      <c r="L23" s="46">
        <f>IFERROR('Historical FS'!L37/SUM('Historical FS'!L51:'Historical FS'!L52),0)</f>
        <v>5.6849486601552715E-2</v>
      </c>
      <c r="N23" s="46">
        <f>IFERROR(AVERAGE(C23:L23),0)</f>
        <v>-2.0558102354148499E-3</v>
      </c>
      <c r="O23" s="46">
        <f>IFERROR(MEDIAN(C23:L23),0)</f>
        <v>-9.1732568827854778E-3</v>
      </c>
    </row>
    <row r="24" spans="2:15" x14ac:dyDescent="0.3">
      <c r="B24" t="s">
        <v>172</v>
      </c>
      <c r="C24" s="46">
        <f t="shared" ref="C24:L24" si="1">IFERROR(C22*C23,0)</f>
        <v>8.7697423108895004E-3</v>
      </c>
      <c r="D24" s="46">
        <f t="shared" si="1"/>
        <v>0.1527293064876957</v>
      </c>
      <c r="E24" s="46">
        <f t="shared" si="1"/>
        <v>0.27665287118468701</v>
      </c>
      <c r="F24" s="46">
        <f t="shared" si="1"/>
        <v>-0.11295840407470294</v>
      </c>
      <c r="G24" s="46">
        <f t="shared" si="1"/>
        <v>-0.17189090909090901</v>
      </c>
      <c r="H24" s="46">
        <f t="shared" si="1"/>
        <v>2.9705432287681573E-2</v>
      </c>
      <c r="I24" s="46">
        <f t="shared" si="1"/>
        <v>-0.13492332968236576</v>
      </c>
      <c r="J24" s="46">
        <f t="shared" si="1"/>
        <v>-9.8376042302216832E-2</v>
      </c>
      <c r="K24" s="46">
        <f t="shared" si="1"/>
        <v>-2.7116256076460458E-2</v>
      </c>
      <c r="L24" s="46">
        <f t="shared" si="1"/>
        <v>5.6849486601552715E-2</v>
      </c>
      <c r="N24" s="46">
        <f>IFERROR(AVERAGE(C24:L24),0)</f>
        <v>-2.0558102354148499E-3</v>
      </c>
      <c r="O24" s="46">
        <f>IFERROR(MEDIAN(C24:L24),0)</f>
        <v>-9.1732568827854778E-3</v>
      </c>
    </row>
    <row r="25" spans="2:15" x14ac:dyDescent="0.3">
      <c r="B25" t="s">
        <v>173</v>
      </c>
      <c r="C25" s="158">
        <f>IFERROR('Historical FS'!C25/'Historical FS'!C28,0)</f>
        <v>0.63867753623188417</v>
      </c>
      <c r="D25" s="158">
        <f>IFERROR('Historical FS'!D25/'Historical FS'!D28,0)</f>
        <v>0.66084745762711861</v>
      </c>
      <c r="E25" s="158">
        <f>IFERROR('Historical FS'!E25/'Historical FS'!E28,0)</f>
        <v>1.4872060301507537</v>
      </c>
      <c r="F25" s="158">
        <f>IFERROR('Historical FS'!F25/'Historical FS'!F28,0)</f>
        <v>0.95948284690220165</v>
      </c>
      <c r="G25" s="158">
        <f>IFERROR('Historical FS'!G25/'Historical FS'!G28,0)</f>
        <v>1.0668093236530378</v>
      </c>
      <c r="H25" s="158">
        <f>IFERROR('Historical FS'!H25/'Historical FS'!H28,0)</f>
        <v>1.5165407076605977</v>
      </c>
      <c r="I25" s="158">
        <f>IFERROR('Historical FS'!I25/'Historical FS'!I28,0)</f>
        <v>1.1369396723931284</v>
      </c>
      <c r="J25" s="158">
        <f>IFERROR('Historical FS'!J25/'Historical FS'!J28,0)</f>
        <v>1.2271613255644573</v>
      </c>
      <c r="K25" s="158">
        <f>IFERROR('Historical FS'!K25/'Historical FS'!K28,0)</f>
        <v>1.2578485502776062</v>
      </c>
      <c r="L25" s="158">
        <f>IFERROR('Historical FS'!L25/'Historical FS'!L28,0)</f>
        <v>1.4264367816091954</v>
      </c>
      <c r="N25" s="158">
        <f>IFERROR(AVERAGE(C25:L25),0)</f>
        <v>1.1377950232069982</v>
      </c>
      <c r="O25" s="158">
        <f>IFERROR(MEDIAN(C25:L25),0)</f>
        <v>1.1820504989787928</v>
      </c>
    </row>
    <row r="27" spans="2:15" x14ac:dyDescent="0.3">
      <c r="B27" t="s">
        <v>174</v>
      </c>
      <c r="C27" s="158">
        <f>IFERROR('Historical FS'!C7/'Historical FS'!C63,0)</f>
        <v>4.4047619047619051</v>
      </c>
      <c r="D27" s="158">
        <f>IFERROR('Historical FS'!D7/'Historical FS'!D63,0)</f>
        <v>2.4268867924528301</v>
      </c>
      <c r="E27" s="158">
        <f>IFERROR('Historical FS'!E7/'Historical FS'!E63,0)</f>
        <v>3.3627968337730869</v>
      </c>
      <c r="F27" s="158">
        <f>IFERROR('Historical FS'!F7/'Historical FS'!F63,0)</f>
        <v>4.2216216216216216</v>
      </c>
      <c r="G27" s="158">
        <f>IFERROR('Historical FS'!G7/'Historical FS'!G63,0)</f>
        <v>4.2668329177057354</v>
      </c>
      <c r="H27" s="158">
        <f>IFERROR('Historical FS'!H7/'Historical FS'!H63,0)</f>
        <v>4.3073521282476506</v>
      </c>
      <c r="I27" s="158">
        <f>IFERROR('Historical FS'!I7/'Historical FS'!I63,0)</f>
        <v>4.1795104261106077</v>
      </c>
      <c r="J27" s="158">
        <f>IFERROR('Historical FS'!J7/'Historical FS'!J63,0)</f>
        <v>8.3546944858420265</v>
      </c>
      <c r="K27" s="158">
        <f>IFERROR('Historical FS'!K7/'Historical FS'!K63,0)</f>
        <v>8.394805194805194</v>
      </c>
      <c r="L27" s="158">
        <f>IFERROR('Historical FS'!L7/'Historical FS'!L63,0)</f>
        <v>6.3687177078440582</v>
      </c>
      <c r="N27" s="158">
        <f>IFERROR(AVERAGE(C27:L27),0)</f>
        <v>5.0287980013164715</v>
      </c>
      <c r="O27" s="158">
        <f>IFERROR(MEDIAN(C27:L27),0)</f>
        <v>4.2870925229766925</v>
      </c>
    </row>
    <row r="28" spans="2:15" x14ac:dyDescent="0.3">
      <c r="B28" t="s">
        <v>175</v>
      </c>
      <c r="C28" s="158">
        <f>IFERROR('Historical FS'!C7/'Historical FS'!C54,0)</f>
        <v>2.4262295081967213</v>
      </c>
      <c r="D28" s="158">
        <f>IFERROR('Historical FS'!D7/'Historical FS'!D54,0)</f>
        <v>0.45702864756828782</v>
      </c>
      <c r="E28" s="158">
        <f>IFERROR('Historical FS'!E7/'Historical FS'!E54,0)</f>
        <v>1.6112515802781289</v>
      </c>
      <c r="F28" s="158">
        <f>IFERROR('Historical FS'!F7/'Historical FS'!F54,0)</f>
        <v>2.6011656952539552</v>
      </c>
      <c r="G28" s="158">
        <f>IFERROR('Historical FS'!G7/'Historical FS'!G54,0)</f>
        <v>2.2483574244415241</v>
      </c>
      <c r="H28" s="158">
        <f>IFERROR('Historical FS'!H7/'Historical FS'!H54,0)</f>
        <v>2.2212086659064996</v>
      </c>
      <c r="I28" s="158">
        <f>IFERROR('Historical FS'!I7/'Historical FS'!I54,0)</f>
        <v>1.7131178000743219</v>
      </c>
      <c r="J28" s="158">
        <f>IFERROR('Historical FS'!J7/'Historical FS'!J54,0)</f>
        <v>0.83709123488129011</v>
      </c>
      <c r="K28" s="158">
        <f>IFERROR('Historical FS'!K7/'Historical FS'!K54,0)</f>
        <v>0.69553989347393341</v>
      </c>
      <c r="L28" s="158">
        <f>IFERROR('Historical FS'!L7/'Historical FS'!L54,0)</f>
        <v>0.69611869801827708</v>
      </c>
      <c r="N28" s="158">
        <f>IFERROR(AVERAGE(C28:L28),0)</f>
        <v>1.5507109148092939</v>
      </c>
      <c r="O28" s="158">
        <f>IFERROR(MEDIAN(C28:L28),0)</f>
        <v>1.6621846901762254</v>
      </c>
    </row>
    <row r="29" spans="2:15" x14ac:dyDescent="0.3">
      <c r="B29" t="s">
        <v>47</v>
      </c>
      <c r="C29" s="158">
        <f>IFERROR('Historical FS'!C7/'Historical FS'!C64,0)</f>
        <v>0</v>
      </c>
      <c r="D29" s="158">
        <f>IFERROR('Historical FS'!D7/'Historical FS'!D64,0)</f>
        <v>1.2163120567375887</v>
      </c>
      <c r="E29" s="158">
        <f>IFERROR('Historical FS'!E7/'Historical FS'!E64,0)</f>
        <v>18.742647058823529</v>
      </c>
      <c r="F29" s="158">
        <f>IFERROR('Historical FS'!F7/'Historical FS'!F64,0)</f>
        <v>30.03846153846154</v>
      </c>
      <c r="G29" s="158">
        <f>IFERROR('Historical FS'!G7/'Historical FS'!G64,0)</f>
        <v>177</v>
      </c>
      <c r="H29" s="158">
        <f>IFERROR('Historical FS'!H7/'Historical FS'!H64,0)</f>
        <v>458.35294117647061</v>
      </c>
      <c r="I29" s="158">
        <f>IFERROR('Historical FS'!I7/'Historical FS'!I64,0)</f>
        <v>177.30769230769232</v>
      </c>
      <c r="J29" s="158">
        <f>IFERROR('Historical FS'!J7/'Historical FS'!J64,0)</f>
        <v>38.529209621993125</v>
      </c>
      <c r="K29" s="158">
        <f>IFERROR('Historical FS'!K7/'Historical FS'!K64,0)</f>
        <v>128</v>
      </c>
      <c r="L29" s="158">
        <f>IFERROR('Historical FS'!L7/'Historical FS'!L64,0)</f>
        <v>99.69852941176471</v>
      </c>
      <c r="N29" s="158">
        <f>IFERROR(AVERAGE(C29:L29),0)</f>
        <v>112.88857931719433</v>
      </c>
      <c r="O29" s="158">
        <f>IFERROR(MEDIAN(C29:L29),0)</f>
        <v>69.113869516878921</v>
      </c>
    </row>
    <row r="30" spans="2:15" x14ac:dyDescent="0.3">
      <c r="B30" t="s">
        <v>8607</v>
      </c>
      <c r="C30" s="158">
        <f>IFERROR('Historical FS'!C7/'Historical FS'!C57,0)</f>
        <v>0.34093526837134303</v>
      </c>
      <c r="D30" s="158">
        <f>IFERROR('Historical FS'!D7/'Historical FS'!D57,0)</f>
        <v>0.22565789473684211</v>
      </c>
      <c r="E30" s="158">
        <f>IFERROR('Historical FS'!E7/'Historical FS'!E57,0)</f>
        <v>0.2453792837889873</v>
      </c>
      <c r="F30" s="158">
        <f>IFERROR('Historical FS'!F7/'Historical FS'!F57,0)</f>
        <v>0.24884498964473475</v>
      </c>
      <c r="G30" s="158">
        <f>IFERROR('Historical FS'!G7/'Historical FS'!G57,0)</f>
        <v>0.31243532777405808</v>
      </c>
      <c r="H30" s="158">
        <f>IFERROR('Historical FS'!H7/'Historical FS'!H57,0)</f>
        <v>0.27386475467453958</v>
      </c>
      <c r="I30" s="158">
        <f>IFERROR('Historical FS'!I7/'Historical FS'!I57,0)</f>
        <v>0.19074809665673617</v>
      </c>
      <c r="J30" s="158">
        <f>IFERROR('Historical FS'!J7/'Historical FS'!J57,0)</f>
        <v>0.18001412882923384</v>
      </c>
      <c r="K30" s="158">
        <f>IFERROR('Historical FS'!K7/'Historical FS'!K57,0)</f>
        <v>0.16177390694997121</v>
      </c>
      <c r="L30" s="158">
        <f>IFERROR('Historical FS'!L7/'Historical FS'!L57,0)</f>
        <v>0.13275176721690263</v>
      </c>
      <c r="N30" s="158">
        <f>IFERROR(AVERAGE(C30:L30),0)</f>
        <v>0.2312405418643349</v>
      </c>
      <c r="O30" s="158">
        <f>IFERROR(MEDIAN(C30:L30),0)</f>
        <v>0.23551858926291469</v>
      </c>
    </row>
    <row r="31" spans="2:15" x14ac:dyDescent="0.3">
      <c r="B31" t="s">
        <v>176</v>
      </c>
      <c r="C31" s="158">
        <f>IFERROR('Historical FS'!C7/SUM('Historical FS'!C51:'Historical FS'!C52),0)</f>
        <v>1.230257689110557</v>
      </c>
      <c r="D31" s="158">
        <f>IFERROR('Historical FS'!D7/SUM('Historical FS'!D51:'Historical FS'!D52),0)</f>
        <v>1.534675615212528</v>
      </c>
      <c r="E31" s="158">
        <f>IFERROR('Historical FS'!E7/SUM('Historical FS'!E51:'Historical FS'!E52),0)</f>
        <v>1.3186756337299534</v>
      </c>
      <c r="F31" s="158">
        <f>IFERROR('Historical FS'!F7/SUM('Historical FS'!F51:'Historical FS'!F52),0)</f>
        <v>1.3259762308998302</v>
      </c>
      <c r="G31" s="158">
        <f>IFERROR('Historical FS'!G7/SUM('Historical FS'!G51:'Historical FS'!G52),0)</f>
        <v>2.333181818181818</v>
      </c>
      <c r="H31" s="158">
        <f>IFERROR('Historical FS'!H7/SUM('Historical FS'!H51:'Historical FS'!H52),0)</f>
        <v>2.9808722264728384</v>
      </c>
      <c r="I31" s="158">
        <f>IFERROR('Historical FS'!I7/SUM('Historical FS'!I51:'Historical FS'!I52),0)</f>
        <v>1.2623220153340635</v>
      </c>
      <c r="J31" s="158">
        <f>IFERROR('Historical FS'!J7/SUM('Historical FS'!J51:'Historical FS'!J52),0)</f>
        <v>1.1401260931462274</v>
      </c>
      <c r="K31" s="158">
        <f>IFERROR('Historical FS'!K7/SUM('Historical FS'!K51:'Historical FS'!K52),0)</f>
        <v>1.0651726126719947</v>
      </c>
      <c r="L31" s="158">
        <f>IFERROR('Historical FS'!L7/SUM('Historical FS'!L51:'Historical FS'!L52),0)</f>
        <v>0.67913849236163282</v>
      </c>
      <c r="N31" s="158">
        <f>IFERROR(AVERAGE(C31:L31),0)</f>
        <v>1.4870398427121445</v>
      </c>
      <c r="O31" s="158">
        <f>IFERROR(MEDIAN(C31:L31),0)</f>
        <v>1.2904988245320084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82.864864864864856</v>
      </c>
      <c r="D34" s="159">
        <f t="shared" si="2"/>
        <v>150.39844509232265</v>
      </c>
      <c r="E34" s="159">
        <f t="shared" si="2"/>
        <v>108.54060415849354</v>
      </c>
      <c r="F34" s="159">
        <f t="shared" si="2"/>
        <v>86.459667093469918</v>
      </c>
      <c r="G34" s="159">
        <f t="shared" si="2"/>
        <v>85.543541788427831</v>
      </c>
      <c r="H34" s="159">
        <f t="shared" si="2"/>
        <v>84.738834702258728</v>
      </c>
      <c r="I34" s="159">
        <f t="shared" si="2"/>
        <v>87.330802603036872</v>
      </c>
      <c r="J34" s="159">
        <f t="shared" si="2"/>
        <v>43.68801284338209</v>
      </c>
      <c r="K34" s="159">
        <f t="shared" si="2"/>
        <v>43.479269801980202</v>
      </c>
      <c r="L34" s="159">
        <f t="shared" si="2"/>
        <v>57.311379895272516</v>
      </c>
      <c r="N34" s="159">
        <f>IFERROR(AVERAGE(C34:L34),0)</f>
        <v>83.03554228435091</v>
      </c>
      <c r="O34" s="159">
        <f>IFERROR(MEDIAN(C34:L34),0)</f>
        <v>85.141188245343272</v>
      </c>
    </row>
    <row r="35" spans="2:15" x14ac:dyDescent="0.3">
      <c r="B35" t="s">
        <v>177</v>
      </c>
      <c r="C35" s="159">
        <f t="shared" ref="C35:L35" si="3">IFERROR(365/C28,0)</f>
        <v>150.43918918918919</v>
      </c>
      <c r="D35" s="159">
        <f t="shared" si="3"/>
        <v>798.63702623906704</v>
      </c>
      <c r="E35" s="159">
        <f t="shared" si="3"/>
        <v>226.53197332287172</v>
      </c>
      <c r="F35" s="159">
        <f t="shared" si="3"/>
        <v>140.32170294494236</v>
      </c>
      <c r="G35" s="159">
        <f t="shared" si="3"/>
        <v>162.34073641145531</v>
      </c>
      <c r="H35" s="159">
        <f t="shared" si="3"/>
        <v>164.32494866529774</v>
      </c>
      <c r="I35" s="159">
        <f t="shared" si="3"/>
        <v>213.06182212581345</v>
      </c>
      <c r="J35" s="159">
        <f t="shared" si="3"/>
        <v>436.03371387798791</v>
      </c>
      <c r="K35" s="159">
        <f t="shared" si="3"/>
        <v>524.77219987623766</v>
      </c>
      <c r="L35" s="159">
        <f t="shared" si="3"/>
        <v>524.335865476805</v>
      </c>
      <c r="N35" s="159">
        <f>IFERROR(AVERAGE(C35:L35),0)</f>
        <v>334.07991781296676</v>
      </c>
      <c r="O35" s="159">
        <f>IFERROR(MEDIAN(C35:L35),0)</f>
        <v>219.79689772434259</v>
      </c>
    </row>
    <row r="36" spans="2:15" x14ac:dyDescent="0.3">
      <c r="B36" t="s">
        <v>178</v>
      </c>
      <c r="C36" s="159">
        <f t="shared" ref="C36:L36" si="4">IFERROR(365/C29,0)</f>
        <v>0</v>
      </c>
      <c r="D36" s="159">
        <f t="shared" si="4"/>
        <v>300.08746355685128</v>
      </c>
      <c r="E36" s="159">
        <f t="shared" si="4"/>
        <v>19.474303648489606</v>
      </c>
      <c r="F36" s="159">
        <f t="shared" si="4"/>
        <v>12.151088348271447</v>
      </c>
      <c r="G36" s="159">
        <f t="shared" si="4"/>
        <v>2.0621468926553672</v>
      </c>
      <c r="H36" s="159">
        <f t="shared" si="4"/>
        <v>0.79632956878850103</v>
      </c>
      <c r="I36" s="159">
        <f t="shared" si="4"/>
        <v>2.0585683297180042</v>
      </c>
      <c r="J36" s="159">
        <f t="shared" si="4"/>
        <v>9.4733321441312892</v>
      </c>
      <c r="K36" s="159">
        <f t="shared" si="4"/>
        <v>2.8515625</v>
      </c>
      <c r="L36" s="159">
        <f t="shared" si="4"/>
        <v>3.6610369496275537</v>
      </c>
      <c r="N36" s="159">
        <f>IFERROR(AVERAGE(C36:L36),0)</f>
        <v>35.261583193853305</v>
      </c>
      <c r="O36" s="159">
        <f>IFERROR(MEDIAN(C36:L36),0)</f>
        <v>3.2562997248137768</v>
      </c>
    </row>
    <row r="37" spans="2:15" x14ac:dyDescent="0.3">
      <c r="B37" t="s">
        <v>179</v>
      </c>
      <c r="C37" s="159">
        <f t="shared" ref="C37:L37" si="5">SUM(C34,C36)-C35</f>
        <v>-67.574324324324337</v>
      </c>
      <c r="D37" s="159">
        <f t="shared" si="5"/>
        <v>-348.15111758989315</v>
      </c>
      <c r="E37" s="159">
        <f t="shared" si="5"/>
        <v>-98.517065515888589</v>
      </c>
      <c r="F37" s="159">
        <f t="shared" si="5"/>
        <v>-41.710947503200998</v>
      </c>
      <c r="G37" s="159">
        <f t="shared" si="5"/>
        <v>-74.735047730372116</v>
      </c>
      <c r="H37" s="159">
        <f t="shared" si="5"/>
        <v>-78.789784394250503</v>
      </c>
      <c r="I37" s="159">
        <f t="shared" si="5"/>
        <v>-123.67245119305858</v>
      </c>
      <c r="J37" s="159">
        <f t="shared" si="5"/>
        <v>-382.87236889047455</v>
      </c>
      <c r="K37" s="159">
        <f t="shared" si="5"/>
        <v>-478.44136757425747</v>
      </c>
      <c r="L37" s="159">
        <f t="shared" si="5"/>
        <v>-463.36344863190493</v>
      </c>
      <c r="N37" s="159">
        <f>IFERROR(AVERAGE(C37:L37),0)</f>
        <v>-215.78279233476252</v>
      </c>
      <c r="O37" s="159">
        <f>IFERROR(MEDIAN(C37:L37),0)</f>
        <v>-111.09475835447358</v>
      </c>
    </row>
    <row r="39" spans="2:15" x14ac:dyDescent="0.3">
      <c r="B39" t="s">
        <v>8608</v>
      </c>
      <c r="C39" s="46">
        <f>IFERROR('Historical FS'!C80/'Historical FS'!C7,0)</f>
        <v>-0.98986486486486491</v>
      </c>
      <c r="D39" s="46">
        <f>IFERROR('Historical FS'!D80/'Historical FS'!D7,0)</f>
        <v>1.619533527696793</v>
      </c>
      <c r="E39" s="46">
        <f>IFERROR('Historical FS'!E80/'Historical FS'!E7,0)</f>
        <v>0.79325225578658298</v>
      </c>
      <c r="F39" s="46">
        <f>IFERROR('Historical FS'!F80/'Historical FS'!F7,0)</f>
        <v>0.39180537772087065</v>
      </c>
      <c r="G39" s="46">
        <f>IFERROR('Historical FS'!G80/'Historical FS'!G7,0)</f>
        <v>0.54373660627313458</v>
      </c>
      <c r="H39" s="46">
        <f>IFERROR('Historical FS'!H80/'Historical FS'!H7,0)</f>
        <v>0.9117043121149897</v>
      </c>
      <c r="I39" s="46">
        <f>IFERROR('Historical FS'!I80/'Historical FS'!I7,0)</f>
        <v>0.91930585683297183</v>
      </c>
      <c r="J39" s="46">
        <f>IFERROR('Historical FS'!J80/'Historical FS'!J7,0)</f>
        <v>0.75633250089190152</v>
      </c>
      <c r="K39" s="46">
        <f>IFERROR('Historical FS'!K80/'Historical FS'!K7,0)</f>
        <v>0.85125309405940597</v>
      </c>
      <c r="L39" s="46">
        <f>IFERROR('Historical FS'!L80/'Historical FS'!L7,0)</f>
        <v>1.1580500036875876</v>
      </c>
      <c r="N39" s="46">
        <f>IFERROR(AVERAGE(C39:L39),0)</f>
        <v>0.69551086701993736</v>
      </c>
      <c r="O39" s="46">
        <f>IFERROR(MEDIAN(C39:L39),0)</f>
        <v>0.82225267492299448</v>
      </c>
    </row>
    <row r="40" spans="2:15" x14ac:dyDescent="0.3">
      <c r="B40" t="s">
        <v>8609</v>
      </c>
      <c r="C40" s="46">
        <f>IFERROR('Historical FS'!C80/'Historical FS'!C68,0)</f>
        <v>-0.2378632894950479</v>
      </c>
      <c r="D40" s="46">
        <f>IFERROR('Historical FS'!D80/'Historical FS'!D68,0)</f>
        <v>0.21217136673244638</v>
      </c>
      <c r="E40" s="46">
        <f>IFERROR('Historical FS'!E80/'Historical FS'!E68,0)</f>
        <v>0.13795456096063313</v>
      </c>
      <c r="F40" s="46">
        <f>IFERROR('Historical FS'!F80/'Historical FS'!F68,0)</f>
        <v>6.6435084672166744E-2</v>
      </c>
      <c r="G40" s="46">
        <f>IFERROR('Historical FS'!G80/'Historical FS'!G68,0)</f>
        <v>9.7274501603234351E-2</v>
      </c>
      <c r="H40" s="46">
        <f>IFERROR('Historical FS'!H80/'Historical FS'!H68,0)</f>
        <v>0.12050072938223021</v>
      </c>
      <c r="I40" s="46">
        <f>IFERROR('Historical FS'!I80/'Historical FS'!I68,0)</f>
        <v>0.12667951994499993</v>
      </c>
      <c r="J40" s="46">
        <f>IFERROR('Historical FS'!J80/'Historical FS'!J68,0)</f>
        <v>9.6269554753309269E-2</v>
      </c>
      <c r="K40" s="46">
        <f>IFERROR('Historical FS'!K80/'Historical FS'!K68,0)</f>
        <v>9.9355386226571807E-2</v>
      </c>
      <c r="L40" s="46">
        <f>IFERROR('Historical FS'!L80/'Historical FS'!L68,0)</f>
        <v>0.1098134109156013</v>
      </c>
      <c r="N40" s="46">
        <f>IFERROR(AVERAGE(C40:L40),0)</f>
        <v>8.2859082569614523E-2</v>
      </c>
      <c r="O40" s="46">
        <f>IFERROR(MEDIAN(C40:L40),0)</f>
        <v>0.10458439857108656</v>
      </c>
    </row>
    <row r="41" spans="2:15" x14ac:dyDescent="0.3">
      <c r="B41" t="s">
        <v>8610</v>
      </c>
      <c r="C41" s="46">
        <f>IFERROR('Historical FS'!C80/'Historical FS'!C53,0)</f>
        <v>-0.33701403266620655</v>
      </c>
      <c r="D41" s="46">
        <f>IFERROR('Historical FS'!D80/'Historical FS'!D53,0)</f>
        <v>0.33789537712895379</v>
      </c>
      <c r="E41" s="46">
        <f>IFERROR('Historical FS'!E80/'Historical FS'!E53,0)</f>
        <v>0.18147549811523964</v>
      </c>
      <c r="F41" s="46">
        <f>IFERROR('Historical FS'!F80/'Historical FS'!F53,0)</f>
        <v>8.232999260106276E-2</v>
      </c>
      <c r="G41" s="46">
        <f>IFERROR('Historical FS'!G80/'Historical FS'!G53,0)</f>
        <v>0.1152877029204015</v>
      </c>
      <c r="H41" s="46">
        <f>IFERROR('Historical FS'!H80/'Historical FS'!H53,0)</f>
        <v>0.13446396123561477</v>
      </c>
      <c r="I41" s="46">
        <f>IFERROR('Historical FS'!I80/'Historical FS'!I53,0)</f>
        <v>0.15631742987293215</v>
      </c>
      <c r="J41" s="46">
        <f>IFERROR('Historical FS'!J80/'Historical FS'!J53,0)</f>
        <v>0.13074717074223688</v>
      </c>
      <c r="K41" s="46">
        <f>IFERROR('Historical FS'!K80/'Historical FS'!K53,0)</f>
        <v>0.13749375312343828</v>
      </c>
      <c r="L41" s="46">
        <f>IFERROR('Historical FS'!L80/'Historical FS'!L53,0)</f>
        <v>0.15164421266116182</v>
      </c>
      <c r="N41" s="46">
        <f>IFERROR(AVERAGE(C41:L41),0)</f>
        <v>0.1090641065734835</v>
      </c>
      <c r="O41" s="46">
        <f>IFERROR(MEDIAN(C41:L41),0)</f>
        <v>0.13597885717952651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Adani Green Energy Ltd -Sales Forecasting</v>
      </c>
      <c r="C2" s="164"/>
      <c r="D2" s="164"/>
      <c r="E2" s="164"/>
      <c r="G2" s="164" t="str">
        <f>'Data Sheet'!$B$1&amp;" -"&amp;'Historical FS'!B19&amp;" Forecasting"</f>
        <v>Adani Green Energy Ltd -EBITDA Forecasting</v>
      </c>
      <c r="H2" s="164"/>
      <c r="I2" s="164"/>
      <c r="J2" s="164"/>
      <c r="L2" s="164" t="str">
        <f>'Data Sheet'!$B$1&amp;" -"&amp;'Historical FS'!B37&amp;" Forecasting"</f>
        <v>Adani Green Energy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43160</v>
      </c>
      <c r="D5" s="106">
        <f t="array" ref="D5:D14">TRANSPOSE('Data Sheet'!B17:K17)</f>
        <v>1480</v>
      </c>
      <c r="E5" s="56" t="s">
        <v>120</v>
      </c>
      <c r="G5">
        <v>1</v>
      </c>
      <c r="H5" s="54">
        <f t="array" ref="H5:H13">TRANSPOSE('Data Sheet'!B16:J16)</f>
        <v>43160</v>
      </c>
      <c r="I5" s="106" cm="1">
        <f t="array" ref="I5:I14">TRANSPOSE('Historical FS'!C19:L19)</f>
        <v>895.55000000000007</v>
      </c>
      <c r="J5" s="45" t="s">
        <v>120</v>
      </c>
      <c r="L5">
        <v>1</v>
      </c>
      <c r="M5" s="54">
        <f t="array" ref="M5:M13">TRANSPOSE('Data Sheet'!B16:J16)</f>
        <v>43160</v>
      </c>
      <c r="N5" s="106">
        <f t="array" ref="N5:N14">TRANSPOSE('Historical FS'!C37:L37)</f>
        <v>10.550000000000068</v>
      </c>
      <c r="O5" s="56" t="s">
        <v>120</v>
      </c>
    </row>
    <row r="6" spans="2:15" x14ac:dyDescent="0.3">
      <c r="B6">
        <f>B5+1</f>
        <v>2</v>
      </c>
      <c r="C6" s="54">
        <v>43525</v>
      </c>
      <c r="D6" s="106">
        <v>2058</v>
      </c>
      <c r="E6" s="36">
        <f>D6/D5-1</f>
        <v>0.39054054054054044</v>
      </c>
      <c r="G6">
        <f>G5+1</f>
        <v>2</v>
      </c>
      <c r="H6" s="54">
        <v>43525</v>
      </c>
      <c r="I6" s="106">
        <v>1802.81</v>
      </c>
      <c r="J6" s="36">
        <f>I6/I5-1</f>
        <v>1.0130757634972918</v>
      </c>
      <c r="L6">
        <f>L5+1</f>
        <v>2</v>
      </c>
      <c r="M6" s="54">
        <v>43525</v>
      </c>
      <c r="N6" s="106">
        <v>204.80999999999995</v>
      </c>
      <c r="O6" s="36">
        <f>N6/N5-1</f>
        <v>18.413270142179964</v>
      </c>
    </row>
    <row r="7" spans="2:15" x14ac:dyDescent="0.3">
      <c r="B7">
        <f t="shared" ref="B7:B19" si="0">B6+1</f>
        <v>3</v>
      </c>
      <c r="C7" s="54">
        <v>43891</v>
      </c>
      <c r="D7" s="106">
        <v>2549</v>
      </c>
      <c r="E7" s="36">
        <f t="shared" ref="E7:E19" si="1">D7/D6-1</f>
        <v>0.23858114674441211</v>
      </c>
      <c r="G7">
        <f t="shared" ref="G7:G19" si="2">G6+1</f>
        <v>3</v>
      </c>
      <c r="H7" s="54">
        <v>43891</v>
      </c>
      <c r="I7" s="106">
        <v>1873.77</v>
      </c>
      <c r="J7" s="36">
        <f t="shared" ref="J7:J19" si="3">I7/I6-1</f>
        <v>3.9360775677969473E-2</v>
      </c>
      <c r="L7">
        <f t="shared" ref="L7:L19" si="4">L6+1</f>
        <v>3</v>
      </c>
      <c r="M7" s="54">
        <v>43891</v>
      </c>
      <c r="N7" s="106">
        <v>534.77</v>
      </c>
      <c r="O7" s="36">
        <f t="shared" ref="O7:O19" si="5">N7/N6-1</f>
        <v>1.6110541477466929</v>
      </c>
    </row>
    <row r="8" spans="2:15" x14ac:dyDescent="0.3">
      <c r="B8">
        <f t="shared" si="0"/>
        <v>4</v>
      </c>
      <c r="C8" s="54">
        <v>44256</v>
      </c>
      <c r="D8" s="106">
        <v>3124</v>
      </c>
      <c r="E8" s="36">
        <f t="shared" si="1"/>
        <v>0.22557865829737156</v>
      </c>
      <c r="G8">
        <f t="shared" si="2"/>
        <v>4</v>
      </c>
      <c r="H8" s="54">
        <v>44256</v>
      </c>
      <c r="I8" s="106">
        <v>2359.87</v>
      </c>
      <c r="J8" s="36">
        <f t="shared" si="3"/>
        <v>0.25942351515927786</v>
      </c>
      <c r="L8">
        <f t="shared" si="4"/>
        <v>4</v>
      </c>
      <c r="M8" s="54">
        <v>44256</v>
      </c>
      <c r="N8" s="106">
        <v>-266.13000000000011</v>
      </c>
      <c r="O8" s="36">
        <f t="shared" si="5"/>
        <v>-1.497653196701386</v>
      </c>
    </row>
    <row r="9" spans="2:15" x14ac:dyDescent="0.3">
      <c r="B9">
        <f t="shared" si="0"/>
        <v>5</v>
      </c>
      <c r="C9" s="54">
        <v>44621</v>
      </c>
      <c r="D9" s="106">
        <v>5133</v>
      </c>
      <c r="E9" s="36">
        <f t="shared" si="1"/>
        <v>0.64308578745198464</v>
      </c>
      <c r="G9">
        <f t="shared" si="2"/>
        <v>5</v>
      </c>
      <c r="H9" s="54">
        <v>44621</v>
      </c>
      <c r="I9" s="106">
        <v>3640.84</v>
      </c>
      <c r="J9" s="36">
        <f t="shared" si="3"/>
        <v>0.54281379906520288</v>
      </c>
      <c r="L9">
        <f t="shared" si="4"/>
        <v>5</v>
      </c>
      <c r="M9" s="54">
        <v>44621</v>
      </c>
      <c r="N9" s="106">
        <v>-378.15999999999985</v>
      </c>
      <c r="O9" s="36">
        <f t="shared" si="5"/>
        <v>0.4209596813587333</v>
      </c>
    </row>
    <row r="10" spans="2:15" x14ac:dyDescent="0.3">
      <c r="B10">
        <f t="shared" si="0"/>
        <v>6</v>
      </c>
      <c r="C10" s="54">
        <v>44986</v>
      </c>
      <c r="D10" s="106">
        <v>7792</v>
      </c>
      <c r="E10" s="36">
        <f t="shared" si="1"/>
        <v>0.51802065069160341</v>
      </c>
      <c r="G10">
        <f t="shared" si="2"/>
        <v>6</v>
      </c>
      <c r="H10" s="54">
        <v>44986</v>
      </c>
      <c r="I10" s="106">
        <v>5714.65</v>
      </c>
      <c r="J10" s="36">
        <f t="shared" si="3"/>
        <v>0.56959657661418772</v>
      </c>
      <c r="L10">
        <f t="shared" si="4"/>
        <v>6</v>
      </c>
      <c r="M10" s="54">
        <v>44986</v>
      </c>
      <c r="N10" s="106">
        <v>77.649999999999636</v>
      </c>
      <c r="O10" s="36">
        <f t="shared" si="5"/>
        <v>-1.2053363655595506</v>
      </c>
    </row>
    <row r="11" spans="2:15" x14ac:dyDescent="0.3">
      <c r="B11">
        <f t="shared" si="0"/>
        <v>7</v>
      </c>
      <c r="C11" s="54">
        <v>45352</v>
      </c>
      <c r="D11" s="106">
        <v>9220</v>
      </c>
      <c r="E11" s="36">
        <f t="shared" si="1"/>
        <v>0.18326488706365507</v>
      </c>
      <c r="G11">
        <f t="shared" si="2"/>
        <v>7</v>
      </c>
      <c r="H11" s="54">
        <v>45352</v>
      </c>
      <c r="I11" s="106">
        <v>7594.52</v>
      </c>
      <c r="J11" s="36">
        <f t="shared" si="3"/>
        <v>0.32895627903721159</v>
      </c>
      <c r="L11">
        <f t="shared" si="4"/>
        <v>7</v>
      </c>
      <c r="M11" s="54">
        <v>45352</v>
      </c>
      <c r="N11" s="106">
        <v>-985.47999999999956</v>
      </c>
      <c r="O11" s="36">
        <f t="shared" si="5"/>
        <v>-13.691307147456589</v>
      </c>
    </row>
    <row r="12" spans="2:15" x14ac:dyDescent="0.3">
      <c r="B12">
        <f t="shared" si="0"/>
        <v>8</v>
      </c>
      <c r="C12" s="54">
        <v>45717</v>
      </c>
      <c r="D12" s="106">
        <v>11212</v>
      </c>
      <c r="E12" s="36">
        <f t="shared" si="1"/>
        <v>0.21605206073752714</v>
      </c>
      <c r="G12">
        <f t="shared" si="2"/>
        <v>8</v>
      </c>
      <c r="H12" s="54">
        <v>45717</v>
      </c>
      <c r="I12" s="106">
        <v>9237.57</v>
      </c>
      <c r="J12" s="36">
        <f t="shared" si="3"/>
        <v>0.21634678689370745</v>
      </c>
      <c r="L12">
        <f t="shared" si="4"/>
        <v>8</v>
      </c>
      <c r="M12" s="54">
        <v>45717</v>
      </c>
      <c r="N12" s="106">
        <v>-967.43000000000029</v>
      </c>
      <c r="O12" s="36">
        <f t="shared" si="5"/>
        <v>-1.8315947558549373E-2</v>
      </c>
    </row>
    <row r="13" spans="2:15" x14ac:dyDescent="0.3">
      <c r="B13">
        <f t="shared" si="0"/>
        <v>9</v>
      </c>
      <c r="C13" s="54">
        <v>46082</v>
      </c>
      <c r="D13" s="106">
        <v>12928</v>
      </c>
      <c r="E13" s="36">
        <f t="shared" si="1"/>
        <v>0.15305030324652158</v>
      </c>
      <c r="G13">
        <f t="shared" si="2"/>
        <v>9</v>
      </c>
      <c r="H13" s="54">
        <v>46082</v>
      </c>
      <c r="I13" s="106">
        <v>11527.89</v>
      </c>
      <c r="J13" s="36">
        <f t="shared" si="3"/>
        <v>0.24793533364293863</v>
      </c>
      <c r="L13">
        <f t="shared" si="4"/>
        <v>9</v>
      </c>
      <c r="M13" s="54">
        <v>46082</v>
      </c>
      <c r="N13" s="106">
        <v>-329.11000000000058</v>
      </c>
      <c r="O13" s="36">
        <f t="shared" si="5"/>
        <v>-0.65981001209389778</v>
      </c>
    </row>
    <row r="14" spans="2:15" x14ac:dyDescent="0.3">
      <c r="B14">
        <f t="shared" si="0"/>
        <v>10</v>
      </c>
      <c r="C14" s="54">
        <f>C13+365</f>
        <v>46447</v>
      </c>
      <c r="D14" s="106">
        <v>13559</v>
      </c>
      <c r="E14" s="36">
        <f t="shared" si="1"/>
        <v>4.8808787128712838E-2</v>
      </c>
      <c r="G14">
        <f t="shared" si="2"/>
        <v>10</v>
      </c>
      <c r="H14" s="54">
        <f>H13+365</f>
        <v>46447</v>
      </c>
      <c r="I14" s="106">
        <v>13559</v>
      </c>
      <c r="J14" s="36">
        <f t="shared" si="3"/>
        <v>0.17619095949041852</v>
      </c>
      <c r="L14">
        <f t="shared" si="4"/>
        <v>10</v>
      </c>
      <c r="M14" s="54">
        <f>M13+365</f>
        <v>46447</v>
      </c>
      <c r="N14" s="106">
        <v>1135</v>
      </c>
      <c r="O14" s="36">
        <f t="shared" si="5"/>
        <v>-4.4486949652091941</v>
      </c>
    </row>
    <row r="15" spans="2:15" x14ac:dyDescent="0.3">
      <c r="B15">
        <f t="shared" si="0"/>
        <v>11</v>
      </c>
      <c r="C15" s="55">
        <f>C14+365</f>
        <v>46812</v>
      </c>
      <c r="D15" s="106">
        <f>FORECAST(B15,$D$5:$D$14,$B$5:$B$14)</f>
        <v>15207.6</v>
      </c>
      <c r="E15" s="36">
        <f t="shared" si="1"/>
        <v>0.12158713769452034</v>
      </c>
      <c r="G15">
        <f t="shared" si="2"/>
        <v>11</v>
      </c>
      <c r="H15" s="55">
        <f>H14+365</f>
        <v>46812</v>
      </c>
      <c r="I15" s="106">
        <f>FORECAST(G15,$I$5:$I$14,$G$5:$G$14)</f>
        <v>13708.759333333332</v>
      </c>
      <c r="J15" s="36">
        <f t="shared" si="3"/>
        <v>1.1045013152395589E-2</v>
      </c>
      <c r="L15">
        <f t="shared" si="4"/>
        <v>11</v>
      </c>
      <c r="M15" s="55">
        <f>M14+365</f>
        <v>46812</v>
      </c>
      <c r="N15" s="106">
        <f>FORECAST(L15,$N$5:$N$14,$L$5:$L$14)</f>
        <v>-190.70733333333357</v>
      </c>
      <c r="O15" s="36">
        <f t="shared" si="5"/>
        <v>-1.168024082232012</v>
      </c>
    </row>
    <row r="16" spans="2:15" x14ac:dyDescent="0.3">
      <c r="B16">
        <f t="shared" si="0"/>
        <v>12</v>
      </c>
      <c r="C16" s="55">
        <f>C15+365</f>
        <v>47177</v>
      </c>
      <c r="D16" s="106">
        <f t="shared" ref="D16:D19" si="6">FORECAST(B16,$D$5:$D$14,$B$5:$B$14)</f>
        <v>16717.072727272731</v>
      </c>
      <c r="E16" s="36">
        <f t="shared" si="1"/>
        <v>9.9257787374255724E-2</v>
      </c>
      <c r="G16">
        <f t="shared" si="2"/>
        <v>12</v>
      </c>
      <c r="H16" s="55">
        <f>H15+365</f>
        <v>47177</v>
      </c>
      <c r="I16" s="106">
        <f t="shared" ref="I16:I19" si="7">FORECAST(G16,$I$5:$I$14,$G$5:$G$14)</f>
        <v>15142.961575757574</v>
      </c>
      <c r="J16" s="36">
        <f t="shared" si="3"/>
        <v>0.10461940483096299</v>
      </c>
      <c r="L16">
        <f t="shared" si="4"/>
        <v>12</v>
      </c>
      <c r="M16" s="55">
        <f>M15+365</f>
        <v>47177</v>
      </c>
      <c r="N16" s="106">
        <f t="shared" ref="N16:N19" si="8">FORECAST(L16,$N$5:$N$14,$L$5:$L$14)</f>
        <v>-207.86266666666694</v>
      </c>
      <c r="O16" s="36">
        <f t="shared" si="5"/>
        <v>8.9956337983856605E-2</v>
      </c>
    </row>
    <row r="17" spans="2:15" x14ac:dyDescent="0.3">
      <c r="B17">
        <f t="shared" si="0"/>
        <v>13</v>
      </c>
      <c r="C17" s="55">
        <f>C16+365</f>
        <v>47542</v>
      </c>
      <c r="D17" s="106">
        <f>FORECAST(B17,$D$5:$D$14,$B$5:$B$14)</f>
        <v>18226.545454545456</v>
      </c>
      <c r="E17" s="36">
        <f t="shared" si="1"/>
        <v>9.0295277881403679E-2</v>
      </c>
      <c r="G17">
        <f t="shared" si="2"/>
        <v>13</v>
      </c>
      <c r="H17" s="55">
        <f>H16+365</f>
        <v>47542</v>
      </c>
      <c r="I17" s="106">
        <f t="shared" si="7"/>
        <v>16577.163818181816</v>
      </c>
      <c r="J17" s="36">
        <f t="shared" si="3"/>
        <v>9.4710815665032255E-2</v>
      </c>
      <c r="L17">
        <f t="shared" si="4"/>
        <v>13</v>
      </c>
      <c r="M17" s="55">
        <f>M16+365</f>
        <v>47542</v>
      </c>
      <c r="N17" s="106">
        <f t="shared" si="8"/>
        <v>-225.01800000000028</v>
      </c>
      <c r="O17" s="36">
        <f t="shared" si="5"/>
        <v>8.2532056421868338E-2</v>
      </c>
    </row>
    <row r="18" spans="2:15" x14ac:dyDescent="0.3">
      <c r="B18">
        <f t="shared" si="0"/>
        <v>14</v>
      </c>
      <c r="C18" s="55">
        <f>C17+365</f>
        <v>47907</v>
      </c>
      <c r="D18" s="106">
        <f t="shared" si="6"/>
        <v>19736.018181818181</v>
      </c>
      <c r="E18" s="36">
        <f t="shared" si="1"/>
        <v>8.2817269516987979E-2</v>
      </c>
      <c r="G18">
        <f t="shared" si="2"/>
        <v>14</v>
      </c>
      <c r="H18" s="55">
        <f>H17+365</f>
        <v>47907</v>
      </c>
      <c r="I18" s="106">
        <f t="shared" si="7"/>
        <v>18011.366060606058</v>
      </c>
      <c r="J18" s="36">
        <f t="shared" si="3"/>
        <v>8.6516744248567479E-2</v>
      </c>
      <c r="L18">
        <f t="shared" si="4"/>
        <v>14</v>
      </c>
      <c r="M18" s="55">
        <f>M17+365</f>
        <v>47907</v>
      </c>
      <c r="N18" s="106">
        <f t="shared" si="8"/>
        <v>-242.17333333333366</v>
      </c>
      <c r="O18" s="36">
        <f t="shared" si="5"/>
        <v>7.6239826739786798E-2</v>
      </c>
    </row>
    <row r="19" spans="2:15" x14ac:dyDescent="0.3">
      <c r="B19">
        <f t="shared" si="0"/>
        <v>15</v>
      </c>
      <c r="C19" s="55">
        <f>C18+365</f>
        <v>48272</v>
      </c>
      <c r="D19" s="106">
        <f t="shared" si="6"/>
        <v>21245.490909090906</v>
      </c>
      <c r="E19" s="36">
        <f t="shared" si="1"/>
        <v>7.6483144338776787E-2</v>
      </c>
      <c r="G19">
        <f t="shared" si="2"/>
        <v>15</v>
      </c>
      <c r="H19" s="55">
        <f>H18+365</f>
        <v>48272</v>
      </c>
      <c r="I19" s="106">
        <f t="shared" si="7"/>
        <v>19445.568303030301</v>
      </c>
      <c r="J19" s="36">
        <f t="shared" si="3"/>
        <v>7.9627621669468462E-2</v>
      </c>
      <c r="L19">
        <f t="shared" si="4"/>
        <v>15</v>
      </c>
      <c r="M19" s="55">
        <f>M18+365</f>
        <v>48272</v>
      </c>
      <c r="N19" s="106">
        <f t="shared" si="8"/>
        <v>-259.328666666667</v>
      </c>
      <c r="O19" s="36">
        <f t="shared" si="5"/>
        <v>7.0839068435831098E-2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Adani Green Energy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1.6493690201322493</v>
      </c>
    </row>
    <row r="10" spans="1:15" x14ac:dyDescent="0.3">
      <c r="B10" s="34">
        <f>'Raw Data'!G6</f>
        <v>46283</v>
      </c>
      <c r="C10">
        <f>'Raw Data'!H6</f>
        <v>1334.5</v>
      </c>
      <c r="D10" s="45" t="s">
        <v>120</v>
      </c>
      <c r="F10" s="34">
        <f>'Raw Data'!G6</f>
        <v>46283</v>
      </c>
      <c r="G10">
        <f>'Raw Data'!J6</f>
        <v>23346.400000000001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46282</v>
      </c>
      <c r="C11">
        <f>'Raw Data'!H7</f>
        <v>1274.2</v>
      </c>
      <c r="D11" s="36">
        <f>C10/C11-1</f>
        <v>4.7323811018678441E-2</v>
      </c>
      <c r="F11" s="34">
        <f>'Raw Data'!G7</f>
        <v>46282</v>
      </c>
      <c r="G11">
        <f>'Raw Data'!J7</f>
        <v>23270.6</v>
      </c>
      <c r="H11" s="36">
        <f>G10/G11-1</f>
        <v>3.2573289902282365E-3</v>
      </c>
      <c r="N11" t="s">
        <v>194</v>
      </c>
      <c r="O11">
        <f>SLOPE(D10:D256, H10:H256)</f>
        <v>1.6493690201322493</v>
      </c>
    </row>
    <row r="12" spans="1:15" x14ac:dyDescent="0.3">
      <c r="B12" s="34">
        <f>'Raw Data'!G8</f>
        <v>46281</v>
      </c>
      <c r="C12">
        <f>'Raw Data'!H8</f>
        <v>1270.2</v>
      </c>
      <c r="D12" s="36">
        <f>C11/C12-1</f>
        <v>3.1491103763185979E-3</v>
      </c>
      <c r="F12" s="34">
        <f>'Raw Data'!G8</f>
        <v>46281</v>
      </c>
      <c r="G12">
        <f>'Raw Data'!J8</f>
        <v>23217.599999999999</v>
      </c>
      <c r="H12" s="36">
        <f>G11/G12-1</f>
        <v>2.2827510164702414E-3</v>
      </c>
      <c r="J12" t="s">
        <v>199</v>
      </c>
      <c r="L12" s="47">
        <v>1</v>
      </c>
      <c r="N12" t="s">
        <v>195</v>
      </c>
      <c r="O12">
        <f>_xlfn.COVARIANCE.S(D10:D256, H10:H256)/_xlfn.VAR.S(H10:H256)</f>
        <v>1.6493690201322506</v>
      </c>
    </row>
    <row r="13" spans="1:15" x14ac:dyDescent="0.3">
      <c r="B13" s="34">
        <f>'Raw Data'!G9</f>
        <v>46280</v>
      </c>
      <c r="C13">
        <f>'Raw Data'!H9</f>
        <v>1255</v>
      </c>
      <c r="D13" s="36">
        <f>C12/C13-1</f>
        <v>1.2111553784860618E-2</v>
      </c>
      <c r="F13" s="34">
        <f>'Raw Data'!G9</f>
        <v>46280</v>
      </c>
      <c r="G13">
        <f>'Raw Data'!J9</f>
        <v>23118.6</v>
      </c>
      <c r="H13" s="36">
        <f>G12/G13-1</f>
        <v>4.2822662271937428E-3</v>
      </c>
      <c r="J13" t="s">
        <v>200</v>
      </c>
      <c r="L13" s="46">
        <v>0.25</v>
      </c>
    </row>
    <row r="14" spans="1:15" x14ac:dyDescent="0.3">
      <c r="B14" s="34">
        <f>'Raw Data'!G10</f>
        <v>46276</v>
      </c>
      <c r="C14">
        <f>'Raw Data'!H10</f>
        <v>1281.3</v>
      </c>
      <c r="D14" s="36">
        <f>C13/C14-1</f>
        <v>-2.0526028252556006E-2</v>
      </c>
      <c r="F14" s="34">
        <f>'Raw Data'!G10</f>
        <v>46276</v>
      </c>
      <c r="G14">
        <f>'Raw Data'!J10</f>
        <v>23398.1</v>
      </c>
      <c r="H14" s="36">
        <f>G13/G14-1</f>
        <v>-1.1945414371252405E-2</v>
      </c>
    </row>
    <row r="15" spans="1:15" x14ac:dyDescent="0.3">
      <c r="B15" s="34">
        <f>'Raw Data'!G11</f>
        <v>46275</v>
      </c>
      <c r="C15">
        <f>'Raw Data'!H11</f>
        <v>1299.0999999999999</v>
      </c>
      <c r="D15" s="36">
        <f>C14/C15-1</f>
        <v>-1.3701793549380281E-2</v>
      </c>
      <c r="F15" s="34">
        <f>'Raw Data'!G11</f>
        <v>46275</v>
      </c>
      <c r="G15">
        <f>'Raw Data'!J11</f>
        <v>23477.8</v>
      </c>
      <c r="H15" s="36">
        <f>G14/G15-1</f>
        <v>-3.3946962662600999E-3</v>
      </c>
      <c r="J15" s="79" t="s">
        <v>201</v>
      </c>
      <c r="K15" s="79"/>
      <c r="L15" s="79">
        <f>(L9*L10)+(L12*L13)</f>
        <v>1.4870267650991869</v>
      </c>
    </row>
    <row r="16" spans="1:15" x14ac:dyDescent="0.3">
      <c r="B16" s="34">
        <f>'Raw Data'!G12</f>
        <v>46274</v>
      </c>
      <c r="C16">
        <f>'Raw Data'!H12</f>
        <v>1315</v>
      </c>
      <c r="D16" s="36">
        <f>C15/C16-1</f>
        <v>-1.2091254752851777E-2</v>
      </c>
      <c r="F16" s="34">
        <f>'Raw Data'!G12</f>
        <v>46274</v>
      </c>
      <c r="G16">
        <f>'Raw Data'!J12</f>
        <v>23431.5</v>
      </c>
      <c r="H16" s="36">
        <f>G15/G16-1</f>
        <v>1.9759725156305308E-3</v>
      </c>
    </row>
    <row r="17" spans="2:8" x14ac:dyDescent="0.3">
      <c r="B17" s="34">
        <f>'Raw Data'!G13</f>
        <v>46273</v>
      </c>
      <c r="C17">
        <f>'Raw Data'!H13</f>
        <v>1292</v>
      </c>
      <c r="D17" s="36">
        <f>C16/C17-1</f>
        <v>1.7801857585139302E-2</v>
      </c>
      <c r="F17" s="34">
        <f>'Raw Data'!G13</f>
        <v>46273</v>
      </c>
      <c r="G17">
        <f>'Raw Data'!J13</f>
        <v>23635.1</v>
      </c>
      <c r="H17" s="36">
        <f>G16/G17-1</f>
        <v>-8.6143066879343921E-3</v>
      </c>
    </row>
    <row r="18" spans="2:8" x14ac:dyDescent="0.3">
      <c r="B18" s="34">
        <f>'Raw Data'!G14</f>
        <v>46272</v>
      </c>
      <c r="C18">
        <f>'Raw Data'!H14</f>
        <v>1288</v>
      </c>
      <c r="D18" s="36">
        <f>C17/C18-1</f>
        <v>3.1055900621117516E-3</v>
      </c>
      <c r="F18" s="34">
        <f>'Raw Data'!G14</f>
        <v>46272</v>
      </c>
      <c r="G18">
        <f>'Raw Data'!J14</f>
        <v>23779.15</v>
      </c>
      <c r="H18" s="36">
        <f>G17/G18-1</f>
        <v>-6.0578279711429595E-3</v>
      </c>
    </row>
    <row r="19" spans="2:8" x14ac:dyDescent="0.3">
      <c r="B19" s="34">
        <f>'Raw Data'!G15</f>
        <v>46269</v>
      </c>
      <c r="C19">
        <f>'Raw Data'!H15</f>
        <v>1301.3</v>
      </c>
      <c r="D19" s="36">
        <f>C18/C19-1</f>
        <v>-1.0220548682087105E-2</v>
      </c>
      <c r="F19" s="34">
        <f>'Raw Data'!G15</f>
        <v>46269</v>
      </c>
      <c r="G19">
        <f>'Raw Data'!J15</f>
        <v>23897.7</v>
      </c>
      <c r="H19" s="36">
        <f>G18/G19-1</f>
        <v>-4.9607284383015315E-3</v>
      </c>
    </row>
    <row r="20" spans="2:8" x14ac:dyDescent="0.3">
      <c r="B20" s="34">
        <f>'Raw Data'!G16</f>
        <v>46268</v>
      </c>
      <c r="C20">
        <f>'Raw Data'!H16</f>
        <v>1283.4000000000001</v>
      </c>
      <c r="D20" s="36">
        <f>C19/C20-1</f>
        <v>1.3947327411562904E-2</v>
      </c>
      <c r="F20" s="34">
        <f>'Raw Data'!G16</f>
        <v>46268</v>
      </c>
      <c r="G20">
        <f>'Raw Data'!J16</f>
        <v>23873.45</v>
      </c>
      <c r="H20" s="36">
        <f>G19/G20-1</f>
        <v>1.0157727517388082E-3</v>
      </c>
    </row>
    <row r="21" spans="2:8" x14ac:dyDescent="0.3">
      <c r="B21" s="34">
        <f>'Raw Data'!G17</f>
        <v>46267</v>
      </c>
      <c r="C21">
        <f>'Raw Data'!H17</f>
        <v>1296</v>
      </c>
      <c r="D21" s="36">
        <f>C20/C21-1</f>
        <v>-9.7222222222221877E-3</v>
      </c>
      <c r="F21" s="34">
        <f>'Raw Data'!G17</f>
        <v>46267</v>
      </c>
      <c r="G21">
        <f>'Raw Data'!J17</f>
        <v>23914.45</v>
      </c>
      <c r="H21" s="36">
        <f>G20/G21-1</f>
        <v>-1.7144446140304748E-3</v>
      </c>
    </row>
    <row r="22" spans="2:8" x14ac:dyDescent="0.3">
      <c r="B22" s="34">
        <f>'Raw Data'!G18</f>
        <v>46266</v>
      </c>
      <c r="C22">
        <f>'Raw Data'!H18</f>
        <v>1265</v>
      </c>
      <c r="D22" s="36">
        <f>C21/C22-1</f>
        <v>2.4505928853755021E-2</v>
      </c>
      <c r="F22" s="34">
        <f>'Raw Data'!G18</f>
        <v>46266</v>
      </c>
      <c r="G22">
        <f>'Raw Data'!J18</f>
        <v>24055.8</v>
      </c>
      <c r="H22" s="36">
        <f>G21/G22-1</f>
        <v>-5.8759218151130943E-3</v>
      </c>
    </row>
    <row r="23" spans="2:8" x14ac:dyDescent="0.3">
      <c r="B23" s="34">
        <f>'Raw Data'!G19</f>
        <v>46265</v>
      </c>
      <c r="C23">
        <f>'Raw Data'!H19</f>
        <v>1214.9000000000001</v>
      </c>
      <c r="D23" s="36">
        <f>C22/C23-1</f>
        <v>4.1237961972178772E-2</v>
      </c>
      <c r="F23" s="34">
        <f>'Raw Data'!G19</f>
        <v>46265</v>
      </c>
      <c r="G23">
        <f>'Raw Data'!J19</f>
        <v>24080.400000000001</v>
      </c>
      <c r="H23" s="36">
        <f>G22/G23-1</f>
        <v>-1.0215777146559413E-3</v>
      </c>
    </row>
    <row r="24" spans="2:8" x14ac:dyDescent="0.3">
      <c r="B24" s="34">
        <f>'Raw Data'!G20</f>
        <v>46262</v>
      </c>
      <c r="C24">
        <f>'Raw Data'!H20</f>
        <v>1311</v>
      </c>
      <c r="D24" s="36">
        <f>C23/C24-1</f>
        <v>-7.3302822273073942E-2</v>
      </c>
      <c r="F24" s="34">
        <f>'Raw Data'!G20</f>
        <v>46262</v>
      </c>
      <c r="G24">
        <f>'Raw Data'!J20</f>
        <v>24175.65</v>
      </c>
      <c r="H24" s="36">
        <f>G23/G24-1</f>
        <v>-3.9399147489312947E-3</v>
      </c>
    </row>
    <row r="25" spans="2:8" x14ac:dyDescent="0.3">
      <c r="B25" s="34">
        <f>'Raw Data'!G21</f>
        <v>46261</v>
      </c>
      <c r="C25">
        <f>'Raw Data'!H21</f>
        <v>1328.5</v>
      </c>
      <c r="D25" s="36">
        <f>C24/C25-1</f>
        <v>-1.3172751223184065E-2</v>
      </c>
      <c r="F25" s="34">
        <f>'Raw Data'!G21</f>
        <v>46261</v>
      </c>
      <c r="G25">
        <f>'Raw Data'!J21</f>
        <v>24090.85</v>
      </c>
      <c r="H25" s="36">
        <f>G24/G25-1</f>
        <v>3.5200086339834957E-3</v>
      </c>
    </row>
    <row r="26" spans="2:8" x14ac:dyDescent="0.3">
      <c r="B26" s="34">
        <f>'Raw Data'!G22</f>
        <v>46260</v>
      </c>
      <c r="C26">
        <f>'Raw Data'!H22</f>
        <v>1303.2</v>
      </c>
      <c r="D26" s="36">
        <f>C25/C26-1</f>
        <v>1.9413750767341975E-2</v>
      </c>
      <c r="F26" s="34">
        <f>'Raw Data'!G22</f>
        <v>46260</v>
      </c>
      <c r="G26">
        <f>'Raw Data'!J22</f>
        <v>24207.75</v>
      </c>
      <c r="H26" s="36">
        <f>G25/G26-1</f>
        <v>-4.829032024868174E-3</v>
      </c>
    </row>
    <row r="27" spans="2:8" x14ac:dyDescent="0.3">
      <c r="B27" s="34">
        <f>'Raw Data'!G23</f>
        <v>46259</v>
      </c>
      <c r="C27">
        <f>'Raw Data'!H23</f>
        <v>1330</v>
      </c>
      <c r="D27" s="36">
        <f>C26/C27-1</f>
        <v>-2.0150375939849585E-2</v>
      </c>
      <c r="F27" s="34">
        <f>'Raw Data'!G23</f>
        <v>46259</v>
      </c>
      <c r="G27">
        <f>'Raw Data'!J23</f>
        <v>24334.55</v>
      </c>
      <c r="H27" s="36">
        <f>G26/G27-1</f>
        <v>-5.2106983691910802E-3</v>
      </c>
    </row>
    <row r="28" spans="2:8" x14ac:dyDescent="0.3">
      <c r="B28" s="34">
        <f>'Raw Data'!G24</f>
        <v>46258</v>
      </c>
      <c r="C28">
        <f>'Raw Data'!H24</f>
        <v>1308</v>
      </c>
      <c r="D28" s="36">
        <f>C27/C28-1</f>
        <v>1.6819571865443361E-2</v>
      </c>
      <c r="F28" s="34">
        <f>'Raw Data'!G24</f>
        <v>46258</v>
      </c>
      <c r="G28">
        <f>'Raw Data'!J24</f>
        <v>24219.05</v>
      </c>
      <c r="H28" s="36">
        <f>G27/G28-1</f>
        <v>4.7689731843321148E-3</v>
      </c>
    </row>
    <row r="29" spans="2:8" x14ac:dyDescent="0.3">
      <c r="B29" s="34">
        <f>'Raw Data'!G25</f>
        <v>46255</v>
      </c>
      <c r="C29">
        <f>'Raw Data'!H25</f>
        <v>1320</v>
      </c>
      <c r="D29" s="36">
        <f>C28/C29-1</f>
        <v>-9.0909090909090384E-3</v>
      </c>
      <c r="F29" s="34">
        <f>'Raw Data'!G25</f>
        <v>46255</v>
      </c>
      <c r="G29">
        <f>'Raw Data'!J25</f>
        <v>24252</v>
      </c>
      <c r="H29" s="36">
        <f>G28/G29-1</f>
        <v>-1.3586508329209712E-3</v>
      </c>
    </row>
    <row r="30" spans="2:8" x14ac:dyDescent="0.3">
      <c r="B30" s="34">
        <f>'Raw Data'!G26</f>
        <v>46254</v>
      </c>
      <c r="C30">
        <f>'Raw Data'!H26</f>
        <v>1301.8</v>
      </c>
      <c r="D30" s="36">
        <f>C29/C30-1</f>
        <v>1.3980642187739978E-2</v>
      </c>
      <c r="F30" s="34">
        <f>'Raw Data'!G26</f>
        <v>46254</v>
      </c>
      <c r="G30">
        <f>'Raw Data'!J26</f>
        <v>24231.85</v>
      </c>
      <c r="H30" s="36">
        <f>G29/G30-1</f>
        <v>8.3155021180814082E-4</v>
      </c>
    </row>
    <row r="31" spans="2:8" x14ac:dyDescent="0.3">
      <c r="B31" s="34">
        <f>'Raw Data'!G27</f>
        <v>46253</v>
      </c>
      <c r="C31">
        <f>'Raw Data'!H27</f>
        <v>1293</v>
      </c>
      <c r="D31" s="36">
        <f>C30/C31-1</f>
        <v>6.8058778035575695E-3</v>
      </c>
      <c r="F31" s="34">
        <f>'Raw Data'!G27</f>
        <v>46253</v>
      </c>
      <c r="G31">
        <f>'Raw Data'!J27</f>
        <v>24078.3</v>
      </c>
      <c r="H31" s="36">
        <f>G30/G31-1</f>
        <v>6.3771113409167857E-3</v>
      </c>
    </row>
    <row r="32" spans="2:8" x14ac:dyDescent="0.3">
      <c r="B32" s="34">
        <f>'Raw Data'!G28</f>
        <v>46252</v>
      </c>
      <c r="C32">
        <f>'Raw Data'!H28</f>
        <v>1308</v>
      </c>
      <c r="D32" s="36">
        <f>C31/C32-1</f>
        <v>-1.1467889908256867E-2</v>
      </c>
      <c r="F32" s="34">
        <f>'Raw Data'!G28</f>
        <v>46252</v>
      </c>
      <c r="G32">
        <f>'Raw Data'!J28</f>
        <v>24154.9</v>
      </c>
      <c r="H32" s="36">
        <f>G31/G32-1</f>
        <v>-3.1711992183781623E-3</v>
      </c>
    </row>
    <row r="33" spans="2:8" x14ac:dyDescent="0.3">
      <c r="B33" s="34">
        <f>'Raw Data'!G29</f>
        <v>46251</v>
      </c>
      <c r="C33">
        <f>'Raw Data'!H29</f>
        <v>1327.6</v>
      </c>
      <c r="D33" s="36">
        <f>C32/C33-1</f>
        <v>-1.4763482976800191E-2</v>
      </c>
      <c r="F33" s="34">
        <f>'Raw Data'!G29</f>
        <v>46251</v>
      </c>
      <c r="G33">
        <f>'Raw Data'!J29</f>
        <v>24287.65</v>
      </c>
      <c r="H33" s="36">
        <f>G32/G33-1</f>
        <v>-5.4657408188935053E-3</v>
      </c>
    </row>
    <row r="34" spans="2:8" x14ac:dyDescent="0.3">
      <c r="B34" s="34">
        <f>'Raw Data'!G30</f>
        <v>46248</v>
      </c>
      <c r="C34">
        <f>'Raw Data'!H30</f>
        <v>1348</v>
      </c>
      <c r="D34" s="36">
        <f>C33/C34-1</f>
        <v>-1.5133531157270119E-2</v>
      </c>
      <c r="F34" s="34">
        <f>'Raw Data'!G30</f>
        <v>46248</v>
      </c>
      <c r="G34">
        <f>'Raw Data'!J30</f>
        <v>24366</v>
      </c>
      <c r="H34" s="36">
        <f>G33/G34-1</f>
        <v>-3.2155462529753764E-3</v>
      </c>
    </row>
    <row r="35" spans="2:8" x14ac:dyDescent="0.3">
      <c r="B35" s="34">
        <f>'Raw Data'!G31</f>
        <v>46247</v>
      </c>
      <c r="C35">
        <f>'Raw Data'!H31</f>
        <v>1319</v>
      </c>
      <c r="D35" s="36">
        <f>C34/C35-1</f>
        <v>2.1986353297952954E-2</v>
      </c>
      <c r="F35" s="34">
        <f>'Raw Data'!G31</f>
        <v>46247</v>
      </c>
      <c r="G35">
        <f>'Raw Data'!J31</f>
        <v>24395.85</v>
      </c>
      <c r="H35" s="36">
        <f>G34/G35-1</f>
        <v>-1.2235687627197844E-3</v>
      </c>
    </row>
    <row r="36" spans="2:8" x14ac:dyDescent="0.3">
      <c r="B36" s="34">
        <f>'Raw Data'!G32</f>
        <v>46246</v>
      </c>
      <c r="C36">
        <f>'Raw Data'!H32</f>
        <v>1332.3</v>
      </c>
      <c r="D36" s="36">
        <f>C35/C36-1</f>
        <v>-9.9827366208811164E-3</v>
      </c>
      <c r="F36" s="34">
        <f>'Raw Data'!G32</f>
        <v>46246</v>
      </c>
      <c r="G36">
        <f>'Raw Data'!J32</f>
        <v>24435.95</v>
      </c>
      <c r="H36" s="36">
        <f>G35/G36-1</f>
        <v>-1.6410248015731321E-3</v>
      </c>
    </row>
    <row r="37" spans="2:8" x14ac:dyDescent="0.3">
      <c r="B37" s="34">
        <f>'Raw Data'!G33</f>
        <v>46245</v>
      </c>
      <c r="C37">
        <f>'Raw Data'!H33</f>
        <v>1366</v>
      </c>
      <c r="D37" s="36">
        <f>C36/C37-1</f>
        <v>-2.4670571010248943E-2</v>
      </c>
      <c r="F37" s="34">
        <f>'Raw Data'!G33</f>
        <v>46245</v>
      </c>
      <c r="G37">
        <f>'Raw Data'!J33</f>
        <v>24471.7</v>
      </c>
      <c r="H37" s="36">
        <f>G36/G37-1</f>
        <v>-1.4608711286915321E-3</v>
      </c>
    </row>
    <row r="38" spans="2:8" x14ac:dyDescent="0.3">
      <c r="B38" s="34">
        <f>'Raw Data'!G34</f>
        <v>46244</v>
      </c>
      <c r="C38">
        <f>'Raw Data'!H34</f>
        <v>1369</v>
      </c>
      <c r="D38" s="36">
        <f>C37/C38-1</f>
        <v>-2.1913805697589828E-3</v>
      </c>
      <c r="F38" s="34">
        <f>'Raw Data'!G34</f>
        <v>46244</v>
      </c>
      <c r="G38">
        <f>'Raw Data'!J34</f>
        <v>24583.8</v>
      </c>
      <c r="H38" s="36">
        <f>G37/G38-1</f>
        <v>-4.5599134389312512E-3</v>
      </c>
    </row>
    <row r="39" spans="2:8" x14ac:dyDescent="0.3">
      <c r="B39" s="34">
        <f>'Raw Data'!G35</f>
        <v>46241</v>
      </c>
      <c r="C39">
        <f>'Raw Data'!H35</f>
        <v>1372.4</v>
      </c>
      <c r="D39" s="36">
        <f>C38/C39-1</f>
        <v>-2.4774118332848705E-3</v>
      </c>
      <c r="F39" s="34">
        <f>'Raw Data'!G35</f>
        <v>46241</v>
      </c>
      <c r="G39">
        <f>'Raw Data'!J35</f>
        <v>24570.65</v>
      </c>
      <c r="H39" s="36">
        <f>G38/G39-1</f>
        <v>5.3519137670332562E-4</v>
      </c>
    </row>
    <row r="40" spans="2:8" x14ac:dyDescent="0.3">
      <c r="B40" s="34">
        <f>'Raw Data'!G36</f>
        <v>46240</v>
      </c>
      <c r="C40">
        <f>'Raw Data'!H36</f>
        <v>1371.5</v>
      </c>
      <c r="D40" s="36">
        <f>C39/C40-1</f>
        <v>6.5621582209263174E-4</v>
      </c>
      <c r="F40" s="34">
        <f>'Raw Data'!G36</f>
        <v>46240</v>
      </c>
      <c r="G40">
        <f>'Raw Data'!J36</f>
        <v>24636</v>
      </c>
      <c r="H40" s="36">
        <f>G39/G40-1</f>
        <v>-2.6526221789251458E-3</v>
      </c>
    </row>
    <row r="41" spans="2:8" x14ac:dyDescent="0.3">
      <c r="B41" s="34">
        <f>'Raw Data'!G37</f>
        <v>46239</v>
      </c>
      <c r="C41">
        <f>'Raw Data'!H37</f>
        <v>1380</v>
      </c>
      <c r="D41" s="36">
        <f>C40/C41-1</f>
        <v>-6.1594202898550554E-3</v>
      </c>
      <c r="F41" s="34">
        <f>'Raw Data'!G37</f>
        <v>46239</v>
      </c>
      <c r="G41">
        <f>'Raw Data'!J37</f>
        <v>24624.65</v>
      </c>
      <c r="H41" s="36">
        <f>G40/G41-1</f>
        <v>4.6092025673449832E-4</v>
      </c>
    </row>
    <row r="42" spans="2:8" x14ac:dyDescent="0.3">
      <c r="B42" s="34">
        <f>'Raw Data'!G38</f>
        <v>46238</v>
      </c>
      <c r="C42">
        <f>'Raw Data'!H38</f>
        <v>1384</v>
      </c>
      <c r="D42" s="36">
        <f>C41/C42-1</f>
        <v>-2.8901734104046506E-3</v>
      </c>
      <c r="F42" s="34">
        <f>'Raw Data'!G38</f>
        <v>46238</v>
      </c>
      <c r="G42">
        <f>'Raw Data'!J38</f>
        <v>24614.9</v>
      </c>
      <c r="H42" s="36">
        <f>G41/G42-1</f>
        <v>3.9610154824920585E-4</v>
      </c>
    </row>
    <row r="43" spans="2:8" x14ac:dyDescent="0.3">
      <c r="B43" s="34">
        <f>'Raw Data'!G39</f>
        <v>46237</v>
      </c>
      <c r="C43">
        <f>'Raw Data'!H39</f>
        <v>1395</v>
      </c>
      <c r="D43" s="36">
        <f>C42/C43-1</f>
        <v>-7.8853046594982157E-3</v>
      </c>
      <c r="F43" s="34">
        <f>'Raw Data'!G39</f>
        <v>46237</v>
      </c>
      <c r="G43">
        <f>'Raw Data'!J39</f>
        <v>24774.3</v>
      </c>
      <c r="H43" s="36">
        <f>G42/G43-1</f>
        <v>-6.4340869368659792E-3</v>
      </c>
    </row>
    <row r="44" spans="2:8" x14ac:dyDescent="0.3">
      <c r="B44" s="34">
        <f>'Raw Data'!G40</f>
        <v>46234</v>
      </c>
      <c r="C44">
        <f>'Raw Data'!H40</f>
        <v>1383</v>
      </c>
      <c r="D44" s="36">
        <f>C43/C44-1</f>
        <v>8.6767895878525625E-3</v>
      </c>
      <c r="F44" s="34">
        <f>'Raw Data'!G40</f>
        <v>46234</v>
      </c>
      <c r="G44">
        <f>'Raw Data'!J40</f>
        <v>24383.599999999999</v>
      </c>
      <c r="H44" s="36">
        <f>G43/G44-1</f>
        <v>1.6023064682819665E-2</v>
      </c>
    </row>
    <row r="45" spans="2:8" x14ac:dyDescent="0.3">
      <c r="B45" s="34">
        <f>'Raw Data'!G41</f>
        <v>46233</v>
      </c>
      <c r="C45">
        <f>'Raw Data'!H41</f>
        <v>1358.7</v>
      </c>
      <c r="D45" s="36">
        <f>C44/C45-1</f>
        <v>1.7884742768823125E-2</v>
      </c>
      <c r="F45" s="34">
        <f>'Raw Data'!G41</f>
        <v>46233</v>
      </c>
      <c r="G45">
        <f>'Raw Data'!J41</f>
        <v>24317.15</v>
      </c>
      <c r="H45" s="36">
        <f>G44/G45-1</f>
        <v>2.7326393101163582E-3</v>
      </c>
    </row>
    <row r="46" spans="2:8" x14ac:dyDescent="0.3">
      <c r="B46" s="34">
        <f>'Raw Data'!G42</f>
        <v>46232</v>
      </c>
      <c r="C46">
        <f>'Raw Data'!H42</f>
        <v>1373.1</v>
      </c>
      <c r="D46" s="36">
        <f>C45/C46-1</f>
        <v>-1.0487218702206591E-2</v>
      </c>
      <c r="F46" s="34">
        <f>'Raw Data'!G42</f>
        <v>46232</v>
      </c>
      <c r="G46">
        <f>'Raw Data'!J42</f>
        <v>24250.2</v>
      </c>
      <c r="H46" s="36">
        <f>G45/G46-1</f>
        <v>2.7608019727671795E-3</v>
      </c>
    </row>
    <row r="47" spans="2:8" x14ac:dyDescent="0.3">
      <c r="B47" s="34">
        <f>'Raw Data'!G43</f>
        <v>46231</v>
      </c>
      <c r="C47">
        <f>'Raw Data'!H43</f>
        <v>1377.8</v>
      </c>
      <c r="D47" s="36">
        <f>C46/C47-1</f>
        <v>-3.4112353026564124E-3</v>
      </c>
      <c r="F47" s="34">
        <f>'Raw Data'!G43</f>
        <v>46231</v>
      </c>
      <c r="G47">
        <f>'Raw Data'!J43</f>
        <v>23985.35</v>
      </c>
      <c r="H47" s="36">
        <f>G46/G47-1</f>
        <v>1.1042156983325224E-2</v>
      </c>
    </row>
    <row r="48" spans="2:8" x14ac:dyDescent="0.3">
      <c r="B48" s="34">
        <f>'Raw Data'!G44</f>
        <v>46230</v>
      </c>
      <c r="C48">
        <f>'Raw Data'!H44</f>
        <v>1399.7</v>
      </c>
      <c r="D48" s="36">
        <f>C47/C48-1</f>
        <v>-1.5646209902121955E-2</v>
      </c>
      <c r="F48" s="34">
        <f>'Raw Data'!G44</f>
        <v>46230</v>
      </c>
      <c r="G48">
        <f>'Raw Data'!J44</f>
        <v>23995.95</v>
      </c>
      <c r="H48" s="36">
        <f>G47/G48-1</f>
        <v>-4.4174121049600501E-4</v>
      </c>
    </row>
    <row r="49" spans="2:8" x14ac:dyDescent="0.3">
      <c r="B49" s="34">
        <f>'Raw Data'!G45</f>
        <v>46227</v>
      </c>
      <c r="C49">
        <f>'Raw Data'!H45</f>
        <v>1395.1</v>
      </c>
      <c r="D49" s="36">
        <f>C48/C49-1</f>
        <v>3.2972546770841937E-3</v>
      </c>
      <c r="F49" s="34">
        <f>'Raw Data'!G45</f>
        <v>46227</v>
      </c>
      <c r="G49">
        <f>'Raw Data'!J45</f>
        <v>23767.45</v>
      </c>
      <c r="H49" s="36">
        <f>G48/G49-1</f>
        <v>9.6139888797495132E-3</v>
      </c>
    </row>
    <row r="50" spans="2:8" x14ac:dyDescent="0.3">
      <c r="B50" s="34">
        <f>'Raw Data'!G46</f>
        <v>46226</v>
      </c>
      <c r="C50">
        <f>'Raw Data'!H46</f>
        <v>1379.9</v>
      </c>
      <c r="D50" s="36">
        <f>C49/C50-1</f>
        <v>1.1015290963113156E-2</v>
      </c>
      <c r="F50" s="34">
        <f>'Raw Data'!G46</f>
        <v>46226</v>
      </c>
      <c r="G50">
        <f>'Raw Data'!J46</f>
        <v>23869.599999999999</v>
      </c>
      <c r="H50" s="36">
        <f>G49/G50-1</f>
        <v>-4.2795019606527429E-3</v>
      </c>
    </row>
    <row r="51" spans="2:8" x14ac:dyDescent="0.3">
      <c r="B51" s="34">
        <f>'Raw Data'!G47</f>
        <v>46225</v>
      </c>
      <c r="C51">
        <f>'Raw Data'!H47</f>
        <v>1472.3</v>
      </c>
      <c r="D51" s="36">
        <f>C50/C51-1</f>
        <v>-6.275894858384834E-2</v>
      </c>
      <c r="F51" s="34">
        <f>'Raw Data'!G47</f>
        <v>46225</v>
      </c>
      <c r="G51">
        <f>'Raw Data'!J47</f>
        <v>23996.25</v>
      </c>
      <c r="H51" s="36">
        <f>G50/G51-1</f>
        <v>-5.2779080064594419E-3</v>
      </c>
    </row>
    <row r="52" spans="2:8" x14ac:dyDescent="0.3">
      <c r="B52" s="34">
        <f>'Raw Data'!G48</f>
        <v>46224</v>
      </c>
      <c r="C52">
        <f>'Raw Data'!H48</f>
        <v>1541.9</v>
      </c>
      <c r="D52" s="36">
        <f>C51/C52-1</f>
        <v>-4.513911408003124E-2</v>
      </c>
      <c r="F52" s="34">
        <f>'Raw Data'!G48</f>
        <v>46224</v>
      </c>
      <c r="G52">
        <f>'Raw Data'!J48</f>
        <v>24187.7</v>
      </c>
      <c r="H52" s="36">
        <f>G51/G52-1</f>
        <v>-7.9151800295191865E-3</v>
      </c>
    </row>
    <row r="53" spans="2:8" x14ac:dyDescent="0.3">
      <c r="B53" s="34">
        <f>'Raw Data'!G49</f>
        <v>46223</v>
      </c>
      <c r="C53">
        <f>'Raw Data'!H49</f>
        <v>1530</v>
      </c>
      <c r="D53" s="36">
        <f>C52/C53-1</f>
        <v>7.7777777777778834E-3</v>
      </c>
      <c r="F53" s="34">
        <f>'Raw Data'!G49</f>
        <v>46223</v>
      </c>
      <c r="G53">
        <f>'Raw Data'!J49</f>
        <v>24238.5</v>
      </c>
      <c r="H53" s="36">
        <f>G52/G53-1</f>
        <v>-2.0958392639808254E-3</v>
      </c>
    </row>
    <row r="54" spans="2:8" x14ac:dyDescent="0.3">
      <c r="B54" s="34">
        <f>'Raw Data'!G50</f>
        <v>46220</v>
      </c>
      <c r="C54">
        <f>'Raw Data'!H50</f>
        <v>1513.9</v>
      </c>
      <c r="D54" s="36">
        <f>C53/C54-1</f>
        <v>1.063478433185816E-2</v>
      </c>
      <c r="F54" s="34">
        <f>'Raw Data'!G50</f>
        <v>46220</v>
      </c>
      <c r="G54">
        <f>'Raw Data'!J50</f>
        <v>24334.3</v>
      </c>
      <c r="H54" s="36">
        <f>G53/G54-1</f>
        <v>-3.9368299067571444E-3</v>
      </c>
    </row>
    <row r="55" spans="2:8" x14ac:dyDescent="0.3">
      <c r="B55" s="34">
        <f>'Raw Data'!G51</f>
        <v>46219</v>
      </c>
      <c r="C55">
        <f>'Raw Data'!H51</f>
        <v>1543.7</v>
      </c>
      <c r="D55" s="36">
        <f>C54/C55-1</f>
        <v>-1.9304268964176918E-2</v>
      </c>
      <c r="F55" s="34">
        <f>'Raw Data'!G51</f>
        <v>46219</v>
      </c>
      <c r="G55">
        <f>'Raw Data'!J51</f>
        <v>24072.75</v>
      </c>
      <c r="H55" s="36">
        <f>G54/G55-1</f>
        <v>1.0864982189404904E-2</v>
      </c>
    </row>
    <row r="56" spans="2:8" x14ac:dyDescent="0.3">
      <c r="B56" s="34">
        <f>'Raw Data'!G52</f>
        <v>46218</v>
      </c>
      <c r="C56">
        <f>'Raw Data'!H52</f>
        <v>1555.4</v>
      </c>
      <c r="D56" s="36">
        <f>C55/C56-1</f>
        <v>-7.5221807895075044E-3</v>
      </c>
      <c r="F56" s="34">
        <f>'Raw Data'!G52</f>
        <v>46218</v>
      </c>
      <c r="G56">
        <f>'Raw Data'!J52</f>
        <v>24078.5</v>
      </c>
      <c r="H56" s="36">
        <f>G55/G56-1</f>
        <v>-2.3880225097083763E-4</v>
      </c>
    </row>
    <row r="57" spans="2:8" x14ac:dyDescent="0.3">
      <c r="B57" s="34">
        <f>'Raw Data'!G53</f>
        <v>46217</v>
      </c>
      <c r="C57">
        <f>'Raw Data'!H53</f>
        <v>1604.5</v>
      </c>
      <c r="D57" s="36">
        <f>C56/C57-1</f>
        <v>-3.0601433468370187E-2</v>
      </c>
      <c r="F57" s="34">
        <f>'Raw Data'!G53</f>
        <v>46217</v>
      </c>
      <c r="G57">
        <f>'Raw Data'!J53</f>
        <v>24052.05</v>
      </c>
      <c r="H57" s="36">
        <f>G56/G57-1</f>
        <v>1.0996983625095602E-3</v>
      </c>
    </row>
    <row r="58" spans="2:8" x14ac:dyDescent="0.3">
      <c r="B58" s="34">
        <f>'Raw Data'!G54</f>
        <v>46216</v>
      </c>
      <c r="C58">
        <f>'Raw Data'!H54</f>
        <v>1546.5</v>
      </c>
      <c r="D58" s="36">
        <f>C57/C58-1</f>
        <v>3.7504041383769726E-2</v>
      </c>
      <c r="F58" s="34">
        <f>'Raw Data'!G54</f>
        <v>46216</v>
      </c>
      <c r="G58">
        <f>'Raw Data'!J54</f>
        <v>24211</v>
      </c>
      <c r="H58" s="36">
        <f>G57/G58-1</f>
        <v>-6.5651976374375698E-3</v>
      </c>
    </row>
    <row r="59" spans="2:8" x14ac:dyDescent="0.3">
      <c r="B59" s="34">
        <f>'Raw Data'!G55</f>
        <v>46213</v>
      </c>
      <c r="C59">
        <f>'Raw Data'!H55</f>
        <v>1536.6</v>
      </c>
      <c r="D59" s="36">
        <f>C58/C59-1</f>
        <v>6.4427957828974147E-3</v>
      </c>
      <c r="F59" s="34">
        <f>'Raw Data'!G55</f>
        <v>46213</v>
      </c>
      <c r="G59">
        <f>'Raw Data'!J55</f>
        <v>24206.9</v>
      </c>
      <c r="H59" s="36">
        <f>G58/G59-1</f>
        <v>1.6937319524590322E-4</v>
      </c>
    </row>
    <row r="60" spans="2:8" x14ac:dyDescent="0.3">
      <c r="B60" s="34">
        <f>'Raw Data'!G56</f>
        <v>46212</v>
      </c>
      <c r="C60">
        <f>'Raw Data'!H56</f>
        <v>1486.6</v>
      </c>
      <c r="D60" s="36">
        <f>C59/C60-1</f>
        <v>3.3633795237454578E-2</v>
      </c>
      <c r="F60" s="34">
        <f>'Raw Data'!G56</f>
        <v>46212</v>
      </c>
      <c r="G60">
        <f>'Raw Data'!J56</f>
        <v>23962.799999999999</v>
      </c>
      <c r="H60" s="36">
        <f>G59/G60-1</f>
        <v>1.0186622598360895E-2</v>
      </c>
    </row>
    <row r="61" spans="2:8" x14ac:dyDescent="0.3">
      <c r="B61" s="34">
        <f>'Raw Data'!G57</f>
        <v>46211</v>
      </c>
      <c r="C61">
        <f>'Raw Data'!H57</f>
        <v>1504.6</v>
      </c>
      <c r="D61" s="36">
        <f>C60/C61-1</f>
        <v>-1.1963312508307844E-2</v>
      </c>
      <c r="F61" s="34">
        <f>'Raw Data'!G57</f>
        <v>46211</v>
      </c>
      <c r="G61">
        <f>'Raw Data'!J57</f>
        <v>23882.05</v>
      </c>
      <c r="H61" s="36">
        <f>G60/G61-1</f>
        <v>3.3812005250806187E-3</v>
      </c>
    </row>
    <row r="62" spans="2:8" x14ac:dyDescent="0.3">
      <c r="B62" s="34">
        <f>'Raw Data'!G58</f>
        <v>46210</v>
      </c>
      <c r="C62">
        <f>'Raw Data'!H58</f>
        <v>1519</v>
      </c>
      <c r="D62" s="36">
        <f>C61/C62-1</f>
        <v>-9.47992100065842E-3</v>
      </c>
      <c r="F62" s="34">
        <f>'Raw Data'!G58</f>
        <v>46210</v>
      </c>
      <c r="G62">
        <f>'Raw Data'!J58</f>
        <v>24398.7</v>
      </c>
      <c r="H62" s="36">
        <f>G61/G62-1</f>
        <v>-2.1175308520535951E-2</v>
      </c>
    </row>
    <row r="63" spans="2:8" x14ac:dyDescent="0.3">
      <c r="B63" s="34">
        <f>'Raw Data'!G59</f>
        <v>46209</v>
      </c>
      <c r="C63">
        <f>'Raw Data'!H59</f>
        <v>1549.2</v>
      </c>
      <c r="D63" s="36">
        <f>C62/C63-1</f>
        <v>-1.9493932352181775E-2</v>
      </c>
      <c r="F63" s="34">
        <f>'Raw Data'!G59</f>
        <v>46209</v>
      </c>
      <c r="G63">
        <f>'Raw Data'!J59</f>
        <v>24430.35</v>
      </c>
      <c r="H63" s="36">
        <f>G62/G63-1</f>
        <v>-1.2955197121612416E-3</v>
      </c>
    </row>
    <row r="64" spans="2:8" x14ac:dyDescent="0.3">
      <c r="B64" s="34">
        <f>'Raw Data'!G60</f>
        <v>46206</v>
      </c>
      <c r="C64">
        <f>'Raw Data'!H60</f>
        <v>1556.2</v>
      </c>
      <c r="D64" s="36">
        <f>C63/C64-1</f>
        <v>-4.4981364863128093E-3</v>
      </c>
      <c r="F64" s="34">
        <f>'Raw Data'!G60</f>
        <v>46206</v>
      </c>
      <c r="G64">
        <f>'Raw Data'!J60</f>
        <v>24270.85</v>
      </c>
      <c r="H64" s="36">
        <f>G63/G64-1</f>
        <v>6.5716693070081433E-3</v>
      </c>
    </row>
    <row r="65" spans="2:8" x14ac:dyDescent="0.3">
      <c r="B65" s="34">
        <f>'Raw Data'!G61</f>
        <v>46205</v>
      </c>
      <c r="C65">
        <f>'Raw Data'!H61</f>
        <v>1555.2</v>
      </c>
      <c r="D65" s="36">
        <f>C64/C65-1</f>
        <v>6.4300411522633105E-4</v>
      </c>
      <c r="F65" s="34">
        <f>'Raw Data'!G61</f>
        <v>46205</v>
      </c>
      <c r="G65">
        <f>'Raw Data'!J61</f>
        <v>24175.7</v>
      </c>
      <c r="H65" s="36">
        <f>G64/G65-1</f>
        <v>3.9357702155469187E-3</v>
      </c>
    </row>
    <row r="66" spans="2:8" x14ac:dyDescent="0.3">
      <c r="B66" s="34">
        <f>'Raw Data'!G62</f>
        <v>46204</v>
      </c>
      <c r="C66">
        <f>'Raw Data'!H62</f>
        <v>1535</v>
      </c>
      <c r="D66" s="36">
        <f>C65/C66-1</f>
        <v>1.3159609120521276E-2</v>
      </c>
      <c r="F66" s="34">
        <f>'Raw Data'!G62</f>
        <v>46204</v>
      </c>
      <c r="G66">
        <f>'Raw Data'!J62</f>
        <v>24005.85</v>
      </c>
      <c r="H66" s="36">
        <f>G65/G66-1</f>
        <v>7.0753587146468178E-3</v>
      </c>
    </row>
    <row r="67" spans="2:8" x14ac:dyDescent="0.3">
      <c r="B67" s="34">
        <f>'Raw Data'!G63</f>
        <v>46203</v>
      </c>
      <c r="C67">
        <f>'Raw Data'!H63</f>
        <v>1492.2</v>
      </c>
      <c r="D67" s="36">
        <f>C66/C67-1</f>
        <v>2.8682482240986351E-2</v>
      </c>
      <c r="F67" s="34">
        <f>'Raw Data'!G63</f>
        <v>46203</v>
      </c>
      <c r="G67">
        <f>'Raw Data'!J63</f>
        <v>23865.75</v>
      </c>
      <c r="H67" s="36">
        <f>G66/G67-1</f>
        <v>5.8703371987052222E-3</v>
      </c>
    </row>
    <row r="68" spans="2:8" x14ac:dyDescent="0.3">
      <c r="B68" s="34">
        <f>'Raw Data'!G64</f>
        <v>46202</v>
      </c>
      <c r="C68">
        <f>'Raw Data'!H64</f>
        <v>1502.5</v>
      </c>
      <c r="D68" s="36">
        <f>C67/C68-1</f>
        <v>-6.8552412645590532E-3</v>
      </c>
      <c r="F68" s="34">
        <f>'Raw Data'!G64</f>
        <v>46202</v>
      </c>
      <c r="G68">
        <f>'Raw Data'!J64</f>
        <v>23946.25</v>
      </c>
      <c r="H68" s="36">
        <f>G67/G68-1</f>
        <v>-3.3616954637991636E-3</v>
      </c>
    </row>
    <row r="69" spans="2:8" x14ac:dyDescent="0.3">
      <c r="B69" s="34">
        <f>'Raw Data'!G65</f>
        <v>46198</v>
      </c>
      <c r="C69">
        <f>'Raw Data'!H65</f>
        <v>1526.1</v>
      </c>
      <c r="D69" s="36">
        <f>C68/C69-1</f>
        <v>-1.5464255291265272E-2</v>
      </c>
      <c r="F69" s="34">
        <f>'Raw Data'!G65</f>
        <v>46198</v>
      </c>
      <c r="G69">
        <f>'Raw Data'!J65</f>
        <v>24056</v>
      </c>
      <c r="H69" s="36">
        <f>G68/G69-1</f>
        <v>-4.5622713668107551E-3</v>
      </c>
    </row>
    <row r="70" spans="2:8" x14ac:dyDescent="0.3">
      <c r="B70" s="34">
        <f>'Raw Data'!G66</f>
        <v>46197</v>
      </c>
      <c r="C70">
        <f>'Raw Data'!H66</f>
        <v>1525.4</v>
      </c>
      <c r="D70" s="36">
        <f>C69/C70-1</f>
        <v>4.5889602727133827E-4</v>
      </c>
      <c r="F70" s="34">
        <f>'Raw Data'!G66</f>
        <v>46197</v>
      </c>
      <c r="G70">
        <f>'Raw Data'!J66</f>
        <v>24021.65</v>
      </c>
      <c r="H70" s="36">
        <f>G69/G70-1</f>
        <v>1.4299600568652426E-3</v>
      </c>
    </row>
    <row r="71" spans="2:8" x14ac:dyDescent="0.3">
      <c r="B71" s="34">
        <f>'Raw Data'!G67</f>
        <v>46196</v>
      </c>
      <c r="C71">
        <f>'Raw Data'!H67</f>
        <v>1511.2</v>
      </c>
      <c r="D71" s="36">
        <f>C70/C71-1</f>
        <v>9.3965060878771212E-3</v>
      </c>
      <c r="F71" s="34">
        <f>'Raw Data'!G67</f>
        <v>46196</v>
      </c>
      <c r="G71">
        <f>'Raw Data'!J67</f>
        <v>23824.1</v>
      </c>
      <c r="H71" s="36">
        <f>G70/G71-1</f>
        <v>8.2920236231380784E-3</v>
      </c>
    </row>
    <row r="72" spans="2:8" x14ac:dyDescent="0.3">
      <c r="B72" s="34">
        <f>'Raw Data'!G68</f>
        <v>46195</v>
      </c>
      <c r="C72">
        <f>'Raw Data'!H68</f>
        <v>1549.9</v>
      </c>
      <c r="D72" s="36">
        <f>C71/C72-1</f>
        <v>-2.4969352861474947E-2</v>
      </c>
      <c r="F72" s="34">
        <f>'Raw Data'!G68</f>
        <v>46195</v>
      </c>
      <c r="G72">
        <f>'Raw Data'!J68</f>
        <v>24102.9</v>
      </c>
      <c r="H72" s="36">
        <f>G71/G72-1</f>
        <v>-1.1567072841857318E-2</v>
      </c>
    </row>
    <row r="73" spans="2:8" x14ac:dyDescent="0.3">
      <c r="B73" s="34">
        <f>'Raw Data'!G69</f>
        <v>46192</v>
      </c>
      <c r="C73">
        <f>'Raw Data'!H69</f>
        <v>1502.4</v>
      </c>
      <c r="D73" s="36">
        <f>C72/C73-1</f>
        <v>3.1616080937167279E-2</v>
      </c>
      <c r="F73" s="34">
        <f>'Raw Data'!G69</f>
        <v>46192</v>
      </c>
      <c r="G73">
        <f>'Raw Data'!J69</f>
        <v>24013.1</v>
      </c>
      <c r="H73" s="36">
        <f>G72/G73-1</f>
        <v>3.7396254544395102E-3</v>
      </c>
    </row>
    <row r="74" spans="2:8" x14ac:dyDescent="0.3">
      <c r="B74" s="34">
        <f>'Raw Data'!G70</f>
        <v>46191</v>
      </c>
      <c r="C74">
        <f>'Raw Data'!H70</f>
        <v>1506.8</v>
      </c>
      <c r="D74" s="36">
        <f>C73/C74-1</f>
        <v>-2.9200955667638695E-3</v>
      </c>
      <c r="F74" s="34">
        <f>'Raw Data'!G70</f>
        <v>46191</v>
      </c>
      <c r="G74">
        <f>'Raw Data'!J70</f>
        <v>24168</v>
      </c>
      <c r="H74" s="36">
        <f>G73/G74-1</f>
        <v>-6.4093015557763477E-3</v>
      </c>
    </row>
    <row r="75" spans="2:8" x14ac:dyDescent="0.3">
      <c r="B75" s="34">
        <f>'Raw Data'!G71</f>
        <v>46190</v>
      </c>
      <c r="C75">
        <f>'Raw Data'!H71</f>
        <v>1465.8</v>
      </c>
      <c r="D75" s="36">
        <f>C74/C75-1</f>
        <v>2.7971073816346115E-2</v>
      </c>
      <c r="F75" s="34">
        <f>'Raw Data'!G71</f>
        <v>46190</v>
      </c>
      <c r="G75">
        <f>'Raw Data'!J71</f>
        <v>24085.7</v>
      </c>
      <c r="H75" s="36">
        <f>G74/G75-1</f>
        <v>3.4169652532414219E-3</v>
      </c>
    </row>
    <row r="76" spans="2:8" x14ac:dyDescent="0.3">
      <c r="B76" s="34">
        <f>'Raw Data'!G72</f>
        <v>46189</v>
      </c>
      <c r="C76">
        <f>'Raw Data'!H72</f>
        <v>1482.5</v>
      </c>
      <c r="D76" s="36">
        <f>C75/C76-1</f>
        <v>-1.1264755480607125E-2</v>
      </c>
      <c r="F76" s="34">
        <f>'Raw Data'!G72</f>
        <v>46189</v>
      </c>
      <c r="G76">
        <f>'Raw Data'!J72</f>
        <v>23989.15</v>
      </c>
      <c r="H76" s="36">
        <f>G75/G76-1</f>
        <v>4.0247361828158468E-3</v>
      </c>
    </row>
    <row r="77" spans="2:8" x14ac:dyDescent="0.3">
      <c r="B77" s="34">
        <f>'Raw Data'!G73</f>
        <v>46188</v>
      </c>
      <c r="C77">
        <f>'Raw Data'!H73</f>
        <v>1482.6</v>
      </c>
      <c r="D77" s="36">
        <f>C76/C77-1</f>
        <v>-6.7449075947578763E-5</v>
      </c>
      <c r="F77" s="34">
        <f>'Raw Data'!G73</f>
        <v>46188</v>
      </c>
      <c r="G77">
        <f>'Raw Data'!J73</f>
        <v>23853.9</v>
      </c>
      <c r="H77" s="36">
        <f>G76/G77-1</f>
        <v>5.6699323800299961E-3</v>
      </c>
    </row>
    <row r="78" spans="2:8" x14ac:dyDescent="0.3">
      <c r="B78" s="34">
        <f>'Raw Data'!G74</f>
        <v>46185</v>
      </c>
      <c r="C78">
        <f>'Raw Data'!H74</f>
        <v>1485.7</v>
      </c>
      <c r="D78" s="36">
        <f>C77/C78-1</f>
        <v>-2.0865585246012675E-3</v>
      </c>
      <c r="F78" s="34">
        <f>'Raw Data'!G74</f>
        <v>46185</v>
      </c>
      <c r="G78">
        <f>'Raw Data'!J74</f>
        <v>23622.9</v>
      </c>
      <c r="H78" s="36">
        <f>G77/G78-1</f>
        <v>9.7786469908436313E-3</v>
      </c>
    </row>
    <row r="79" spans="2:8" x14ac:dyDescent="0.3">
      <c r="B79" s="34">
        <f>'Raw Data'!G75</f>
        <v>46184</v>
      </c>
      <c r="C79">
        <f>'Raw Data'!H75</f>
        <v>1454.5</v>
      </c>
      <c r="D79" s="36">
        <f>C78/C79-1</f>
        <v>2.1450670333448052E-2</v>
      </c>
      <c r="F79" s="34">
        <f>'Raw Data'!G75</f>
        <v>46184</v>
      </c>
      <c r="G79">
        <f>'Raw Data'!J75</f>
        <v>23161.599999999999</v>
      </c>
      <c r="H79" s="36">
        <f>G78/G79-1</f>
        <v>1.9916586073501108E-2</v>
      </c>
    </row>
    <row r="80" spans="2:8" x14ac:dyDescent="0.3">
      <c r="B80" s="34">
        <f>'Raw Data'!G76</f>
        <v>46183</v>
      </c>
      <c r="C80">
        <f>'Raw Data'!H76</f>
        <v>1483</v>
      </c>
      <c r="D80" s="36">
        <f>C79/C80-1</f>
        <v>-1.9217801753202979E-2</v>
      </c>
      <c r="F80" s="34">
        <f>'Raw Data'!G76</f>
        <v>46183</v>
      </c>
      <c r="G80">
        <f>'Raw Data'!J76</f>
        <v>23214.95</v>
      </c>
      <c r="H80" s="36">
        <f>G79/G80-1</f>
        <v>-2.2980880854794883E-3</v>
      </c>
    </row>
    <row r="81" spans="2:8" x14ac:dyDescent="0.3">
      <c r="B81" s="34">
        <f>'Raw Data'!G77</f>
        <v>46182</v>
      </c>
      <c r="C81">
        <f>'Raw Data'!H77</f>
        <v>1534.5</v>
      </c>
      <c r="D81" s="36">
        <f>C80/C81-1</f>
        <v>-3.3561420658194896E-2</v>
      </c>
      <c r="F81" s="34">
        <f>'Raw Data'!G77</f>
        <v>46182</v>
      </c>
      <c r="G81">
        <f>'Raw Data'!J77</f>
        <v>23242.1</v>
      </c>
      <c r="H81" s="36">
        <f>G80/G81-1</f>
        <v>-1.1681388514805935E-3</v>
      </c>
    </row>
    <row r="82" spans="2:8" x14ac:dyDescent="0.3">
      <c r="B82" s="34">
        <f>'Raw Data'!G78</f>
        <v>46181</v>
      </c>
      <c r="C82">
        <f>'Raw Data'!H78</f>
        <v>1490.5</v>
      </c>
      <c r="D82" s="36">
        <f>C81/C82-1</f>
        <v>2.9520295202952074E-2</v>
      </c>
      <c r="F82" s="34">
        <f>'Raw Data'!G78</f>
        <v>46181</v>
      </c>
      <c r="G82">
        <f>'Raw Data'!J78</f>
        <v>23123</v>
      </c>
      <c r="H82" s="36">
        <f>G81/G82-1</f>
        <v>5.1507157375771939E-3</v>
      </c>
    </row>
    <row r="83" spans="2:8" x14ac:dyDescent="0.3">
      <c r="B83" s="34">
        <f>'Raw Data'!G79</f>
        <v>46178</v>
      </c>
      <c r="C83">
        <f>'Raw Data'!H79</f>
        <v>1525.7</v>
      </c>
      <c r="D83" s="36">
        <f>C82/C83-1</f>
        <v>-2.3071377072819033E-2</v>
      </c>
      <c r="F83" s="34">
        <f>'Raw Data'!G79</f>
        <v>46178</v>
      </c>
      <c r="G83">
        <f>'Raw Data'!J79</f>
        <v>23366.7</v>
      </c>
      <c r="H83" s="36">
        <f>G82/G83-1</f>
        <v>-1.0429371712736502E-2</v>
      </c>
    </row>
    <row r="84" spans="2:8" x14ac:dyDescent="0.3">
      <c r="B84" s="34">
        <f>'Raw Data'!G80</f>
        <v>46177</v>
      </c>
      <c r="C84">
        <f>'Raw Data'!H80</f>
        <v>1423.3</v>
      </c>
      <c r="D84" s="36">
        <f>C83/C84-1</f>
        <v>7.1945478816834108E-2</v>
      </c>
      <c r="F84" s="34">
        <f>'Raw Data'!G80</f>
        <v>46177</v>
      </c>
      <c r="G84">
        <f>'Raw Data'!J80</f>
        <v>23416.55</v>
      </c>
      <c r="H84" s="36">
        <f>G83/G84-1</f>
        <v>-2.1288362290772245E-3</v>
      </c>
    </row>
    <row r="85" spans="2:8" x14ac:dyDescent="0.3">
      <c r="B85" s="34">
        <f>'Raw Data'!G81</f>
        <v>46176</v>
      </c>
      <c r="C85">
        <f>'Raw Data'!H81</f>
        <v>1427.5</v>
      </c>
      <c r="D85" s="36">
        <f>C84/C85-1</f>
        <v>-2.9422066549912307E-3</v>
      </c>
      <c r="F85" s="34">
        <f>'Raw Data'!G81</f>
        <v>46176</v>
      </c>
      <c r="G85">
        <f>'Raw Data'!J81</f>
        <v>23405.599999999999</v>
      </c>
      <c r="H85" s="36">
        <f>G84/G85-1</f>
        <v>4.6783675701544958E-4</v>
      </c>
    </row>
    <row r="86" spans="2:8" x14ac:dyDescent="0.3">
      <c r="B86" s="34">
        <f>'Raw Data'!G82</f>
        <v>46175</v>
      </c>
      <c r="C86">
        <f>'Raw Data'!H82</f>
        <v>1449.4</v>
      </c>
      <c r="D86" s="36">
        <f>C85/C86-1</f>
        <v>-1.5109700565751449E-2</v>
      </c>
      <c r="F86" s="34">
        <f>'Raw Data'!G82</f>
        <v>46175</v>
      </c>
      <c r="G86">
        <f>'Raw Data'!J82</f>
        <v>23483.55</v>
      </c>
      <c r="H86" s="36">
        <f>G85/G86-1</f>
        <v>-3.3193448179683616E-3</v>
      </c>
    </row>
    <row r="87" spans="2:8" x14ac:dyDescent="0.3">
      <c r="B87" s="34">
        <f>'Raw Data'!G83</f>
        <v>46174</v>
      </c>
      <c r="C87">
        <f>'Raw Data'!H83</f>
        <v>1446.9</v>
      </c>
      <c r="D87" s="36">
        <f>C86/C87-1</f>
        <v>1.7278319165112688E-3</v>
      </c>
      <c r="F87" s="34">
        <f>'Raw Data'!G83</f>
        <v>46174</v>
      </c>
      <c r="G87">
        <f>'Raw Data'!J83</f>
        <v>23382.6</v>
      </c>
      <c r="H87" s="36">
        <f>G86/G87-1</f>
        <v>4.3173128736753164E-3</v>
      </c>
    </row>
    <row r="88" spans="2:8" x14ac:dyDescent="0.3">
      <c r="B88" s="34">
        <f>'Raw Data'!G84</f>
        <v>46171</v>
      </c>
      <c r="C88">
        <f>'Raw Data'!H84</f>
        <v>1475.4</v>
      </c>
      <c r="D88" s="36">
        <f>C87/C88-1</f>
        <v>-1.9316795445302959E-2</v>
      </c>
      <c r="F88" s="34">
        <f>'Raw Data'!G84</f>
        <v>46171</v>
      </c>
      <c r="G88">
        <f>'Raw Data'!J84</f>
        <v>23547.75</v>
      </c>
      <c r="H88" s="36">
        <f>G87/G88-1</f>
        <v>-7.0134089244195952E-3</v>
      </c>
    </row>
    <row r="89" spans="2:8" x14ac:dyDescent="0.3">
      <c r="B89" s="34">
        <f>'Raw Data'!G85</f>
        <v>46169</v>
      </c>
      <c r="C89">
        <f>'Raw Data'!H85</f>
        <v>1489.9</v>
      </c>
      <c r="D89" s="36">
        <f>C88/C89-1</f>
        <v>-9.7321967917309848E-3</v>
      </c>
      <c r="F89" s="34">
        <f>'Raw Data'!G85</f>
        <v>46169</v>
      </c>
      <c r="G89">
        <f>'Raw Data'!J85</f>
        <v>23907.15</v>
      </c>
      <c r="H89" s="36">
        <f>G88/G89-1</f>
        <v>-1.5033159535954743E-2</v>
      </c>
    </row>
    <row r="90" spans="2:8" x14ac:dyDescent="0.3">
      <c r="B90" s="34">
        <f>'Raw Data'!G86</f>
        <v>46168</v>
      </c>
      <c r="C90">
        <f>'Raw Data'!H86</f>
        <v>1457.4</v>
      </c>
      <c r="D90" s="36">
        <f>C89/C90-1</f>
        <v>2.2299986276931527E-2</v>
      </c>
      <c r="F90" s="34">
        <f>'Raw Data'!G86</f>
        <v>46168</v>
      </c>
      <c r="G90">
        <f>'Raw Data'!J86</f>
        <v>23913.7</v>
      </c>
      <c r="H90" s="36">
        <f>G89/G90-1</f>
        <v>-2.7390157106588209E-4</v>
      </c>
    </row>
    <row r="91" spans="2:8" x14ac:dyDescent="0.3">
      <c r="B91" s="34">
        <f>'Raw Data'!G87</f>
        <v>46167</v>
      </c>
      <c r="C91">
        <f>'Raw Data'!H87</f>
        <v>1411.1</v>
      </c>
      <c r="D91" s="36">
        <f>C90/C91-1</f>
        <v>3.2811281978598394E-2</v>
      </c>
      <c r="F91" s="34">
        <f>'Raw Data'!G87</f>
        <v>46167</v>
      </c>
      <c r="G91">
        <f>'Raw Data'!J87</f>
        <v>24031.7</v>
      </c>
      <c r="H91" s="36">
        <f>G90/G91-1</f>
        <v>-4.9101811357498137E-3</v>
      </c>
    </row>
    <row r="92" spans="2:8" x14ac:dyDescent="0.3">
      <c r="B92" s="34">
        <f>'Raw Data'!G88</f>
        <v>46164</v>
      </c>
      <c r="C92">
        <f>'Raw Data'!H88</f>
        <v>1362.3</v>
      </c>
      <c r="D92" s="36">
        <f>C91/C92-1</f>
        <v>3.582177200322989E-2</v>
      </c>
      <c r="F92" s="34">
        <f>'Raw Data'!G88</f>
        <v>46164</v>
      </c>
      <c r="G92">
        <f>'Raw Data'!J88</f>
        <v>23719.3</v>
      </c>
      <c r="H92" s="36">
        <f>G91/G92-1</f>
        <v>1.3170709085006838E-2</v>
      </c>
    </row>
    <row r="93" spans="2:8" x14ac:dyDescent="0.3">
      <c r="B93" s="34">
        <f>'Raw Data'!G89</f>
        <v>46163</v>
      </c>
      <c r="C93">
        <f>'Raw Data'!H89</f>
        <v>1358.2</v>
      </c>
      <c r="D93" s="36">
        <f>C92/C93-1</f>
        <v>3.0187012222058218E-3</v>
      </c>
      <c r="F93" s="34">
        <f>'Raw Data'!G89</f>
        <v>46163</v>
      </c>
      <c r="G93">
        <f>'Raw Data'!J89</f>
        <v>23654.7</v>
      </c>
      <c r="H93" s="36">
        <f>G92/G93-1</f>
        <v>2.7309583296342144E-3</v>
      </c>
    </row>
    <row r="94" spans="2:8" x14ac:dyDescent="0.3">
      <c r="B94" s="34">
        <f>'Raw Data'!G90</f>
        <v>46162</v>
      </c>
      <c r="C94">
        <f>'Raw Data'!H90</f>
        <v>1363.2</v>
      </c>
      <c r="D94" s="36">
        <f>C93/C94-1</f>
        <v>-3.6678403755868727E-3</v>
      </c>
      <c r="F94" s="34">
        <f>'Raw Data'!G90</f>
        <v>46162</v>
      </c>
      <c r="G94">
        <f>'Raw Data'!J90</f>
        <v>23659</v>
      </c>
      <c r="H94" s="36">
        <f>G93/G94-1</f>
        <v>-1.8174901728729154E-4</v>
      </c>
    </row>
    <row r="95" spans="2:8" x14ac:dyDescent="0.3">
      <c r="B95" s="34">
        <f>'Raw Data'!G91</f>
        <v>46161</v>
      </c>
      <c r="C95">
        <f>'Raw Data'!H91</f>
        <v>1377.8</v>
      </c>
      <c r="D95" s="36">
        <f>C94/C95-1</f>
        <v>-1.0596603280592198E-2</v>
      </c>
      <c r="F95" s="34">
        <f>'Raw Data'!G91</f>
        <v>46161</v>
      </c>
      <c r="G95">
        <f>'Raw Data'!J91</f>
        <v>23618</v>
      </c>
      <c r="H95" s="36">
        <f>G94/G95-1</f>
        <v>1.7359640951817301E-3</v>
      </c>
    </row>
    <row r="96" spans="2:8" x14ac:dyDescent="0.3">
      <c r="B96" s="34">
        <f>'Raw Data'!G92</f>
        <v>46160</v>
      </c>
      <c r="C96">
        <f>'Raw Data'!H92</f>
        <v>1369</v>
      </c>
      <c r="D96" s="36">
        <f>C95/C96-1</f>
        <v>6.4280496712929569E-3</v>
      </c>
      <c r="F96" s="34">
        <f>'Raw Data'!G92</f>
        <v>46160</v>
      </c>
      <c r="G96">
        <f>'Raw Data'!J92</f>
        <v>23649.95</v>
      </c>
      <c r="H96" s="36">
        <f>G95/G96-1</f>
        <v>-1.3509542303472566E-3</v>
      </c>
    </row>
    <row r="97" spans="2:8" x14ac:dyDescent="0.3">
      <c r="B97" s="34">
        <f>'Raw Data'!G93</f>
        <v>46157</v>
      </c>
      <c r="C97">
        <f>'Raw Data'!H93</f>
        <v>1379</v>
      </c>
      <c r="D97" s="36">
        <f>C96/C97-1</f>
        <v>-7.2516316171138406E-3</v>
      </c>
      <c r="F97" s="34">
        <f>'Raw Data'!G93</f>
        <v>46157</v>
      </c>
      <c r="G97">
        <f>'Raw Data'!J93</f>
        <v>23643.5</v>
      </c>
      <c r="H97" s="36">
        <f>G96/G97-1</f>
        <v>2.7280225008996517E-4</v>
      </c>
    </row>
    <row r="98" spans="2:8" x14ac:dyDescent="0.3">
      <c r="B98" s="34">
        <f>'Raw Data'!G94</f>
        <v>46156</v>
      </c>
      <c r="C98">
        <f>'Raw Data'!H94</f>
        <v>1414.9</v>
      </c>
      <c r="D98" s="36">
        <f>C97/C98-1</f>
        <v>-2.5372817866987085E-2</v>
      </c>
      <c r="F98" s="34">
        <f>'Raw Data'!G94</f>
        <v>46156</v>
      </c>
      <c r="G98">
        <f>'Raw Data'!J94</f>
        <v>23689.599999999999</v>
      </c>
      <c r="H98" s="36">
        <f>G97/G98-1</f>
        <v>-1.946001620964366E-3</v>
      </c>
    </row>
    <row r="99" spans="2:8" x14ac:dyDescent="0.3">
      <c r="B99" s="34">
        <f>'Raw Data'!G95</f>
        <v>46155</v>
      </c>
      <c r="C99">
        <f>'Raw Data'!H95</f>
        <v>1366.7</v>
      </c>
      <c r="D99" s="36">
        <f>C98/C99-1</f>
        <v>3.5267432501646434E-2</v>
      </c>
      <c r="F99" s="34">
        <f>'Raw Data'!G95</f>
        <v>46155</v>
      </c>
      <c r="G99">
        <f>'Raw Data'!J95</f>
        <v>23412.6</v>
      </c>
      <c r="H99" s="36">
        <f>G98/G99-1</f>
        <v>1.1831236171975679E-2</v>
      </c>
    </row>
    <row r="100" spans="2:8" x14ac:dyDescent="0.3">
      <c r="B100" s="34">
        <f>'Raw Data'!G96</f>
        <v>46154</v>
      </c>
      <c r="C100">
        <f>'Raw Data'!H96</f>
        <v>1308</v>
      </c>
      <c r="D100" s="36">
        <f>C99/C100-1</f>
        <v>4.487767584097857E-2</v>
      </c>
      <c r="F100" s="34">
        <f>'Raw Data'!G96</f>
        <v>46154</v>
      </c>
      <c r="G100">
        <f>'Raw Data'!J96</f>
        <v>23379.55</v>
      </c>
      <c r="H100" s="36">
        <f>G99/G100-1</f>
        <v>1.4136285771111368E-3</v>
      </c>
    </row>
    <row r="101" spans="2:8" x14ac:dyDescent="0.3">
      <c r="B101" s="34">
        <f>'Raw Data'!G97</f>
        <v>46153</v>
      </c>
      <c r="C101">
        <f>'Raw Data'!H97</f>
        <v>1387.7</v>
      </c>
      <c r="D101" s="36">
        <f>C100/C101-1</f>
        <v>-5.7433162787346004E-2</v>
      </c>
      <c r="F101" s="34">
        <f>'Raw Data'!G97</f>
        <v>46153</v>
      </c>
      <c r="G101">
        <f>'Raw Data'!J97</f>
        <v>23815.85</v>
      </c>
      <c r="H101" s="36">
        <f>G100/G101-1</f>
        <v>-1.8319732447088732E-2</v>
      </c>
    </row>
    <row r="102" spans="2:8" x14ac:dyDescent="0.3">
      <c r="B102" s="34">
        <f>'Raw Data'!G98</f>
        <v>46150</v>
      </c>
      <c r="C102">
        <f>'Raw Data'!H98</f>
        <v>1355.8</v>
      </c>
      <c r="D102" s="36">
        <f>C101/C102-1</f>
        <v>2.3528544033043275E-2</v>
      </c>
      <c r="F102" s="34">
        <f>'Raw Data'!G98</f>
        <v>46150</v>
      </c>
      <c r="G102">
        <f>'Raw Data'!J98</f>
        <v>24176.15</v>
      </c>
      <c r="H102" s="36">
        <f>G101/G102-1</f>
        <v>-1.4903117328441629E-2</v>
      </c>
    </row>
    <row r="103" spans="2:8" x14ac:dyDescent="0.3">
      <c r="B103" s="34">
        <f>'Raw Data'!G99</f>
        <v>46149</v>
      </c>
      <c r="C103">
        <f>'Raw Data'!H99</f>
        <v>1365</v>
      </c>
      <c r="D103" s="36">
        <f>C102/C103-1</f>
        <v>-6.7399267399267382E-3</v>
      </c>
      <c r="F103" s="34">
        <f>'Raw Data'!G99</f>
        <v>46149</v>
      </c>
      <c r="G103">
        <f>'Raw Data'!J99</f>
        <v>24326.65</v>
      </c>
      <c r="H103" s="36">
        <f>G102/G103-1</f>
        <v>-6.1866307115858721E-3</v>
      </c>
    </row>
    <row r="104" spans="2:8" x14ac:dyDescent="0.3">
      <c r="B104" s="34">
        <f>'Raw Data'!G100</f>
        <v>46148</v>
      </c>
      <c r="C104">
        <f>'Raw Data'!H100</f>
        <v>1353</v>
      </c>
      <c r="D104" s="36">
        <f>C103/C104-1</f>
        <v>8.8691796008868451E-3</v>
      </c>
      <c r="F104" s="34">
        <f>'Raw Data'!G100</f>
        <v>46148</v>
      </c>
      <c r="G104">
        <f>'Raw Data'!J100</f>
        <v>24330.95</v>
      </c>
      <c r="H104" s="36">
        <f>G103/G104-1</f>
        <v>-1.7672963858783586E-4</v>
      </c>
    </row>
    <row r="105" spans="2:8" x14ac:dyDescent="0.3">
      <c r="B105" s="34">
        <f>'Raw Data'!G101</f>
        <v>46147</v>
      </c>
      <c r="C105">
        <f>'Raw Data'!H101</f>
        <v>1331.4</v>
      </c>
      <c r="D105" s="36">
        <f>C104/C105-1</f>
        <v>1.6223524109959309E-2</v>
      </c>
      <c r="F105" s="34">
        <f>'Raw Data'!G101</f>
        <v>46147</v>
      </c>
      <c r="G105">
        <f>'Raw Data'!J101</f>
        <v>24032.799999999999</v>
      </c>
      <c r="H105" s="36">
        <f>G104/G105-1</f>
        <v>1.2405961852135494E-2</v>
      </c>
    </row>
    <row r="106" spans="2:8" x14ac:dyDescent="0.3">
      <c r="B106" s="34">
        <f>'Raw Data'!G102</f>
        <v>46146</v>
      </c>
      <c r="C106">
        <f>'Raw Data'!H102</f>
        <v>1290.7</v>
      </c>
      <c r="D106" s="36">
        <f>C105/C106-1</f>
        <v>3.1533276516618969E-2</v>
      </c>
      <c r="F106" s="34">
        <f>'Raw Data'!G102</f>
        <v>46146</v>
      </c>
      <c r="G106">
        <f>'Raw Data'!J102</f>
        <v>24119.3</v>
      </c>
      <c r="H106" s="36">
        <f>G105/G106-1</f>
        <v>-3.5863395703855661E-3</v>
      </c>
    </row>
    <row r="107" spans="2:8" x14ac:dyDescent="0.3">
      <c r="B107" s="34">
        <f>'Raw Data'!G103</f>
        <v>46142</v>
      </c>
      <c r="C107">
        <f>'Raw Data'!H103</f>
        <v>1227.1500000000001</v>
      </c>
      <c r="D107" s="36">
        <f>C106/C107-1</f>
        <v>5.1786660147496111E-2</v>
      </c>
      <c r="F107" s="34">
        <f>'Raw Data'!G103</f>
        <v>46142</v>
      </c>
      <c r="G107">
        <f>'Raw Data'!J103</f>
        <v>23997.55</v>
      </c>
      <c r="H107" s="36">
        <f>G106/G107-1</f>
        <v>5.0734345797800451E-3</v>
      </c>
    </row>
    <row r="108" spans="2:8" x14ac:dyDescent="0.3">
      <c r="B108" s="34">
        <f>'Raw Data'!G104</f>
        <v>46141</v>
      </c>
      <c r="C108">
        <f>'Raw Data'!H104</f>
        <v>1244.8</v>
      </c>
      <c r="D108" s="36">
        <f>C107/C108-1</f>
        <v>-1.4178984575835329E-2</v>
      </c>
      <c r="F108" s="34">
        <f>'Raw Data'!G104</f>
        <v>46141</v>
      </c>
      <c r="G108">
        <f>'Raw Data'!J104</f>
        <v>24177.65</v>
      </c>
      <c r="H108" s="36">
        <f>G107/G108-1</f>
        <v>-7.4490283381554168E-3</v>
      </c>
    </row>
    <row r="109" spans="2:8" x14ac:dyDescent="0.3">
      <c r="B109" s="34">
        <f>'Raw Data'!G105</f>
        <v>46140</v>
      </c>
      <c r="C109">
        <f>'Raw Data'!H105</f>
        <v>1249.95</v>
      </c>
      <c r="D109" s="36">
        <f>C108/C109-1</f>
        <v>-4.1201648065923857E-3</v>
      </c>
      <c r="F109" s="34">
        <f>'Raw Data'!G105</f>
        <v>46140</v>
      </c>
      <c r="G109">
        <f>'Raw Data'!J105</f>
        <v>23995.7</v>
      </c>
      <c r="H109" s="36">
        <f>G108/G109-1</f>
        <v>7.5826085506986995E-3</v>
      </c>
    </row>
    <row r="110" spans="2:8" x14ac:dyDescent="0.3">
      <c r="B110" s="34">
        <f>'Raw Data'!G106</f>
        <v>46139</v>
      </c>
      <c r="C110">
        <f>'Raw Data'!H106</f>
        <v>1229.7</v>
      </c>
      <c r="D110" s="36">
        <f>C109/C110-1</f>
        <v>1.6467431080751327E-2</v>
      </c>
      <c r="F110" s="34">
        <f>'Raw Data'!G106</f>
        <v>46139</v>
      </c>
      <c r="G110">
        <f>'Raw Data'!J106</f>
        <v>24092.7</v>
      </c>
      <c r="H110" s="36">
        <f>G109/G110-1</f>
        <v>-4.0261157944107007E-3</v>
      </c>
    </row>
    <row r="111" spans="2:8" x14ac:dyDescent="0.3">
      <c r="B111" s="34">
        <f>'Raw Data'!G107</f>
        <v>46136</v>
      </c>
      <c r="C111">
        <f>'Raw Data'!H107</f>
        <v>1235.8</v>
      </c>
      <c r="D111" s="36">
        <f>C110/C111-1</f>
        <v>-4.9360737983491498E-3</v>
      </c>
      <c r="F111" s="34">
        <f>'Raw Data'!G107</f>
        <v>46136</v>
      </c>
      <c r="G111">
        <f>'Raw Data'!J107</f>
        <v>23897.95</v>
      </c>
      <c r="H111" s="36">
        <f>G110/G111-1</f>
        <v>8.1492345577758307E-3</v>
      </c>
    </row>
    <row r="112" spans="2:8" x14ac:dyDescent="0.3">
      <c r="B112" s="34">
        <f>'Raw Data'!G108</f>
        <v>46135</v>
      </c>
      <c r="C112">
        <f>'Raw Data'!H108</f>
        <v>1214.1500000000001</v>
      </c>
      <c r="D112" s="36">
        <f>C111/C112-1</f>
        <v>1.7831404686406094E-2</v>
      </c>
      <c r="F112" s="34">
        <f>'Raw Data'!G108</f>
        <v>46135</v>
      </c>
      <c r="G112">
        <f>'Raw Data'!J108</f>
        <v>24173.05</v>
      </c>
      <c r="H112" s="36">
        <f>G111/G112-1</f>
        <v>-1.1380442269386726E-2</v>
      </c>
    </row>
    <row r="113" spans="2:8" x14ac:dyDescent="0.3">
      <c r="B113" s="34">
        <f>'Raw Data'!G109</f>
        <v>46134</v>
      </c>
      <c r="C113">
        <f>'Raw Data'!H109</f>
        <v>1198.95</v>
      </c>
      <c r="D113" s="36">
        <f>C112/C113-1</f>
        <v>1.267775970640983E-2</v>
      </c>
      <c r="F113" s="34">
        <f>'Raw Data'!G109</f>
        <v>46134</v>
      </c>
      <c r="G113">
        <f>'Raw Data'!J109</f>
        <v>24378.1</v>
      </c>
      <c r="H113" s="36">
        <f>G112/G113-1</f>
        <v>-8.4112379553779038E-3</v>
      </c>
    </row>
    <row r="114" spans="2:8" x14ac:dyDescent="0.3">
      <c r="B114" s="34">
        <f>'Raw Data'!G110</f>
        <v>46133</v>
      </c>
      <c r="C114">
        <f>'Raw Data'!H110</f>
        <v>1150</v>
      </c>
      <c r="D114" s="36">
        <f>C113/C114-1</f>
        <v>4.2565217391304477E-2</v>
      </c>
      <c r="F114" s="34">
        <f>'Raw Data'!G110</f>
        <v>46133</v>
      </c>
      <c r="G114">
        <f>'Raw Data'!J110</f>
        <v>24576.6</v>
      </c>
      <c r="H114" s="36">
        <f>G113/G114-1</f>
        <v>-8.0767884898643727E-3</v>
      </c>
    </row>
    <row r="115" spans="2:8" x14ac:dyDescent="0.3">
      <c r="B115" s="34">
        <f>'Raw Data'!G111</f>
        <v>46132</v>
      </c>
      <c r="C115">
        <f>'Raw Data'!H111</f>
        <v>1152.7</v>
      </c>
      <c r="D115" s="36">
        <f>C114/C115-1</f>
        <v>-2.3423267111998269E-3</v>
      </c>
      <c r="F115" s="34">
        <f>'Raw Data'!G111</f>
        <v>46132</v>
      </c>
      <c r="G115">
        <f>'Raw Data'!J111</f>
        <v>24364.85</v>
      </c>
      <c r="H115" s="36">
        <f>G114/G115-1</f>
        <v>8.690798424779933E-3</v>
      </c>
    </row>
    <row r="116" spans="2:8" x14ac:dyDescent="0.3">
      <c r="B116" s="34">
        <f>'Raw Data'!G112</f>
        <v>46129</v>
      </c>
      <c r="C116">
        <f>'Raw Data'!H112</f>
        <v>1127.3</v>
      </c>
      <c r="D116" s="36">
        <f>C115/C116-1</f>
        <v>2.253171294242895E-2</v>
      </c>
      <c r="F116" s="34">
        <f>'Raw Data'!G112</f>
        <v>46129</v>
      </c>
      <c r="G116">
        <f>'Raw Data'!J112</f>
        <v>24353.55</v>
      </c>
      <c r="H116" s="36">
        <f>G115/G116-1</f>
        <v>4.6399806188412995E-4</v>
      </c>
    </row>
    <row r="117" spans="2:8" x14ac:dyDescent="0.3">
      <c r="B117" s="34">
        <f>'Raw Data'!G113</f>
        <v>46128</v>
      </c>
      <c r="C117">
        <f>'Raw Data'!H113</f>
        <v>1118.9000000000001</v>
      </c>
      <c r="D117" s="36">
        <f>C116/C117-1</f>
        <v>7.5073733130752718E-3</v>
      </c>
      <c r="F117" s="34">
        <f>'Raw Data'!G113</f>
        <v>46128</v>
      </c>
      <c r="G117">
        <f>'Raw Data'!J113</f>
        <v>24196.75</v>
      </c>
      <c r="H117" s="36">
        <f>G116/G117-1</f>
        <v>6.4802091189932742E-3</v>
      </c>
    </row>
    <row r="118" spans="2:8" x14ac:dyDescent="0.3">
      <c r="B118" s="34">
        <f>'Raw Data'!G114</f>
        <v>46127</v>
      </c>
      <c r="C118">
        <f>'Raw Data'!H114</f>
        <v>1096.05</v>
      </c>
      <c r="D118" s="36">
        <f>C117/C118-1</f>
        <v>2.0847589069841854E-2</v>
      </c>
      <c r="F118" s="34">
        <f>'Raw Data'!G114</f>
        <v>46127</v>
      </c>
      <c r="G118">
        <f>'Raw Data'!J114</f>
        <v>24231.3</v>
      </c>
      <c r="H118" s="36">
        <f>G117/G118-1</f>
        <v>-1.4258417831481962E-3</v>
      </c>
    </row>
    <row r="119" spans="2:8" x14ac:dyDescent="0.3">
      <c r="B119" s="34">
        <f>'Raw Data'!G115</f>
        <v>46125</v>
      </c>
      <c r="C119">
        <f>'Raw Data'!H115</f>
        <v>1085.45</v>
      </c>
      <c r="D119" s="36">
        <f>C118/C119-1</f>
        <v>9.7655350315537515E-3</v>
      </c>
      <c r="F119" s="34">
        <f>'Raw Data'!G115</f>
        <v>46125</v>
      </c>
      <c r="G119">
        <f>'Raw Data'!J115</f>
        <v>23842.65</v>
      </c>
      <c r="H119" s="36">
        <f>G118/G119-1</f>
        <v>1.6300620946077649E-2</v>
      </c>
    </row>
    <row r="120" spans="2:8" x14ac:dyDescent="0.3">
      <c r="B120" s="34">
        <f>'Raw Data'!G116</f>
        <v>46122</v>
      </c>
      <c r="C120">
        <f>'Raw Data'!H116</f>
        <v>1085.3499999999999</v>
      </c>
      <c r="D120" s="36">
        <f>C119/C120-1</f>
        <v>9.2136177270107922E-5</v>
      </c>
      <c r="F120" s="34">
        <f>'Raw Data'!G116</f>
        <v>46122</v>
      </c>
      <c r="G120">
        <f>'Raw Data'!J116</f>
        <v>24050.6</v>
      </c>
      <c r="H120" s="36">
        <f>G119/G120-1</f>
        <v>-8.6463539371157694E-3</v>
      </c>
    </row>
    <row r="121" spans="2:8" x14ac:dyDescent="0.3">
      <c r="B121" s="34">
        <f>'Raw Data'!G117</f>
        <v>46121</v>
      </c>
      <c r="C121">
        <f>'Raw Data'!H117</f>
        <v>1044.55</v>
      </c>
      <c r="D121" s="36">
        <f>C120/C121-1</f>
        <v>3.9059882245943145E-2</v>
      </c>
      <c r="F121" s="34">
        <f>'Raw Data'!G117</f>
        <v>46121</v>
      </c>
      <c r="G121">
        <f>'Raw Data'!J117</f>
        <v>23775.1</v>
      </c>
      <c r="H121" s="36">
        <f>G120/G121-1</f>
        <v>1.1587753574117565E-2</v>
      </c>
    </row>
    <row r="122" spans="2:8" x14ac:dyDescent="0.3">
      <c r="B122" s="34">
        <f>'Raw Data'!G118</f>
        <v>46120</v>
      </c>
      <c r="C122">
        <f>'Raw Data'!H118</f>
        <v>1029.6500000000001</v>
      </c>
      <c r="D122" s="36">
        <f>C121/C122-1</f>
        <v>1.4470936726071804E-2</v>
      </c>
      <c r="F122" s="34">
        <f>'Raw Data'!G118</f>
        <v>46120</v>
      </c>
      <c r="G122">
        <f>'Raw Data'!J118</f>
        <v>23997.35</v>
      </c>
      <c r="H122" s="36">
        <f>G121/G122-1</f>
        <v>-9.2614392839209803E-3</v>
      </c>
    </row>
    <row r="123" spans="2:8" x14ac:dyDescent="0.3">
      <c r="B123" s="34">
        <f>'Raw Data'!G119</f>
        <v>46119</v>
      </c>
      <c r="C123">
        <f>'Raw Data'!H119</f>
        <v>925.35</v>
      </c>
      <c r="D123" s="36">
        <f>C122/C123-1</f>
        <v>0.11271410817528515</v>
      </c>
      <c r="F123" s="34">
        <f>'Raw Data'!G119</f>
        <v>46119</v>
      </c>
      <c r="G123">
        <f>'Raw Data'!J119</f>
        <v>23123.65</v>
      </c>
      <c r="H123" s="36">
        <f>G122/G123-1</f>
        <v>3.7783827380192925E-2</v>
      </c>
    </row>
    <row r="124" spans="2:8" x14ac:dyDescent="0.3">
      <c r="B124" s="34">
        <f>'Raw Data'!G120</f>
        <v>46118</v>
      </c>
      <c r="C124">
        <f>'Raw Data'!H120</f>
        <v>921.1</v>
      </c>
      <c r="D124" s="36">
        <f>C123/C124-1</f>
        <v>4.6140484203669452E-3</v>
      </c>
      <c r="F124" s="34">
        <f>'Raw Data'!G120</f>
        <v>46118</v>
      </c>
      <c r="G124">
        <f>'Raw Data'!J120</f>
        <v>22968.25</v>
      </c>
      <c r="H124" s="36">
        <f>G123/G124-1</f>
        <v>6.7658615697756552E-3</v>
      </c>
    </row>
    <row r="125" spans="2:8" x14ac:dyDescent="0.3">
      <c r="B125" s="34">
        <f>'Raw Data'!G121</f>
        <v>46114</v>
      </c>
      <c r="C125">
        <f>'Raw Data'!H121</f>
        <v>856</v>
      </c>
      <c r="D125" s="36">
        <f>C124/C125-1</f>
        <v>7.605140186915893E-2</v>
      </c>
      <c r="F125" s="34">
        <f>'Raw Data'!G121</f>
        <v>46114</v>
      </c>
      <c r="G125">
        <f>'Raw Data'!J121</f>
        <v>22713.1</v>
      </c>
      <c r="H125" s="36">
        <f>G124/G125-1</f>
        <v>1.123360527625028E-2</v>
      </c>
    </row>
    <row r="126" spans="2:8" x14ac:dyDescent="0.3">
      <c r="B126" s="34">
        <f>'Raw Data'!G122</f>
        <v>46113</v>
      </c>
      <c r="C126">
        <f>'Raw Data'!H122</f>
        <v>851.95</v>
      </c>
      <c r="D126" s="36">
        <f>C125/C126-1</f>
        <v>4.7538001056399715E-3</v>
      </c>
      <c r="F126" s="34">
        <f>'Raw Data'!G122</f>
        <v>46113</v>
      </c>
      <c r="G126">
        <f>'Raw Data'!J122</f>
        <v>22679.4</v>
      </c>
      <c r="H126" s="36">
        <f>G125/G126-1</f>
        <v>1.4859299628737777E-3</v>
      </c>
    </row>
    <row r="127" spans="2:8" x14ac:dyDescent="0.3">
      <c r="B127" s="34">
        <f>'Raw Data'!G123</f>
        <v>46111</v>
      </c>
      <c r="C127">
        <f>'Raw Data'!H123</f>
        <v>806.9</v>
      </c>
      <c r="D127" s="36">
        <f>C126/C127-1</f>
        <v>5.5830957987359042E-2</v>
      </c>
      <c r="F127" s="34">
        <f>'Raw Data'!G123</f>
        <v>46111</v>
      </c>
      <c r="G127">
        <f>'Raw Data'!J123</f>
        <v>22331.4</v>
      </c>
      <c r="H127" s="36">
        <f>G126/G127-1</f>
        <v>1.5583438566323604E-2</v>
      </c>
    </row>
    <row r="128" spans="2:8" x14ac:dyDescent="0.3">
      <c r="B128" s="34">
        <f>'Raw Data'!G124</f>
        <v>46108</v>
      </c>
      <c r="C128">
        <f>'Raw Data'!H124</f>
        <v>832.5</v>
      </c>
      <c r="D128" s="36">
        <f>C127/C128-1</f>
        <v>-3.0750750750750733E-2</v>
      </c>
      <c r="F128" s="34">
        <f>'Raw Data'!G124</f>
        <v>46108</v>
      </c>
      <c r="G128">
        <f>'Raw Data'!J124</f>
        <v>22819.599999999999</v>
      </c>
      <c r="H128" s="36">
        <f>G127/G128-1</f>
        <v>-2.1393889463443561E-2</v>
      </c>
    </row>
    <row r="129" spans="2:8" x14ac:dyDescent="0.3">
      <c r="B129" s="34">
        <f>'Raw Data'!G125</f>
        <v>46106</v>
      </c>
      <c r="C129">
        <f>'Raw Data'!H125</f>
        <v>853.8</v>
      </c>
      <c r="D129" s="36">
        <f>C128/C129-1</f>
        <v>-2.4947294448348534E-2</v>
      </c>
      <c r="F129" s="34">
        <f>'Raw Data'!G125</f>
        <v>46106</v>
      </c>
      <c r="G129">
        <f>'Raw Data'!J125</f>
        <v>23306.45</v>
      </c>
      <c r="H129" s="36">
        <f>G128/G129-1</f>
        <v>-2.0889067189554966E-2</v>
      </c>
    </row>
    <row r="130" spans="2:8" x14ac:dyDescent="0.3">
      <c r="B130" s="34">
        <f>'Raw Data'!G126</f>
        <v>46105</v>
      </c>
      <c r="C130">
        <f>'Raw Data'!H126</f>
        <v>839.55</v>
      </c>
      <c r="D130" s="36">
        <f>C129/C130-1</f>
        <v>1.6973378595676269E-2</v>
      </c>
      <c r="F130" s="34">
        <f>'Raw Data'!G126</f>
        <v>46105</v>
      </c>
      <c r="G130">
        <f>'Raw Data'!J126</f>
        <v>22912.400000000001</v>
      </c>
      <c r="H130" s="36">
        <f>G129/G130-1</f>
        <v>1.7198111066496713E-2</v>
      </c>
    </row>
    <row r="131" spans="2:8" x14ac:dyDescent="0.3">
      <c r="B131" s="34">
        <f>'Raw Data'!G127</f>
        <v>46104</v>
      </c>
      <c r="C131">
        <f>'Raw Data'!H127</f>
        <v>816.45</v>
      </c>
      <c r="D131" s="36">
        <f>C130/C131-1</f>
        <v>2.8293220650376538E-2</v>
      </c>
      <c r="F131" s="34">
        <f>'Raw Data'!G127</f>
        <v>46104</v>
      </c>
      <c r="G131">
        <f>'Raw Data'!J127</f>
        <v>22512.65</v>
      </c>
      <c r="H131" s="36">
        <f>G130/G131-1</f>
        <v>1.7756683464629885E-2</v>
      </c>
    </row>
    <row r="132" spans="2:8" x14ac:dyDescent="0.3">
      <c r="B132" s="34">
        <f>'Raw Data'!G128</f>
        <v>46101</v>
      </c>
      <c r="C132">
        <f>'Raw Data'!H128</f>
        <v>863.1</v>
      </c>
      <c r="D132" s="36">
        <f>C131/C132-1</f>
        <v>-5.4049356969064988E-2</v>
      </c>
      <c r="F132" s="34">
        <f>'Raw Data'!G128</f>
        <v>46101</v>
      </c>
      <c r="G132">
        <f>'Raw Data'!J128</f>
        <v>23114.5</v>
      </c>
      <c r="H132" s="36">
        <f>G131/G132-1</f>
        <v>-2.6037768500291936E-2</v>
      </c>
    </row>
    <row r="133" spans="2:8" x14ac:dyDescent="0.3">
      <c r="B133" s="34">
        <f>'Raw Data'!G129</f>
        <v>46100</v>
      </c>
      <c r="C133">
        <f>'Raw Data'!H129</f>
        <v>854.9</v>
      </c>
      <c r="D133" s="36">
        <f>C132/C133-1</f>
        <v>9.5917651187273911E-3</v>
      </c>
      <c r="F133" s="34">
        <f>'Raw Data'!G129</f>
        <v>46100</v>
      </c>
      <c r="G133">
        <f>'Raw Data'!J129</f>
        <v>23002.15</v>
      </c>
      <c r="H133" s="36">
        <f>G132/G133-1</f>
        <v>4.8843260303927938E-3</v>
      </c>
    </row>
    <row r="134" spans="2:8" x14ac:dyDescent="0.3">
      <c r="B134" s="34">
        <f>'Raw Data'!G130</f>
        <v>46099</v>
      </c>
      <c r="C134">
        <f>'Raw Data'!H130</f>
        <v>891.3</v>
      </c>
      <c r="D134" s="36">
        <f>C133/C134-1</f>
        <v>-4.0839223605968811E-2</v>
      </c>
      <c r="F134" s="34">
        <f>'Raw Data'!G130</f>
        <v>46099</v>
      </c>
      <c r="G134">
        <f>'Raw Data'!J130</f>
        <v>23777.8</v>
      </c>
      <c r="H134" s="36">
        <f>G133/G134-1</f>
        <v>-3.2620763905828021E-2</v>
      </c>
    </row>
    <row r="135" spans="2:8" x14ac:dyDescent="0.3">
      <c r="B135" s="34">
        <f>'Raw Data'!G131</f>
        <v>46098</v>
      </c>
      <c r="C135">
        <f>'Raw Data'!H131</f>
        <v>868.65</v>
      </c>
      <c r="D135" s="36">
        <f>C134/C135-1</f>
        <v>2.6074943878432011E-2</v>
      </c>
      <c r="F135" s="34">
        <f>'Raw Data'!G131</f>
        <v>46098</v>
      </c>
      <c r="G135">
        <f>'Raw Data'!J131</f>
        <v>23581.15</v>
      </c>
      <c r="H135" s="36">
        <f>G134/G135-1</f>
        <v>8.3392879482127036E-3</v>
      </c>
    </row>
    <row r="136" spans="2:8" x14ac:dyDescent="0.3">
      <c r="B136" s="34">
        <f>'Raw Data'!G132</f>
        <v>46097</v>
      </c>
      <c r="C136">
        <f>'Raw Data'!H132</f>
        <v>866.95</v>
      </c>
      <c r="D136" s="36">
        <f>C135/C136-1</f>
        <v>1.9608973989271306E-3</v>
      </c>
      <c r="F136" s="34">
        <f>'Raw Data'!G132</f>
        <v>46097</v>
      </c>
      <c r="G136">
        <f>'Raw Data'!J132</f>
        <v>23408.799999999999</v>
      </c>
      <c r="H136" s="36">
        <f>G135/G136-1</f>
        <v>7.3626157684290039E-3</v>
      </c>
    </row>
    <row r="137" spans="2:8" x14ac:dyDescent="0.3">
      <c r="B137" s="34">
        <f>'Raw Data'!G133</f>
        <v>46094</v>
      </c>
      <c r="C137">
        <f>'Raw Data'!H133</f>
        <v>861.35</v>
      </c>
      <c r="D137" s="36">
        <f>C136/C137-1</f>
        <v>6.5014221861032784E-3</v>
      </c>
      <c r="F137" s="34">
        <f>'Raw Data'!G133</f>
        <v>46094</v>
      </c>
      <c r="G137">
        <f>'Raw Data'!J133</f>
        <v>23151.1</v>
      </c>
      <c r="H137" s="36">
        <f>G136/G137-1</f>
        <v>1.1131220546755971E-2</v>
      </c>
    </row>
    <row r="138" spans="2:8" x14ac:dyDescent="0.3">
      <c r="B138" s="34">
        <f>'Raw Data'!G134</f>
        <v>46093</v>
      </c>
      <c r="C138">
        <f>'Raw Data'!H134</f>
        <v>866.55</v>
      </c>
      <c r="D138" s="36">
        <f>C137/C138-1</f>
        <v>-6.0008078010500565E-3</v>
      </c>
      <c r="F138" s="34">
        <f>'Raw Data'!G134</f>
        <v>46093</v>
      </c>
      <c r="G138">
        <f>'Raw Data'!J134</f>
        <v>23639.15</v>
      </c>
      <c r="H138" s="36">
        <f>G137/G138-1</f>
        <v>-2.0645835404403456E-2</v>
      </c>
    </row>
    <row r="139" spans="2:8" x14ac:dyDescent="0.3">
      <c r="B139" s="34">
        <f>'Raw Data'!G135</f>
        <v>46092</v>
      </c>
      <c r="C139">
        <f>'Raw Data'!H135</f>
        <v>849.65</v>
      </c>
      <c r="D139" s="36">
        <f>C138/C139-1</f>
        <v>1.989054316483263E-2</v>
      </c>
      <c r="F139" s="34">
        <f>'Raw Data'!G135</f>
        <v>46092</v>
      </c>
      <c r="G139">
        <f>'Raw Data'!J135</f>
        <v>23866.85</v>
      </c>
      <c r="H139" s="36">
        <f>G138/G139-1</f>
        <v>-9.5404295078738155E-3</v>
      </c>
    </row>
    <row r="140" spans="2:8" x14ac:dyDescent="0.3">
      <c r="B140" s="34">
        <f>'Raw Data'!G136</f>
        <v>46091</v>
      </c>
      <c r="C140">
        <f>'Raw Data'!H136</f>
        <v>856.9</v>
      </c>
      <c r="D140" s="36">
        <f>C139/C140-1</f>
        <v>-8.4607305403197053E-3</v>
      </c>
      <c r="F140" s="34">
        <f>'Raw Data'!G136</f>
        <v>46091</v>
      </c>
      <c r="G140">
        <f>'Raw Data'!J136</f>
        <v>24261.599999999999</v>
      </c>
      <c r="H140" s="36">
        <f>G139/G140-1</f>
        <v>-1.6270567481122433E-2</v>
      </c>
    </row>
    <row r="141" spans="2:8" x14ac:dyDescent="0.3">
      <c r="B141" s="34">
        <f>'Raw Data'!G137</f>
        <v>46090</v>
      </c>
      <c r="C141">
        <f>'Raw Data'!H137</f>
        <v>854.15</v>
      </c>
      <c r="D141" s="36">
        <f>C140/C141-1</f>
        <v>3.2195750160979308E-3</v>
      </c>
      <c r="F141" s="34">
        <f>'Raw Data'!G137</f>
        <v>46090</v>
      </c>
      <c r="G141">
        <f>'Raw Data'!J137</f>
        <v>24028.05</v>
      </c>
      <c r="H141" s="36">
        <f>G140/G141-1</f>
        <v>9.7198898787043131E-3</v>
      </c>
    </row>
    <row r="142" spans="2:8" x14ac:dyDescent="0.3">
      <c r="B142" s="34">
        <f>'Raw Data'!G138</f>
        <v>46087</v>
      </c>
      <c r="C142">
        <f>'Raw Data'!H138</f>
        <v>858.4</v>
      </c>
      <c r="D142" s="36">
        <f>C141/C142-1</f>
        <v>-4.9510717614166255E-3</v>
      </c>
      <c r="F142" s="34">
        <f>'Raw Data'!G138</f>
        <v>46087</v>
      </c>
      <c r="G142">
        <f>'Raw Data'!J138</f>
        <v>24450.45</v>
      </c>
      <c r="H142" s="36">
        <f>G141/G142-1</f>
        <v>-1.7275755660938863E-2</v>
      </c>
    </row>
    <row r="143" spans="2:8" x14ac:dyDescent="0.3">
      <c r="B143" s="34">
        <f>'Raw Data'!G139</f>
        <v>46086</v>
      </c>
      <c r="C143">
        <f>'Raw Data'!H139</f>
        <v>884.55</v>
      </c>
      <c r="D143" s="36">
        <f>C142/C143-1</f>
        <v>-2.956305466056186E-2</v>
      </c>
      <c r="F143" s="34">
        <f>'Raw Data'!G139</f>
        <v>46086</v>
      </c>
      <c r="G143">
        <f>'Raw Data'!J139</f>
        <v>24765.9</v>
      </c>
      <c r="H143" s="36">
        <f>G142/G143-1</f>
        <v>-1.2737271813259343E-2</v>
      </c>
    </row>
    <row r="144" spans="2:8" x14ac:dyDescent="0.3">
      <c r="B144" s="34">
        <f>'Raw Data'!G140</f>
        <v>46085</v>
      </c>
      <c r="C144">
        <f>'Raw Data'!H140</f>
        <v>871.95</v>
      </c>
      <c r="D144" s="36">
        <f>C143/C144-1</f>
        <v>1.4450369860657064E-2</v>
      </c>
      <c r="F144" s="34">
        <f>'Raw Data'!G140</f>
        <v>46085</v>
      </c>
      <c r="G144">
        <f>'Raw Data'!J140</f>
        <v>24480.5</v>
      </c>
      <c r="H144" s="36">
        <f>G143/G144-1</f>
        <v>1.1658258613999051E-2</v>
      </c>
    </row>
    <row r="145" spans="2:8" x14ac:dyDescent="0.3">
      <c r="B145" s="34">
        <f>'Raw Data'!G141</f>
        <v>46083</v>
      </c>
      <c r="C145">
        <f>'Raw Data'!H141</f>
        <v>903.55</v>
      </c>
      <c r="D145" s="36">
        <f>C144/C145-1</f>
        <v>-3.4973161418847765E-2</v>
      </c>
      <c r="F145" s="34">
        <f>'Raw Data'!G141</f>
        <v>46083</v>
      </c>
      <c r="G145">
        <f>'Raw Data'!J141</f>
        <v>24865.7</v>
      </c>
      <c r="H145" s="36">
        <f>G144/G145-1</f>
        <v>-1.5491218827541564E-2</v>
      </c>
    </row>
    <row r="146" spans="2:8" x14ac:dyDescent="0.3">
      <c r="B146" s="34">
        <f>'Raw Data'!G142</f>
        <v>46080</v>
      </c>
      <c r="C146">
        <f>'Raw Data'!H142</f>
        <v>947.35</v>
      </c>
      <c r="D146" s="36">
        <f>C145/C146-1</f>
        <v>-4.62342323322954E-2</v>
      </c>
      <c r="F146" s="34">
        <f>'Raw Data'!G142</f>
        <v>46080</v>
      </c>
      <c r="G146">
        <f>'Raw Data'!J142</f>
        <v>25178.65</v>
      </c>
      <c r="H146" s="36">
        <f>G145/G146-1</f>
        <v>-1.2429181072059148E-2</v>
      </c>
    </row>
    <row r="147" spans="2:8" x14ac:dyDescent="0.3">
      <c r="B147" s="34">
        <f>'Raw Data'!G143</f>
        <v>46079</v>
      </c>
      <c r="C147">
        <f>'Raw Data'!H143</f>
        <v>965.95</v>
      </c>
      <c r="D147" s="36">
        <f>C146/C147-1</f>
        <v>-1.9255655054609466E-2</v>
      </c>
      <c r="F147" s="34">
        <f>'Raw Data'!G143</f>
        <v>46079</v>
      </c>
      <c r="G147">
        <f>'Raw Data'!J143</f>
        <v>25496.55</v>
      </c>
      <c r="H147" s="36">
        <f>G146/G147-1</f>
        <v>-1.2468353561560175E-2</v>
      </c>
    </row>
    <row r="148" spans="2:8" x14ac:dyDescent="0.3">
      <c r="B148" s="34">
        <f>'Raw Data'!G144</f>
        <v>46078</v>
      </c>
      <c r="C148">
        <f>'Raw Data'!H144</f>
        <v>964.15</v>
      </c>
      <c r="D148" s="36">
        <f>C147/C148-1</f>
        <v>1.8669294196962394E-3</v>
      </c>
      <c r="F148" s="34">
        <f>'Raw Data'!G144</f>
        <v>46078</v>
      </c>
      <c r="G148">
        <f>'Raw Data'!J144</f>
        <v>25482.5</v>
      </c>
      <c r="H148" s="36">
        <f>G147/G148-1</f>
        <v>5.5135877563028401E-4</v>
      </c>
    </row>
    <row r="149" spans="2:8" x14ac:dyDescent="0.3">
      <c r="B149" s="34">
        <f>'Raw Data'!G145</f>
        <v>46077</v>
      </c>
      <c r="C149">
        <f>'Raw Data'!H145</f>
        <v>981.35</v>
      </c>
      <c r="D149" s="36">
        <f>C148/C149-1</f>
        <v>-1.7526876241911737E-2</v>
      </c>
      <c r="F149" s="34">
        <f>'Raw Data'!G145</f>
        <v>46077</v>
      </c>
      <c r="G149">
        <f>'Raw Data'!J145</f>
        <v>25424.65</v>
      </c>
      <c r="H149" s="36">
        <f>G148/G149-1</f>
        <v>2.275350889786143E-3</v>
      </c>
    </row>
    <row r="150" spans="2:8" x14ac:dyDescent="0.3">
      <c r="B150" s="34">
        <f>'Raw Data'!G146</f>
        <v>46076</v>
      </c>
      <c r="C150">
        <f>'Raw Data'!H146</f>
        <v>970.35</v>
      </c>
      <c r="D150" s="36">
        <f>C149/C150-1</f>
        <v>1.1336115834492677E-2</v>
      </c>
      <c r="F150" s="34">
        <f>'Raw Data'!G146</f>
        <v>46076</v>
      </c>
      <c r="G150">
        <f>'Raw Data'!J146</f>
        <v>25713</v>
      </c>
      <c r="H150" s="36">
        <f>G149/G150-1</f>
        <v>-1.1214171819702079E-2</v>
      </c>
    </row>
    <row r="151" spans="2:8" x14ac:dyDescent="0.3">
      <c r="B151" s="34">
        <f>'Raw Data'!G147</f>
        <v>46073</v>
      </c>
      <c r="C151">
        <f>'Raw Data'!H147</f>
        <v>968.25</v>
      </c>
      <c r="D151" s="36">
        <f>C150/C151-1</f>
        <v>2.1688613477923724E-3</v>
      </c>
      <c r="F151" s="34">
        <f>'Raw Data'!G147</f>
        <v>46073</v>
      </c>
      <c r="G151">
        <f>'Raw Data'!J147</f>
        <v>25571.25</v>
      </c>
      <c r="H151" s="36">
        <f>G150/G151-1</f>
        <v>5.5433347998239402E-3</v>
      </c>
    </row>
    <row r="152" spans="2:8" x14ac:dyDescent="0.3">
      <c r="B152" s="34">
        <f>'Raw Data'!G148</f>
        <v>46072</v>
      </c>
      <c r="C152">
        <f>'Raw Data'!H148</f>
        <v>976.5</v>
      </c>
      <c r="D152" s="36">
        <f>C151/C152-1</f>
        <v>-8.4485407066051676E-3</v>
      </c>
      <c r="F152" s="34">
        <f>'Raw Data'!G148</f>
        <v>46072</v>
      </c>
      <c r="G152">
        <f>'Raw Data'!J148</f>
        <v>25454.35</v>
      </c>
      <c r="H152" s="36">
        <f>G151/G152-1</f>
        <v>4.5925352641100758E-3</v>
      </c>
    </row>
    <row r="153" spans="2:8" x14ac:dyDescent="0.3">
      <c r="B153" s="34">
        <f>'Raw Data'!G149</f>
        <v>46071</v>
      </c>
      <c r="C153">
        <f>'Raw Data'!H149</f>
        <v>1000.1</v>
      </c>
      <c r="D153" s="36">
        <f>C152/C153-1</f>
        <v>-2.3597640235976436E-2</v>
      </c>
      <c r="F153" s="34">
        <f>'Raw Data'!G149</f>
        <v>46071</v>
      </c>
      <c r="G153">
        <f>'Raw Data'!J149</f>
        <v>25819.35</v>
      </c>
      <c r="H153" s="36">
        <f>G152/G153-1</f>
        <v>-1.4136684308474035E-2</v>
      </c>
    </row>
    <row r="154" spans="2:8" x14ac:dyDescent="0.3">
      <c r="B154" s="34">
        <f>'Raw Data'!G150</f>
        <v>46070</v>
      </c>
      <c r="C154">
        <f>'Raw Data'!H150</f>
        <v>1016.8</v>
      </c>
      <c r="D154" s="36">
        <f>C153/C154-1</f>
        <v>-1.6424075531077831E-2</v>
      </c>
      <c r="F154" s="34">
        <f>'Raw Data'!G150</f>
        <v>46070</v>
      </c>
      <c r="G154">
        <f>'Raw Data'!J150</f>
        <v>25725.4</v>
      </c>
      <c r="H154" s="36">
        <f>G153/G154-1</f>
        <v>3.6520326214557475E-3</v>
      </c>
    </row>
    <row r="155" spans="2:8" x14ac:dyDescent="0.3">
      <c r="B155" s="34">
        <f>'Raw Data'!G151</f>
        <v>46069</v>
      </c>
      <c r="C155">
        <f>'Raw Data'!H151</f>
        <v>991.25</v>
      </c>
      <c r="D155" s="36">
        <f>C154/C155-1</f>
        <v>2.577553593947024E-2</v>
      </c>
      <c r="F155" s="34">
        <f>'Raw Data'!G151</f>
        <v>46069</v>
      </c>
      <c r="G155">
        <f>'Raw Data'!J151</f>
        <v>25682.75</v>
      </c>
      <c r="H155" s="36">
        <f>G154/G155-1</f>
        <v>1.6606477110123752E-3</v>
      </c>
    </row>
    <row r="156" spans="2:8" x14ac:dyDescent="0.3">
      <c r="B156" s="34">
        <f>'Raw Data'!G152</f>
        <v>46066</v>
      </c>
      <c r="C156">
        <f>'Raw Data'!H152</f>
        <v>950.5</v>
      </c>
      <c r="D156" s="36">
        <f>C155/C156-1</f>
        <v>4.2872172540767917E-2</v>
      </c>
      <c r="F156" s="34">
        <f>'Raw Data'!G152</f>
        <v>46066</v>
      </c>
      <c r="G156">
        <f>'Raw Data'!J152</f>
        <v>25471.1</v>
      </c>
      <c r="H156" s="36">
        <f>G155/G156-1</f>
        <v>8.3094173396516258E-3</v>
      </c>
    </row>
    <row r="157" spans="2:8" x14ac:dyDescent="0.3">
      <c r="B157" s="34">
        <f>'Raw Data'!G153</f>
        <v>46065</v>
      </c>
      <c r="C157">
        <f>'Raw Data'!H153</f>
        <v>997.65</v>
      </c>
      <c r="D157" s="36">
        <f>C156/C157-1</f>
        <v>-4.7261063499223099E-2</v>
      </c>
      <c r="F157" s="34">
        <f>'Raw Data'!G153</f>
        <v>46065</v>
      </c>
      <c r="G157">
        <f>'Raw Data'!J153</f>
        <v>25807.200000000001</v>
      </c>
      <c r="H157" s="36">
        <f>G156/G157-1</f>
        <v>-1.3023497318577881E-2</v>
      </c>
    </row>
    <row r="158" spans="2:8" x14ac:dyDescent="0.3">
      <c r="B158" s="34">
        <f>'Raw Data'!G154</f>
        <v>46064</v>
      </c>
      <c r="C158">
        <f>'Raw Data'!H154</f>
        <v>994.75</v>
      </c>
      <c r="D158" s="36">
        <f>C157/C158-1</f>
        <v>2.9153053531036921E-3</v>
      </c>
      <c r="F158" s="34">
        <f>'Raw Data'!G154</f>
        <v>46064</v>
      </c>
      <c r="G158">
        <f>'Raw Data'!J154</f>
        <v>25953.85</v>
      </c>
      <c r="H158" s="36">
        <f>G157/G158-1</f>
        <v>-5.6504141004127817E-3</v>
      </c>
    </row>
    <row r="159" spans="2:8" x14ac:dyDescent="0.3">
      <c r="B159" s="34">
        <f>'Raw Data'!G155</f>
        <v>46063</v>
      </c>
      <c r="C159">
        <f>'Raw Data'!H155</f>
        <v>978.3</v>
      </c>
      <c r="D159" s="36">
        <f>C158/C159-1</f>
        <v>1.6814882960237254E-2</v>
      </c>
      <c r="F159" s="34">
        <f>'Raw Data'!G155</f>
        <v>46063</v>
      </c>
      <c r="G159">
        <f>'Raw Data'!J155</f>
        <v>25935.15</v>
      </c>
      <c r="H159" s="36">
        <f>G158/G159-1</f>
        <v>7.2102918240291025E-4</v>
      </c>
    </row>
    <row r="160" spans="2:8" x14ac:dyDescent="0.3">
      <c r="B160" s="34">
        <f>'Raw Data'!G156</f>
        <v>46062</v>
      </c>
      <c r="C160">
        <f>'Raw Data'!H156</f>
        <v>982.65</v>
      </c>
      <c r="D160" s="36">
        <f>C159/C160-1</f>
        <v>-4.4268050679285853E-3</v>
      </c>
      <c r="F160" s="34">
        <f>'Raw Data'!G156</f>
        <v>46062</v>
      </c>
      <c r="G160">
        <f>'Raw Data'!J156</f>
        <v>25867.3</v>
      </c>
      <c r="H160" s="36">
        <f>G159/G160-1</f>
        <v>2.6230027873028749E-3</v>
      </c>
    </row>
    <row r="161" spans="2:8" x14ac:dyDescent="0.3">
      <c r="B161" s="34">
        <f>'Raw Data'!G157</f>
        <v>46059</v>
      </c>
      <c r="C161">
        <f>'Raw Data'!H157</f>
        <v>971.85</v>
      </c>
      <c r="D161" s="36">
        <f>C160/C161-1</f>
        <v>1.1112826053403246E-2</v>
      </c>
      <c r="F161" s="34">
        <f>'Raw Data'!G157</f>
        <v>46059</v>
      </c>
      <c r="G161">
        <f>'Raw Data'!J157</f>
        <v>25693.7</v>
      </c>
      <c r="H161" s="36">
        <f>G160/G161-1</f>
        <v>6.7565200807979675E-3</v>
      </c>
    </row>
    <row r="162" spans="2:8" x14ac:dyDescent="0.3">
      <c r="B162" s="34">
        <f>'Raw Data'!G158</f>
        <v>46058</v>
      </c>
      <c r="C162">
        <f>'Raw Data'!H158</f>
        <v>967.15</v>
      </c>
      <c r="D162" s="36">
        <f>C161/C162-1</f>
        <v>4.8596391459443389E-3</v>
      </c>
      <c r="F162" s="34">
        <f>'Raw Data'!G158</f>
        <v>46058</v>
      </c>
      <c r="G162">
        <f>'Raw Data'!J158</f>
        <v>25642.799999999999</v>
      </c>
      <c r="H162" s="36">
        <f>G161/G162-1</f>
        <v>1.9849626405852305E-3</v>
      </c>
    </row>
    <row r="163" spans="2:8" x14ac:dyDescent="0.3">
      <c r="B163" s="34">
        <f>'Raw Data'!G159</f>
        <v>46057</v>
      </c>
      <c r="C163">
        <f>'Raw Data'!H159</f>
        <v>954.45</v>
      </c>
      <c r="D163" s="36">
        <f>C162/C163-1</f>
        <v>1.3306092514013157E-2</v>
      </c>
      <c r="F163" s="34">
        <f>'Raw Data'!G159</f>
        <v>46057</v>
      </c>
      <c r="G163">
        <f>'Raw Data'!J159</f>
        <v>25776</v>
      </c>
      <c r="H163" s="36">
        <f>G162/G163-1</f>
        <v>-5.16759776536313E-3</v>
      </c>
    </row>
    <row r="164" spans="2:8" x14ac:dyDescent="0.3">
      <c r="B164" s="34">
        <f>'Raw Data'!G160</f>
        <v>46056</v>
      </c>
      <c r="C164">
        <f>'Raw Data'!H160</f>
        <v>932.1</v>
      </c>
      <c r="D164" s="36">
        <f>C163/C164-1</f>
        <v>2.3978113936272916E-2</v>
      </c>
      <c r="F164" s="34">
        <f>'Raw Data'!G160</f>
        <v>46056</v>
      </c>
      <c r="G164">
        <f>'Raw Data'!J160</f>
        <v>25727.55</v>
      </c>
      <c r="H164" s="36">
        <f>G163/G164-1</f>
        <v>1.8831952517825989E-3</v>
      </c>
    </row>
    <row r="165" spans="2:8" x14ac:dyDescent="0.3">
      <c r="B165" s="34">
        <f>'Raw Data'!G161</f>
        <v>46055</v>
      </c>
      <c r="C165">
        <f>'Raw Data'!H161</f>
        <v>843.95</v>
      </c>
      <c r="D165" s="36">
        <f>C164/C165-1</f>
        <v>0.10444931571775573</v>
      </c>
      <c r="F165" s="34">
        <f>'Raw Data'!G161</f>
        <v>46055</v>
      </c>
      <c r="G165">
        <f>'Raw Data'!J161</f>
        <v>25088.400000000001</v>
      </c>
      <c r="H165" s="36">
        <f>G164/G165-1</f>
        <v>2.5475917156932981E-2</v>
      </c>
    </row>
    <row r="166" spans="2:8" x14ac:dyDescent="0.3">
      <c r="B166" s="34">
        <f>'Raw Data'!G162</f>
        <v>46054</v>
      </c>
      <c r="C166">
        <f>'Raw Data'!H162</f>
        <v>806.8</v>
      </c>
      <c r="D166" s="36">
        <f>C165/C166-1</f>
        <v>4.6046108081309045E-2</v>
      </c>
      <c r="F166" s="34">
        <f>'Raw Data'!G162</f>
        <v>46054</v>
      </c>
      <c r="G166">
        <f>'Raw Data'!J162</f>
        <v>25320.65</v>
      </c>
      <c r="H166" s="36">
        <f>G165/G166-1</f>
        <v>-9.1723553700240323E-3</v>
      </c>
    </row>
    <row r="167" spans="2:8" x14ac:dyDescent="0.3">
      <c r="B167" s="34">
        <f>'Raw Data'!G163</f>
        <v>46052</v>
      </c>
      <c r="C167">
        <f>'Raw Data'!H163</f>
        <v>852.3</v>
      </c>
      <c r="D167" s="36">
        <f>C166/C167-1</f>
        <v>-5.33849583479995E-2</v>
      </c>
      <c r="F167" s="34">
        <f>'Raw Data'!G163</f>
        <v>46052</v>
      </c>
      <c r="G167">
        <f>'Raw Data'!J163</f>
        <v>25320.65</v>
      </c>
      <c r="H167" s="36">
        <f>G166/G167-1</f>
        <v>0</v>
      </c>
    </row>
    <row r="168" spans="2:8" x14ac:dyDescent="0.3">
      <c r="B168" s="34">
        <f>'Raw Data'!G164</f>
        <v>46051</v>
      </c>
      <c r="C168">
        <f>'Raw Data'!H164</f>
        <v>858.8</v>
      </c>
      <c r="D168" s="36">
        <f>C167/C168-1</f>
        <v>-7.5687005123428186E-3</v>
      </c>
      <c r="F168" s="34">
        <f>'Raw Data'!G164</f>
        <v>46051</v>
      </c>
      <c r="G168">
        <f>'Raw Data'!J164</f>
        <v>25418.9</v>
      </c>
      <c r="H168" s="36">
        <f>G167/G168-1</f>
        <v>-3.8652341368037302E-3</v>
      </c>
    </row>
    <row r="169" spans="2:8" x14ac:dyDescent="0.3">
      <c r="B169" s="34">
        <f>'Raw Data'!G165</f>
        <v>46050</v>
      </c>
      <c r="C169">
        <f>'Raw Data'!H165</f>
        <v>822.9</v>
      </c>
      <c r="D169" s="36">
        <f>C168/C169-1</f>
        <v>4.3626200024304174E-2</v>
      </c>
      <c r="F169" s="34">
        <f>'Raw Data'!G165</f>
        <v>46050</v>
      </c>
      <c r="G169">
        <f>'Raw Data'!J165</f>
        <v>25342.75</v>
      </c>
      <c r="H169" s="36">
        <f>G168/G169-1</f>
        <v>3.004804135305017E-3</v>
      </c>
    </row>
    <row r="170" spans="2:8" x14ac:dyDescent="0.3">
      <c r="B170" s="34">
        <f>'Raw Data'!G166</f>
        <v>46049</v>
      </c>
      <c r="C170">
        <f>'Raw Data'!H166</f>
        <v>799.1</v>
      </c>
      <c r="D170" s="36">
        <f>C169/C170-1</f>
        <v>2.9783506444750252E-2</v>
      </c>
      <c r="F170" s="34">
        <f>'Raw Data'!G166</f>
        <v>46049</v>
      </c>
      <c r="G170">
        <f>'Raw Data'!J166</f>
        <v>25175.4</v>
      </c>
      <c r="H170" s="36">
        <f>G169/G170-1</f>
        <v>6.6473621074540912E-3</v>
      </c>
    </row>
    <row r="171" spans="2:8" x14ac:dyDescent="0.3">
      <c r="B171" s="34">
        <f>'Raw Data'!G167</f>
        <v>46045</v>
      </c>
      <c r="C171">
        <f>'Raw Data'!H167</f>
        <v>772.8</v>
      </c>
      <c r="D171" s="36">
        <f>C170/C171-1</f>
        <v>3.4032091097308648E-2</v>
      </c>
      <c r="F171" s="34">
        <f>'Raw Data'!G167</f>
        <v>46045</v>
      </c>
      <c r="G171">
        <f>'Raw Data'!J167</f>
        <v>25048.65</v>
      </c>
      <c r="H171" s="36">
        <f>G170/G171-1</f>
        <v>5.0601529423741631E-3</v>
      </c>
    </row>
    <row r="172" spans="2:8" x14ac:dyDescent="0.3">
      <c r="B172" s="34">
        <f>'Raw Data'!G168</f>
        <v>46044</v>
      </c>
      <c r="C172">
        <f>'Raw Data'!H168</f>
        <v>904.3</v>
      </c>
      <c r="D172" s="36">
        <f>C171/C172-1</f>
        <v>-0.14541634413358395</v>
      </c>
      <c r="F172" s="34">
        <f>'Raw Data'!G168</f>
        <v>46044</v>
      </c>
      <c r="G172">
        <f>'Raw Data'!J168</f>
        <v>25289.9</v>
      </c>
      <c r="H172" s="36">
        <f>G171/G172-1</f>
        <v>-9.5393813340503009E-3</v>
      </c>
    </row>
    <row r="173" spans="2:8" x14ac:dyDescent="0.3">
      <c r="B173" s="34">
        <f>'Raw Data'!G169</f>
        <v>46043</v>
      </c>
      <c r="C173">
        <f>'Raw Data'!H169</f>
        <v>878.7</v>
      </c>
      <c r="D173" s="36">
        <f>C172/C173-1</f>
        <v>2.9133947877546307E-2</v>
      </c>
      <c r="F173" s="34">
        <f>'Raw Data'!G169</f>
        <v>46043</v>
      </c>
      <c r="G173">
        <f>'Raw Data'!J169</f>
        <v>25157.5</v>
      </c>
      <c r="H173" s="36">
        <f>G172/G173-1</f>
        <v>5.2628440822817257E-3</v>
      </c>
    </row>
    <row r="174" spans="2:8" x14ac:dyDescent="0.3">
      <c r="B174" s="34">
        <f>'Raw Data'!G170</f>
        <v>46042</v>
      </c>
      <c r="C174">
        <f>'Raw Data'!H170</f>
        <v>883.2</v>
      </c>
      <c r="D174" s="36">
        <f>C173/C174-1</f>
        <v>-5.0951086956522174E-3</v>
      </c>
      <c r="F174" s="34">
        <f>'Raw Data'!G170</f>
        <v>46042</v>
      </c>
      <c r="G174">
        <f>'Raw Data'!J170</f>
        <v>25232.5</v>
      </c>
      <c r="H174" s="36">
        <f>G173/G174-1</f>
        <v>-2.9723570791637677E-3</v>
      </c>
    </row>
    <row r="175" spans="2:8" x14ac:dyDescent="0.3">
      <c r="B175" s="34">
        <f>'Raw Data'!G171</f>
        <v>46041</v>
      </c>
      <c r="C175">
        <f>'Raw Data'!H171</f>
        <v>914</v>
      </c>
      <c r="D175" s="36">
        <f>C174/C175-1</f>
        <v>-3.3698030634573217E-2</v>
      </c>
      <c r="F175" s="34">
        <f>'Raw Data'!G171</f>
        <v>46041</v>
      </c>
      <c r="G175">
        <f>'Raw Data'!J171</f>
        <v>25585.5</v>
      </c>
      <c r="H175" s="36">
        <f>G174/G175-1</f>
        <v>-1.3796877137441155E-2</v>
      </c>
    </row>
    <row r="176" spans="2:8" x14ac:dyDescent="0.3">
      <c r="B176" s="34">
        <f>'Raw Data'!G172</f>
        <v>46038</v>
      </c>
      <c r="C176">
        <f>'Raw Data'!H172</f>
        <v>930.1</v>
      </c>
      <c r="D176" s="36">
        <f>C175/C176-1</f>
        <v>-1.7309966670250532E-2</v>
      </c>
      <c r="F176" s="34">
        <f>'Raw Data'!G172</f>
        <v>46038</v>
      </c>
      <c r="G176">
        <f>'Raw Data'!J172</f>
        <v>25694.35</v>
      </c>
      <c r="H176" s="36">
        <f>G175/G176-1</f>
        <v>-4.2363398957357967E-3</v>
      </c>
    </row>
    <row r="177" spans="2:8" x14ac:dyDescent="0.3">
      <c r="B177" s="34">
        <f>'Raw Data'!G173</f>
        <v>46036</v>
      </c>
      <c r="C177">
        <f>'Raw Data'!H173</f>
        <v>935.3</v>
      </c>
      <c r="D177" s="36">
        <f>C176/C177-1</f>
        <v>-5.5597134609215448E-3</v>
      </c>
      <c r="F177" s="34">
        <f>'Raw Data'!G173</f>
        <v>46036</v>
      </c>
      <c r="G177">
        <f>'Raw Data'!J173</f>
        <v>25665.599999999999</v>
      </c>
      <c r="H177" s="36">
        <f>G176/G177-1</f>
        <v>1.1201764229162858E-3</v>
      </c>
    </row>
    <row r="178" spans="2:8" x14ac:dyDescent="0.3">
      <c r="B178" s="34">
        <f>'Raw Data'!G174</f>
        <v>46035</v>
      </c>
      <c r="C178">
        <f>'Raw Data'!H174</f>
        <v>936.7</v>
      </c>
      <c r="D178" s="36">
        <f>C177/C178-1</f>
        <v>-1.4946087327853963E-3</v>
      </c>
      <c r="F178" s="34">
        <f>'Raw Data'!G174</f>
        <v>46035</v>
      </c>
      <c r="G178">
        <f>'Raw Data'!J174</f>
        <v>25732.3</v>
      </c>
      <c r="H178" s="36">
        <f>G177/G178-1</f>
        <v>-2.5920729977498835E-3</v>
      </c>
    </row>
    <row r="179" spans="2:8" x14ac:dyDescent="0.3">
      <c r="B179" s="34">
        <f>'Raw Data'!G175</f>
        <v>46034</v>
      </c>
      <c r="C179">
        <f>'Raw Data'!H175</f>
        <v>942.2</v>
      </c>
      <c r="D179" s="36">
        <f>C178/C179-1</f>
        <v>-5.837401825514732E-3</v>
      </c>
      <c r="F179" s="34">
        <f>'Raw Data'!G175</f>
        <v>46034</v>
      </c>
      <c r="G179">
        <f>'Raw Data'!J175</f>
        <v>25790.25</v>
      </c>
      <c r="H179" s="36">
        <f>G178/G179-1</f>
        <v>-2.2469731778482771E-3</v>
      </c>
    </row>
    <row r="180" spans="2:8" x14ac:dyDescent="0.3">
      <c r="B180" s="34">
        <f>'Raw Data'!G176</f>
        <v>46031</v>
      </c>
      <c r="C180">
        <f>'Raw Data'!H176</f>
        <v>946.1</v>
      </c>
      <c r="D180" s="36">
        <f>C179/C180-1</f>
        <v>-4.1221858154528723E-3</v>
      </c>
      <c r="F180" s="34">
        <f>'Raw Data'!G176</f>
        <v>46031</v>
      </c>
      <c r="G180">
        <f>'Raw Data'!J176</f>
        <v>25683.3</v>
      </c>
      <c r="H180" s="36">
        <f>G179/G180-1</f>
        <v>4.164184509000135E-3</v>
      </c>
    </row>
    <row r="181" spans="2:8" x14ac:dyDescent="0.3">
      <c r="B181" s="34">
        <f>'Raw Data'!G177</f>
        <v>46030</v>
      </c>
      <c r="C181">
        <f>'Raw Data'!H177</f>
        <v>988.8</v>
      </c>
      <c r="D181" s="36">
        <f>C180/C181-1</f>
        <v>-4.3183656957928696E-2</v>
      </c>
      <c r="F181" s="34">
        <f>'Raw Data'!G177</f>
        <v>46030</v>
      </c>
      <c r="G181">
        <f>'Raw Data'!J177</f>
        <v>25876.85</v>
      </c>
      <c r="H181" s="36">
        <f>G180/G181-1</f>
        <v>-7.4796584592019544E-3</v>
      </c>
    </row>
    <row r="182" spans="2:8" x14ac:dyDescent="0.3">
      <c r="B182" s="34">
        <f>'Raw Data'!G178</f>
        <v>46029</v>
      </c>
      <c r="C182">
        <f>'Raw Data'!H178</f>
        <v>1019.2</v>
      </c>
      <c r="D182" s="36">
        <f>C181/C182-1</f>
        <v>-2.982731554160134E-2</v>
      </c>
      <c r="F182" s="34">
        <f>'Raw Data'!G178</f>
        <v>46029</v>
      </c>
      <c r="G182">
        <f>'Raw Data'!J178</f>
        <v>26140.75</v>
      </c>
      <c r="H182" s="36">
        <f>G181/G182-1</f>
        <v>-1.0095349215305638E-2</v>
      </c>
    </row>
    <row r="183" spans="2:8" x14ac:dyDescent="0.3">
      <c r="B183" s="34">
        <f>'Raw Data'!G179</f>
        <v>46028</v>
      </c>
      <c r="C183">
        <f>'Raw Data'!H179</f>
        <v>1019.4</v>
      </c>
      <c r="D183" s="36">
        <f>C182/C183-1</f>
        <v>-1.961938395134144E-4</v>
      </c>
      <c r="F183" s="34">
        <f>'Raw Data'!G179</f>
        <v>46028</v>
      </c>
      <c r="G183">
        <f>'Raw Data'!J179</f>
        <v>26178.7</v>
      </c>
      <c r="H183" s="36">
        <f>G182/G183-1</f>
        <v>-1.4496518161711824E-3</v>
      </c>
    </row>
    <row r="184" spans="2:8" x14ac:dyDescent="0.3">
      <c r="B184" s="34">
        <f>'Raw Data'!G180</f>
        <v>46027</v>
      </c>
      <c r="C184">
        <f>'Raw Data'!H180</f>
        <v>1030.5</v>
      </c>
      <c r="D184" s="36">
        <f>C183/C184-1</f>
        <v>-1.0771470160116481E-2</v>
      </c>
      <c r="F184" s="34">
        <f>'Raw Data'!G180</f>
        <v>46027</v>
      </c>
      <c r="G184">
        <f>'Raw Data'!J180</f>
        <v>26250.3</v>
      </c>
      <c r="H184" s="36">
        <f>G183/G184-1</f>
        <v>-2.7275878751861216E-3</v>
      </c>
    </row>
    <row r="185" spans="2:8" x14ac:dyDescent="0.3">
      <c r="B185" s="34">
        <f>'Raw Data'!G181</f>
        <v>46024</v>
      </c>
      <c r="C185">
        <f>'Raw Data'!H181</f>
        <v>1038.8</v>
      </c>
      <c r="D185" s="36">
        <f>C184/C185-1</f>
        <v>-7.9899884482094174E-3</v>
      </c>
      <c r="F185" s="34">
        <f>'Raw Data'!G181</f>
        <v>46024</v>
      </c>
      <c r="G185">
        <f>'Raw Data'!J181</f>
        <v>26328.55</v>
      </c>
      <c r="H185" s="36">
        <f>G184/G185-1</f>
        <v>-2.9720588486642496E-3</v>
      </c>
    </row>
    <row r="186" spans="2:8" x14ac:dyDescent="0.3">
      <c r="B186" s="34">
        <f>'Raw Data'!G182</f>
        <v>46023</v>
      </c>
      <c r="C186">
        <f>'Raw Data'!H182</f>
        <v>1025.9000000000001</v>
      </c>
      <c r="D186" s="36">
        <f>C185/C186-1</f>
        <v>1.2574324982941754E-2</v>
      </c>
      <c r="F186" s="34">
        <f>'Raw Data'!G182</f>
        <v>46023</v>
      </c>
      <c r="G186">
        <f>'Raw Data'!J182</f>
        <v>26146.55</v>
      </c>
      <c r="H186" s="36">
        <f>G185/G186-1</f>
        <v>6.9607653782239876E-3</v>
      </c>
    </row>
    <row r="187" spans="2:8" x14ac:dyDescent="0.3">
      <c r="B187" s="34">
        <f>'Raw Data'!G183</f>
        <v>46022</v>
      </c>
      <c r="C187">
        <f>'Raw Data'!H183</f>
        <v>1015.1</v>
      </c>
      <c r="D187" s="36">
        <f>C186/C187-1</f>
        <v>1.063934587725357E-2</v>
      </c>
      <c r="F187" s="34">
        <f>'Raw Data'!G183</f>
        <v>46022</v>
      </c>
      <c r="G187">
        <f>'Raw Data'!J183</f>
        <v>26129.599999999999</v>
      </c>
      <c r="H187" s="36">
        <f>G186/G187-1</f>
        <v>6.4868960871966586E-4</v>
      </c>
    </row>
    <row r="188" spans="2:8" x14ac:dyDescent="0.3">
      <c r="B188" s="34">
        <f>'Raw Data'!G184</f>
        <v>46021</v>
      </c>
      <c r="C188">
        <f>'Raw Data'!H184</f>
        <v>1007.1</v>
      </c>
      <c r="D188" s="36">
        <f>C187/C188-1</f>
        <v>7.9436004368980129E-3</v>
      </c>
      <c r="F188" s="34">
        <f>'Raw Data'!G184</f>
        <v>46021</v>
      </c>
      <c r="G188">
        <f>'Raw Data'!J184</f>
        <v>25938.85</v>
      </c>
      <c r="H188" s="36">
        <f>G187/G188-1</f>
        <v>7.3538341136942798E-3</v>
      </c>
    </row>
    <row r="189" spans="2:8" x14ac:dyDescent="0.3">
      <c r="B189" s="34">
        <f>'Raw Data'!G185</f>
        <v>46020</v>
      </c>
      <c r="C189">
        <f>'Raw Data'!H185</f>
        <v>1001.9</v>
      </c>
      <c r="D189" s="36">
        <f>C188/C189-1</f>
        <v>5.19013873640084E-3</v>
      </c>
      <c r="F189" s="34">
        <f>'Raw Data'!G185</f>
        <v>46020</v>
      </c>
      <c r="G189">
        <f>'Raw Data'!J185</f>
        <v>25942.1</v>
      </c>
      <c r="H189" s="36">
        <f>G188/G189-1</f>
        <v>-1.2527898666647719E-4</v>
      </c>
    </row>
    <row r="190" spans="2:8" x14ac:dyDescent="0.3">
      <c r="B190" s="34">
        <f>'Raw Data'!G186</f>
        <v>46017</v>
      </c>
      <c r="C190">
        <f>'Raw Data'!H186</f>
        <v>1018.1</v>
      </c>
      <c r="D190" s="36">
        <f>C189/C190-1</f>
        <v>-1.591199292800316E-2</v>
      </c>
      <c r="F190" s="34">
        <f>'Raw Data'!G186</f>
        <v>46017</v>
      </c>
      <c r="G190">
        <f>'Raw Data'!J186</f>
        <v>26042.3</v>
      </c>
      <c r="H190" s="36">
        <f>G189/G190-1</f>
        <v>-3.8475864266981352E-3</v>
      </c>
    </row>
    <row r="191" spans="2:8" x14ac:dyDescent="0.3">
      <c r="B191" s="34">
        <f>'Raw Data'!G187</f>
        <v>46015</v>
      </c>
      <c r="C191">
        <f>'Raw Data'!H187</f>
        <v>1015</v>
      </c>
      <c r="D191" s="36">
        <f>C190/C191-1</f>
        <v>3.0541871921181407E-3</v>
      </c>
      <c r="F191" s="34">
        <f>'Raw Data'!G187</f>
        <v>46015</v>
      </c>
      <c r="G191">
        <f>'Raw Data'!J187</f>
        <v>26142.1</v>
      </c>
      <c r="H191" s="36">
        <f>G190/G191-1</f>
        <v>-3.8175969030797008E-3</v>
      </c>
    </row>
    <row r="192" spans="2:8" x14ac:dyDescent="0.3">
      <c r="B192" s="34">
        <f>'Raw Data'!G188</f>
        <v>46014</v>
      </c>
      <c r="C192">
        <f>'Raw Data'!H188</f>
        <v>1016.9</v>
      </c>
      <c r="D192" s="36">
        <f>C191/C192-1</f>
        <v>-1.8684236404759025E-3</v>
      </c>
      <c r="F192" s="34">
        <f>'Raw Data'!G188</f>
        <v>46014</v>
      </c>
      <c r="G192">
        <f>'Raw Data'!J188</f>
        <v>26177.15</v>
      </c>
      <c r="H192" s="36">
        <f>G191/G192-1</f>
        <v>-1.3389540114184806E-3</v>
      </c>
    </row>
    <row r="193" spans="2:8" x14ac:dyDescent="0.3">
      <c r="B193" s="34">
        <f>'Raw Data'!G189</f>
        <v>46013</v>
      </c>
      <c r="C193">
        <f>'Raw Data'!H189</f>
        <v>1020.8</v>
      </c>
      <c r="D193" s="36">
        <f>C192/C193-1</f>
        <v>-3.8205329153604417E-3</v>
      </c>
      <c r="F193" s="34">
        <f>'Raw Data'!G189</f>
        <v>46013</v>
      </c>
      <c r="G193">
        <f>'Raw Data'!J189</f>
        <v>26172.400000000001</v>
      </c>
      <c r="H193" s="36">
        <f>G192/G193-1</f>
        <v>1.8148889670044355E-4</v>
      </c>
    </row>
    <row r="194" spans="2:8" x14ac:dyDescent="0.3">
      <c r="B194" s="34">
        <f>'Raw Data'!G190</f>
        <v>46010</v>
      </c>
      <c r="C194">
        <f>'Raw Data'!H190</f>
        <v>1020.9</v>
      </c>
      <c r="D194" s="36">
        <f>C193/C194-1</f>
        <v>-9.7952786756838606E-5</v>
      </c>
      <c r="F194" s="34">
        <f>'Raw Data'!G190</f>
        <v>46010</v>
      </c>
      <c r="G194">
        <f>'Raw Data'!J190</f>
        <v>25966.400000000001</v>
      </c>
      <c r="H194" s="36">
        <f>G193/G194-1</f>
        <v>7.9333292254606391E-3</v>
      </c>
    </row>
    <row r="195" spans="2:8" x14ac:dyDescent="0.3">
      <c r="B195" s="34">
        <f>'Raw Data'!G191</f>
        <v>46009</v>
      </c>
      <c r="C195">
        <f>'Raw Data'!H191</f>
        <v>1011</v>
      </c>
      <c r="D195" s="36">
        <f>C194/C195-1</f>
        <v>9.7922848664688811E-3</v>
      </c>
      <c r="F195" s="34">
        <f>'Raw Data'!G191</f>
        <v>46009</v>
      </c>
      <c r="G195">
        <f>'Raw Data'!J191</f>
        <v>25815.55</v>
      </c>
      <c r="H195" s="36">
        <f>G194/G195-1</f>
        <v>5.8433773442752024E-3</v>
      </c>
    </row>
    <row r="196" spans="2:8" x14ac:dyDescent="0.3">
      <c r="B196" s="34">
        <f>'Raw Data'!G192</f>
        <v>46008</v>
      </c>
      <c r="C196">
        <f>'Raw Data'!H192</f>
        <v>1020.7</v>
      </c>
      <c r="D196" s="36">
        <f>C195/C196-1</f>
        <v>-9.5032820613305535E-3</v>
      </c>
      <c r="F196" s="34">
        <f>'Raw Data'!G192</f>
        <v>46008</v>
      </c>
      <c r="G196">
        <f>'Raw Data'!J192</f>
        <v>25818.55</v>
      </c>
      <c r="H196" s="36">
        <f>G195/G196-1</f>
        <v>-1.1619552608488348E-4</v>
      </c>
    </row>
    <row r="197" spans="2:8" x14ac:dyDescent="0.3">
      <c r="B197" s="34">
        <f>'Raw Data'!G193</f>
        <v>46007</v>
      </c>
      <c r="C197">
        <f>'Raw Data'!H193</f>
        <v>1028.2</v>
      </c>
      <c r="D197" s="36">
        <f>C196/C197-1</f>
        <v>-7.294300719704383E-3</v>
      </c>
      <c r="F197" s="34">
        <f>'Raw Data'!G193</f>
        <v>46007</v>
      </c>
      <c r="G197">
        <f>'Raw Data'!J193</f>
        <v>25860.1</v>
      </c>
      <c r="H197" s="36">
        <f>G196/G197-1</f>
        <v>-1.6067223251263751E-3</v>
      </c>
    </row>
    <row r="198" spans="2:8" x14ac:dyDescent="0.3">
      <c r="B198" s="34">
        <f>'Raw Data'!G194</f>
        <v>46006</v>
      </c>
      <c r="C198">
        <f>'Raw Data'!H194</f>
        <v>1047.5999999999999</v>
      </c>
      <c r="D198" s="36">
        <f>C197/C198-1</f>
        <v>-1.8518518518518379E-2</v>
      </c>
      <c r="F198" s="34">
        <f>'Raw Data'!G194</f>
        <v>46006</v>
      </c>
      <c r="G198">
        <f>'Raw Data'!J194</f>
        <v>26027.3</v>
      </c>
      <c r="H198" s="36">
        <f>G197/G198-1</f>
        <v>-6.4240240055634112E-3</v>
      </c>
    </row>
    <row r="199" spans="2:8" x14ac:dyDescent="0.3">
      <c r="B199" s="34">
        <f>'Raw Data'!G195</f>
        <v>46003</v>
      </c>
      <c r="C199">
        <f>'Raw Data'!H195</f>
        <v>1040.2</v>
      </c>
      <c r="D199" s="36">
        <f>C198/C199-1</f>
        <v>7.1140165352816531E-3</v>
      </c>
      <c r="F199" s="34">
        <f>'Raw Data'!G195</f>
        <v>46003</v>
      </c>
      <c r="G199">
        <f>'Raw Data'!J195</f>
        <v>26046.95</v>
      </c>
      <c r="H199" s="36">
        <f>G198/G199-1</f>
        <v>-7.5440694591888402E-4</v>
      </c>
    </row>
    <row r="200" spans="2:8" x14ac:dyDescent="0.3">
      <c r="B200" s="34">
        <f>'Raw Data'!G196</f>
        <v>46002</v>
      </c>
      <c r="C200">
        <f>'Raw Data'!H196</f>
        <v>1018.8</v>
      </c>
      <c r="D200" s="36">
        <f>C199/C200-1</f>
        <v>2.1005104043973377E-2</v>
      </c>
      <c r="F200" s="34">
        <f>'Raw Data'!G196</f>
        <v>46002</v>
      </c>
      <c r="G200">
        <f>'Raw Data'!J196</f>
        <v>25898.55</v>
      </c>
      <c r="H200" s="36">
        <f>G199/G200-1</f>
        <v>5.7300505240640565E-3</v>
      </c>
    </row>
    <row r="201" spans="2:8" x14ac:dyDescent="0.3">
      <c r="B201" s="34">
        <f>'Raw Data'!G197</f>
        <v>46001</v>
      </c>
      <c r="C201">
        <f>'Raw Data'!H197</f>
        <v>989.8</v>
      </c>
      <c r="D201" s="36">
        <f>C200/C201-1</f>
        <v>2.9298848252172105E-2</v>
      </c>
      <c r="F201" s="34">
        <f>'Raw Data'!G197</f>
        <v>46001</v>
      </c>
      <c r="G201">
        <f>'Raw Data'!J197</f>
        <v>25758</v>
      </c>
      <c r="H201" s="36">
        <f>G200/G201-1</f>
        <v>5.4565571861169282E-3</v>
      </c>
    </row>
    <row r="202" spans="2:8" x14ac:dyDescent="0.3">
      <c r="B202" s="34">
        <f>'Raw Data'!G198</f>
        <v>46000</v>
      </c>
      <c r="C202">
        <f>'Raw Data'!H198</f>
        <v>998.9</v>
      </c>
      <c r="D202" s="36">
        <f>C201/C202-1</f>
        <v>-9.1100210231254142E-3</v>
      </c>
      <c r="F202" s="34">
        <f>'Raw Data'!G198</f>
        <v>46000</v>
      </c>
      <c r="G202">
        <f>'Raw Data'!J198</f>
        <v>25839.65</v>
      </c>
      <c r="H202" s="36">
        <f>G201/G202-1</f>
        <v>-3.15987252149319E-3</v>
      </c>
    </row>
    <row r="203" spans="2:8" x14ac:dyDescent="0.3">
      <c r="B203" s="34">
        <f>'Raw Data'!G199</f>
        <v>45999</v>
      </c>
      <c r="C203">
        <f>'Raw Data'!H199</f>
        <v>993.8</v>
      </c>
      <c r="D203" s="36">
        <f>C202/C203-1</f>
        <v>5.1318172670558049E-3</v>
      </c>
      <c r="F203" s="34">
        <f>'Raw Data'!G199</f>
        <v>45999</v>
      </c>
      <c r="G203">
        <f>'Raw Data'!J199</f>
        <v>25960.55</v>
      </c>
      <c r="H203" s="36">
        <f>G202/G203-1</f>
        <v>-4.6570662023723841E-3</v>
      </c>
    </row>
    <row r="204" spans="2:8" x14ac:dyDescent="0.3">
      <c r="B204" s="34">
        <f>'Raw Data'!G200</f>
        <v>45996</v>
      </c>
      <c r="C204">
        <f>'Raw Data'!H200</f>
        <v>1017.7</v>
      </c>
      <c r="D204" s="36">
        <f>C203/C204-1</f>
        <v>-2.3484327404932781E-2</v>
      </c>
      <c r="F204" s="34">
        <f>'Raw Data'!G200</f>
        <v>45996</v>
      </c>
      <c r="G204">
        <f>'Raw Data'!J200</f>
        <v>26186.45</v>
      </c>
      <c r="H204" s="36">
        <f>G203/G204-1</f>
        <v>-8.626598870790092E-3</v>
      </c>
    </row>
    <row r="205" spans="2:8" x14ac:dyDescent="0.3">
      <c r="B205" s="34">
        <f>'Raw Data'!G201</f>
        <v>45995</v>
      </c>
      <c r="C205">
        <f>'Raw Data'!H201</f>
        <v>1013.4</v>
      </c>
      <c r="D205" s="36">
        <f>C204/C205-1</f>
        <v>4.2431418985593439E-3</v>
      </c>
      <c r="F205" s="34">
        <f>'Raw Data'!G201</f>
        <v>45995</v>
      </c>
      <c r="G205">
        <f>'Raw Data'!J201</f>
        <v>26033.75</v>
      </c>
      <c r="H205" s="36">
        <f>G204/G205-1</f>
        <v>5.8654631007826197E-3</v>
      </c>
    </row>
    <row r="206" spans="2:8" x14ac:dyDescent="0.3">
      <c r="B206" s="34">
        <f>'Raw Data'!G202</f>
        <v>45994</v>
      </c>
      <c r="C206">
        <f>'Raw Data'!H202</f>
        <v>1012.6</v>
      </c>
      <c r="D206" s="36">
        <f>C205/C206-1</f>
        <v>7.9004542761196284E-4</v>
      </c>
      <c r="F206" s="34">
        <f>'Raw Data'!G202</f>
        <v>45994</v>
      </c>
      <c r="G206">
        <f>'Raw Data'!J202</f>
        <v>25986</v>
      </c>
      <c r="H206" s="36">
        <f>G205/G206-1</f>
        <v>1.8375278996383138E-3</v>
      </c>
    </row>
    <row r="207" spans="2:8" x14ac:dyDescent="0.3">
      <c r="B207" s="34">
        <f>'Raw Data'!G203</f>
        <v>45993</v>
      </c>
      <c r="C207">
        <f>'Raw Data'!H203</f>
        <v>1022.6</v>
      </c>
      <c r="D207" s="36">
        <f>C206/C207-1</f>
        <v>-9.7789947193428484E-3</v>
      </c>
      <c r="F207" s="34">
        <f>'Raw Data'!G203</f>
        <v>45993</v>
      </c>
      <c r="G207">
        <f>'Raw Data'!J203</f>
        <v>26032.2</v>
      </c>
      <c r="H207" s="36">
        <f>G206/G207-1</f>
        <v>-1.7747251480858539E-3</v>
      </c>
    </row>
    <row r="208" spans="2:8" x14ac:dyDescent="0.3">
      <c r="B208" s="34">
        <f>'Raw Data'!G204</f>
        <v>45992</v>
      </c>
      <c r="C208">
        <f>'Raw Data'!H204</f>
        <v>1039.5999999999999</v>
      </c>
      <c r="D208" s="36">
        <f>C207/C208-1</f>
        <v>-1.6352443247402704E-2</v>
      </c>
      <c r="F208" s="34">
        <f>'Raw Data'!G204</f>
        <v>45992</v>
      </c>
      <c r="G208">
        <f>'Raw Data'!J204</f>
        <v>26175.75</v>
      </c>
      <c r="H208" s="36">
        <f>G207/G208-1</f>
        <v>-5.4840835506145824E-3</v>
      </c>
    </row>
    <row r="209" spans="2:8" x14ac:dyDescent="0.3">
      <c r="B209" s="34">
        <f>'Raw Data'!G205</f>
        <v>45989</v>
      </c>
      <c r="C209">
        <f>'Raw Data'!H205</f>
        <v>1048.2</v>
      </c>
      <c r="D209" s="36">
        <f>C208/C209-1</f>
        <v>-8.2045411181073113E-3</v>
      </c>
      <c r="F209" s="34">
        <f>'Raw Data'!G205</f>
        <v>45989</v>
      </c>
      <c r="G209">
        <f>'Raw Data'!J205</f>
        <v>26202.95</v>
      </c>
      <c r="H209" s="36">
        <f>G208/G209-1</f>
        <v>-1.0380510591364578E-3</v>
      </c>
    </row>
    <row r="210" spans="2:8" x14ac:dyDescent="0.3">
      <c r="B210" s="34">
        <f>'Raw Data'!G206</f>
        <v>45988</v>
      </c>
      <c r="C210">
        <f>'Raw Data'!H206</f>
        <v>1031.0999999999999</v>
      </c>
      <c r="D210" s="36">
        <f>C209/C210-1</f>
        <v>1.6584230433517755E-2</v>
      </c>
      <c r="F210" s="34">
        <f>'Raw Data'!G206</f>
        <v>45988</v>
      </c>
      <c r="G210">
        <f>'Raw Data'!J206</f>
        <v>26215.55</v>
      </c>
      <c r="H210" s="36">
        <f>G209/G210-1</f>
        <v>-4.806307706685109E-4</v>
      </c>
    </row>
    <row r="211" spans="2:8" x14ac:dyDescent="0.3">
      <c r="B211" s="34">
        <f>'Raw Data'!G207</f>
        <v>45987</v>
      </c>
      <c r="C211">
        <f>'Raw Data'!H207</f>
        <v>1034.4000000000001</v>
      </c>
      <c r="D211" s="36">
        <f>C210/C211-1</f>
        <v>-3.1902552204178258E-3</v>
      </c>
      <c r="F211" s="34">
        <f>'Raw Data'!G207</f>
        <v>45987</v>
      </c>
      <c r="G211">
        <f>'Raw Data'!J207</f>
        <v>26205.3</v>
      </c>
      <c r="H211" s="36">
        <f>G210/G211-1</f>
        <v>3.9114224985015156E-4</v>
      </c>
    </row>
    <row r="212" spans="2:8" x14ac:dyDescent="0.3">
      <c r="B212" s="34">
        <f>'Raw Data'!G208</f>
        <v>45986</v>
      </c>
      <c r="C212">
        <f>'Raw Data'!H208</f>
        <v>1011.6</v>
      </c>
      <c r="D212" s="36">
        <f>C211/C212-1</f>
        <v>2.2538552787663146E-2</v>
      </c>
      <c r="F212" s="34">
        <f>'Raw Data'!G208</f>
        <v>45986</v>
      </c>
      <c r="G212">
        <f>'Raw Data'!J208</f>
        <v>25884.799999999999</v>
      </c>
      <c r="H212" s="36">
        <f>G211/G212-1</f>
        <v>1.238178390406719E-2</v>
      </c>
    </row>
    <row r="213" spans="2:8" x14ac:dyDescent="0.3">
      <c r="B213" s="34">
        <f>'Raw Data'!G209</f>
        <v>45985</v>
      </c>
      <c r="C213">
        <f>'Raw Data'!H209</f>
        <v>1009.4</v>
      </c>
      <c r="D213" s="36">
        <f>C212/C213-1</f>
        <v>2.1795125817316574E-3</v>
      </c>
      <c r="F213" s="34">
        <f>'Raw Data'!G209</f>
        <v>45985</v>
      </c>
      <c r="G213">
        <f>'Raw Data'!J209</f>
        <v>25959.5</v>
      </c>
      <c r="H213" s="36">
        <f>G212/G213-1</f>
        <v>-2.8775592750245327E-3</v>
      </c>
    </row>
    <row r="214" spans="2:8" x14ac:dyDescent="0.3">
      <c r="B214" s="34">
        <f>'Raw Data'!G210</f>
        <v>45982</v>
      </c>
      <c r="C214">
        <f>'Raw Data'!H210</f>
        <v>1030.5</v>
      </c>
      <c r="D214" s="36">
        <f>C213/C214-1</f>
        <v>-2.0475497331392534E-2</v>
      </c>
      <c r="F214" s="34">
        <f>'Raw Data'!G210</f>
        <v>45982</v>
      </c>
      <c r="G214">
        <f>'Raw Data'!J210</f>
        <v>26068.15</v>
      </c>
      <c r="H214" s="36">
        <f>G213/G214-1</f>
        <v>-4.1679213906625767E-3</v>
      </c>
    </row>
    <row r="215" spans="2:8" x14ac:dyDescent="0.3">
      <c r="B215" s="34">
        <f>'Raw Data'!G211</f>
        <v>45981</v>
      </c>
      <c r="C215">
        <f>'Raw Data'!H211</f>
        <v>1060</v>
      </c>
      <c r="D215" s="36">
        <f>C214/C215-1</f>
        <v>-2.7830188679245249E-2</v>
      </c>
      <c r="F215" s="34">
        <f>'Raw Data'!G211</f>
        <v>45981</v>
      </c>
      <c r="G215">
        <f>'Raw Data'!J211</f>
        <v>26192.15</v>
      </c>
      <c r="H215" s="36">
        <f>G214/G215-1</f>
        <v>-4.7342428933859759E-3</v>
      </c>
    </row>
    <row r="216" spans="2:8" x14ac:dyDescent="0.3">
      <c r="B216" s="34">
        <f>'Raw Data'!G212</f>
        <v>45980</v>
      </c>
      <c r="C216">
        <f>'Raw Data'!H212</f>
        <v>1069.9000000000001</v>
      </c>
      <c r="D216" s="36">
        <f>C215/C216-1</f>
        <v>-9.2532012337602776E-3</v>
      </c>
      <c r="F216" s="34">
        <f>'Raw Data'!G212</f>
        <v>45980</v>
      </c>
      <c r="G216">
        <f>'Raw Data'!J212</f>
        <v>26052.65</v>
      </c>
      <c r="H216" s="36">
        <f>G215/G216-1</f>
        <v>5.3545416685059077E-3</v>
      </c>
    </row>
    <row r="217" spans="2:8" x14ac:dyDescent="0.3">
      <c r="B217" s="34">
        <f>'Raw Data'!G213</f>
        <v>45979</v>
      </c>
      <c r="C217">
        <f>'Raw Data'!H213</f>
        <v>1077.5999999999999</v>
      </c>
      <c r="D217" s="36">
        <f>C216/C217-1</f>
        <v>-7.1455085374905192E-3</v>
      </c>
      <c r="F217" s="34">
        <f>'Raw Data'!G213</f>
        <v>45979</v>
      </c>
      <c r="G217">
        <f>'Raw Data'!J213</f>
        <v>25910.05</v>
      </c>
      <c r="H217" s="36">
        <f>G216/G217-1</f>
        <v>5.5036559172985111E-3</v>
      </c>
    </row>
    <row r="218" spans="2:8" x14ac:dyDescent="0.3">
      <c r="B218" s="34">
        <f>'Raw Data'!G214</f>
        <v>45978</v>
      </c>
      <c r="C218">
        <f>'Raw Data'!H214</f>
        <v>1088.5999999999999</v>
      </c>
      <c r="D218" s="36">
        <f>C217/C218-1</f>
        <v>-1.0104721660848748E-2</v>
      </c>
      <c r="F218" s="34">
        <f>'Raw Data'!G214</f>
        <v>45978</v>
      </c>
      <c r="G218">
        <f>'Raw Data'!J214</f>
        <v>26013.45</v>
      </c>
      <c r="H218" s="36">
        <f>G217/G218-1</f>
        <v>-3.9748668477268545E-3</v>
      </c>
    </row>
    <row r="219" spans="2:8" x14ac:dyDescent="0.3">
      <c r="B219" s="34">
        <f>'Raw Data'!G215</f>
        <v>45975</v>
      </c>
      <c r="C219">
        <f>'Raw Data'!H215</f>
        <v>1068.8</v>
      </c>
      <c r="D219" s="36">
        <f>C218/C219-1</f>
        <v>1.8525449101796321E-2</v>
      </c>
      <c r="F219" s="34">
        <f>'Raw Data'!G215</f>
        <v>45975</v>
      </c>
      <c r="G219">
        <f>'Raw Data'!J215</f>
        <v>25910.05</v>
      </c>
      <c r="H219" s="36">
        <f>G218/G219-1</f>
        <v>3.9907294659795589E-3</v>
      </c>
    </row>
    <row r="220" spans="2:8" x14ac:dyDescent="0.3">
      <c r="B220" s="34">
        <f>'Raw Data'!G216</f>
        <v>45974</v>
      </c>
      <c r="C220">
        <f>'Raw Data'!H216</f>
        <v>1076.8</v>
      </c>
      <c r="D220" s="36">
        <f>C219/C220-1</f>
        <v>-7.429420505200568E-3</v>
      </c>
      <c r="F220" s="34">
        <f>'Raw Data'!G216</f>
        <v>45974</v>
      </c>
      <c r="G220">
        <f>'Raw Data'!J216</f>
        <v>25879.15</v>
      </c>
      <c r="H220" s="36">
        <f>G219/G220-1</f>
        <v>1.194011395273753E-3</v>
      </c>
    </row>
    <row r="221" spans="2:8" x14ac:dyDescent="0.3">
      <c r="B221" s="34">
        <f>'Raw Data'!G217</f>
        <v>45973</v>
      </c>
      <c r="C221">
        <f>'Raw Data'!H217</f>
        <v>1070.8</v>
      </c>
      <c r="D221" s="36">
        <f>C220/C221-1</f>
        <v>5.6032872618603236E-3</v>
      </c>
      <c r="F221" s="34">
        <f>'Raw Data'!G217</f>
        <v>45973</v>
      </c>
      <c r="G221">
        <f>'Raw Data'!J217</f>
        <v>25875.8</v>
      </c>
      <c r="H221" s="36">
        <f>G220/G221-1</f>
        <v>1.2946459626372864E-4</v>
      </c>
    </row>
    <row r="222" spans="2:8" x14ac:dyDescent="0.3">
      <c r="B222" s="34">
        <f>'Raw Data'!G218</f>
        <v>45972</v>
      </c>
      <c r="C222">
        <f>'Raw Data'!H218</f>
        <v>1044.2</v>
      </c>
      <c r="D222" s="36">
        <f>C221/C222-1</f>
        <v>2.5474047117410414E-2</v>
      </c>
      <c r="F222" s="34">
        <f>'Raw Data'!G218</f>
        <v>45972</v>
      </c>
      <c r="G222">
        <f>'Raw Data'!J218</f>
        <v>25694.95</v>
      </c>
      <c r="H222" s="36">
        <f>G221/G222-1</f>
        <v>7.0383480022337963E-3</v>
      </c>
    </row>
    <row r="223" spans="2:8" x14ac:dyDescent="0.3">
      <c r="B223" s="34">
        <f>'Raw Data'!G219</f>
        <v>45971</v>
      </c>
      <c r="C223">
        <f>'Raw Data'!H219</f>
        <v>1041.3</v>
      </c>
      <c r="D223" s="36">
        <f>C222/C223-1</f>
        <v>2.7849803130703954E-3</v>
      </c>
      <c r="F223" s="34">
        <f>'Raw Data'!G219</f>
        <v>45971</v>
      </c>
      <c r="G223">
        <f>'Raw Data'!J219</f>
        <v>25574.35</v>
      </c>
      <c r="H223" s="36">
        <f>G222/G223-1</f>
        <v>4.7156623726507529E-3</v>
      </c>
    </row>
    <row r="224" spans="2:8" x14ac:dyDescent="0.3">
      <c r="B224" s="34">
        <f>'Raw Data'!G220</f>
        <v>45968</v>
      </c>
      <c r="C224">
        <f>'Raw Data'!H220</f>
        <v>1059.8</v>
      </c>
      <c r="D224" s="36">
        <f>C223/C224-1</f>
        <v>-1.7456123796942835E-2</v>
      </c>
      <c r="F224" s="34">
        <f>'Raw Data'!G220</f>
        <v>45968</v>
      </c>
      <c r="G224">
        <f>'Raw Data'!J220</f>
        <v>25492.3</v>
      </c>
      <c r="H224" s="36">
        <f>G223/G224-1</f>
        <v>3.2186189555276634E-3</v>
      </c>
    </row>
    <row r="225" spans="2:8" x14ac:dyDescent="0.3">
      <c r="B225" s="34">
        <f>'Raw Data'!G221</f>
        <v>45967</v>
      </c>
      <c r="C225">
        <f>'Raw Data'!H221</f>
        <v>1060.5</v>
      </c>
      <c r="D225" s="36">
        <f>C224/C225-1</f>
        <v>-6.6006600660073467E-4</v>
      </c>
      <c r="F225" s="34">
        <f>'Raw Data'!G221</f>
        <v>45967</v>
      </c>
      <c r="G225">
        <f>'Raw Data'!J221</f>
        <v>25509.7</v>
      </c>
      <c r="H225" s="36">
        <f>G224/G225-1</f>
        <v>-6.8209347816716726E-4</v>
      </c>
    </row>
    <row r="226" spans="2:8" x14ac:dyDescent="0.3">
      <c r="B226" s="34">
        <f>'Raw Data'!G222</f>
        <v>45965</v>
      </c>
      <c r="C226">
        <f>'Raw Data'!H222</f>
        <v>1086.4000000000001</v>
      </c>
      <c r="D226" s="36">
        <f>C225/C226-1</f>
        <v>-2.3840206185567037E-2</v>
      </c>
      <c r="F226" s="34">
        <f>'Raw Data'!G222</f>
        <v>45965</v>
      </c>
      <c r="G226">
        <f>'Raw Data'!J222</f>
        <v>25597.65</v>
      </c>
      <c r="H226" s="36">
        <f>G225/G226-1</f>
        <v>-3.4358622764198987E-3</v>
      </c>
    </row>
    <row r="227" spans="2:8" x14ac:dyDescent="0.3">
      <c r="B227" s="34">
        <f>'Raw Data'!G223</f>
        <v>45964</v>
      </c>
      <c r="C227">
        <f>'Raw Data'!H223</f>
        <v>1105.2</v>
      </c>
      <c r="D227" s="36">
        <f>C226/C227-1</f>
        <v>-1.7010495837857409E-2</v>
      </c>
      <c r="F227" s="34">
        <f>'Raw Data'!G223</f>
        <v>45964</v>
      </c>
      <c r="G227">
        <f>'Raw Data'!J223</f>
        <v>25763.35</v>
      </c>
      <c r="H227" s="36">
        <f>G226/G227-1</f>
        <v>-6.4316170063286604E-3</v>
      </c>
    </row>
    <row r="228" spans="2:8" x14ac:dyDescent="0.3">
      <c r="B228" s="34">
        <f>'Raw Data'!G224</f>
        <v>45961</v>
      </c>
      <c r="C228">
        <f>'Raw Data'!H224</f>
        <v>1140</v>
      </c>
      <c r="D228" s="36">
        <f>C227/C228-1</f>
        <v>-3.0526315789473624E-2</v>
      </c>
      <c r="F228" s="34">
        <f>'Raw Data'!G224</f>
        <v>45961</v>
      </c>
      <c r="G228">
        <f>'Raw Data'!J224</f>
        <v>25722.1</v>
      </c>
      <c r="H228" s="36">
        <f>G227/G228-1</f>
        <v>1.6036793263380922E-3</v>
      </c>
    </row>
    <row r="229" spans="2:8" x14ac:dyDescent="0.3">
      <c r="B229" s="34">
        <f>'Raw Data'!G225</f>
        <v>45960</v>
      </c>
      <c r="C229">
        <f>'Raw Data'!H225</f>
        <v>1140.0999999999999</v>
      </c>
      <c r="D229" s="36">
        <f>C228/C229-1</f>
        <v>-8.7711604245144237E-5</v>
      </c>
      <c r="F229" s="34">
        <f>'Raw Data'!G225</f>
        <v>45960</v>
      </c>
      <c r="G229">
        <f>'Raw Data'!J225</f>
        <v>25877.85</v>
      </c>
      <c r="H229" s="36">
        <f>G228/G229-1</f>
        <v>-6.0186607465457787E-3</v>
      </c>
    </row>
    <row r="230" spans="2:8" x14ac:dyDescent="0.3">
      <c r="B230" s="34">
        <f>'Raw Data'!G226</f>
        <v>45959</v>
      </c>
      <c r="C230">
        <f>'Raw Data'!H226</f>
        <v>1112.5999999999999</v>
      </c>
      <c r="D230" s="36">
        <f>C229/C230-1</f>
        <v>2.4716879381628587E-2</v>
      </c>
      <c r="F230" s="34">
        <f>'Raw Data'!G226</f>
        <v>45959</v>
      </c>
      <c r="G230">
        <f>'Raw Data'!J226</f>
        <v>26053.9</v>
      </c>
      <c r="H230" s="36">
        <f>G229/G230-1</f>
        <v>-6.7571457632064069E-3</v>
      </c>
    </row>
    <row r="231" spans="2:8" x14ac:dyDescent="0.3">
      <c r="B231" s="34">
        <f>'Raw Data'!G227</f>
        <v>45958</v>
      </c>
      <c r="C231">
        <f>'Raw Data'!H227</f>
        <v>1004.2</v>
      </c>
      <c r="D231" s="36">
        <f>C230/C231-1</f>
        <v>0.10794662417845036</v>
      </c>
      <c r="F231" s="34">
        <f>'Raw Data'!G227</f>
        <v>45958</v>
      </c>
      <c r="G231">
        <f>'Raw Data'!J227</f>
        <v>25936.2</v>
      </c>
      <c r="H231" s="36">
        <f>G230/G231-1</f>
        <v>4.5380587749941359E-3</v>
      </c>
    </row>
    <row r="232" spans="2:8" x14ac:dyDescent="0.3">
      <c r="B232" s="34">
        <f>'Raw Data'!G228</f>
        <v>45957</v>
      </c>
      <c r="C232">
        <f>'Raw Data'!H228</f>
        <v>1017.1</v>
      </c>
      <c r="D232" s="36">
        <f>C231/C232-1</f>
        <v>-1.2683118670730464E-2</v>
      </c>
      <c r="F232" s="34">
        <f>'Raw Data'!G228</f>
        <v>45957</v>
      </c>
      <c r="G232">
        <f>'Raw Data'!J228</f>
        <v>25966.05</v>
      </c>
      <c r="H232" s="36">
        <f>G231/G232-1</f>
        <v>-1.1495780066663741E-3</v>
      </c>
    </row>
    <row r="233" spans="2:8" x14ac:dyDescent="0.3">
      <c r="B233" s="34">
        <f>'Raw Data'!G229</f>
        <v>45954</v>
      </c>
      <c r="C233">
        <f>'Raw Data'!H229</f>
        <v>1031.0999999999999</v>
      </c>
      <c r="D233" s="36">
        <f>C232/C233-1</f>
        <v>-1.3577732518669228E-2</v>
      </c>
      <c r="F233" s="34">
        <f>'Raw Data'!G229</f>
        <v>45954</v>
      </c>
      <c r="G233">
        <f>'Raw Data'!J229</f>
        <v>25795.15</v>
      </c>
      <c r="H233" s="36">
        <f>G232/G233-1</f>
        <v>6.6252764570082778E-3</v>
      </c>
    </row>
    <row r="234" spans="2:8" x14ac:dyDescent="0.3">
      <c r="B234" s="34">
        <f>'Raw Data'!G230</f>
        <v>45953</v>
      </c>
      <c r="C234">
        <f>'Raw Data'!H230</f>
        <v>1044.7</v>
      </c>
      <c r="D234" s="36">
        <f>C233/C234-1</f>
        <v>-1.3018091318081848E-2</v>
      </c>
      <c r="F234" s="34">
        <f>'Raw Data'!G230</f>
        <v>45953</v>
      </c>
      <c r="G234">
        <f>'Raw Data'!J230</f>
        <v>25891.4</v>
      </c>
      <c r="H234" s="36">
        <f>G233/G234-1</f>
        <v>-3.7174505820465331E-3</v>
      </c>
    </row>
    <row r="235" spans="2:8" x14ac:dyDescent="0.3">
      <c r="B235" s="34">
        <f>'Raw Data'!G231</f>
        <v>45951</v>
      </c>
      <c r="C235">
        <f>'Raw Data'!H231</f>
        <v>1040</v>
      </c>
      <c r="D235" s="36">
        <f>C234/C235-1</f>
        <v>4.5192307692307754E-3</v>
      </c>
      <c r="F235" s="34">
        <f>'Raw Data'!G231</f>
        <v>45951</v>
      </c>
      <c r="G235">
        <f>'Raw Data'!J231</f>
        <v>25868.6</v>
      </c>
      <c r="H235" s="36">
        <f>G234/G235-1</f>
        <v>8.8137742282157205E-4</v>
      </c>
    </row>
    <row r="236" spans="2:8" x14ac:dyDescent="0.3">
      <c r="B236" s="34">
        <f>'Raw Data'!G232</f>
        <v>45950</v>
      </c>
      <c r="C236">
        <f>'Raw Data'!H232</f>
        <v>1034.0999999999999</v>
      </c>
      <c r="D236" s="36">
        <f>C235/C236-1</f>
        <v>5.7054443477420058E-3</v>
      </c>
      <c r="F236" s="34">
        <f>'Raw Data'!G232</f>
        <v>45950</v>
      </c>
      <c r="G236">
        <f>'Raw Data'!J232</f>
        <v>25843.15</v>
      </c>
      <c r="H236" s="36">
        <f>G235/G236-1</f>
        <v>9.8478707123539344E-4</v>
      </c>
    </row>
    <row r="237" spans="2:8" x14ac:dyDescent="0.3">
      <c r="B237" s="34">
        <f>'Raw Data'!G233</f>
        <v>45947</v>
      </c>
      <c r="C237">
        <f>'Raw Data'!H233</f>
        <v>1036.7</v>
      </c>
      <c r="D237" s="36">
        <f>C236/C237-1</f>
        <v>-2.5079579434745813E-3</v>
      </c>
      <c r="F237" s="34">
        <f>'Raw Data'!G233</f>
        <v>45947</v>
      </c>
      <c r="G237">
        <f>'Raw Data'!J233</f>
        <v>25709.85</v>
      </c>
      <c r="H237" s="36">
        <f>G236/G237-1</f>
        <v>5.1847832640019575E-3</v>
      </c>
    </row>
    <row r="238" spans="2:8" x14ac:dyDescent="0.3">
      <c r="B238" s="34">
        <f>'Raw Data'!G234</f>
        <v>45946</v>
      </c>
      <c r="C238">
        <f>'Raw Data'!H234</f>
        <v>1060.3</v>
      </c>
      <c r="D238" s="36">
        <f>C237/C238-1</f>
        <v>-2.225785155144766E-2</v>
      </c>
      <c r="F238" s="34">
        <f>'Raw Data'!G234</f>
        <v>45946</v>
      </c>
      <c r="G238">
        <f>'Raw Data'!J234</f>
        <v>25585.3</v>
      </c>
      <c r="H238" s="36">
        <f>G237/G238-1</f>
        <v>4.8680296889229702E-3</v>
      </c>
    </row>
    <row r="239" spans="2:8" x14ac:dyDescent="0.3">
      <c r="B239" s="34">
        <f>'Raw Data'!G235</f>
        <v>45945</v>
      </c>
      <c r="C239">
        <f>'Raw Data'!H235</f>
        <v>1043.8</v>
      </c>
      <c r="D239" s="36">
        <f>C238/C239-1</f>
        <v>1.5807625981988815E-2</v>
      </c>
      <c r="F239" s="34">
        <f>'Raw Data'!G235</f>
        <v>45945</v>
      </c>
      <c r="G239">
        <f>'Raw Data'!J235</f>
        <v>25323.55</v>
      </c>
      <c r="H239" s="36">
        <f>G238/G239-1</f>
        <v>1.0336228530360092E-2</v>
      </c>
    </row>
    <row r="240" spans="2:8" x14ac:dyDescent="0.3">
      <c r="B240" s="34">
        <f>'Raw Data'!G236</f>
        <v>45944</v>
      </c>
      <c r="C240">
        <f>'Raw Data'!H236</f>
        <v>1036.2</v>
      </c>
      <c r="D240" s="36">
        <f>C239/C240-1</f>
        <v>7.3344914109243486E-3</v>
      </c>
      <c r="F240" s="34">
        <f>'Raw Data'!G236</f>
        <v>45944</v>
      </c>
      <c r="G240">
        <f>'Raw Data'!J236</f>
        <v>25145.5</v>
      </c>
      <c r="H240" s="36">
        <f>G239/G240-1</f>
        <v>7.0807898033444783E-3</v>
      </c>
    </row>
    <row r="241" spans="2:8" x14ac:dyDescent="0.3">
      <c r="B241" s="34">
        <f>'Raw Data'!G237</f>
        <v>45943</v>
      </c>
      <c r="C241">
        <f>'Raw Data'!H237</f>
        <v>1051.3</v>
      </c>
      <c r="D241" s="36">
        <f>C240/C241-1</f>
        <v>-1.4363169409302712E-2</v>
      </c>
      <c r="F241" s="34">
        <f>'Raw Data'!G237</f>
        <v>45943</v>
      </c>
      <c r="G241">
        <f>'Raw Data'!J237</f>
        <v>25227.35</v>
      </c>
      <c r="H241" s="36">
        <f>G240/G241-1</f>
        <v>-3.2444945664129587E-3</v>
      </c>
    </row>
    <row r="242" spans="2:8" x14ac:dyDescent="0.3">
      <c r="B242" s="34">
        <f>'Raw Data'!G238</f>
        <v>45940</v>
      </c>
      <c r="C242">
        <f>'Raw Data'!H238</f>
        <v>1064.3</v>
      </c>
      <c r="D242" s="36">
        <f>C241/C242-1</f>
        <v>-1.2214601146293358E-2</v>
      </c>
      <c r="F242" s="34">
        <f>'Raw Data'!G238</f>
        <v>45940</v>
      </c>
      <c r="G242">
        <f>'Raw Data'!J238</f>
        <v>25285.35</v>
      </c>
      <c r="H242" s="36">
        <f>G241/G242-1</f>
        <v>-2.2938183572701609E-3</v>
      </c>
    </row>
    <row r="243" spans="2:8" x14ac:dyDescent="0.3">
      <c r="B243" s="34">
        <f>'Raw Data'!G239</f>
        <v>45939</v>
      </c>
      <c r="C243">
        <f>'Raw Data'!H239</f>
        <v>1051.5</v>
      </c>
      <c r="D243" s="36">
        <f>C242/C243-1</f>
        <v>1.2173086067522654E-2</v>
      </c>
      <c r="F243" s="34">
        <f>'Raw Data'!G239</f>
        <v>45939</v>
      </c>
      <c r="G243">
        <f>'Raw Data'!J239</f>
        <v>25181.8</v>
      </c>
      <c r="H243" s="36">
        <f>G242/G243-1</f>
        <v>4.1120968318388851E-3</v>
      </c>
    </row>
    <row r="244" spans="2:8" x14ac:dyDescent="0.3">
      <c r="B244" s="34">
        <f>'Raw Data'!G240</f>
        <v>45938</v>
      </c>
      <c r="C244">
        <f>'Raw Data'!H240</f>
        <v>1045.0999999999999</v>
      </c>
      <c r="D244" s="36">
        <f>C243/C244-1</f>
        <v>6.1238159027845462E-3</v>
      </c>
      <c r="F244" s="34">
        <f>'Raw Data'!G240</f>
        <v>45938</v>
      </c>
      <c r="G244">
        <f>'Raw Data'!J240</f>
        <v>25046.15</v>
      </c>
      <c r="H244" s="36">
        <f>G243/G244-1</f>
        <v>5.4160020601967673E-3</v>
      </c>
    </row>
    <row r="245" spans="2:8" x14ac:dyDescent="0.3">
      <c r="B245" s="34">
        <f>'Raw Data'!G241</f>
        <v>45937</v>
      </c>
      <c r="C245">
        <f>'Raw Data'!H241</f>
        <v>1060.7</v>
      </c>
      <c r="D245" s="36">
        <f>C244/C245-1</f>
        <v>-1.4707268784764915E-2</v>
      </c>
      <c r="F245" s="34">
        <f>'Raw Data'!G241</f>
        <v>45937</v>
      </c>
      <c r="G245">
        <f>'Raw Data'!J241</f>
        <v>25108.3</v>
      </c>
      <c r="H245" s="36">
        <f>G244/G245-1</f>
        <v>-2.4752770996043783E-3</v>
      </c>
    </row>
    <row r="246" spans="2:8" x14ac:dyDescent="0.3">
      <c r="B246" s="34">
        <f>'Raw Data'!G242</f>
        <v>45936</v>
      </c>
      <c r="C246">
        <f>'Raw Data'!H242</f>
        <v>1059.4000000000001</v>
      </c>
      <c r="D246" s="36">
        <f>C245/C246-1</f>
        <v>1.2271096847271679E-3</v>
      </c>
      <c r="F246" s="34">
        <f>'Raw Data'!G242</f>
        <v>45936</v>
      </c>
      <c r="G246">
        <f>'Raw Data'!J242</f>
        <v>25077.65</v>
      </c>
      <c r="H246" s="36">
        <f>G245/G246-1</f>
        <v>1.222203834888802E-3</v>
      </c>
    </row>
    <row r="247" spans="2:8" x14ac:dyDescent="0.3">
      <c r="B247" s="34">
        <f>'Raw Data'!G243</f>
        <v>45933</v>
      </c>
      <c r="C247">
        <f>'Raw Data'!H243</f>
        <v>1070.3</v>
      </c>
      <c r="D247" s="36">
        <f>C246/C247-1</f>
        <v>-1.0184060543772633E-2</v>
      </c>
      <c r="F247" s="34">
        <f>'Raw Data'!G243</f>
        <v>45933</v>
      </c>
      <c r="G247">
        <f>'Raw Data'!J243</f>
        <v>24894.25</v>
      </c>
      <c r="H247" s="36">
        <f>G246/G247-1</f>
        <v>7.3671630999125881E-3</v>
      </c>
    </row>
    <row r="248" spans="2:8" x14ac:dyDescent="0.3">
      <c r="B248" s="34">
        <f>'Raw Data'!G244</f>
        <v>45931</v>
      </c>
      <c r="C248">
        <f>'Raw Data'!H244</f>
        <v>1064.7</v>
      </c>
      <c r="D248" s="36">
        <f>C247/C248-1</f>
        <v>5.2596975673897539E-3</v>
      </c>
      <c r="F248" s="34">
        <f>'Raw Data'!G244</f>
        <v>45931</v>
      </c>
      <c r="G248">
        <f>'Raw Data'!J244</f>
        <v>24836.3</v>
      </c>
      <c r="H248" s="36">
        <f>G247/G248-1</f>
        <v>2.3332783063501061E-3</v>
      </c>
    </row>
    <row r="249" spans="2:8" x14ac:dyDescent="0.3">
      <c r="B249" s="34">
        <f>'Raw Data'!G245</f>
        <v>45930</v>
      </c>
      <c r="C249">
        <f>'Raw Data'!H245</f>
        <v>1026.8499999999999</v>
      </c>
      <c r="D249" s="36">
        <f>C248/C249-1</f>
        <v>3.6860300920290356E-2</v>
      </c>
      <c r="F249" s="34">
        <f>'Raw Data'!G245</f>
        <v>45930</v>
      </c>
      <c r="G249">
        <f>'Raw Data'!J245</f>
        <v>24611.1</v>
      </c>
      <c r="H249" s="36">
        <f>G248/G249-1</f>
        <v>9.1503427315318131E-3</v>
      </c>
    </row>
    <row r="250" spans="2:8" x14ac:dyDescent="0.3">
      <c r="B250" s="34">
        <f>'Raw Data'!G246</f>
        <v>45929</v>
      </c>
      <c r="C250">
        <f>'Raw Data'!H246</f>
        <v>1035.3499999999999</v>
      </c>
      <c r="D250" s="36">
        <f>C249/C250-1</f>
        <v>-8.2097841309701769E-3</v>
      </c>
      <c r="F250" s="34">
        <f>'Raw Data'!G246</f>
        <v>45929</v>
      </c>
      <c r="G250">
        <f>'Raw Data'!J246</f>
        <v>24634.9</v>
      </c>
      <c r="H250" s="36">
        <f>G249/G250-1</f>
        <v>-9.6610905666361102E-4</v>
      </c>
    </row>
    <row r="251" spans="2:8" x14ac:dyDescent="0.3">
      <c r="B251" s="34">
        <f>'Raw Data'!G247</f>
        <v>45926</v>
      </c>
      <c r="C251">
        <f>'Raw Data'!H247</f>
        <v>1047.4000000000001</v>
      </c>
      <c r="D251" s="36">
        <f>C250/C251-1</f>
        <v>-1.1504678250907174E-2</v>
      </c>
      <c r="F251" s="34">
        <f>'Raw Data'!G247</f>
        <v>45926</v>
      </c>
      <c r="G251">
        <f>'Raw Data'!J247</f>
        <v>24654.7</v>
      </c>
      <c r="H251" s="36">
        <f>G250/G251-1</f>
        <v>-8.0309231099950917E-4</v>
      </c>
    </row>
    <row r="252" spans="2:8" x14ac:dyDescent="0.3">
      <c r="B252" s="34">
        <f>'Raw Data'!G248</f>
        <v>45925</v>
      </c>
      <c r="C252">
        <f>'Raw Data'!H248</f>
        <v>1079.55</v>
      </c>
      <c r="D252" s="36">
        <f>C251/C252-1</f>
        <v>-2.9780927238201027E-2</v>
      </c>
      <c r="F252" s="34">
        <f>'Raw Data'!G248</f>
        <v>45925</v>
      </c>
      <c r="G252">
        <f>'Raw Data'!J248</f>
        <v>24890.85</v>
      </c>
      <c r="H252" s="36">
        <f>G251/G252-1</f>
        <v>-9.4874220848222279E-3</v>
      </c>
    </row>
    <row r="253" spans="2:8" x14ac:dyDescent="0.3">
      <c r="B253" s="34">
        <f>'Raw Data'!G249</f>
        <v>45924</v>
      </c>
      <c r="C253">
        <f>'Raw Data'!H249</f>
        <v>1095.25</v>
      </c>
      <c r="D253">
        <f>C252/C253-1</f>
        <v>-1.4334626797534833E-2</v>
      </c>
      <c r="F253" s="171">
        <f>'Raw Data'!G249</f>
        <v>45924</v>
      </c>
      <c r="G253">
        <f>'Raw Data'!J249</f>
        <v>25056.9</v>
      </c>
      <c r="H253">
        <f>G252/G253-1</f>
        <v>-6.6269171365972435E-3</v>
      </c>
    </row>
    <row r="254" spans="2:8" x14ac:dyDescent="0.3">
      <c r="B254" s="34">
        <f>'Raw Data'!G250</f>
        <v>45923</v>
      </c>
      <c r="C254">
        <f>'Raw Data'!H250</f>
        <v>1131.45</v>
      </c>
      <c r="D254">
        <f>C253/C254-1</f>
        <v>-3.1994343541473347E-2</v>
      </c>
      <c r="F254" s="171">
        <f>'Raw Data'!G250</f>
        <v>45923</v>
      </c>
      <c r="G254">
        <f>'Raw Data'!J250</f>
        <v>25169.5</v>
      </c>
      <c r="H254">
        <f>G253/G254-1</f>
        <v>-4.4736685273842891E-3</v>
      </c>
    </row>
    <row r="255" spans="2:8" x14ac:dyDescent="0.3">
      <c r="B255" s="34">
        <f>'Raw Data'!G251</f>
        <v>45922</v>
      </c>
      <c r="C255">
        <f>'Raw Data'!H251</f>
        <v>1152.1500000000001</v>
      </c>
      <c r="D255">
        <f>C254/C255-1</f>
        <v>-1.7966410623616702E-2</v>
      </c>
      <c r="F255" s="171">
        <f>'Raw Data'!G251</f>
        <v>45922</v>
      </c>
      <c r="G255">
        <f>'Raw Data'!J251</f>
        <v>25202.35</v>
      </c>
      <c r="H255">
        <f>G254/G255-1</f>
        <v>-1.3034498766979485E-3</v>
      </c>
    </row>
    <row r="256" spans="2:8" x14ac:dyDescent="0.3">
      <c r="B256" s="34">
        <f>'Raw Data'!G252</f>
        <v>45919</v>
      </c>
      <c r="C256">
        <f>'Raw Data'!H252</f>
        <v>1030.7</v>
      </c>
      <c r="D256">
        <f>C255/C256-1</f>
        <v>0.11783254099155926</v>
      </c>
      <c r="F256" s="171">
        <f>'Raw Data'!G252</f>
        <v>45919</v>
      </c>
      <c r="G256">
        <f>'Raw Data'!J252</f>
        <v>25327.05</v>
      </c>
      <c r="H256">
        <f>G255/G256-1</f>
        <v>-4.9235896008418267E-3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Adani Power</v>
      </c>
      <c r="C14" s="119"/>
      <c r="D14" s="119" t="str">
        <f>'Raw Data'!Q24</f>
        <v>India</v>
      </c>
      <c r="E14" s="124">
        <f>'Raw Data'!R24</f>
        <v>99605.4</v>
      </c>
      <c r="F14" s="124">
        <f>'Raw Data'!S24</f>
        <v>398421.79</v>
      </c>
      <c r="G14" s="120">
        <f>'Raw Data'!T24</f>
        <v>0.3</v>
      </c>
      <c r="H14" s="36">
        <f>E14/F14</f>
        <v>0.24999988077961299</v>
      </c>
      <c r="I14" s="36">
        <f>E14/SUM(E14:F14)</f>
        <v>0.19999992369894504</v>
      </c>
      <c r="J14" s="47">
        <v>1</v>
      </c>
      <c r="K14" s="47">
        <f>J14/(1+(1-G14)*H14)</f>
        <v>0.85106389023397155</v>
      </c>
    </row>
    <row r="15" spans="1:12" x14ac:dyDescent="0.3">
      <c r="B15" s="119" t="str">
        <f>'Raw Data'!O25</f>
        <v>Adani Green Energy Ltd</v>
      </c>
      <c r="C15" s="119"/>
      <c r="D15" s="119" t="str">
        <f>'Raw Data'!Q25</f>
        <v>India</v>
      </c>
      <c r="E15" s="124">
        <f>'Raw Data'!R25</f>
        <v>103545</v>
      </c>
      <c r="F15" s="124">
        <f>'Raw Data'!S25</f>
        <v>219816</v>
      </c>
      <c r="G15" s="120">
        <f>'Raw Data'!T25</f>
        <v>0.3</v>
      </c>
      <c r="H15" s="36">
        <f t="shared" ref="H15:H18" si="0">E15/F15</f>
        <v>0.47105306256141499</v>
      </c>
      <c r="I15" s="36">
        <f t="shared" ref="I15:I18" si="1">E15/SUM(E15:F15)</f>
        <v>0.3202148682123076</v>
      </c>
      <c r="J15" s="47">
        <f>'Beta-Regression'!L15</f>
        <v>1.4870267650991869</v>
      </c>
      <c r="K15" s="47">
        <f t="shared" ref="K15:K18" si="2">J15/(1+(1-G15)*H15)</f>
        <v>1.1182862508131026</v>
      </c>
    </row>
    <row r="16" spans="1:12" x14ac:dyDescent="0.3">
      <c r="B16" s="119" t="str">
        <f>'Raw Data'!O26</f>
        <v>NTPC</v>
      </c>
      <c r="C16" s="119"/>
      <c r="D16" s="119" t="str">
        <f>'Raw Data'!Q26</f>
        <v>India</v>
      </c>
      <c r="E16" s="124">
        <f>'Raw Data'!R26</f>
        <v>78458.100000000006</v>
      </c>
      <c r="F16" s="124">
        <f>'Raw Data'!S26</f>
        <v>313832.59999999998</v>
      </c>
      <c r="G16" s="120">
        <f>'Raw Data'!T26</f>
        <v>0.3</v>
      </c>
      <c r="H16" s="36">
        <f t="shared" si="0"/>
        <v>0.24999984067939407</v>
      </c>
      <c r="I16" s="36">
        <f t="shared" si="1"/>
        <v>0.19999989803479923</v>
      </c>
      <c r="J16">
        <v>1</v>
      </c>
      <c r="K16" s="47">
        <f t="shared" si="2"/>
        <v>0.85106391056545749</v>
      </c>
    </row>
    <row r="17" spans="2:11" x14ac:dyDescent="0.3">
      <c r="B17" s="119" t="str">
        <f>'Raw Data'!O27</f>
        <v>Power Grid Corpn</v>
      </c>
      <c r="C17" s="119"/>
      <c r="D17" s="119" t="str">
        <f>'Raw Data'!Q27</f>
        <v>India</v>
      </c>
      <c r="E17" s="124">
        <f>'Raw Data'!R27</f>
        <v>62848.800000000003</v>
      </c>
      <c r="F17" s="124">
        <f>'Raw Data'!S27</f>
        <v>251395.32</v>
      </c>
      <c r="G17" s="120">
        <f>'Raw Data'!T27</f>
        <v>0.3</v>
      </c>
      <c r="H17" s="36">
        <f t="shared" si="0"/>
        <v>0.24999988066603626</v>
      </c>
      <c r="I17" s="36">
        <f t="shared" si="1"/>
        <v>0.19999992362625593</v>
      </c>
      <c r="J17" s="47">
        <v>1</v>
      </c>
      <c r="K17" s="47">
        <f t="shared" si="2"/>
        <v>0.85106389029155682</v>
      </c>
    </row>
    <row r="18" spans="2:11" x14ac:dyDescent="0.3">
      <c r="B18" s="119" t="str">
        <f>'Raw Data'!O28</f>
        <v>Adani Energy Sol</v>
      </c>
      <c r="C18" s="119"/>
      <c r="D18" s="119" t="str">
        <f>'Raw Data'!Q28</f>
        <v>India</v>
      </c>
      <c r="E18" s="124">
        <f>'Raw Data'!R28</f>
        <v>43907.1</v>
      </c>
      <c r="F18" s="124">
        <f>'Raw Data'!S28</f>
        <v>175628.49</v>
      </c>
      <c r="G18" s="120">
        <f>'Raw Data'!T28</f>
        <v>0.3</v>
      </c>
      <c r="H18" s="36">
        <f t="shared" si="0"/>
        <v>0.24999987188866682</v>
      </c>
      <c r="I18" s="36">
        <f t="shared" si="1"/>
        <v>0.19999991800873834</v>
      </c>
      <c r="J18">
        <v>1</v>
      </c>
      <c r="K18" s="47">
        <f t="shared" si="2"/>
        <v>0.85106389474183075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3">AVERAGE(H14:H18)</f>
        <v>0.29421050731502507</v>
      </c>
      <c r="I20" s="69">
        <f t="shared" si="3"/>
        <v>0.22404290631620921</v>
      </c>
      <c r="J20" s="69">
        <f t="shared" si="3"/>
        <v>1.0974053530198373</v>
      </c>
      <c r="K20" s="69">
        <f t="shared" si="3"/>
        <v>0.90450836732918383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0.24999988066603626</v>
      </c>
      <c r="I21" s="70">
        <f t="shared" si="4"/>
        <v>0.19999992362625593</v>
      </c>
      <c r="J21" s="70">
        <f t="shared" si="4"/>
        <v>1</v>
      </c>
      <c r="K21" s="70">
        <f t="shared" si="4"/>
        <v>0.85106389474183075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f>G15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5.6349999999999997E-2</v>
      </c>
      <c r="G28" t="s">
        <v>224</v>
      </c>
      <c r="K28" s="47">
        <f>K36</f>
        <v>1.0230738950286735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0.13649980317686378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0.85106389474183075</v>
      </c>
    </row>
    <row r="34" spans="2:11" x14ac:dyDescent="0.3">
      <c r="B34" t="s">
        <v>220</v>
      </c>
      <c r="C34" s="106">
        <f>E15</f>
        <v>103545</v>
      </c>
      <c r="D34" s="36">
        <f>C34/C$36</f>
        <v>0.3202148682123076</v>
      </c>
      <c r="E34" s="46">
        <f>I20</f>
        <v>0.22404290631620921</v>
      </c>
      <c r="G34" t="s">
        <v>234</v>
      </c>
      <c r="K34" s="46">
        <f>E38</f>
        <v>0.28873104987362697</v>
      </c>
    </row>
    <row r="35" spans="2:11" x14ac:dyDescent="0.3">
      <c r="B35" t="s">
        <v>79</v>
      </c>
      <c r="C35" s="106">
        <f>F15</f>
        <v>219816</v>
      </c>
      <c r="D35" s="36">
        <f t="shared" ref="D35:D36" si="5">C35/C$36</f>
        <v>0.6797851317876924</v>
      </c>
      <c r="E35" s="46">
        <f>E36-E34</f>
        <v>0.77595709368379073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323361</v>
      </c>
      <c r="D36" s="63">
        <f t="shared" si="5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1.0230738950286735</v>
      </c>
    </row>
    <row r="38" spans="2:11" x14ac:dyDescent="0.3">
      <c r="B38" t="s">
        <v>222</v>
      </c>
      <c r="D38" s="65">
        <f>D34/D35</f>
        <v>0.47105306256141499</v>
      </c>
      <c r="E38" s="65">
        <f>E34/E35</f>
        <v>0.28873104987362697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0.13649980317686378</v>
      </c>
    </row>
    <row r="41" spans="2:11" x14ac:dyDescent="0.3">
      <c r="G41" s="18" t="s">
        <v>239</v>
      </c>
      <c r="K41" s="46">
        <f>E35</f>
        <v>0.77595709368379073</v>
      </c>
    </row>
    <row r="43" spans="2:11" x14ac:dyDescent="0.3">
      <c r="G43" t="s">
        <v>226</v>
      </c>
      <c r="K43" s="46">
        <f>E28</f>
        <v>5.6349999999999997E-2</v>
      </c>
    </row>
    <row r="44" spans="2:11" x14ac:dyDescent="0.3">
      <c r="G44" t="s">
        <v>241</v>
      </c>
      <c r="K44" s="46">
        <f>E34</f>
        <v>0.22404290631620921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0.11854280833244707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44986</v>
      </c>
      <c r="I6" s="40">
        <f>'Raw FS'!K$3</f>
        <v>45352</v>
      </c>
      <c r="J6" s="40">
        <f>'Raw FS'!L$3</f>
        <v>45717</v>
      </c>
      <c r="K6" s="40">
        <f>'Raw FS'!M$3</f>
        <v>46082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52</v>
      </c>
      <c r="I9" s="130">
        <f>'Raw FS'!K39</f>
        <v>291</v>
      </c>
      <c r="J9" s="130">
        <f>'Raw FS'!L39</f>
        <v>101</v>
      </c>
      <c r="K9" s="130">
        <f>'Raw FS'!M39</f>
        <v>136</v>
      </c>
      <c r="L9" s="130">
        <f>'Raw FS'!N39</f>
        <v>18623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2206</v>
      </c>
      <c r="I10" s="130">
        <f>'Raw FS'!K40</f>
        <v>1342</v>
      </c>
      <c r="J10" s="130">
        <f>'Raw FS'!L40</f>
        <v>1540</v>
      </c>
      <c r="K10" s="130">
        <f>'Raw FS'!M40</f>
        <v>2129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219</v>
      </c>
      <c r="I11" s="130">
        <f>'Raw FS'!K42</f>
        <v>203</v>
      </c>
      <c r="J11" s="130">
        <f>'Raw FS'!L42</f>
        <v>320</v>
      </c>
      <c r="K11" s="130">
        <f>'Raw FS'!M42</f>
        <v>520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7672</v>
      </c>
      <c r="I12" s="106">
        <f>'Raw FS'!K43</f>
        <v>7260</v>
      </c>
      <c r="J12" s="106">
        <f>'Raw FS'!L43</f>
        <v>8334</v>
      </c>
      <c r="K12" s="106">
        <f>'Raw FS'!M43</f>
        <v>13285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10149</v>
      </c>
      <c r="I13" s="138">
        <f t="shared" ref="I13:L13" si="0">SUM(I9:I12)</f>
        <v>9096</v>
      </c>
      <c r="J13" s="138">
        <f t="shared" si="0"/>
        <v>10295</v>
      </c>
      <c r="K13" s="138">
        <f t="shared" si="0"/>
        <v>16070</v>
      </c>
      <c r="L13" s="138">
        <f t="shared" si="0"/>
        <v>28456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391</v>
      </c>
      <c r="I16" s="130">
        <f>'Raw FS'!K14</f>
        <v>354</v>
      </c>
      <c r="J16" s="130">
        <f>'Raw FS'!L14</f>
        <v>395</v>
      </c>
      <c r="K16" s="130">
        <f>'Raw FS'!M14</f>
        <v>407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0</v>
      </c>
      <c r="I17" s="130">
        <f>'Raw FS'!K15</f>
        <v>0</v>
      </c>
      <c r="J17" s="130">
        <f>'Raw FS'!L15</f>
        <v>0</v>
      </c>
      <c r="K17" s="130">
        <f>'Raw FS'!M15</f>
        <v>0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4945</v>
      </c>
      <c r="I18" s="106">
        <f>'Raw FS'!K16</f>
        <v>5426</v>
      </c>
      <c r="J18" s="106">
        <f>'Raw FS'!L16</f>
        <v>7756</v>
      </c>
      <c r="K18" s="106">
        <f>'Raw FS'!M16</f>
        <v>9157</v>
      </c>
      <c r="L18" s="106">
        <f>'Raw FS'!N16</f>
        <v>11384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5336</v>
      </c>
      <c r="I19" s="140">
        <f t="shared" ref="I19:L19" si="1">SUM(I16:I18)</f>
        <v>5780</v>
      </c>
      <c r="J19" s="140">
        <f t="shared" si="1"/>
        <v>8151</v>
      </c>
      <c r="K19" s="140">
        <f t="shared" si="1"/>
        <v>9564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4813</v>
      </c>
      <c r="I21" s="142">
        <f t="shared" ref="I21:L21" si="2">I13-I19</f>
        <v>3316</v>
      </c>
      <c r="J21" s="142">
        <f t="shared" si="2"/>
        <v>2144</v>
      </c>
      <c r="K21" s="142">
        <f t="shared" si="2"/>
        <v>6506</v>
      </c>
      <c r="L21" s="142">
        <f t="shared" si="2"/>
        <v>10090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2295</v>
      </c>
      <c r="I24" s="130">
        <f>'Raw FS'!K22</f>
        <v>2759</v>
      </c>
      <c r="J24" s="130">
        <f>'Raw FS'!L22</f>
        <v>3026</v>
      </c>
      <c r="K24" s="130">
        <f>'Raw FS'!M22</f>
        <v>4350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665</v>
      </c>
      <c r="I25" s="130">
        <f>'Raw FS'!K23</f>
        <v>873</v>
      </c>
      <c r="J25" s="130">
        <f>'Raw FS'!L23</f>
        <v>978</v>
      </c>
      <c r="K25" s="130">
        <f>'Raw FS'!M23</f>
        <v>1035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49389</v>
      </c>
      <c r="I26" s="130">
        <f>'Raw FS'!K24</f>
        <v>63971</v>
      </c>
      <c r="J26" s="130">
        <f>'Raw FS'!L24</f>
        <v>83278</v>
      </c>
      <c r="K26" s="130">
        <f>'Raw FS'!M24</f>
        <v>107265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30</v>
      </c>
      <c r="I27" s="130">
        <f>'Raw FS'!K25</f>
        <v>48</v>
      </c>
      <c r="J27" s="130">
        <f>'Raw FS'!L25</f>
        <v>67</v>
      </c>
      <c r="K27" s="130">
        <f>'Raw FS'!M25</f>
        <v>81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7</v>
      </c>
      <c r="I28" s="130">
        <f>'Raw FS'!K26</f>
        <v>17</v>
      </c>
      <c r="J28" s="130">
        <f>'Raw FS'!L26</f>
        <v>22</v>
      </c>
      <c r="K28" s="130">
        <f>'Raw FS'!M26</f>
        <v>25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9</v>
      </c>
      <c r="I30" s="130">
        <f>'Raw FS'!K28</f>
        <v>11</v>
      </c>
      <c r="J30" s="130">
        <f>'Raw FS'!L28</f>
        <v>13</v>
      </c>
      <c r="K30" s="130">
        <f>'Raw FS'!M28</f>
        <v>19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3</v>
      </c>
      <c r="I31" s="130">
        <f>'Raw FS'!K29</f>
        <v>3</v>
      </c>
      <c r="J31" s="130">
        <f>'Raw FS'!L29</f>
        <v>3</v>
      </c>
      <c r="K31" s="130">
        <f>'Raw FS'!M29</f>
        <v>3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831</v>
      </c>
      <c r="I32" s="130">
        <f>'Raw FS'!K30</f>
        <v>1336</v>
      </c>
      <c r="J32" s="130">
        <f>'Raw FS'!L30</f>
        <v>1738</v>
      </c>
      <c r="K32" s="130">
        <f>'Raw FS'!M30</f>
        <v>1941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53261</v>
      </c>
      <c r="I33" s="136">
        <f>'Raw FS'!K31</f>
        <v>69064</v>
      </c>
      <c r="J33" s="136">
        <f>'Raw FS'!L31</f>
        <v>89190</v>
      </c>
      <c r="K33" s="136">
        <f>'Raw FS'!M31</f>
        <v>114778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4925</v>
      </c>
      <c r="I34" s="106">
        <f>'Raw FS'!K32</f>
        <v>6780</v>
      </c>
      <c r="J34" s="106">
        <f>'Raw FS'!L32</f>
        <v>9276</v>
      </c>
      <c r="K34" s="106">
        <f>'Raw FS'!M32</f>
        <v>12640</v>
      </c>
      <c r="L34" s="106">
        <f>'Raw FS'!N32</f>
        <v>13230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48336</v>
      </c>
      <c r="I35" s="142">
        <f>'Raw FS'!K33</f>
        <v>62284</v>
      </c>
      <c r="J35" s="142">
        <f>'Raw FS'!L33</f>
        <v>79914</v>
      </c>
      <c r="K35" s="142">
        <f>'Raw FS'!M33</f>
        <v>102138</v>
      </c>
      <c r="L35" s="142">
        <f>'Raw FS'!N33</f>
        <v>22442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53149</v>
      </c>
      <c r="I37" s="146">
        <f t="shared" ref="I37:L37" si="3">I35+I21</f>
        <v>65600</v>
      </c>
      <c r="J37" s="146">
        <f t="shared" si="3"/>
        <v>82058</v>
      </c>
      <c r="K37" s="146">
        <f t="shared" si="3"/>
        <v>108644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4337</v>
      </c>
      <c r="I38" s="146">
        <f>'Raw FS'!AA11+'Raw FS'!AA9</f>
        <v>6677</v>
      </c>
      <c r="J38" s="146">
        <f>'Raw FS'!AB11+'Raw FS'!AB9</f>
        <v>7707</v>
      </c>
      <c r="K38" s="146">
        <f>'Raw FS'!AC11+'Raw FS'!AC9</f>
        <v>8485</v>
      </c>
      <c r="L38" s="146">
        <f>'Raw FS'!AD11+'Raw FS'!AD9</f>
        <v>8793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8.1600782705224931E-2</v>
      </c>
      <c r="I40" s="144">
        <f t="shared" ref="I40:L40" si="4">I38/I37</f>
        <v>0.10178353658536585</v>
      </c>
      <c r="J40" s="144">
        <f t="shared" si="4"/>
        <v>9.3921372687611207E-2</v>
      </c>
      <c r="K40" s="144">
        <f t="shared" si="4"/>
        <v>7.8099112698354262E-2</v>
      </c>
      <c r="L40" s="144">
        <f t="shared" si="4"/>
        <v>0.2702877167097012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44986</v>
      </c>
      <c r="I42" s="40">
        <f>'Raw FS'!K$3</f>
        <v>45352</v>
      </c>
      <c r="J42" s="40">
        <f>'Raw FS'!L$3</f>
        <v>45717</v>
      </c>
      <c r="K42" s="40">
        <f>'Raw FS'!M$3</f>
        <v>46082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3338</v>
      </c>
      <c r="I44" s="130">
        <f>-SUM('Raw FS'!AA27:AA28)</f>
        <v>15700</v>
      </c>
      <c r="J44" s="130">
        <f>-SUM('Raw FS'!AB27:AB28)</f>
        <v>24761</v>
      </c>
      <c r="K44" s="130">
        <f>-SUM('Raw FS'!AC27:AC28)</f>
        <v>25992</v>
      </c>
      <c r="L44" s="130">
        <f>-SUM('Raw FS'!AD27:AD28)</f>
        <v>2133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-1497</v>
      </c>
      <c r="J45" s="133">
        <f t="shared" ref="J45:L45" si="5">J21-I21</f>
        <v>-1172</v>
      </c>
      <c r="K45" s="133">
        <f t="shared" si="5"/>
        <v>4362</v>
      </c>
      <c r="L45" s="133">
        <f t="shared" si="5"/>
        <v>3584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4337</v>
      </c>
      <c r="I47" s="130">
        <f t="shared" ref="I47:L47" si="6">I38</f>
        <v>6677</v>
      </c>
      <c r="J47" s="130">
        <f t="shared" si="6"/>
        <v>7707</v>
      </c>
      <c r="K47" s="130">
        <f t="shared" si="6"/>
        <v>8485</v>
      </c>
      <c r="L47" s="130">
        <f t="shared" si="6"/>
        <v>8793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3035.8999999999996</v>
      </c>
      <c r="I49" s="130">
        <f t="shared" ref="I49:L49" si="8">I47*(1-I48)</f>
        <v>4673.8999999999996</v>
      </c>
      <c r="J49" s="130">
        <f t="shared" si="8"/>
        <v>5394.9</v>
      </c>
      <c r="K49" s="130">
        <f t="shared" si="8"/>
        <v>5939.5</v>
      </c>
      <c r="L49" s="130">
        <f t="shared" si="8"/>
        <v>6155.0999999999995</v>
      </c>
    </row>
    <row r="51" spans="2:12" x14ac:dyDescent="0.3">
      <c r="B51" t="s">
        <v>292</v>
      </c>
      <c r="H51" s="45" t="s">
        <v>120</v>
      </c>
      <c r="I51" s="106">
        <f>SUM(I44:I45)</f>
        <v>14203</v>
      </c>
      <c r="J51" s="106">
        <f t="shared" ref="J51:L51" si="9">SUM(J44:J45)</f>
        <v>23589</v>
      </c>
      <c r="K51" s="106">
        <f t="shared" si="9"/>
        <v>30354</v>
      </c>
      <c r="L51" s="106">
        <f t="shared" si="9"/>
        <v>5717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3.0387898756926766</v>
      </c>
      <c r="J52" s="143">
        <f t="shared" ref="J52:L52" si="10">J51/J49</f>
        <v>4.3724628816104101</v>
      </c>
      <c r="K52" s="143">
        <f t="shared" si="10"/>
        <v>5.1105311894940648</v>
      </c>
      <c r="L52" s="143">
        <f t="shared" si="10"/>
        <v>0.92882325226235163</v>
      </c>
    </row>
    <row r="54" spans="2:12" x14ac:dyDescent="0.3">
      <c r="J54" s="37" t="s">
        <v>294</v>
      </c>
      <c r="K54" s="37"/>
      <c r="L54" s="114">
        <f>AVERAGE(I52:L52)</f>
        <v>3.3626517997648757</v>
      </c>
    </row>
    <row r="55" spans="2:12" x14ac:dyDescent="0.3">
      <c r="J55" s="37" t="s">
        <v>295</v>
      </c>
      <c r="K55" s="37"/>
      <c r="L55" s="114">
        <f>MEDIAN(I52:L52)</f>
        <v>3.7056263786515435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44986</v>
      </c>
      <c r="I57" s="40">
        <f>'Raw FS'!K$3</f>
        <v>45352</v>
      </c>
      <c r="J57" s="40">
        <f>'Raw FS'!L$3</f>
        <v>45717</v>
      </c>
      <c r="K57" s="40">
        <f>'Raw FS'!M$3</f>
        <v>46082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8.1600782705224931E-2</v>
      </c>
      <c r="I59" s="81">
        <f t="shared" ref="I59:L59" si="11">I40</f>
        <v>0.10178353658536585</v>
      </c>
      <c r="J59" s="81">
        <f t="shared" si="11"/>
        <v>9.3921372687611207E-2</v>
      </c>
      <c r="K59" s="81">
        <f t="shared" si="11"/>
        <v>7.8099112698354262E-2</v>
      </c>
      <c r="L59" s="81">
        <f t="shared" si="11"/>
        <v>0.2702877167097012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3.0387898756926766</v>
      </c>
      <c r="J60" s="134">
        <f t="shared" ref="J60:L60" si="12">J52</f>
        <v>4.3724628816104101</v>
      </c>
      <c r="K60" s="134">
        <f t="shared" si="12"/>
        <v>5.1105311894940648</v>
      </c>
      <c r="L60" s="134">
        <f t="shared" si="12"/>
        <v>0.92882325226235163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0.3092987804878049</v>
      </c>
      <c r="J62" s="135">
        <f t="shared" ref="J62:L62" si="13">J59*J60</f>
        <v>0.41066771586647777</v>
      </c>
      <c r="K62" s="135">
        <f t="shared" si="13"/>
        <v>0.39912795131675144</v>
      </c>
      <c r="L62" s="135">
        <f t="shared" si="13"/>
        <v>0.25104951608086984</v>
      </c>
    </row>
    <row r="64" spans="2:12" x14ac:dyDescent="0.3">
      <c r="J64" s="37" t="s">
        <v>294</v>
      </c>
      <c r="K64" s="37"/>
      <c r="L64" s="114">
        <f>AVERAGE(I62:L62)</f>
        <v>0.34253599093797599</v>
      </c>
    </row>
    <row r="65" spans="10:12" x14ac:dyDescent="0.3">
      <c r="J65" s="37" t="s">
        <v>295</v>
      </c>
      <c r="K65" s="37"/>
      <c r="L65" s="114">
        <f>MEDIAN(I62:L62)</f>
        <v>0.35421336590227814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8793</v>
      </c>
      <c r="I8" s="130">
        <f>H8*(1+$D$18)</f>
        <v>9250.2360000000008</v>
      </c>
      <c r="J8" s="130">
        <f>I8*(1+$D$18)</f>
        <v>9731.2482720000007</v>
      </c>
      <c r="K8" s="130">
        <f>J8*(1+$D$18)</f>
        <v>10237.273182144001</v>
      </c>
      <c r="L8" s="130">
        <f>K8*(1+$D$18)</f>
        <v>10769.61138761549</v>
      </c>
      <c r="M8" s="130">
        <f>L8*(1+$D$18)</f>
        <v>11329.631179771497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6155.0999999999995</v>
      </c>
      <c r="I10" s="130">
        <f t="shared" ref="I10:M10" si="2">I8*(1-I9)</f>
        <v>6475.1652000000004</v>
      </c>
      <c r="J10" s="130">
        <f t="shared" si="2"/>
        <v>6811.8737904</v>
      </c>
      <c r="K10" s="130">
        <f t="shared" si="2"/>
        <v>7166.0912275008004</v>
      </c>
      <c r="L10" s="130">
        <f t="shared" si="2"/>
        <v>7538.7279713308426</v>
      </c>
      <c r="M10" s="130">
        <f t="shared" si="2"/>
        <v>7930.7418258400476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3.7056263786515435</v>
      </c>
      <c r="I11" s="81">
        <f>MIN(0.85, MAX(0.15, 'Intrinsic Valuation'!$L$55))</f>
        <v>0.85</v>
      </c>
      <c r="J11" s="81">
        <f>$I$11+($M$11-$I$11)/4*1</f>
        <v>0.72185771128313014</v>
      </c>
      <c r="K11" s="81">
        <f>$I$11+($M$11-$I$11)/4*2</f>
        <v>0.5937154225662602</v>
      </c>
      <c r="L11" s="81">
        <f>$I$11+($M$11-$I$11)/4*3</f>
        <v>0.46557313384939031</v>
      </c>
      <c r="M11" s="81">
        <f>D21</f>
        <v>0.33743084513252042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-16653.400923238114</v>
      </c>
      <c r="I12" s="130">
        <f>I10*(1-MIN(0.85, I11))</f>
        <v>971.27478000000019</v>
      </c>
      <c r="J12" s="130">
        <f>J10*(1-MIN(0.85, J11))</f>
        <v>1894.6701665123155</v>
      </c>
      <c r="K12" s="130">
        <f>K10*(1-MIN(0.85, K11))</f>
        <v>2911.4723462167926</v>
      </c>
      <c r="L12" s="130">
        <f>L10*(1-MIN(0.85, L11))</f>
        <v>4028.898764480286</v>
      </c>
      <c r="M12" s="130">
        <f>M10*(1-MIN(0.85, M11))</f>
        <v>5254.6649090190122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0.94552647794838629</v>
      </c>
      <c r="J14" s="72">
        <f t="shared" ref="J14:M14" si="4">1/(1+$D$20)^J13</f>
        <v>0.84531988485805187</v>
      </c>
      <c r="K14" s="72">
        <f t="shared" si="4"/>
        <v>0.75573315438706978</v>
      </c>
      <c r="L14" s="72">
        <f t="shared" si="4"/>
        <v>0.6756407968987227</v>
      </c>
      <c r="M14" s="72">
        <f t="shared" si="4"/>
        <v>0.60403660178727148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918.36602185349398</v>
      </c>
      <c r="J16" s="131">
        <f t="shared" ref="J16:M16" si="5">J12*J14</f>
        <v>1601.6023670001766</v>
      </c>
      <c r="K16" s="131">
        <f t="shared" si="5"/>
        <v>2200.2961801171396</v>
      </c>
      <c r="L16" s="131">
        <f t="shared" si="5"/>
        <v>2722.0883718577397</v>
      </c>
      <c r="M16" s="131">
        <f t="shared" si="5"/>
        <v>3174.0099351746662</v>
      </c>
    </row>
    <row r="18" spans="2:4" x14ac:dyDescent="0.3">
      <c r="B18" s="79" t="s">
        <v>305</v>
      </c>
      <c r="C18" s="79"/>
      <c r="D18" s="80">
        <v>5.1999999999999998E-2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0.11854280833244707</v>
      </c>
    </row>
    <row r="21" spans="2:4" x14ac:dyDescent="0.3">
      <c r="B21" s="79" t="s">
        <v>307</v>
      </c>
      <c r="C21" s="79"/>
      <c r="D21" s="80">
        <f>D19/D20</f>
        <v>0.33743084513252042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5464.8515053797728</v>
      </c>
    </row>
    <row r="26" spans="2:4" x14ac:dyDescent="0.3">
      <c r="B26" t="s">
        <v>238</v>
      </c>
      <c r="D26" s="46">
        <f>D20</f>
        <v>0.11854280833244707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69577.999837346928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10616.362876003215</v>
      </c>
    </row>
    <row r="34" spans="2:4" x14ac:dyDescent="0.3">
      <c r="B34" t="s">
        <v>310</v>
      </c>
      <c r="D34" s="106">
        <f>D29*M14</f>
        <v>42027.658580906369</v>
      </c>
    </row>
    <row r="35" spans="2:4" x14ac:dyDescent="0.3">
      <c r="B35" s="37" t="s">
        <v>314</v>
      </c>
      <c r="C35" s="37"/>
      <c r="D35" s="129">
        <f>SUM(D33:D34)</f>
        <v>52644.021456909584</v>
      </c>
    </row>
    <row r="37" spans="2:4" x14ac:dyDescent="0.3">
      <c r="B37" t="s">
        <v>312</v>
      </c>
      <c r="D37" s="106">
        <f>'Data Sheet'!K69</f>
        <v>2766</v>
      </c>
    </row>
    <row r="38" spans="2:4" x14ac:dyDescent="0.3">
      <c r="B38" t="s">
        <v>313</v>
      </c>
      <c r="D38" s="106">
        <f>'Data Sheet'!K59</f>
        <v>103545</v>
      </c>
    </row>
    <row r="39" spans="2:4" x14ac:dyDescent="0.3">
      <c r="B39" s="37" t="s">
        <v>315</v>
      </c>
      <c r="C39" s="37"/>
      <c r="D39" s="129">
        <f>D35+D37-D38</f>
        <v>-48134.978543090416</v>
      </c>
    </row>
    <row r="40" spans="2:4" x14ac:dyDescent="0.3">
      <c r="B40" t="s">
        <v>316</v>
      </c>
      <c r="D40">
        <f>'Data Sheet'!K70/10000000</f>
        <v>164.7</v>
      </c>
    </row>
    <row r="42" spans="2:4" ht="15" thickBot="1" x14ac:dyDescent="0.35">
      <c r="B42" s="127" t="s">
        <v>317</v>
      </c>
      <c r="C42" s="127"/>
      <c r="D42" s="128">
        <f>D39/D40</f>
        <v>-292.25852181597099</v>
      </c>
    </row>
    <row r="44" spans="2:4" x14ac:dyDescent="0.3">
      <c r="B44" t="s">
        <v>318</v>
      </c>
      <c r="D44" s="106">
        <v>1334</v>
      </c>
    </row>
    <row r="45" spans="2:4" x14ac:dyDescent="0.3">
      <c r="B45" t="s">
        <v>319</v>
      </c>
      <c r="D45" s="83">
        <f>D44/D42</f>
        <v>-4.5644520190928484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46283</v>
      </c>
      <c r="H6">
        <v>1334.5</v>
      </c>
      <c r="J6">
        <v>23346.400000000001</v>
      </c>
    </row>
    <row r="7" spans="2:24" x14ac:dyDescent="0.3">
      <c r="B7">
        <v>2024</v>
      </c>
      <c r="C7" s="46">
        <v>8.7499999999999994E-2</v>
      </c>
      <c r="G7" s="34">
        <v>46282</v>
      </c>
      <c r="H7">
        <v>1274.2</v>
      </c>
      <c r="J7">
        <v>23270.6</v>
      </c>
    </row>
    <row r="8" spans="2:24" x14ac:dyDescent="0.3">
      <c r="B8">
        <v>2023</v>
      </c>
      <c r="C8" s="46">
        <v>0.19420000000000001</v>
      </c>
      <c r="G8" s="34">
        <v>46281</v>
      </c>
      <c r="H8">
        <v>1270.2</v>
      </c>
      <c r="J8">
        <v>23217.599999999999</v>
      </c>
    </row>
    <row r="9" spans="2:24" x14ac:dyDescent="0.3">
      <c r="B9">
        <v>2022</v>
      </c>
      <c r="C9" s="46">
        <v>4.3200000000000002E-2</v>
      </c>
      <c r="G9" s="34">
        <v>46280</v>
      </c>
      <c r="H9">
        <v>1255</v>
      </c>
      <c r="J9">
        <v>23118.6</v>
      </c>
    </row>
    <row r="10" spans="2:24" x14ac:dyDescent="0.3">
      <c r="B10">
        <v>2021</v>
      </c>
      <c r="C10" s="46">
        <v>0.2412</v>
      </c>
      <c r="G10" s="34">
        <v>46276</v>
      </c>
      <c r="H10">
        <v>1281.3</v>
      </c>
      <c r="J10">
        <v>23398.1</v>
      </c>
    </row>
    <row r="11" spans="2:24" x14ac:dyDescent="0.3">
      <c r="B11">
        <v>2020</v>
      </c>
      <c r="C11" s="46">
        <v>0.14899999999999999</v>
      </c>
      <c r="G11" s="34">
        <v>46275</v>
      </c>
      <c r="H11">
        <v>1299.0999999999999</v>
      </c>
      <c r="J11">
        <v>23477.8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46274</v>
      </c>
      <c r="H12">
        <v>1315</v>
      </c>
      <c r="J12">
        <v>23431.5</v>
      </c>
      <c r="N12">
        <v>1</v>
      </c>
      <c r="O12" t="s">
        <v>8613</v>
      </c>
      <c r="P12">
        <v>206.6</v>
      </c>
      <c r="Q12">
        <v>1928.47</v>
      </c>
      <c r="R12">
        <v>398421.79</v>
      </c>
      <c r="S12">
        <v>99605.45</v>
      </c>
      <c r="T12">
        <v>19921.09</v>
      </c>
      <c r="U12">
        <v>478106.15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46273</v>
      </c>
      <c r="H13">
        <v>1292</v>
      </c>
      <c r="J13">
        <v>23635.1</v>
      </c>
      <c r="N13">
        <v>2</v>
      </c>
      <c r="O13" t="s">
        <v>4611</v>
      </c>
      <c r="P13">
        <v>323.64999999999998</v>
      </c>
      <c r="Q13">
        <v>969.67</v>
      </c>
      <c r="R13">
        <v>313832.59999999998</v>
      </c>
      <c r="S13">
        <v>78458.149999999994</v>
      </c>
      <c r="T13">
        <v>15691.63</v>
      </c>
      <c r="U13">
        <v>376599.12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46272</v>
      </c>
      <c r="H14">
        <v>1288</v>
      </c>
      <c r="J14">
        <v>23779.15</v>
      </c>
      <c r="N14">
        <v>3</v>
      </c>
      <c r="O14" t="s">
        <v>8614</v>
      </c>
      <c r="P14">
        <v>270.3</v>
      </c>
      <c r="Q14">
        <v>930.06</v>
      </c>
      <c r="R14">
        <v>251395.32</v>
      </c>
      <c r="S14">
        <v>62848.83</v>
      </c>
      <c r="T14">
        <v>12569.77</v>
      </c>
      <c r="U14">
        <v>301674.38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46269</v>
      </c>
      <c r="H15">
        <v>1301.3</v>
      </c>
      <c r="J15">
        <v>23897.7</v>
      </c>
      <c r="N15">
        <v>4</v>
      </c>
      <c r="O15" t="s">
        <v>8615</v>
      </c>
      <c r="P15">
        <v>1334.5</v>
      </c>
      <c r="Q15">
        <v>164.72</v>
      </c>
      <c r="R15">
        <v>219815.66</v>
      </c>
      <c r="S15">
        <v>54953.919999999998</v>
      </c>
      <c r="T15">
        <v>10990.78</v>
      </c>
      <c r="U15">
        <v>263778.8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46268</v>
      </c>
      <c r="H16">
        <v>1283.4000000000001</v>
      </c>
      <c r="J16">
        <v>23873.45</v>
      </c>
      <c r="N16">
        <v>5</v>
      </c>
      <c r="O16" t="s">
        <v>8616</v>
      </c>
      <c r="P16">
        <v>1436.1</v>
      </c>
      <c r="Q16">
        <v>122.3</v>
      </c>
      <c r="R16">
        <v>175628.49</v>
      </c>
      <c r="S16">
        <v>43907.12</v>
      </c>
      <c r="T16">
        <v>8781.42</v>
      </c>
      <c r="U16">
        <v>210754.19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46267</v>
      </c>
      <c r="H17">
        <v>1296</v>
      </c>
      <c r="J17">
        <v>23914.45</v>
      </c>
      <c r="N17">
        <v>6</v>
      </c>
      <c r="O17" t="s">
        <v>8617</v>
      </c>
      <c r="P17">
        <v>374.8</v>
      </c>
      <c r="Q17">
        <v>319.52999999999997</v>
      </c>
      <c r="R17">
        <v>119761.33</v>
      </c>
      <c r="S17">
        <v>29940.33</v>
      </c>
      <c r="T17">
        <v>5988.07</v>
      </c>
      <c r="U17">
        <v>143713.59</v>
      </c>
    </row>
    <row r="18" spans="2:21" x14ac:dyDescent="0.3">
      <c r="B18">
        <v>2013</v>
      </c>
      <c r="C18" s="46">
        <v>6.7599999999999993E-2</v>
      </c>
      <c r="G18" s="34">
        <v>46266</v>
      </c>
      <c r="H18">
        <v>1265</v>
      </c>
      <c r="J18">
        <v>24055.8</v>
      </c>
      <c r="N18">
        <v>7</v>
      </c>
      <c r="O18" t="s">
        <v>8618</v>
      </c>
      <c r="P18">
        <v>526</v>
      </c>
      <c r="Q18">
        <v>183.35</v>
      </c>
      <c r="R18">
        <v>96441.19</v>
      </c>
      <c r="S18">
        <v>24110.3</v>
      </c>
      <c r="T18">
        <v>4822.0600000000004</v>
      </c>
      <c r="U18">
        <v>115729.43</v>
      </c>
    </row>
    <row r="19" spans="2:21" x14ac:dyDescent="0.3">
      <c r="B19">
        <v>2012</v>
      </c>
      <c r="C19" s="46">
        <v>0.27700000000000002</v>
      </c>
      <c r="G19" s="34">
        <v>46265</v>
      </c>
      <c r="H19">
        <v>1214.9000000000001</v>
      </c>
      <c r="J19">
        <v>24080.400000000001</v>
      </c>
      <c r="N19">
        <v>8</v>
      </c>
      <c r="O19" t="s">
        <v>8619</v>
      </c>
      <c r="P19">
        <v>76.95</v>
      </c>
      <c r="Q19">
        <v>1004.5</v>
      </c>
      <c r="R19">
        <v>77296.539999999994</v>
      </c>
      <c r="S19">
        <v>19324.13</v>
      </c>
      <c r="T19">
        <v>3864.83</v>
      </c>
      <c r="U19">
        <v>92755.839999999997</v>
      </c>
    </row>
    <row r="20" spans="2:21" x14ac:dyDescent="0.3">
      <c r="B20">
        <v>2011</v>
      </c>
      <c r="C20" s="46">
        <v>-0.2462</v>
      </c>
      <c r="G20" s="34">
        <v>46262</v>
      </c>
      <c r="H20">
        <v>1311</v>
      </c>
      <c r="J20">
        <v>24175.65</v>
      </c>
      <c r="N20">
        <v>9</v>
      </c>
      <c r="O20" t="s">
        <v>8620</v>
      </c>
      <c r="P20">
        <v>88.55</v>
      </c>
      <c r="Q20">
        <v>842.63</v>
      </c>
      <c r="R20">
        <v>74615.149999999994</v>
      </c>
      <c r="S20">
        <v>18653.79</v>
      </c>
      <c r="T20">
        <v>3730.76</v>
      </c>
      <c r="U20">
        <v>89538.18</v>
      </c>
    </row>
    <row r="21" spans="2:21" x14ac:dyDescent="0.3">
      <c r="B21">
        <v>2010</v>
      </c>
      <c r="C21" s="46">
        <v>0.17949999999999999</v>
      </c>
      <c r="G21" s="34">
        <v>46261</v>
      </c>
      <c r="H21">
        <v>1328.5</v>
      </c>
      <c r="J21">
        <v>24090.85</v>
      </c>
      <c r="N21">
        <v>10</v>
      </c>
      <c r="O21" t="s">
        <v>8621</v>
      </c>
      <c r="P21">
        <v>1258.8</v>
      </c>
      <c r="Q21">
        <v>50.39</v>
      </c>
      <c r="R21">
        <v>63431.38</v>
      </c>
      <c r="S21">
        <v>15857.84</v>
      </c>
      <c r="T21">
        <v>3171.57</v>
      </c>
      <c r="U21">
        <v>76117.649999999994</v>
      </c>
    </row>
    <row r="22" spans="2:21" x14ac:dyDescent="0.3">
      <c r="B22">
        <v>2009</v>
      </c>
      <c r="C22" s="46">
        <v>0.75760000000000005</v>
      </c>
      <c r="G22" s="34">
        <v>46260</v>
      </c>
      <c r="H22">
        <v>1303.2</v>
      </c>
      <c r="J22">
        <v>24207.75</v>
      </c>
    </row>
    <row r="23" spans="2:21" x14ac:dyDescent="0.3">
      <c r="B23">
        <v>2008</v>
      </c>
      <c r="C23" s="46">
        <v>-0.51790000000000003</v>
      </c>
      <c r="G23" s="34">
        <v>46259</v>
      </c>
      <c r="H23">
        <v>1330</v>
      </c>
      <c r="J23">
        <v>24334.55</v>
      </c>
    </row>
    <row r="24" spans="2:21" x14ac:dyDescent="0.3">
      <c r="B24">
        <v>2007</v>
      </c>
      <c r="C24" s="46">
        <v>0.54769999999999996</v>
      </c>
      <c r="G24" s="34">
        <v>46258</v>
      </c>
      <c r="H24">
        <v>1308</v>
      </c>
      <c r="J24">
        <v>24219.05</v>
      </c>
      <c r="O24" t="s">
        <v>8613</v>
      </c>
      <c r="Q24" t="s">
        <v>214</v>
      </c>
      <c r="R24">
        <v>99605.4</v>
      </c>
      <c r="S24">
        <v>398421.79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46255</v>
      </c>
      <c r="H25">
        <v>1320</v>
      </c>
      <c r="J25">
        <v>24252</v>
      </c>
      <c r="O25" t="s">
        <v>8611</v>
      </c>
      <c r="Q25" t="str">
        <f>Q24</f>
        <v>India</v>
      </c>
      <c r="R25">
        <v>103545</v>
      </c>
      <c r="S25">
        <v>219816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46254</v>
      </c>
      <c r="H26">
        <v>1301.8</v>
      </c>
      <c r="J26">
        <v>24231.85</v>
      </c>
      <c r="O26" t="s">
        <v>4611</v>
      </c>
      <c r="Q26" t="str">
        <f>Q25</f>
        <v>India</v>
      </c>
      <c r="R26">
        <v>78458.100000000006</v>
      </c>
      <c r="S26">
        <v>313832.59999999998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46253</v>
      </c>
      <c r="H27">
        <v>1293</v>
      </c>
      <c r="J27">
        <v>24078.3</v>
      </c>
      <c r="O27" t="s">
        <v>8614</v>
      </c>
      <c r="Q27" t="str">
        <f>Q26</f>
        <v>India</v>
      </c>
      <c r="R27">
        <v>62848.800000000003</v>
      </c>
      <c r="S27">
        <v>251395.32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46252</v>
      </c>
      <c r="H28">
        <v>1308</v>
      </c>
      <c r="J28">
        <v>24154.9</v>
      </c>
      <c r="O28" t="s">
        <v>8616</v>
      </c>
      <c r="Q28" t="str">
        <f>Q27</f>
        <v>India</v>
      </c>
      <c r="R28">
        <v>43907.1</v>
      </c>
      <c r="S28">
        <v>175628.49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46251</v>
      </c>
      <c r="H29">
        <v>1327.6</v>
      </c>
      <c r="J29">
        <v>24287.65</v>
      </c>
    </row>
    <row r="30" spans="2:21" x14ac:dyDescent="0.3">
      <c r="G30" s="34">
        <v>46248</v>
      </c>
      <c r="H30">
        <v>1348</v>
      </c>
      <c r="J30">
        <v>24366</v>
      </c>
    </row>
    <row r="31" spans="2:21" x14ac:dyDescent="0.3">
      <c r="G31" s="34">
        <v>46247</v>
      </c>
      <c r="H31">
        <v>1319</v>
      </c>
      <c r="J31">
        <v>24395.85</v>
      </c>
    </row>
    <row r="32" spans="2:21" x14ac:dyDescent="0.3">
      <c r="G32" s="34">
        <v>46246</v>
      </c>
      <c r="H32">
        <v>1332.3</v>
      </c>
      <c r="J32">
        <v>24435.95</v>
      </c>
    </row>
    <row r="33" spans="7:10" x14ac:dyDescent="0.3">
      <c r="G33" s="34">
        <v>46245</v>
      </c>
      <c r="H33">
        <v>1366</v>
      </c>
      <c r="J33">
        <v>24471.7</v>
      </c>
    </row>
    <row r="34" spans="7:10" x14ac:dyDescent="0.3">
      <c r="G34" s="34">
        <v>46244</v>
      </c>
      <c r="H34">
        <v>1369</v>
      </c>
      <c r="J34">
        <v>24583.8</v>
      </c>
    </row>
    <row r="35" spans="7:10" x14ac:dyDescent="0.3">
      <c r="G35" s="34">
        <v>46241</v>
      </c>
      <c r="H35">
        <v>1372.4</v>
      </c>
      <c r="J35">
        <v>24570.65</v>
      </c>
    </row>
    <row r="36" spans="7:10" x14ac:dyDescent="0.3">
      <c r="G36" s="34">
        <v>46240</v>
      </c>
      <c r="H36">
        <v>1371.5</v>
      </c>
      <c r="J36">
        <v>24636</v>
      </c>
    </row>
    <row r="37" spans="7:10" x14ac:dyDescent="0.3">
      <c r="G37" s="34">
        <v>46239</v>
      </c>
      <c r="H37">
        <v>1380</v>
      </c>
      <c r="J37">
        <v>24624.65</v>
      </c>
    </row>
    <row r="38" spans="7:10" x14ac:dyDescent="0.3">
      <c r="G38" s="34">
        <v>46238</v>
      </c>
      <c r="H38">
        <v>1384</v>
      </c>
      <c r="J38">
        <v>24614.9</v>
      </c>
    </row>
    <row r="39" spans="7:10" x14ac:dyDescent="0.3">
      <c r="G39" s="34">
        <v>46237</v>
      </c>
      <c r="H39">
        <v>1395</v>
      </c>
      <c r="J39">
        <v>24774.3</v>
      </c>
    </row>
    <row r="40" spans="7:10" x14ac:dyDescent="0.3">
      <c r="G40" s="34">
        <v>46234</v>
      </c>
      <c r="H40">
        <v>1383</v>
      </c>
      <c r="J40">
        <v>24383.599999999999</v>
      </c>
    </row>
    <row r="41" spans="7:10" x14ac:dyDescent="0.3">
      <c r="G41" s="34">
        <v>46233</v>
      </c>
      <c r="H41">
        <v>1358.7</v>
      </c>
      <c r="J41">
        <v>24317.15</v>
      </c>
    </row>
    <row r="42" spans="7:10" x14ac:dyDescent="0.3">
      <c r="G42" s="34">
        <v>46232</v>
      </c>
      <c r="H42">
        <v>1373.1</v>
      </c>
      <c r="J42">
        <v>24250.2</v>
      </c>
    </row>
    <row r="43" spans="7:10" x14ac:dyDescent="0.3">
      <c r="G43" s="34">
        <v>46231</v>
      </c>
      <c r="H43">
        <v>1377.8</v>
      </c>
      <c r="J43">
        <v>23985.35</v>
      </c>
    </row>
    <row r="44" spans="7:10" x14ac:dyDescent="0.3">
      <c r="G44" s="34">
        <v>46230</v>
      </c>
      <c r="H44">
        <v>1399.7</v>
      </c>
      <c r="J44">
        <v>23995.95</v>
      </c>
    </row>
    <row r="45" spans="7:10" x14ac:dyDescent="0.3">
      <c r="G45" s="34">
        <v>46227</v>
      </c>
      <c r="H45">
        <v>1395.1</v>
      </c>
      <c r="J45">
        <v>23767.45</v>
      </c>
    </row>
    <row r="46" spans="7:10" x14ac:dyDescent="0.3">
      <c r="G46" s="34">
        <v>46226</v>
      </c>
      <c r="H46">
        <v>1379.9</v>
      </c>
      <c r="J46">
        <v>23869.599999999999</v>
      </c>
    </row>
    <row r="47" spans="7:10" x14ac:dyDescent="0.3">
      <c r="G47" s="34">
        <v>46225</v>
      </c>
      <c r="H47">
        <v>1472.3</v>
      </c>
      <c r="J47">
        <v>23996.25</v>
      </c>
    </row>
    <row r="48" spans="7:10" x14ac:dyDescent="0.3">
      <c r="G48" s="34">
        <v>46224</v>
      </c>
      <c r="H48">
        <v>1541.9</v>
      </c>
      <c r="J48">
        <v>24187.7</v>
      </c>
    </row>
    <row r="49" spans="7:10" x14ac:dyDescent="0.3">
      <c r="G49" s="34">
        <v>46223</v>
      </c>
      <c r="H49">
        <v>1530</v>
      </c>
      <c r="J49">
        <v>24238.5</v>
      </c>
    </row>
    <row r="50" spans="7:10" x14ac:dyDescent="0.3">
      <c r="G50" s="34">
        <v>46220</v>
      </c>
      <c r="H50">
        <v>1513.9</v>
      </c>
      <c r="J50">
        <v>24334.3</v>
      </c>
    </row>
    <row r="51" spans="7:10" x14ac:dyDescent="0.3">
      <c r="G51" s="34">
        <v>46219</v>
      </c>
      <c r="H51">
        <v>1543.7</v>
      </c>
      <c r="J51">
        <v>24072.75</v>
      </c>
    </row>
    <row r="52" spans="7:10" x14ac:dyDescent="0.3">
      <c r="G52" s="34">
        <v>46218</v>
      </c>
      <c r="H52">
        <v>1555.4</v>
      </c>
      <c r="J52">
        <v>24078.5</v>
      </c>
    </row>
    <row r="53" spans="7:10" x14ac:dyDescent="0.3">
      <c r="G53" s="34">
        <v>46217</v>
      </c>
      <c r="H53">
        <v>1604.5</v>
      </c>
      <c r="J53">
        <v>24052.05</v>
      </c>
    </row>
    <row r="54" spans="7:10" x14ac:dyDescent="0.3">
      <c r="G54" s="34">
        <v>46216</v>
      </c>
      <c r="H54">
        <v>1546.5</v>
      </c>
      <c r="J54">
        <v>24211</v>
      </c>
    </row>
    <row r="55" spans="7:10" x14ac:dyDescent="0.3">
      <c r="G55" s="34">
        <v>46213</v>
      </c>
      <c r="H55">
        <v>1536.6</v>
      </c>
      <c r="J55">
        <v>24206.9</v>
      </c>
    </row>
    <row r="56" spans="7:10" x14ac:dyDescent="0.3">
      <c r="G56" s="34">
        <v>46212</v>
      </c>
      <c r="H56">
        <v>1486.6</v>
      </c>
      <c r="J56">
        <v>23962.799999999999</v>
      </c>
    </row>
    <row r="57" spans="7:10" x14ac:dyDescent="0.3">
      <c r="G57" s="34">
        <v>46211</v>
      </c>
      <c r="H57">
        <v>1504.6</v>
      </c>
      <c r="J57">
        <v>23882.05</v>
      </c>
    </row>
    <row r="58" spans="7:10" x14ac:dyDescent="0.3">
      <c r="G58" s="34">
        <v>46210</v>
      </c>
      <c r="H58">
        <v>1519</v>
      </c>
      <c r="J58">
        <v>24398.7</v>
      </c>
    </row>
    <row r="59" spans="7:10" x14ac:dyDescent="0.3">
      <c r="G59" s="34">
        <v>46209</v>
      </c>
      <c r="H59">
        <v>1549.2</v>
      </c>
      <c r="J59">
        <v>24430.35</v>
      </c>
    </row>
    <row r="60" spans="7:10" x14ac:dyDescent="0.3">
      <c r="G60" s="34">
        <v>46206</v>
      </c>
      <c r="H60">
        <v>1556.2</v>
      </c>
      <c r="J60">
        <v>24270.85</v>
      </c>
    </row>
    <row r="61" spans="7:10" x14ac:dyDescent="0.3">
      <c r="G61" s="34">
        <v>46205</v>
      </c>
      <c r="H61">
        <v>1555.2</v>
      </c>
      <c r="J61">
        <v>24175.7</v>
      </c>
    </row>
    <row r="62" spans="7:10" x14ac:dyDescent="0.3">
      <c r="G62" s="34">
        <v>46204</v>
      </c>
      <c r="H62">
        <v>1535</v>
      </c>
      <c r="J62">
        <v>24005.85</v>
      </c>
    </row>
    <row r="63" spans="7:10" x14ac:dyDescent="0.3">
      <c r="G63" s="34">
        <v>46203</v>
      </c>
      <c r="H63">
        <v>1492.2</v>
      </c>
      <c r="J63">
        <v>23865.75</v>
      </c>
    </row>
    <row r="64" spans="7:10" x14ac:dyDescent="0.3">
      <c r="G64" s="34">
        <v>46202</v>
      </c>
      <c r="H64">
        <v>1502.5</v>
      </c>
      <c r="J64">
        <v>23946.25</v>
      </c>
    </row>
    <row r="65" spans="7:10" x14ac:dyDescent="0.3">
      <c r="G65" s="34">
        <v>46198</v>
      </c>
      <c r="H65">
        <v>1526.1</v>
      </c>
      <c r="J65">
        <v>24056</v>
      </c>
    </row>
    <row r="66" spans="7:10" x14ac:dyDescent="0.3">
      <c r="G66" s="34">
        <v>46197</v>
      </c>
      <c r="H66">
        <v>1525.4</v>
      </c>
      <c r="J66">
        <v>24021.65</v>
      </c>
    </row>
    <row r="67" spans="7:10" x14ac:dyDescent="0.3">
      <c r="G67" s="34">
        <v>46196</v>
      </c>
      <c r="H67">
        <v>1511.2</v>
      </c>
      <c r="J67">
        <v>23824.1</v>
      </c>
    </row>
    <row r="68" spans="7:10" x14ac:dyDescent="0.3">
      <c r="G68" s="34">
        <v>46195</v>
      </c>
      <c r="H68">
        <v>1549.9</v>
      </c>
      <c r="J68">
        <v>24102.9</v>
      </c>
    </row>
    <row r="69" spans="7:10" x14ac:dyDescent="0.3">
      <c r="G69" s="34">
        <v>46192</v>
      </c>
      <c r="H69">
        <v>1502.4</v>
      </c>
      <c r="J69">
        <v>24013.1</v>
      </c>
    </row>
    <row r="70" spans="7:10" x14ac:dyDescent="0.3">
      <c r="G70" s="34">
        <v>46191</v>
      </c>
      <c r="H70">
        <v>1506.8</v>
      </c>
      <c r="J70">
        <v>24168</v>
      </c>
    </row>
    <row r="71" spans="7:10" x14ac:dyDescent="0.3">
      <c r="G71" s="34">
        <v>46190</v>
      </c>
      <c r="H71">
        <v>1465.8</v>
      </c>
      <c r="J71">
        <v>24085.7</v>
      </c>
    </row>
    <row r="72" spans="7:10" x14ac:dyDescent="0.3">
      <c r="G72" s="34">
        <v>46189</v>
      </c>
      <c r="H72">
        <v>1482.5</v>
      </c>
      <c r="J72">
        <v>23989.15</v>
      </c>
    </row>
    <row r="73" spans="7:10" x14ac:dyDescent="0.3">
      <c r="G73" s="34">
        <v>46188</v>
      </c>
      <c r="H73">
        <v>1482.6</v>
      </c>
      <c r="J73">
        <v>23853.9</v>
      </c>
    </row>
    <row r="74" spans="7:10" x14ac:dyDescent="0.3">
      <c r="G74" s="34">
        <v>46185</v>
      </c>
      <c r="H74">
        <v>1485.7</v>
      </c>
      <c r="J74">
        <v>23622.9</v>
      </c>
    </row>
    <row r="75" spans="7:10" x14ac:dyDescent="0.3">
      <c r="G75" s="34">
        <v>46184</v>
      </c>
      <c r="H75">
        <v>1454.5</v>
      </c>
      <c r="J75">
        <v>23161.599999999999</v>
      </c>
    </row>
    <row r="76" spans="7:10" x14ac:dyDescent="0.3">
      <c r="G76" s="34">
        <v>46183</v>
      </c>
      <c r="H76">
        <v>1483</v>
      </c>
      <c r="J76">
        <v>23214.95</v>
      </c>
    </row>
    <row r="77" spans="7:10" x14ac:dyDescent="0.3">
      <c r="G77" s="34">
        <v>46182</v>
      </c>
      <c r="H77">
        <v>1534.5</v>
      </c>
      <c r="J77">
        <v>23242.1</v>
      </c>
    </row>
    <row r="78" spans="7:10" x14ac:dyDescent="0.3">
      <c r="G78" s="34">
        <v>46181</v>
      </c>
      <c r="H78">
        <v>1490.5</v>
      </c>
      <c r="J78">
        <v>23123</v>
      </c>
    </row>
    <row r="79" spans="7:10" x14ac:dyDescent="0.3">
      <c r="G79" s="34">
        <v>46178</v>
      </c>
      <c r="H79">
        <v>1525.7</v>
      </c>
      <c r="J79">
        <v>23366.7</v>
      </c>
    </row>
    <row r="80" spans="7:10" x14ac:dyDescent="0.3">
      <c r="G80" s="34">
        <v>46177</v>
      </c>
      <c r="H80">
        <v>1423.3</v>
      </c>
      <c r="J80">
        <v>23416.55</v>
      </c>
    </row>
    <row r="81" spans="7:10" x14ac:dyDescent="0.3">
      <c r="G81" s="34">
        <v>46176</v>
      </c>
      <c r="H81">
        <v>1427.5</v>
      </c>
      <c r="J81">
        <v>23405.599999999999</v>
      </c>
    </row>
    <row r="82" spans="7:10" x14ac:dyDescent="0.3">
      <c r="G82" s="34">
        <v>46175</v>
      </c>
      <c r="H82">
        <v>1449.4</v>
      </c>
      <c r="J82">
        <v>23483.55</v>
      </c>
    </row>
    <row r="83" spans="7:10" x14ac:dyDescent="0.3">
      <c r="G83" s="34">
        <v>46174</v>
      </c>
      <c r="H83">
        <v>1446.9</v>
      </c>
      <c r="J83">
        <v>23382.6</v>
      </c>
    </row>
    <row r="84" spans="7:10" x14ac:dyDescent="0.3">
      <c r="G84" s="34">
        <v>46171</v>
      </c>
      <c r="H84">
        <v>1475.4</v>
      </c>
      <c r="J84">
        <v>23547.75</v>
      </c>
    </row>
    <row r="85" spans="7:10" x14ac:dyDescent="0.3">
      <c r="G85" s="34">
        <v>46169</v>
      </c>
      <c r="H85">
        <v>1489.9</v>
      </c>
      <c r="J85">
        <v>23907.15</v>
      </c>
    </row>
    <row r="86" spans="7:10" x14ac:dyDescent="0.3">
      <c r="G86" s="34">
        <v>46168</v>
      </c>
      <c r="H86">
        <v>1457.4</v>
      </c>
      <c r="J86">
        <v>23913.7</v>
      </c>
    </row>
    <row r="87" spans="7:10" x14ac:dyDescent="0.3">
      <c r="G87" s="34">
        <v>46167</v>
      </c>
      <c r="H87">
        <v>1411.1</v>
      </c>
      <c r="J87">
        <v>24031.7</v>
      </c>
    </row>
    <row r="88" spans="7:10" x14ac:dyDescent="0.3">
      <c r="G88" s="34">
        <v>46164</v>
      </c>
      <c r="H88">
        <v>1362.3</v>
      </c>
      <c r="J88">
        <v>23719.3</v>
      </c>
    </row>
    <row r="89" spans="7:10" x14ac:dyDescent="0.3">
      <c r="G89" s="34">
        <v>46163</v>
      </c>
      <c r="H89">
        <v>1358.2</v>
      </c>
      <c r="J89">
        <v>23654.7</v>
      </c>
    </row>
    <row r="90" spans="7:10" x14ac:dyDescent="0.3">
      <c r="G90" s="34">
        <v>46162</v>
      </c>
      <c r="H90">
        <v>1363.2</v>
      </c>
      <c r="J90">
        <v>23659</v>
      </c>
    </row>
    <row r="91" spans="7:10" x14ac:dyDescent="0.3">
      <c r="G91" s="34">
        <v>46161</v>
      </c>
      <c r="H91">
        <v>1377.8</v>
      </c>
      <c r="J91">
        <v>23618</v>
      </c>
    </row>
    <row r="92" spans="7:10" x14ac:dyDescent="0.3">
      <c r="G92" s="34">
        <v>46160</v>
      </c>
      <c r="H92">
        <v>1369</v>
      </c>
      <c r="J92">
        <v>23649.95</v>
      </c>
    </row>
    <row r="93" spans="7:10" x14ac:dyDescent="0.3">
      <c r="G93" s="34">
        <v>46157</v>
      </c>
      <c r="H93">
        <v>1379</v>
      </c>
      <c r="J93">
        <v>23643.5</v>
      </c>
    </row>
    <row r="94" spans="7:10" x14ac:dyDescent="0.3">
      <c r="G94" s="34">
        <v>46156</v>
      </c>
      <c r="H94">
        <v>1414.9</v>
      </c>
      <c r="J94">
        <v>23689.599999999999</v>
      </c>
    </row>
    <row r="95" spans="7:10" x14ac:dyDescent="0.3">
      <c r="G95" s="34">
        <v>46155</v>
      </c>
      <c r="H95">
        <v>1366.7</v>
      </c>
      <c r="J95">
        <v>23412.6</v>
      </c>
    </row>
    <row r="96" spans="7:10" x14ac:dyDescent="0.3">
      <c r="G96" s="34">
        <v>46154</v>
      </c>
      <c r="H96">
        <v>1308</v>
      </c>
      <c r="J96">
        <v>23379.55</v>
      </c>
    </row>
    <row r="97" spans="7:10" x14ac:dyDescent="0.3">
      <c r="G97" s="34">
        <v>46153</v>
      </c>
      <c r="H97">
        <v>1387.7</v>
      </c>
      <c r="J97">
        <v>23815.85</v>
      </c>
    </row>
    <row r="98" spans="7:10" x14ac:dyDescent="0.3">
      <c r="G98" s="34">
        <v>46150</v>
      </c>
      <c r="H98">
        <v>1355.8</v>
      </c>
      <c r="J98">
        <v>24176.15</v>
      </c>
    </row>
    <row r="99" spans="7:10" x14ac:dyDescent="0.3">
      <c r="G99" s="34">
        <v>46149</v>
      </c>
      <c r="H99">
        <v>1365</v>
      </c>
      <c r="J99">
        <v>24326.65</v>
      </c>
    </row>
    <row r="100" spans="7:10" x14ac:dyDescent="0.3">
      <c r="G100" s="34">
        <v>46148</v>
      </c>
      <c r="H100">
        <v>1353</v>
      </c>
      <c r="J100">
        <v>24330.95</v>
      </c>
    </row>
    <row r="101" spans="7:10" x14ac:dyDescent="0.3">
      <c r="G101" s="34">
        <v>46147</v>
      </c>
      <c r="H101">
        <v>1331.4</v>
      </c>
      <c r="J101">
        <v>24032.799999999999</v>
      </c>
    </row>
    <row r="102" spans="7:10" x14ac:dyDescent="0.3">
      <c r="G102" s="34">
        <v>46146</v>
      </c>
      <c r="H102">
        <v>1290.7</v>
      </c>
      <c r="J102">
        <v>24119.3</v>
      </c>
    </row>
    <row r="103" spans="7:10" x14ac:dyDescent="0.3">
      <c r="G103" s="34">
        <v>46142</v>
      </c>
      <c r="H103">
        <v>1227.1500000000001</v>
      </c>
      <c r="J103">
        <v>23997.55</v>
      </c>
    </row>
    <row r="104" spans="7:10" x14ac:dyDescent="0.3">
      <c r="G104" s="34">
        <v>46141</v>
      </c>
      <c r="H104">
        <v>1244.8</v>
      </c>
      <c r="J104">
        <v>24177.65</v>
      </c>
    </row>
    <row r="105" spans="7:10" x14ac:dyDescent="0.3">
      <c r="G105" s="34">
        <v>46140</v>
      </c>
      <c r="H105">
        <v>1249.95</v>
      </c>
      <c r="J105">
        <v>23995.7</v>
      </c>
    </row>
    <row r="106" spans="7:10" x14ac:dyDescent="0.3">
      <c r="G106" s="34">
        <v>46139</v>
      </c>
      <c r="H106">
        <v>1229.7</v>
      </c>
      <c r="J106">
        <v>24092.7</v>
      </c>
    </row>
    <row r="107" spans="7:10" x14ac:dyDescent="0.3">
      <c r="G107" s="34">
        <v>46136</v>
      </c>
      <c r="H107">
        <v>1235.8</v>
      </c>
      <c r="J107">
        <v>23897.95</v>
      </c>
    </row>
    <row r="108" spans="7:10" x14ac:dyDescent="0.3">
      <c r="G108" s="34">
        <v>46135</v>
      </c>
      <c r="H108">
        <v>1214.1500000000001</v>
      </c>
      <c r="J108">
        <v>24173.05</v>
      </c>
    </row>
    <row r="109" spans="7:10" x14ac:dyDescent="0.3">
      <c r="G109" s="34">
        <v>46134</v>
      </c>
      <c r="H109">
        <v>1198.95</v>
      </c>
      <c r="J109">
        <v>24378.1</v>
      </c>
    </row>
    <row r="110" spans="7:10" x14ac:dyDescent="0.3">
      <c r="G110" s="34">
        <v>46133</v>
      </c>
      <c r="H110">
        <v>1150</v>
      </c>
      <c r="J110">
        <v>24576.6</v>
      </c>
    </row>
    <row r="111" spans="7:10" x14ac:dyDescent="0.3">
      <c r="G111" s="34">
        <v>46132</v>
      </c>
      <c r="H111">
        <v>1152.7</v>
      </c>
      <c r="J111">
        <v>24364.85</v>
      </c>
    </row>
    <row r="112" spans="7:10" x14ac:dyDescent="0.3">
      <c r="G112" s="34">
        <v>46129</v>
      </c>
      <c r="H112">
        <v>1127.3</v>
      </c>
      <c r="J112">
        <v>24353.55</v>
      </c>
    </row>
    <row r="113" spans="7:10" x14ac:dyDescent="0.3">
      <c r="G113" s="34">
        <v>46128</v>
      </c>
      <c r="H113">
        <v>1118.9000000000001</v>
      </c>
      <c r="J113">
        <v>24196.75</v>
      </c>
    </row>
    <row r="114" spans="7:10" x14ac:dyDescent="0.3">
      <c r="G114" s="34">
        <v>46127</v>
      </c>
      <c r="H114">
        <v>1096.05</v>
      </c>
      <c r="J114">
        <v>24231.3</v>
      </c>
    </row>
    <row r="115" spans="7:10" x14ac:dyDescent="0.3">
      <c r="G115" s="34">
        <v>46125</v>
      </c>
      <c r="H115">
        <v>1085.45</v>
      </c>
      <c r="J115">
        <v>23842.65</v>
      </c>
    </row>
    <row r="116" spans="7:10" x14ac:dyDescent="0.3">
      <c r="G116" s="34">
        <v>46122</v>
      </c>
      <c r="H116">
        <v>1085.3499999999999</v>
      </c>
      <c r="J116">
        <v>24050.6</v>
      </c>
    </row>
    <row r="117" spans="7:10" x14ac:dyDescent="0.3">
      <c r="G117" s="34">
        <v>46121</v>
      </c>
      <c r="H117">
        <v>1044.55</v>
      </c>
      <c r="J117">
        <v>23775.1</v>
      </c>
    </row>
    <row r="118" spans="7:10" x14ac:dyDescent="0.3">
      <c r="G118" s="34">
        <v>46120</v>
      </c>
      <c r="H118">
        <v>1029.6500000000001</v>
      </c>
      <c r="J118">
        <v>23997.35</v>
      </c>
    </row>
    <row r="119" spans="7:10" x14ac:dyDescent="0.3">
      <c r="G119" s="34">
        <v>46119</v>
      </c>
      <c r="H119">
        <v>925.35</v>
      </c>
      <c r="J119">
        <v>23123.65</v>
      </c>
    </row>
    <row r="120" spans="7:10" x14ac:dyDescent="0.3">
      <c r="G120" s="34">
        <v>46118</v>
      </c>
      <c r="H120">
        <v>921.1</v>
      </c>
      <c r="J120">
        <v>22968.25</v>
      </c>
    </row>
    <row r="121" spans="7:10" x14ac:dyDescent="0.3">
      <c r="G121" s="34">
        <v>46114</v>
      </c>
      <c r="H121">
        <v>856</v>
      </c>
      <c r="J121">
        <v>22713.1</v>
      </c>
    </row>
    <row r="122" spans="7:10" x14ac:dyDescent="0.3">
      <c r="G122" s="34">
        <v>46113</v>
      </c>
      <c r="H122">
        <v>851.95</v>
      </c>
      <c r="J122">
        <v>22679.4</v>
      </c>
    </row>
    <row r="123" spans="7:10" x14ac:dyDescent="0.3">
      <c r="G123" s="34">
        <v>46111</v>
      </c>
      <c r="H123">
        <v>806.9</v>
      </c>
      <c r="J123">
        <v>22331.4</v>
      </c>
    </row>
    <row r="124" spans="7:10" x14ac:dyDescent="0.3">
      <c r="G124" s="34">
        <v>46108</v>
      </c>
      <c r="H124">
        <v>832.5</v>
      </c>
      <c r="J124">
        <v>22819.599999999999</v>
      </c>
    </row>
    <row r="125" spans="7:10" x14ac:dyDescent="0.3">
      <c r="G125" s="34">
        <v>46106</v>
      </c>
      <c r="H125">
        <v>853.8</v>
      </c>
      <c r="J125">
        <v>23306.45</v>
      </c>
    </row>
    <row r="126" spans="7:10" x14ac:dyDescent="0.3">
      <c r="G126" s="34">
        <v>46105</v>
      </c>
      <c r="H126">
        <v>839.55</v>
      </c>
      <c r="J126">
        <v>22912.400000000001</v>
      </c>
    </row>
    <row r="127" spans="7:10" x14ac:dyDescent="0.3">
      <c r="G127" s="34">
        <v>46104</v>
      </c>
      <c r="H127">
        <v>816.45</v>
      </c>
      <c r="J127">
        <v>22512.65</v>
      </c>
    </row>
    <row r="128" spans="7:10" x14ac:dyDescent="0.3">
      <c r="G128" s="34">
        <v>46101</v>
      </c>
      <c r="H128">
        <v>863.1</v>
      </c>
      <c r="J128">
        <v>23114.5</v>
      </c>
    </row>
    <row r="129" spans="7:10" x14ac:dyDescent="0.3">
      <c r="G129" s="34">
        <v>46100</v>
      </c>
      <c r="H129">
        <v>854.9</v>
      </c>
      <c r="J129">
        <v>23002.15</v>
      </c>
    </row>
    <row r="130" spans="7:10" x14ac:dyDescent="0.3">
      <c r="G130" s="34">
        <v>46099</v>
      </c>
      <c r="H130">
        <v>891.3</v>
      </c>
      <c r="J130">
        <v>23777.8</v>
      </c>
    </row>
    <row r="131" spans="7:10" x14ac:dyDescent="0.3">
      <c r="G131" s="34">
        <v>46098</v>
      </c>
      <c r="H131">
        <v>868.65</v>
      </c>
      <c r="J131">
        <v>23581.15</v>
      </c>
    </row>
    <row r="132" spans="7:10" x14ac:dyDescent="0.3">
      <c r="G132" s="34">
        <v>46097</v>
      </c>
      <c r="H132">
        <v>866.95</v>
      </c>
      <c r="J132">
        <v>23408.799999999999</v>
      </c>
    </row>
    <row r="133" spans="7:10" x14ac:dyDescent="0.3">
      <c r="G133" s="34">
        <v>46094</v>
      </c>
      <c r="H133">
        <v>861.35</v>
      </c>
      <c r="J133">
        <v>23151.1</v>
      </c>
    </row>
    <row r="134" spans="7:10" x14ac:dyDescent="0.3">
      <c r="G134" s="34">
        <v>46093</v>
      </c>
      <c r="H134">
        <v>866.55</v>
      </c>
      <c r="J134">
        <v>23639.15</v>
      </c>
    </row>
    <row r="135" spans="7:10" x14ac:dyDescent="0.3">
      <c r="G135" s="34">
        <v>46092</v>
      </c>
      <c r="H135">
        <v>849.65</v>
      </c>
      <c r="J135">
        <v>23866.85</v>
      </c>
    </row>
    <row r="136" spans="7:10" x14ac:dyDescent="0.3">
      <c r="G136" s="34">
        <v>46091</v>
      </c>
      <c r="H136">
        <v>856.9</v>
      </c>
      <c r="J136">
        <v>24261.599999999999</v>
      </c>
    </row>
    <row r="137" spans="7:10" x14ac:dyDescent="0.3">
      <c r="G137" s="34">
        <v>46090</v>
      </c>
      <c r="H137">
        <v>854.15</v>
      </c>
      <c r="J137">
        <v>24028.05</v>
      </c>
    </row>
    <row r="138" spans="7:10" x14ac:dyDescent="0.3">
      <c r="G138" s="34">
        <v>46087</v>
      </c>
      <c r="H138">
        <v>858.4</v>
      </c>
      <c r="J138">
        <v>24450.45</v>
      </c>
    </row>
    <row r="139" spans="7:10" x14ac:dyDescent="0.3">
      <c r="G139" s="34">
        <v>46086</v>
      </c>
      <c r="H139">
        <v>884.55</v>
      </c>
      <c r="J139">
        <v>24765.9</v>
      </c>
    </row>
    <row r="140" spans="7:10" x14ac:dyDescent="0.3">
      <c r="G140" s="34">
        <v>46085</v>
      </c>
      <c r="H140">
        <v>871.95</v>
      </c>
      <c r="J140">
        <v>24480.5</v>
      </c>
    </row>
    <row r="141" spans="7:10" x14ac:dyDescent="0.3">
      <c r="G141" s="34">
        <v>46083</v>
      </c>
      <c r="H141">
        <v>903.55</v>
      </c>
      <c r="J141">
        <v>24865.7</v>
      </c>
    </row>
    <row r="142" spans="7:10" x14ac:dyDescent="0.3">
      <c r="G142" s="34">
        <v>46080</v>
      </c>
      <c r="H142">
        <v>947.35</v>
      </c>
      <c r="J142">
        <v>25178.65</v>
      </c>
    </row>
    <row r="143" spans="7:10" x14ac:dyDescent="0.3">
      <c r="G143" s="34">
        <v>46079</v>
      </c>
      <c r="H143">
        <v>965.95</v>
      </c>
      <c r="J143">
        <v>25496.55</v>
      </c>
    </row>
    <row r="144" spans="7:10" x14ac:dyDescent="0.3">
      <c r="G144" s="34">
        <v>46078</v>
      </c>
      <c r="H144">
        <v>964.15</v>
      </c>
      <c r="J144">
        <v>25482.5</v>
      </c>
    </row>
    <row r="145" spans="7:10" x14ac:dyDescent="0.3">
      <c r="G145" s="34">
        <v>46077</v>
      </c>
      <c r="H145">
        <v>981.35</v>
      </c>
      <c r="J145">
        <v>25424.65</v>
      </c>
    </row>
    <row r="146" spans="7:10" x14ac:dyDescent="0.3">
      <c r="G146" s="34">
        <v>46076</v>
      </c>
      <c r="H146">
        <v>970.35</v>
      </c>
      <c r="J146">
        <v>25713</v>
      </c>
    </row>
    <row r="147" spans="7:10" x14ac:dyDescent="0.3">
      <c r="G147" s="34">
        <v>46073</v>
      </c>
      <c r="H147">
        <v>968.25</v>
      </c>
      <c r="J147">
        <v>25571.25</v>
      </c>
    </row>
    <row r="148" spans="7:10" x14ac:dyDescent="0.3">
      <c r="G148" s="34">
        <v>46072</v>
      </c>
      <c r="H148">
        <v>976.5</v>
      </c>
      <c r="J148">
        <v>25454.35</v>
      </c>
    </row>
    <row r="149" spans="7:10" x14ac:dyDescent="0.3">
      <c r="G149" s="34">
        <v>46071</v>
      </c>
      <c r="H149">
        <v>1000.1</v>
      </c>
      <c r="J149">
        <v>25819.35</v>
      </c>
    </row>
    <row r="150" spans="7:10" x14ac:dyDescent="0.3">
      <c r="G150" s="34">
        <v>46070</v>
      </c>
      <c r="H150">
        <v>1016.8</v>
      </c>
      <c r="J150">
        <v>25725.4</v>
      </c>
    </row>
    <row r="151" spans="7:10" x14ac:dyDescent="0.3">
      <c r="G151" s="34">
        <v>46069</v>
      </c>
      <c r="H151">
        <v>991.25</v>
      </c>
      <c r="J151">
        <v>25682.75</v>
      </c>
    </row>
    <row r="152" spans="7:10" x14ac:dyDescent="0.3">
      <c r="G152" s="34">
        <v>46066</v>
      </c>
      <c r="H152">
        <v>950.5</v>
      </c>
      <c r="J152">
        <v>25471.1</v>
      </c>
    </row>
    <row r="153" spans="7:10" x14ac:dyDescent="0.3">
      <c r="G153" s="34">
        <v>46065</v>
      </c>
      <c r="H153">
        <v>997.65</v>
      </c>
      <c r="J153">
        <v>25807.200000000001</v>
      </c>
    </row>
    <row r="154" spans="7:10" x14ac:dyDescent="0.3">
      <c r="G154" s="34">
        <v>46064</v>
      </c>
      <c r="H154">
        <v>994.75</v>
      </c>
      <c r="J154">
        <v>25953.85</v>
      </c>
    </row>
    <row r="155" spans="7:10" x14ac:dyDescent="0.3">
      <c r="G155" s="34">
        <v>46063</v>
      </c>
      <c r="H155">
        <v>978.3</v>
      </c>
      <c r="J155">
        <v>25935.15</v>
      </c>
    </row>
    <row r="156" spans="7:10" x14ac:dyDescent="0.3">
      <c r="G156" s="34">
        <v>46062</v>
      </c>
      <c r="H156">
        <v>982.65</v>
      </c>
      <c r="J156">
        <v>25867.3</v>
      </c>
    </row>
    <row r="157" spans="7:10" x14ac:dyDescent="0.3">
      <c r="G157" s="34">
        <v>46059</v>
      </c>
      <c r="H157">
        <v>971.85</v>
      </c>
      <c r="J157">
        <v>25693.7</v>
      </c>
    </row>
    <row r="158" spans="7:10" x14ac:dyDescent="0.3">
      <c r="G158" s="34">
        <v>46058</v>
      </c>
      <c r="H158">
        <v>967.15</v>
      </c>
      <c r="J158">
        <v>25642.799999999999</v>
      </c>
    </row>
    <row r="159" spans="7:10" x14ac:dyDescent="0.3">
      <c r="G159" s="34">
        <v>46057</v>
      </c>
      <c r="H159">
        <v>954.45</v>
      </c>
      <c r="J159">
        <v>25776</v>
      </c>
    </row>
    <row r="160" spans="7:10" x14ac:dyDescent="0.3">
      <c r="G160" s="34">
        <v>46056</v>
      </c>
      <c r="H160">
        <v>932.1</v>
      </c>
      <c r="J160">
        <v>25727.55</v>
      </c>
    </row>
    <row r="161" spans="7:10" x14ac:dyDescent="0.3">
      <c r="G161" s="34">
        <v>46055</v>
      </c>
      <c r="H161">
        <v>843.95</v>
      </c>
      <c r="J161">
        <v>25088.400000000001</v>
      </c>
    </row>
    <row r="162" spans="7:10" x14ac:dyDescent="0.3">
      <c r="G162" s="34">
        <v>46054</v>
      </c>
      <c r="H162">
        <v>806.8</v>
      </c>
      <c r="J162">
        <v>25320.65</v>
      </c>
    </row>
    <row r="163" spans="7:10" x14ac:dyDescent="0.3">
      <c r="G163" s="34">
        <v>46052</v>
      </c>
      <c r="H163">
        <v>852.3</v>
      </c>
      <c r="J163">
        <v>25320.65</v>
      </c>
    </row>
    <row r="164" spans="7:10" x14ac:dyDescent="0.3">
      <c r="G164" s="34">
        <v>46051</v>
      </c>
      <c r="H164">
        <v>858.8</v>
      </c>
      <c r="J164">
        <v>25418.9</v>
      </c>
    </row>
    <row r="165" spans="7:10" x14ac:dyDescent="0.3">
      <c r="G165" s="34">
        <v>46050</v>
      </c>
      <c r="H165">
        <v>822.9</v>
      </c>
      <c r="J165">
        <v>25342.75</v>
      </c>
    </row>
    <row r="166" spans="7:10" x14ac:dyDescent="0.3">
      <c r="G166" s="34">
        <v>46049</v>
      </c>
      <c r="H166">
        <v>799.1</v>
      </c>
      <c r="J166">
        <v>25175.4</v>
      </c>
    </row>
    <row r="167" spans="7:10" x14ac:dyDescent="0.3">
      <c r="G167" s="34">
        <v>46045</v>
      </c>
      <c r="H167">
        <v>772.8</v>
      </c>
      <c r="J167">
        <v>25048.65</v>
      </c>
    </row>
    <row r="168" spans="7:10" x14ac:dyDescent="0.3">
      <c r="G168" s="34">
        <v>46044</v>
      </c>
      <c r="H168">
        <v>904.3</v>
      </c>
      <c r="J168">
        <v>25289.9</v>
      </c>
    </row>
    <row r="169" spans="7:10" x14ac:dyDescent="0.3">
      <c r="G169" s="34">
        <v>46043</v>
      </c>
      <c r="H169">
        <v>878.7</v>
      </c>
      <c r="J169">
        <v>25157.5</v>
      </c>
    </row>
    <row r="170" spans="7:10" x14ac:dyDescent="0.3">
      <c r="G170" s="34">
        <v>46042</v>
      </c>
      <c r="H170">
        <v>883.2</v>
      </c>
      <c r="J170">
        <v>25232.5</v>
      </c>
    </row>
    <row r="171" spans="7:10" x14ac:dyDescent="0.3">
      <c r="G171" s="34">
        <v>46041</v>
      </c>
      <c r="H171">
        <v>914</v>
      </c>
      <c r="J171">
        <v>25585.5</v>
      </c>
    </row>
    <row r="172" spans="7:10" x14ac:dyDescent="0.3">
      <c r="G172" s="34">
        <v>46038</v>
      </c>
      <c r="H172">
        <v>930.1</v>
      </c>
      <c r="J172">
        <v>25694.35</v>
      </c>
    </row>
    <row r="173" spans="7:10" x14ac:dyDescent="0.3">
      <c r="G173" s="34">
        <v>46036</v>
      </c>
      <c r="H173">
        <v>935.3</v>
      </c>
      <c r="J173">
        <v>25665.599999999999</v>
      </c>
    </row>
    <row r="174" spans="7:10" x14ac:dyDescent="0.3">
      <c r="G174" s="34">
        <v>46035</v>
      </c>
      <c r="H174">
        <v>936.7</v>
      </c>
      <c r="J174">
        <v>25732.3</v>
      </c>
    </row>
    <row r="175" spans="7:10" x14ac:dyDescent="0.3">
      <c r="G175" s="34">
        <v>46034</v>
      </c>
      <c r="H175">
        <v>942.2</v>
      </c>
      <c r="J175">
        <v>25790.25</v>
      </c>
    </row>
    <row r="176" spans="7:10" x14ac:dyDescent="0.3">
      <c r="G176" s="34">
        <v>46031</v>
      </c>
      <c r="H176">
        <v>946.1</v>
      </c>
      <c r="J176">
        <v>25683.3</v>
      </c>
    </row>
    <row r="177" spans="7:10" x14ac:dyDescent="0.3">
      <c r="G177" s="34">
        <v>46030</v>
      </c>
      <c r="H177">
        <v>988.8</v>
      </c>
      <c r="J177">
        <v>25876.85</v>
      </c>
    </row>
    <row r="178" spans="7:10" x14ac:dyDescent="0.3">
      <c r="G178" s="34">
        <v>46029</v>
      </c>
      <c r="H178">
        <v>1019.2</v>
      </c>
      <c r="J178">
        <v>26140.75</v>
      </c>
    </row>
    <row r="179" spans="7:10" x14ac:dyDescent="0.3">
      <c r="G179" s="34">
        <v>46028</v>
      </c>
      <c r="H179">
        <v>1019.4</v>
      </c>
      <c r="J179">
        <v>26178.7</v>
      </c>
    </row>
    <row r="180" spans="7:10" x14ac:dyDescent="0.3">
      <c r="G180" s="34">
        <v>46027</v>
      </c>
      <c r="H180">
        <v>1030.5</v>
      </c>
      <c r="J180">
        <v>26250.3</v>
      </c>
    </row>
    <row r="181" spans="7:10" x14ac:dyDescent="0.3">
      <c r="G181" s="34">
        <v>46024</v>
      </c>
      <c r="H181">
        <v>1038.8</v>
      </c>
      <c r="J181">
        <v>26328.55</v>
      </c>
    </row>
    <row r="182" spans="7:10" x14ac:dyDescent="0.3">
      <c r="G182" s="34">
        <v>46023</v>
      </c>
      <c r="H182">
        <v>1025.9000000000001</v>
      </c>
      <c r="J182">
        <v>26146.55</v>
      </c>
    </row>
    <row r="183" spans="7:10" x14ac:dyDescent="0.3">
      <c r="G183" s="34">
        <v>46022</v>
      </c>
      <c r="H183">
        <v>1015.1</v>
      </c>
      <c r="J183">
        <v>26129.599999999999</v>
      </c>
    </row>
    <row r="184" spans="7:10" x14ac:dyDescent="0.3">
      <c r="G184" s="34">
        <v>46021</v>
      </c>
      <c r="H184">
        <v>1007.1</v>
      </c>
      <c r="J184">
        <v>25938.85</v>
      </c>
    </row>
    <row r="185" spans="7:10" x14ac:dyDescent="0.3">
      <c r="G185" s="34">
        <v>46020</v>
      </c>
      <c r="H185">
        <v>1001.9</v>
      </c>
      <c r="J185">
        <v>25942.1</v>
      </c>
    </row>
    <row r="186" spans="7:10" x14ac:dyDescent="0.3">
      <c r="G186" s="34">
        <v>46017</v>
      </c>
      <c r="H186">
        <v>1018.1</v>
      </c>
      <c r="J186">
        <v>26042.3</v>
      </c>
    </row>
    <row r="187" spans="7:10" x14ac:dyDescent="0.3">
      <c r="G187" s="34">
        <v>46015</v>
      </c>
      <c r="H187">
        <v>1015</v>
      </c>
      <c r="J187">
        <v>26142.1</v>
      </c>
    </row>
    <row r="188" spans="7:10" x14ac:dyDescent="0.3">
      <c r="G188" s="34">
        <v>46014</v>
      </c>
      <c r="H188">
        <v>1016.9</v>
      </c>
      <c r="J188">
        <v>26177.15</v>
      </c>
    </row>
    <row r="189" spans="7:10" x14ac:dyDescent="0.3">
      <c r="G189" s="34">
        <v>46013</v>
      </c>
      <c r="H189">
        <v>1020.8</v>
      </c>
      <c r="J189">
        <v>26172.400000000001</v>
      </c>
    </row>
    <row r="190" spans="7:10" x14ac:dyDescent="0.3">
      <c r="G190" s="34">
        <v>46010</v>
      </c>
      <c r="H190">
        <v>1020.9</v>
      </c>
      <c r="J190">
        <v>25966.400000000001</v>
      </c>
    </row>
    <row r="191" spans="7:10" x14ac:dyDescent="0.3">
      <c r="G191" s="34">
        <v>46009</v>
      </c>
      <c r="H191">
        <v>1011</v>
      </c>
      <c r="J191">
        <v>25815.55</v>
      </c>
    </row>
    <row r="192" spans="7:10" x14ac:dyDescent="0.3">
      <c r="G192" s="34">
        <v>46008</v>
      </c>
      <c r="H192">
        <v>1020.7</v>
      </c>
      <c r="J192">
        <v>25818.55</v>
      </c>
    </row>
    <row r="193" spans="7:10" x14ac:dyDescent="0.3">
      <c r="G193" s="34">
        <v>46007</v>
      </c>
      <c r="H193">
        <v>1028.2</v>
      </c>
      <c r="J193">
        <v>25860.1</v>
      </c>
    </row>
    <row r="194" spans="7:10" x14ac:dyDescent="0.3">
      <c r="G194" s="34">
        <v>46006</v>
      </c>
      <c r="H194">
        <v>1047.5999999999999</v>
      </c>
      <c r="J194">
        <v>26027.3</v>
      </c>
    </row>
    <row r="195" spans="7:10" x14ac:dyDescent="0.3">
      <c r="G195" s="34">
        <v>46003</v>
      </c>
      <c r="H195">
        <v>1040.2</v>
      </c>
      <c r="J195">
        <v>26046.95</v>
      </c>
    </row>
    <row r="196" spans="7:10" x14ac:dyDescent="0.3">
      <c r="G196" s="34">
        <v>46002</v>
      </c>
      <c r="H196">
        <v>1018.8</v>
      </c>
      <c r="J196">
        <v>25898.55</v>
      </c>
    </row>
    <row r="197" spans="7:10" x14ac:dyDescent="0.3">
      <c r="G197" s="34">
        <v>46001</v>
      </c>
      <c r="H197">
        <v>989.8</v>
      </c>
      <c r="J197">
        <v>25758</v>
      </c>
    </row>
    <row r="198" spans="7:10" x14ac:dyDescent="0.3">
      <c r="G198" s="34">
        <v>46000</v>
      </c>
      <c r="H198">
        <v>998.9</v>
      </c>
      <c r="J198">
        <v>25839.65</v>
      </c>
    </row>
    <row r="199" spans="7:10" x14ac:dyDescent="0.3">
      <c r="G199" s="34">
        <v>45999</v>
      </c>
      <c r="H199">
        <v>993.8</v>
      </c>
      <c r="J199">
        <v>25960.55</v>
      </c>
    </row>
    <row r="200" spans="7:10" x14ac:dyDescent="0.3">
      <c r="G200" s="34">
        <v>45996</v>
      </c>
      <c r="H200">
        <v>1017.7</v>
      </c>
      <c r="J200">
        <v>26186.45</v>
      </c>
    </row>
    <row r="201" spans="7:10" x14ac:dyDescent="0.3">
      <c r="G201" s="34">
        <v>45995</v>
      </c>
      <c r="H201">
        <v>1013.4</v>
      </c>
      <c r="J201">
        <v>26033.75</v>
      </c>
    </row>
    <row r="202" spans="7:10" x14ac:dyDescent="0.3">
      <c r="G202" s="34">
        <v>45994</v>
      </c>
      <c r="H202">
        <v>1012.6</v>
      </c>
      <c r="J202">
        <v>25986</v>
      </c>
    </row>
    <row r="203" spans="7:10" x14ac:dyDescent="0.3">
      <c r="G203" s="34">
        <v>45993</v>
      </c>
      <c r="H203">
        <v>1022.6</v>
      </c>
      <c r="J203">
        <v>26032.2</v>
      </c>
    </row>
    <row r="204" spans="7:10" x14ac:dyDescent="0.3">
      <c r="G204" s="34">
        <v>45992</v>
      </c>
      <c r="H204">
        <v>1039.5999999999999</v>
      </c>
      <c r="J204">
        <v>26175.75</v>
      </c>
    </row>
    <row r="205" spans="7:10" x14ac:dyDescent="0.3">
      <c r="G205" s="34">
        <v>45989</v>
      </c>
      <c r="H205">
        <v>1048.2</v>
      </c>
      <c r="J205">
        <v>26202.95</v>
      </c>
    </row>
    <row r="206" spans="7:10" x14ac:dyDescent="0.3">
      <c r="G206" s="34">
        <v>45988</v>
      </c>
      <c r="H206">
        <v>1031.0999999999999</v>
      </c>
      <c r="J206">
        <v>26215.55</v>
      </c>
    </row>
    <row r="207" spans="7:10" x14ac:dyDescent="0.3">
      <c r="G207" s="34">
        <v>45987</v>
      </c>
      <c r="H207">
        <v>1034.4000000000001</v>
      </c>
      <c r="J207">
        <v>26205.3</v>
      </c>
    </row>
    <row r="208" spans="7:10" x14ac:dyDescent="0.3">
      <c r="G208" s="34">
        <v>45986</v>
      </c>
      <c r="H208">
        <v>1011.6</v>
      </c>
      <c r="J208">
        <v>25884.799999999999</v>
      </c>
    </row>
    <row r="209" spans="7:10" x14ac:dyDescent="0.3">
      <c r="G209" s="34">
        <v>45985</v>
      </c>
      <c r="H209">
        <v>1009.4</v>
      </c>
      <c r="J209">
        <v>25959.5</v>
      </c>
    </row>
    <row r="210" spans="7:10" x14ac:dyDescent="0.3">
      <c r="G210" s="34">
        <v>45982</v>
      </c>
      <c r="H210">
        <v>1030.5</v>
      </c>
      <c r="J210">
        <v>26068.15</v>
      </c>
    </row>
    <row r="211" spans="7:10" x14ac:dyDescent="0.3">
      <c r="G211" s="34">
        <v>45981</v>
      </c>
      <c r="H211">
        <v>1060</v>
      </c>
      <c r="J211">
        <v>26192.15</v>
      </c>
    </row>
    <row r="212" spans="7:10" x14ac:dyDescent="0.3">
      <c r="G212" s="34">
        <v>45980</v>
      </c>
      <c r="H212">
        <v>1069.9000000000001</v>
      </c>
      <c r="J212">
        <v>26052.65</v>
      </c>
    </row>
    <row r="213" spans="7:10" x14ac:dyDescent="0.3">
      <c r="G213" s="34">
        <v>45979</v>
      </c>
      <c r="H213">
        <v>1077.5999999999999</v>
      </c>
      <c r="J213">
        <v>25910.05</v>
      </c>
    </row>
    <row r="214" spans="7:10" x14ac:dyDescent="0.3">
      <c r="G214" s="34">
        <v>45978</v>
      </c>
      <c r="H214">
        <v>1088.5999999999999</v>
      </c>
      <c r="J214">
        <v>26013.45</v>
      </c>
    </row>
    <row r="215" spans="7:10" x14ac:dyDescent="0.3">
      <c r="G215" s="34">
        <v>45975</v>
      </c>
      <c r="H215">
        <v>1068.8</v>
      </c>
      <c r="J215">
        <v>25910.05</v>
      </c>
    </row>
    <row r="216" spans="7:10" x14ac:dyDescent="0.3">
      <c r="G216" s="34">
        <v>45974</v>
      </c>
      <c r="H216">
        <v>1076.8</v>
      </c>
      <c r="J216">
        <v>25879.15</v>
      </c>
    </row>
    <row r="217" spans="7:10" x14ac:dyDescent="0.3">
      <c r="G217" s="34">
        <v>45973</v>
      </c>
      <c r="H217">
        <v>1070.8</v>
      </c>
      <c r="J217">
        <v>25875.8</v>
      </c>
    </row>
    <row r="218" spans="7:10" x14ac:dyDescent="0.3">
      <c r="G218" s="34">
        <v>45972</v>
      </c>
      <c r="H218">
        <v>1044.2</v>
      </c>
      <c r="J218">
        <v>25694.95</v>
      </c>
    </row>
    <row r="219" spans="7:10" x14ac:dyDescent="0.3">
      <c r="G219" s="34">
        <v>45971</v>
      </c>
      <c r="H219">
        <v>1041.3</v>
      </c>
      <c r="J219">
        <v>25574.35</v>
      </c>
    </row>
    <row r="220" spans="7:10" x14ac:dyDescent="0.3">
      <c r="G220" s="34">
        <v>45968</v>
      </c>
      <c r="H220">
        <v>1059.8</v>
      </c>
      <c r="J220">
        <v>25492.3</v>
      </c>
    </row>
    <row r="221" spans="7:10" x14ac:dyDescent="0.3">
      <c r="G221" s="34">
        <v>45967</v>
      </c>
      <c r="H221">
        <v>1060.5</v>
      </c>
      <c r="J221">
        <v>25509.7</v>
      </c>
    </row>
    <row r="222" spans="7:10" x14ac:dyDescent="0.3">
      <c r="G222" s="34">
        <v>45965</v>
      </c>
      <c r="H222">
        <v>1086.4000000000001</v>
      </c>
      <c r="J222">
        <v>25597.65</v>
      </c>
    </row>
    <row r="223" spans="7:10" x14ac:dyDescent="0.3">
      <c r="G223" s="34">
        <v>45964</v>
      </c>
      <c r="H223">
        <v>1105.2</v>
      </c>
      <c r="J223">
        <v>25763.35</v>
      </c>
    </row>
    <row r="224" spans="7:10" x14ac:dyDescent="0.3">
      <c r="G224" s="34">
        <v>45961</v>
      </c>
      <c r="H224">
        <v>1140</v>
      </c>
      <c r="J224">
        <v>25722.1</v>
      </c>
    </row>
    <row r="225" spans="7:10" x14ac:dyDescent="0.3">
      <c r="G225" s="34">
        <v>45960</v>
      </c>
      <c r="H225">
        <v>1140.0999999999999</v>
      </c>
      <c r="J225">
        <v>25877.85</v>
      </c>
    </row>
    <row r="226" spans="7:10" x14ac:dyDescent="0.3">
      <c r="G226" s="34">
        <v>45959</v>
      </c>
      <c r="H226">
        <v>1112.5999999999999</v>
      </c>
      <c r="J226">
        <v>26053.9</v>
      </c>
    </row>
    <row r="227" spans="7:10" x14ac:dyDescent="0.3">
      <c r="G227" s="34">
        <v>45958</v>
      </c>
      <c r="H227">
        <v>1004.2</v>
      </c>
      <c r="J227">
        <v>25936.2</v>
      </c>
    </row>
    <row r="228" spans="7:10" x14ac:dyDescent="0.3">
      <c r="G228" s="34">
        <v>45957</v>
      </c>
      <c r="H228">
        <v>1017.1</v>
      </c>
      <c r="J228">
        <v>25966.05</v>
      </c>
    </row>
    <row r="229" spans="7:10" x14ac:dyDescent="0.3">
      <c r="G229" s="34">
        <v>45954</v>
      </c>
      <c r="H229">
        <v>1031.0999999999999</v>
      </c>
      <c r="J229">
        <v>25795.15</v>
      </c>
    </row>
    <row r="230" spans="7:10" x14ac:dyDescent="0.3">
      <c r="G230" s="34">
        <v>45953</v>
      </c>
      <c r="H230">
        <v>1044.7</v>
      </c>
      <c r="J230">
        <v>25891.4</v>
      </c>
    </row>
    <row r="231" spans="7:10" x14ac:dyDescent="0.3">
      <c r="G231" s="34">
        <v>45951</v>
      </c>
      <c r="H231">
        <v>1040</v>
      </c>
      <c r="J231">
        <v>25868.6</v>
      </c>
    </row>
    <row r="232" spans="7:10" x14ac:dyDescent="0.3">
      <c r="G232" s="34">
        <v>45950</v>
      </c>
      <c r="H232">
        <v>1034.0999999999999</v>
      </c>
      <c r="J232">
        <v>25843.15</v>
      </c>
    </row>
    <row r="233" spans="7:10" x14ac:dyDescent="0.3">
      <c r="G233" s="34">
        <v>45947</v>
      </c>
      <c r="H233">
        <v>1036.7</v>
      </c>
      <c r="J233">
        <v>25709.85</v>
      </c>
    </row>
    <row r="234" spans="7:10" x14ac:dyDescent="0.3">
      <c r="G234" s="34">
        <v>45946</v>
      </c>
      <c r="H234">
        <v>1060.3</v>
      </c>
      <c r="J234">
        <v>25585.3</v>
      </c>
    </row>
    <row r="235" spans="7:10" x14ac:dyDescent="0.3">
      <c r="G235" s="34">
        <v>45945</v>
      </c>
      <c r="H235">
        <v>1043.8</v>
      </c>
      <c r="J235">
        <v>25323.55</v>
      </c>
    </row>
    <row r="236" spans="7:10" x14ac:dyDescent="0.3">
      <c r="G236" s="34">
        <v>45944</v>
      </c>
      <c r="H236">
        <v>1036.2</v>
      </c>
      <c r="J236">
        <v>25145.5</v>
      </c>
    </row>
    <row r="237" spans="7:10" x14ac:dyDescent="0.3">
      <c r="G237" s="34">
        <v>45943</v>
      </c>
      <c r="H237">
        <v>1051.3</v>
      </c>
      <c r="J237">
        <v>25227.35</v>
      </c>
    </row>
    <row r="238" spans="7:10" x14ac:dyDescent="0.3">
      <c r="G238" s="34">
        <v>45940</v>
      </c>
      <c r="H238">
        <v>1064.3</v>
      </c>
      <c r="J238">
        <v>25285.35</v>
      </c>
    </row>
    <row r="239" spans="7:10" x14ac:dyDescent="0.3">
      <c r="G239" s="34">
        <v>45939</v>
      </c>
      <c r="H239">
        <v>1051.5</v>
      </c>
      <c r="J239">
        <v>25181.8</v>
      </c>
    </row>
    <row r="240" spans="7:10" x14ac:dyDescent="0.3">
      <c r="G240" s="34">
        <v>45938</v>
      </c>
      <c r="H240">
        <v>1045.0999999999999</v>
      </c>
      <c r="J240">
        <v>25046.15</v>
      </c>
    </row>
    <row r="241" spans="7:10" x14ac:dyDescent="0.3">
      <c r="G241" s="34">
        <v>45937</v>
      </c>
      <c r="H241">
        <v>1060.7</v>
      </c>
      <c r="J241">
        <v>25108.3</v>
      </c>
    </row>
    <row r="242" spans="7:10" x14ac:dyDescent="0.3">
      <c r="G242" s="34">
        <v>45936</v>
      </c>
      <c r="H242">
        <v>1059.4000000000001</v>
      </c>
      <c r="J242">
        <v>25077.65</v>
      </c>
    </row>
    <row r="243" spans="7:10" x14ac:dyDescent="0.3">
      <c r="G243" s="34">
        <v>45933</v>
      </c>
      <c r="H243">
        <v>1070.3</v>
      </c>
      <c r="J243">
        <v>24894.25</v>
      </c>
    </row>
    <row r="244" spans="7:10" x14ac:dyDescent="0.3">
      <c r="G244" s="34">
        <v>45931</v>
      </c>
      <c r="H244">
        <v>1064.7</v>
      </c>
      <c r="J244">
        <v>24836.3</v>
      </c>
    </row>
    <row r="245" spans="7:10" x14ac:dyDescent="0.3">
      <c r="G245" s="34">
        <v>45930</v>
      </c>
      <c r="H245">
        <v>1026.8499999999999</v>
      </c>
      <c r="J245">
        <v>24611.1</v>
      </c>
    </row>
    <row r="246" spans="7:10" x14ac:dyDescent="0.3">
      <c r="G246" s="34">
        <v>45929</v>
      </c>
      <c r="H246">
        <v>1035.3499999999999</v>
      </c>
      <c r="J246">
        <v>24634.9</v>
      </c>
    </row>
    <row r="247" spans="7:10" x14ac:dyDescent="0.3">
      <c r="G247" s="34">
        <v>45926</v>
      </c>
      <c r="H247">
        <v>1047.4000000000001</v>
      </c>
      <c r="J247">
        <v>24654.7</v>
      </c>
    </row>
    <row r="248" spans="7:10" x14ac:dyDescent="0.3">
      <c r="G248" s="34">
        <v>45925</v>
      </c>
      <c r="H248">
        <v>1079.55</v>
      </c>
      <c r="J248">
        <v>24890.85</v>
      </c>
    </row>
    <row r="249" spans="7:10" x14ac:dyDescent="0.3">
      <c r="G249" s="171">
        <v>45924</v>
      </c>
      <c r="H249">
        <v>1095.25</v>
      </c>
      <c r="J249">
        <v>25056.9</v>
      </c>
    </row>
    <row r="250" spans="7:10" x14ac:dyDescent="0.3">
      <c r="G250" s="171">
        <v>45923</v>
      </c>
      <c r="H250">
        <v>1131.45</v>
      </c>
      <c r="J250">
        <v>25169.5</v>
      </c>
    </row>
    <row r="251" spans="7:10" x14ac:dyDescent="0.3">
      <c r="G251" s="171">
        <v>45922</v>
      </c>
      <c r="H251">
        <v>1152.1500000000001</v>
      </c>
      <c r="J251">
        <v>25202.35</v>
      </c>
    </row>
    <row r="252" spans="7:10" x14ac:dyDescent="0.3">
      <c r="G252" s="171">
        <v>45919</v>
      </c>
      <c r="H252">
        <v>1030.7</v>
      </c>
      <c r="J252">
        <v>25327.05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67" t="s">
        <v>332</v>
      </c>
      <c r="E9" s="167"/>
      <c r="F9" s="167"/>
      <c r="G9" s="167"/>
      <c r="H9" s="167"/>
      <c r="I9" s="167"/>
      <c r="J9" s="32"/>
      <c r="K9" s="167" t="s">
        <v>333</v>
      </c>
      <c r="L9" s="167"/>
      <c r="M9" s="167"/>
      <c r="N9" s="32"/>
      <c r="O9" s="167" t="s">
        <v>334</v>
      </c>
      <c r="P9" s="167"/>
      <c r="Q9" s="167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/>
      <c r="J10" s="32"/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Adani Power</v>
      </c>
      <c r="C12" s="150"/>
      <c r="D12" s="155">
        <f>'Raw FS'!M57</f>
        <v>206.6</v>
      </c>
      <c r="E12" s="155">
        <f>'Raw FS'!N57</f>
        <v>1928.47</v>
      </c>
      <c r="F12" s="155">
        <f>D12*E12</f>
        <v>398421.902</v>
      </c>
      <c r="G12" s="155">
        <f>'Raw FS'!AS56</f>
        <v>79684.36</v>
      </c>
      <c r="H12" s="155">
        <f>'Raw FS'!AT56</f>
        <v>478106.14999999997</v>
      </c>
      <c r="I12" s="150"/>
      <c r="J12" s="150"/>
      <c r="K12" s="155">
        <f>'Raw FS'!AU56</f>
        <v>75607.56</v>
      </c>
      <c r="L12" s="155">
        <f>'Raw FS'!AV56</f>
        <v>27764.584785133564</v>
      </c>
      <c r="M12" s="155">
        <f>'Raw FS'!AW56</f>
        <v>19466.400000000001</v>
      </c>
      <c r="N12" s="150"/>
      <c r="O12" s="151">
        <f>$H12/K12</f>
        <v>6.3235230709733257</v>
      </c>
      <c r="P12" s="151">
        <f>$H12/L12</f>
        <v>17.22</v>
      </c>
      <c r="Q12" s="151">
        <f>F12/M12</f>
        <v>20.467158899436978</v>
      </c>
    </row>
    <row r="13" spans="1:17" x14ac:dyDescent="0.3">
      <c r="B13" s="150" t="str">
        <f>'Raw FS'!L58</f>
        <v>NTPC</v>
      </c>
      <c r="C13" s="150"/>
      <c r="D13" s="155">
        <f>'Raw FS'!M58</f>
        <v>323.64999999999998</v>
      </c>
      <c r="E13" s="155">
        <f>'Raw FS'!N58</f>
        <v>969.67</v>
      </c>
      <c r="F13" s="155">
        <f t="shared" ref="F13:F21" si="0">D13*E13</f>
        <v>313833.69549999997</v>
      </c>
      <c r="G13" s="155">
        <f>'Raw FS'!AS57</f>
        <v>62766.52</v>
      </c>
      <c r="H13" s="155">
        <f>'Raw FS'!AT57</f>
        <v>376599.12</v>
      </c>
      <c r="I13" s="150"/>
      <c r="J13" s="150"/>
      <c r="K13" s="155">
        <f>'Raw FS'!AU57</f>
        <v>202963.84</v>
      </c>
      <c r="L13" s="155">
        <f>'Raw FS'!AV57</f>
        <v>42219.632286995518</v>
      </c>
      <c r="M13" s="155">
        <f>'Raw FS'!AW57</f>
        <v>27585.759999999998</v>
      </c>
      <c r="N13" s="150"/>
      <c r="O13" s="151">
        <f t="shared" ref="O13:O20" si="1">$H13/K13</f>
        <v>1.8554985952177492</v>
      </c>
      <c r="P13" s="151">
        <f t="shared" ref="P13:P20" si="2">$H13/L13</f>
        <v>8.92</v>
      </c>
      <c r="Q13" s="151">
        <f t="shared" ref="Q13:Q21" si="3">F13/M13</f>
        <v>11.376655763698372</v>
      </c>
    </row>
    <row r="14" spans="1:17" x14ac:dyDescent="0.3">
      <c r="B14" s="150" t="str">
        <f>'Raw FS'!L59</f>
        <v>Power Grid Corpn</v>
      </c>
      <c r="C14" s="150"/>
      <c r="D14" s="155">
        <f>'Raw FS'!M59</f>
        <v>270.3</v>
      </c>
      <c r="E14" s="155">
        <f>'Raw FS'!N59</f>
        <v>930.06</v>
      </c>
      <c r="F14" s="155">
        <f t="shared" si="0"/>
        <v>251395.21799999999</v>
      </c>
      <c r="G14" s="155">
        <f>'Raw FS'!AS58</f>
        <v>50279.06</v>
      </c>
      <c r="H14" s="155">
        <f>'Raw FS'!AT58</f>
        <v>301674.38</v>
      </c>
      <c r="I14" s="150"/>
      <c r="J14" s="150"/>
      <c r="K14" s="155">
        <f>'Raw FS'!AU58</f>
        <v>45986.879999999997</v>
      </c>
      <c r="L14" s="155">
        <f>'Raw FS'!AV58</f>
        <v>33151.030769230769</v>
      </c>
      <c r="M14" s="155">
        <f>'Raw FS'!AW58</f>
        <v>14393.68</v>
      </c>
      <c r="N14" s="150"/>
      <c r="O14" s="151">
        <f t="shared" si="1"/>
        <v>6.5600097245127307</v>
      </c>
      <c r="P14" s="151">
        <f t="shared" si="2"/>
        <v>9.1</v>
      </c>
      <c r="Q14" s="151">
        <f t="shared" si="3"/>
        <v>17.465666737067934</v>
      </c>
    </row>
    <row r="15" spans="1:17" x14ac:dyDescent="0.3">
      <c r="B15" s="150" t="str">
        <f>'Raw FS'!L60</f>
        <v>Adani Green</v>
      </c>
      <c r="C15" s="150"/>
      <c r="D15" s="155">
        <f>'Raw FS'!M60</f>
        <v>1334.5</v>
      </c>
      <c r="E15" s="155">
        <f>'Raw FS'!N60</f>
        <v>164.72</v>
      </c>
      <c r="F15" s="155">
        <f t="shared" si="0"/>
        <v>219818.84</v>
      </c>
      <c r="G15" s="155">
        <f>'Raw FS'!AS59</f>
        <v>100779</v>
      </c>
      <c r="H15" s="155">
        <f>'Raw FS'!AT59</f>
        <v>320594.66000000003</v>
      </c>
      <c r="I15" s="150"/>
      <c r="J15" s="150"/>
      <c r="K15" s="155">
        <f>'Raw FS'!AU59</f>
        <v>17724</v>
      </c>
      <c r="L15" s="155">
        <f>'Raw FS'!AV59</f>
        <v>43382.22733423546</v>
      </c>
      <c r="M15" s="155">
        <f>'Raw FS'!AW59</f>
        <v>3932</v>
      </c>
      <c r="N15" s="150"/>
      <c r="O15" s="151">
        <f t="shared" si="1"/>
        <v>18.088166328142634</v>
      </c>
      <c r="P15" s="151">
        <f t="shared" si="2"/>
        <v>7.39</v>
      </c>
      <c r="Q15" s="151">
        <f t="shared" si="3"/>
        <v>55.905096642929806</v>
      </c>
    </row>
    <row r="16" spans="1:17" x14ac:dyDescent="0.3">
      <c r="B16" s="150" t="str">
        <f>'Raw FS'!L61</f>
        <v>Adani Energy Sol</v>
      </c>
      <c r="C16" s="150"/>
      <c r="D16" s="155">
        <f>'Raw FS'!M61</f>
        <v>1436.1</v>
      </c>
      <c r="E16" s="155">
        <f>'Raw FS'!N61</f>
        <v>122.3</v>
      </c>
      <c r="F16" s="155">
        <f t="shared" si="0"/>
        <v>175635.03</v>
      </c>
      <c r="G16" s="155">
        <f>'Raw FS'!AS60</f>
        <v>35125.700000000004</v>
      </c>
      <c r="H16" s="155">
        <f>'Raw FS'!AT60</f>
        <v>210754.19</v>
      </c>
      <c r="I16" s="150"/>
      <c r="J16" s="150"/>
      <c r="K16" s="155">
        <f>'Raw FS'!AU60</f>
        <v>38844.32</v>
      </c>
      <c r="L16" s="155">
        <f>'Raw FS'!AV60</f>
        <v>21839.812435233162</v>
      </c>
      <c r="M16" s="155">
        <f>'Raw FS'!AW60</f>
        <v>4946.24</v>
      </c>
      <c r="N16" s="150"/>
      <c r="O16" s="151">
        <f t="shared" si="1"/>
        <v>5.4256115179774032</v>
      </c>
      <c r="P16" s="151">
        <f t="shared" si="2"/>
        <v>9.65</v>
      </c>
      <c r="Q16" s="151">
        <f t="shared" si="3"/>
        <v>35.508796580837164</v>
      </c>
    </row>
    <row r="17" spans="2:17" x14ac:dyDescent="0.3">
      <c r="B17" s="150" t="str">
        <f>'Raw FS'!L62</f>
        <v>Tata Power Co.</v>
      </c>
      <c r="C17" s="150"/>
      <c r="D17" s="155">
        <f>'Raw FS'!M62</f>
        <v>374.8</v>
      </c>
      <c r="E17" s="155">
        <f>'Raw FS'!N62</f>
        <v>319.52999999999997</v>
      </c>
      <c r="F17" s="155">
        <f t="shared" si="0"/>
        <v>119759.844</v>
      </c>
      <c r="G17" s="155">
        <f>'Raw FS'!AS61</f>
        <v>23952.260000000002</v>
      </c>
      <c r="H17" s="155">
        <f>'Raw FS'!AT61</f>
        <v>143713.59</v>
      </c>
      <c r="I17" s="150"/>
      <c r="J17" s="150"/>
      <c r="K17" s="155">
        <f>'Raw FS'!AU61</f>
        <v>76205.039999999994</v>
      </c>
      <c r="L17" s="155">
        <f>'Raw FS'!AV61</f>
        <v>13648.014245014245</v>
      </c>
      <c r="M17" s="155">
        <f>'Raw FS'!AW61</f>
        <v>5603.44</v>
      </c>
      <c r="N17" s="150"/>
      <c r="O17" s="151">
        <f t="shared" si="1"/>
        <v>1.8858803827148443</v>
      </c>
      <c r="P17" s="151">
        <f t="shared" si="2"/>
        <v>10.53</v>
      </c>
      <c r="Q17" s="151">
        <f t="shared" si="3"/>
        <v>21.372557571777339</v>
      </c>
    </row>
    <row r="18" spans="2:17" x14ac:dyDescent="0.3">
      <c r="B18" s="150" t="str">
        <f>'Raw FS'!L63</f>
        <v>JSW Energy</v>
      </c>
      <c r="C18" s="150"/>
      <c r="D18" s="155">
        <f>'Raw FS'!M63</f>
        <v>526</v>
      </c>
      <c r="E18" s="155">
        <f>'Raw FS'!N63</f>
        <v>183.35</v>
      </c>
      <c r="F18" s="155">
        <f t="shared" si="0"/>
        <v>96442.099999999991</v>
      </c>
      <c r="G18" s="155">
        <f>'Raw FS'!AS62</f>
        <v>19288.239999999998</v>
      </c>
      <c r="H18" s="155">
        <f>'Raw FS'!AT62</f>
        <v>115729.43</v>
      </c>
      <c r="I18" s="150"/>
      <c r="J18" s="150"/>
      <c r="K18" s="155">
        <f>'Raw FS'!AU62</f>
        <v>20828.52</v>
      </c>
      <c r="L18" s="155">
        <f>'Raw FS'!AV62</f>
        <v>14182.528186274509</v>
      </c>
      <c r="M18" s="155">
        <f>'Raw FS'!AW62</f>
        <v>2130.8000000000002</v>
      </c>
      <c r="N18" s="150"/>
      <c r="O18" s="151">
        <f t="shared" si="1"/>
        <v>5.5562963667125649</v>
      </c>
      <c r="P18" s="151">
        <f t="shared" si="2"/>
        <v>8.16</v>
      </c>
      <c r="Q18" s="151">
        <f t="shared" si="3"/>
        <v>45.260981790876656</v>
      </c>
    </row>
    <row r="19" spans="2:17" x14ac:dyDescent="0.3">
      <c r="B19" s="150" t="str">
        <f>'Raw FS'!L64</f>
        <v>NHPC Ltd</v>
      </c>
      <c r="C19" s="150"/>
      <c r="D19" s="155">
        <f>'Raw FS'!M64</f>
        <v>76.95</v>
      </c>
      <c r="E19" s="155">
        <f>'Raw FS'!N64</f>
        <v>1004.5</v>
      </c>
      <c r="F19" s="155">
        <f t="shared" si="0"/>
        <v>77296.275000000009</v>
      </c>
      <c r="G19" s="155">
        <f>'Raw FS'!AS63</f>
        <v>15459.300000000001</v>
      </c>
      <c r="H19" s="155">
        <f>'Raw FS'!AT63</f>
        <v>92755.839999999997</v>
      </c>
      <c r="I19" s="150"/>
      <c r="J19" s="150"/>
      <c r="K19" s="155">
        <f>'Raw FS'!AU63</f>
        <v>15233.24</v>
      </c>
      <c r="L19" s="155">
        <f>'Raw FS'!AV63</f>
        <v>16131.450434782608</v>
      </c>
      <c r="M19" s="155">
        <f>'Raw FS'!AW63</f>
        <v>4712.3599999999997</v>
      </c>
      <c r="N19" s="150"/>
      <c r="O19" s="151">
        <f t="shared" si="1"/>
        <v>6.0890421210458179</v>
      </c>
      <c r="P19" s="151">
        <f t="shared" si="2"/>
        <v>5.75</v>
      </c>
      <c r="Q19" s="151">
        <f t="shared" si="3"/>
        <v>16.40287987335433</v>
      </c>
    </row>
    <row r="20" spans="2:17" x14ac:dyDescent="0.3">
      <c r="B20" s="150" t="str">
        <f>'Raw FS'!L65</f>
        <v>NTPC Green Ene.</v>
      </c>
      <c r="C20" s="150"/>
      <c r="D20" s="155">
        <f>'Raw FS'!M65</f>
        <v>88.55</v>
      </c>
      <c r="E20" s="155">
        <f>'Raw FS'!N65</f>
        <v>842.63</v>
      </c>
      <c r="F20" s="155">
        <f t="shared" si="0"/>
        <v>74614.886499999993</v>
      </c>
      <c r="G20" s="155">
        <f>'Raw FS'!AS64</f>
        <v>14923.03</v>
      </c>
      <c r="H20" s="155">
        <f>'Raw FS'!AT64</f>
        <v>89538.18</v>
      </c>
      <c r="I20" s="150"/>
      <c r="J20" s="150"/>
      <c r="K20" s="155">
        <f>'Raw FS'!AU64</f>
        <v>4427.4399999999996</v>
      </c>
      <c r="L20" s="155">
        <f>'Raw FS'!AV64</f>
        <v>25151.174157303369</v>
      </c>
      <c r="M20" s="155">
        <f>'Raw FS'!AW64</f>
        <v>1219.3599999999999</v>
      </c>
      <c r="N20" s="150"/>
      <c r="O20" s="151">
        <f t="shared" si="1"/>
        <v>20.223465478922357</v>
      </c>
      <c r="P20" s="151">
        <f t="shared" si="2"/>
        <v>3.56</v>
      </c>
      <c r="Q20" s="151">
        <f t="shared" si="3"/>
        <v>61.191843672090279</v>
      </c>
    </row>
    <row r="21" spans="2:17" x14ac:dyDescent="0.3">
      <c r="B21" s="150" t="str">
        <f>'Raw FS'!L66</f>
        <v>Torrent Power</v>
      </c>
      <c r="C21" s="150"/>
      <c r="D21" s="155">
        <f>'Raw FS'!M66</f>
        <v>1258.8</v>
      </c>
      <c r="E21" s="155">
        <f>'Raw FS'!N66</f>
        <v>50.39</v>
      </c>
      <c r="F21" s="155">
        <f t="shared" si="0"/>
        <v>63430.932000000001</v>
      </c>
      <c r="G21" s="155">
        <f>'Raw FS'!AS65</f>
        <v>12686.27</v>
      </c>
      <c r="H21" s="155">
        <f>'Raw FS'!AT65</f>
        <v>76117.649999999994</v>
      </c>
      <c r="I21" s="150"/>
      <c r="J21" s="150"/>
      <c r="K21" s="155">
        <f>'Raw FS'!AU65</f>
        <v>32496.6</v>
      </c>
      <c r="L21" s="155">
        <f>'Raw FS'!AV65</f>
        <v>5572.3023426061491</v>
      </c>
      <c r="M21" s="155">
        <f>'Raw FS'!AW65</f>
        <v>2647.4</v>
      </c>
      <c r="N21" s="150"/>
      <c r="O21" s="151">
        <f>$H21/K21</f>
        <v>2.3423265818577943</v>
      </c>
      <c r="P21" s="151">
        <f>$H21/L21</f>
        <v>13.66</v>
      </c>
      <c r="Q21" s="151">
        <f t="shared" si="3"/>
        <v>23.959708393140438</v>
      </c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MAX((O12:O14,O16:O21))</f>
        <v>20.223465478922357</v>
      </c>
      <c r="P23" s="86">
        <f>MAX((P12:P14,P16:P21))</f>
        <v>17.22</v>
      </c>
      <c r="Q23" s="86">
        <f>MAX((Q12:Q14,Q16:Q21))</f>
        <v>61.191843672090279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QUARTILE((O12:O14,O16:O21),1)</f>
        <v>2.3423265818577943</v>
      </c>
      <c r="P24" s="87">
        <f>QUARTILE((P12:P14,P16:P21),1)</f>
        <v>8.16</v>
      </c>
      <c r="Q24" s="87">
        <f>QUARTILE((Q12:Q14,Q16:Q21),1)</f>
        <v>17.465666737067934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MEDIAN((O12:O14,O16:O21))</f>
        <v>5.5562963667125649</v>
      </c>
      <c r="P25" s="153">
        <f>MEDIAN((P12:P14,P16:P21))</f>
        <v>9.1</v>
      </c>
      <c r="Q25" s="153">
        <f>MEDIAN((Q12:Q14,Q16:Q21))</f>
        <v>21.372557571777339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AVERAGE((O12:O14,O16:O21))</f>
        <v>6.2512948711038439</v>
      </c>
      <c r="P26" s="153">
        <f>AVERAGE((P12:P14,P16:P21))</f>
        <v>9.6166666666666671</v>
      </c>
      <c r="Q26" s="153">
        <f>AVERAGE((Q12:Q14,Q16:Q21))</f>
        <v>28.111805475808826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QUARTILE((O12:O14,O16:O21),3)</f>
        <v>6.3235230709733257</v>
      </c>
      <c r="P27" s="87">
        <f>QUARTILE((P12:P14,P16:P21),3)</f>
        <v>10.53</v>
      </c>
      <c r="Q27" s="87">
        <f>QUARTILE((Q12:Q14,Q16:Q21),3)</f>
        <v>35.508796580837164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MIN((O12:O14,O16:O21))</f>
        <v>1.8554985952177492</v>
      </c>
      <c r="P28" s="86">
        <f>MIN((P12:P14,P16:P21))</f>
        <v>3.56</v>
      </c>
      <c r="Q28" s="86">
        <f>MIN((Q12:Q14,Q16:Q21))</f>
        <v>11.376655763698372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K15*O26</f>
        <v>110797.95029544453</v>
      </c>
      <c r="P32" s="155">
        <f>L15*P26</f>
        <v>417192.41953089769</v>
      </c>
      <c r="Q32" s="155">
        <f>M15*Q26</f>
        <v>110535.6191308803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$G$15</f>
        <v>100779</v>
      </c>
      <c r="P33" s="155">
        <f>$G$15</f>
        <v>100779</v>
      </c>
      <c r="Q33" s="155">
        <f>$G$15</f>
        <v>100779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10018.950295444534</v>
      </c>
      <c r="P34" s="155">
        <f>P32-P33</f>
        <v>316413.41953089769</v>
      </c>
      <c r="Q34" s="155">
        <f>Q32</f>
        <v>110535.6191308803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$E$15</f>
        <v>164.72</v>
      </c>
      <c r="P35" s="155">
        <f>$E$15</f>
        <v>164.72</v>
      </c>
      <c r="Q35" s="155">
        <f>$E$15</f>
        <v>164.72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60.824127582834713</v>
      </c>
      <c r="P37" s="157">
        <f>P34/P35</f>
        <v>1920.9168257096751</v>
      </c>
      <c r="Q37" s="157">
        <f>Q34/Q35</f>
        <v>671.05159744342097</v>
      </c>
    </row>
    <row r="38" spans="2:17" x14ac:dyDescent="0.3">
      <c r="B38" s="52" t="s">
        <v>345</v>
      </c>
    </row>
    <row r="39" spans="2:17" x14ac:dyDescent="0.3">
      <c r="O39" t="str">
        <f>IF(O37&gt;$D$15,"Overvalued","Undervalued")</f>
        <v>Undervalued</v>
      </c>
      <c r="P39" t="str">
        <f>IF(P37&gt;$D$15,"Overvalued","Undervalued")</f>
        <v>Overvalued</v>
      </c>
      <c r="Q39" t="str">
        <f>IF(Q37&gt;$D$15,"Overvalued","Undervalued")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Green Energy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(ADANIGREEN | BSE Code: 541450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1334</v>
      </c>
      <c r="C4" s="93"/>
      <c r="D4" s="93"/>
      <c r="E4" s="93"/>
      <c r="F4" s="93"/>
      <c r="H4" s="93"/>
      <c r="I4" s="93"/>
    </row>
    <row r="5" spans="1:9" x14ac:dyDescent="0.3">
      <c r="B5" s="58" t="s">
        <v>8624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68" t="s">
        <v>8625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69" t="s">
        <v>8626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8585</v>
      </c>
      <c r="B39" s="169" t="s">
        <v>8627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8585</v>
      </c>
      <c r="B41" s="169" t="s">
        <v>8628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8585</v>
      </c>
      <c r="B43" s="169" t="s">
        <v>8629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8585</v>
      </c>
      <c r="B45" s="169" t="s">
        <v>8630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8585</v>
      </c>
      <c r="B47" s="169" t="s">
        <v>8631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973</v>
      </c>
      <c r="F60" s="106">
        <f t="shared" ref="F60:I60" si="0">F66</f>
        <v>1260</v>
      </c>
      <c r="G60" s="106">
        <f t="shared" si="0"/>
        <v>2001</v>
      </c>
      <c r="H60" s="106">
        <f t="shared" si="0"/>
        <v>1987</v>
      </c>
      <c r="I60" s="106">
        <f t="shared" si="0"/>
        <v>2146</v>
      </c>
    </row>
    <row r="61" spans="2:9" x14ac:dyDescent="0.3">
      <c r="B61" t="s">
        <v>346</v>
      </c>
      <c r="E61" s="106">
        <f>E75</f>
        <v>2407</v>
      </c>
      <c r="F61" s="106">
        <f t="shared" ref="F61:I61" si="1">F75</f>
        <v>4959</v>
      </c>
      <c r="G61" s="106">
        <f t="shared" si="1"/>
        <v>8569</v>
      </c>
      <c r="H61" s="106">
        <f t="shared" si="1"/>
        <v>10985.5</v>
      </c>
      <c r="I61" s="106">
        <f t="shared" si="1"/>
        <v>16051</v>
      </c>
    </row>
    <row r="62" spans="2:9" x14ac:dyDescent="0.3">
      <c r="B62" s="89" t="s">
        <v>59</v>
      </c>
      <c r="C62" s="89"/>
      <c r="D62" s="89"/>
      <c r="E62" s="90">
        <f>E60/E61</f>
        <v>0.40423764021603659</v>
      </c>
      <c r="F62" s="90">
        <f t="shared" ref="F62:I62" si="2">F60/F61</f>
        <v>0.25408348457350272</v>
      </c>
      <c r="G62" s="90">
        <f t="shared" si="2"/>
        <v>0.23351616291282529</v>
      </c>
      <c r="H62" s="90">
        <f t="shared" si="2"/>
        <v>0.18087478949524374</v>
      </c>
      <c r="I62" s="90">
        <f t="shared" si="2"/>
        <v>0.13369883496355367</v>
      </c>
    </row>
    <row r="64" spans="2:9" x14ac:dyDescent="0.3">
      <c r="B64" s="161" t="s">
        <v>347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973</v>
      </c>
      <c r="F66" s="106">
        <f>'Data Sheet'!H30</f>
        <v>1260</v>
      </c>
      <c r="G66" s="106">
        <f>'Data Sheet'!I30</f>
        <v>2001</v>
      </c>
      <c r="H66" s="106">
        <f>'Data Sheet'!J30</f>
        <v>1987</v>
      </c>
      <c r="I66" s="106">
        <f>'Data Sheet'!K30</f>
        <v>2146</v>
      </c>
    </row>
    <row r="67" spans="2:9" x14ac:dyDescent="0.3">
      <c r="B67" t="s">
        <v>330</v>
      </c>
      <c r="E67" s="106">
        <f>'Data Sheet'!G17</f>
        <v>7792</v>
      </c>
      <c r="F67" s="106">
        <f>'Data Sheet'!H17</f>
        <v>9220</v>
      </c>
      <c r="G67" s="106">
        <f>'Data Sheet'!I17</f>
        <v>11212</v>
      </c>
      <c r="H67" s="106">
        <f>'Data Sheet'!J17</f>
        <v>12928</v>
      </c>
      <c r="I67" s="106">
        <f>'Data Sheet'!K17</f>
        <v>13559</v>
      </c>
    </row>
    <row r="68" spans="2:9" x14ac:dyDescent="0.3">
      <c r="B68" s="89" t="s">
        <v>348</v>
      </c>
      <c r="C68" s="89"/>
      <c r="D68" s="89"/>
      <c r="E68" s="90">
        <f>E66/E67</f>
        <v>0.12487166324435318</v>
      </c>
      <c r="F68" s="90">
        <f t="shared" ref="F68:I68" si="3">F66/F67</f>
        <v>0.13665943600867678</v>
      </c>
      <c r="G68" s="90">
        <f t="shared" si="3"/>
        <v>0.17846949696753478</v>
      </c>
      <c r="H68" s="90">
        <f t="shared" si="3"/>
        <v>0.15369740099009901</v>
      </c>
      <c r="I68" s="90">
        <f t="shared" si="3"/>
        <v>0.15827125894239988</v>
      </c>
    </row>
    <row r="70" spans="2:9" x14ac:dyDescent="0.3">
      <c r="B70" t="s">
        <v>330</v>
      </c>
      <c r="E70" s="106">
        <f>E67</f>
        <v>7792</v>
      </c>
      <c r="F70" s="106">
        <f t="shared" ref="F70:I70" si="4">F67</f>
        <v>9220</v>
      </c>
      <c r="G70" s="106">
        <f t="shared" si="4"/>
        <v>11212</v>
      </c>
      <c r="H70" s="106">
        <f t="shared" si="4"/>
        <v>12928</v>
      </c>
      <c r="I70" s="106">
        <f t="shared" si="4"/>
        <v>13559</v>
      </c>
    </row>
    <row r="71" spans="2:9" x14ac:dyDescent="0.3">
      <c r="B71" t="s">
        <v>349</v>
      </c>
      <c r="E71" s="106">
        <f>SUM('Data Sheet'!F66:G66)/2</f>
        <v>43823</v>
      </c>
      <c r="F71" s="106">
        <f>SUM('Data Sheet'!G66:H66)/2</f>
        <v>62931.5</v>
      </c>
      <c r="G71" s="106">
        <f>SUM('Data Sheet'!H66:I66)/2</f>
        <v>77497.5</v>
      </c>
      <c r="H71" s="106">
        <f>SUM('Data Sheet'!I66:J66)/2</f>
        <v>99425</v>
      </c>
      <c r="I71" s="106">
        <f>SUM('Data Sheet'!J66:K66)/2</f>
        <v>126876</v>
      </c>
    </row>
    <row r="72" spans="2:9" x14ac:dyDescent="0.3">
      <c r="B72" s="89" t="s">
        <v>350</v>
      </c>
      <c r="C72" s="89"/>
      <c r="D72" s="89"/>
      <c r="E72" s="154">
        <f>E70/E71</f>
        <v>0.17780617483969605</v>
      </c>
      <c r="F72" s="154">
        <f t="shared" ref="F72:I72" si="5">F70/F71</f>
        <v>0.14650850527954998</v>
      </c>
      <c r="G72" s="154">
        <f t="shared" si="5"/>
        <v>0.14467563469789349</v>
      </c>
      <c r="H72" s="154">
        <f t="shared" si="5"/>
        <v>0.13002765903947699</v>
      </c>
      <c r="I72" s="154">
        <f t="shared" si="5"/>
        <v>0.10686812320691068</v>
      </c>
    </row>
    <row r="74" spans="2:9" x14ac:dyDescent="0.3">
      <c r="B74" t="s">
        <v>349</v>
      </c>
      <c r="E74" s="106">
        <f>E71</f>
        <v>43823</v>
      </c>
      <c r="F74" s="106">
        <f t="shared" ref="F74:I74" si="6">F71</f>
        <v>62931.5</v>
      </c>
      <c r="G74" s="106">
        <f t="shared" si="6"/>
        <v>77497.5</v>
      </c>
      <c r="H74" s="106">
        <f t="shared" si="6"/>
        <v>99425</v>
      </c>
      <c r="I74" s="106">
        <f t="shared" si="6"/>
        <v>126876</v>
      </c>
    </row>
    <row r="75" spans="2:9" x14ac:dyDescent="0.3">
      <c r="B75" t="s">
        <v>346</v>
      </c>
      <c r="E75" s="106">
        <f>(SUM('Data Sheet'!F57:F58)+SUM('Data Sheet'!G57:G58))/2</f>
        <v>2407</v>
      </c>
      <c r="F75" s="106">
        <f>(SUM('Data Sheet'!G57:G58)+SUM('Data Sheet'!H57:H58))/2</f>
        <v>4959</v>
      </c>
      <c r="G75" s="106">
        <f>(SUM('Data Sheet'!H57:H58)+SUM('Data Sheet'!I57:I58))/2</f>
        <v>8569</v>
      </c>
      <c r="H75" s="106">
        <f>(SUM('Data Sheet'!I57:I58)+SUM('Data Sheet'!J57:J58))/2</f>
        <v>10985.5</v>
      </c>
      <c r="I75" s="106">
        <f>(SUM('Data Sheet'!J57:J58)+SUM('Data Sheet'!K57:K58))/2</f>
        <v>16051</v>
      </c>
    </row>
    <row r="76" spans="2:9" x14ac:dyDescent="0.3">
      <c r="B76" s="89" t="s">
        <v>351</v>
      </c>
      <c r="C76" s="89"/>
      <c r="D76" s="89"/>
      <c r="E76" s="100">
        <f>E74/E75</f>
        <v>18.206481096800996</v>
      </c>
      <c r="F76" s="100">
        <f t="shared" ref="F76:I76" si="7">F74/F75</f>
        <v>12.690360959870942</v>
      </c>
      <c r="G76" s="100">
        <f t="shared" si="7"/>
        <v>9.0439374489438666</v>
      </c>
      <c r="H76" s="100">
        <f t="shared" si="7"/>
        <v>9.0505666560466072</v>
      </c>
      <c r="I76" s="100">
        <f t="shared" si="7"/>
        <v>7.9045542333810976</v>
      </c>
    </row>
    <row r="78" spans="2:9" x14ac:dyDescent="0.3">
      <c r="B78" s="89" t="s">
        <v>352</v>
      </c>
      <c r="C78" s="89"/>
      <c r="D78" s="89"/>
      <c r="E78" s="90">
        <f>E68*E72*E76</f>
        <v>0.40423764021603653</v>
      </c>
      <c r="F78" s="90">
        <f t="shared" ref="F78:I78" si="8">F68*F72*F76</f>
        <v>0.25408348457350266</v>
      </c>
      <c r="G78" s="90">
        <f t="shared" si="8"/>
        <v>0.23351616291282529</v>
      </c>
      <c r="H78" s="90">
        <f t="shared" si="8"/>
        <v>0.18087478949524374</v>
      </c>
      <c r="I78" s="90">
        <f t="shared" si="8"/>
        <v>0.13369883496355364</v>
      </c>
    </row>
    <row r="80" spans="2:9" x14ac:dyDescent="0.3">
      <c r="B80" s="161" t="s">
        <v>353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973</v>
      </c>
      <c r="F82" s="106">
        <f t="shared" ref="F82:I82" si="9">F66</f>
        <v>1260</v>
      </c>
      <c r="G82" s="106">
        <f t="shared" si="9"/>
        <v>2001</v>
      </c>
      <c r="H82" s="106">
        <f t="shared" si="9"/>
        <v>1987</v>
      </c>
      <c r="I82" s="106">
        <f t="shared" si="9"/>
        <v>2146</v>
      </c>
    </row>
    <row r="83" spans="2:9" x14ac:dyDescent="0.3">
      <c r="B83" t="s">
        <v>349</v>
      </c>
      <c r="E83" s="106">
        <f>E74</f>
        <v>43823</v>
      </c>
      <c r="F83" s="106">
        <f t="shared" ref="F83:I83" si="10">F74</f>
        <v>62931.5</v>
      </c>
      <c r="G83" s="106">
        <f t="shared" si="10"/>
        <v>77497.5</v>
      </c>
      <c r="H83" s="106">
        <f t="shared" si="10"/>
        <v>99425</v>
      </c>
      <c r="I83" s="106">
        <f t="shared" si="10"/>
        <v>126876</v>
      </c>
    </row>
    <row r="84" spans="2:9" x14ac:dyDescent="0.3">
      <c r="B84" s="89" t="s">
        <v>353</v>
      </c>
      <c r="C84" s="89"/>
      <c r="D84" s="89"/>
      <c r="E84" s="90">
        <f>E82/E83</f>
        <v>2.2202952787349108E-2</v>
      </c>
      <c r="F84" s="90">
        <f t="shared" ref="F84:I84" si="11">F82/F83</f>
        <v>2.0021769701977547E-2</v>
      </c>
      <c r="G84" s="90">
        <f t="shared" si="11"/>
        <v>2.5820187747991871E-2</v>
      </c>
      <c r="H84" s="90">
        <f t="shared" si="11"/>
        <v>1.9984913251194367E-2</v>
      </c>
      <c r="I84" s="90">
        <f t="shared" si="11"/>
        <v>1.6914152400769256E-2</v>
      </c>
    </row>
    <row r="86" spans="2:9" x14ac:dyDescent="0.3">
      <c r="B86" s="161" t="s">
        <v>354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973</v>
      </c>
      <c r="F88" s="106">
        <f t="shared" ref="F88:I88" si="12">F66</f>
        <v>1260</v>
      </c>
      <c r="G88" s="106">
        <f t="shared" si="12"/>
        <v>2001</v>
      </c>
      <c r="H88" s="106">
        <f t="shared" si="12"/>
        <v>1987</v>
      </c>
      <c r="I88" s="106">
        <f t="shared" si="12"/>
        <v>2146</v>
      </c>
    </row>
    <row r="89" spans="2:9" x14ac:dyDescent="0.3">
      <c r="B89" t="s">
        <v>330</v>
      </c>
      <c r="E89" s="106">
        <f>E67</f>
        <v>7792</v>
      </c>
      <c r="F89" s="106">
        <f t="shared" ref="F89:I89" si="13">F67</f>
        <v>9220</v>
      </c>
      <c r="G89" s="106">
        <f t="shared" si="13"/>
        <v>11212</v>
      </c>
      <c r="H89" s="106">
        <f t="shared" si="13"/>
        <v>12928</v>
      </c>
      <c r="I89" s="106">
        <f t="shared" si="13"/>
        <v>13559</v>
      </c>
    </row>
    <row r="90" spans="2:9" x14ac:dyDescent="0.3">
      <c r="B90" s="89" t="s">
        <v>348</v>
      </c>
      <c r="C90" s="89"/>
      <c r="D90" s="89"/>
      <c r="E90" s="91">
        <f>E68</f>
        <v>0.12487166324435318</v>
      </c>
      <c r="F90" s="91">
        <f t="shared" ref="F90:I90" si="14">F68</f>
        <v>0.13665943600867678</v>
      </c>
      <c r="G90" s="91">
        <f t="shared" si="14"/>
        <v>0.17846949696753478</v>
      </c>
      <c r="H90" s="91">
        <f t="shared" si="14"/>
        <v>0.15369740099009901</v>
      </c>
      <c r="I90" s="91">
        <f t="shared" si="14"/>
        <v>0.15827125894239988</v>
      </c>
    </row>
    <row r="92" spans="2:9" x14ac:dyDescent="0.3">
      <c r="B92" t="s">
        <v>330</v>
      </c>
      <c r="E92" s="106">
        <f>E67</f>
        <v>7792</v>
      </c>
      <c r="F92" s="106">
        <f t="shared" ref="F92:I92" si="15">F67</f>
        <v>9220</v>
      </c>
      <c r="G92" s="106">
        <f t="shared" si="15"/>
        <v>11212</v>
      </c>
      <c r="H92" s="106">
        <f t="shared" si="15"/>
        <v>12928</v>
      </c>
      <c r="I92" s="106">
        <f t="shared" si="15"/>
        <v>13559</v>
      </c>
    </row>
    <row r="93" spans="2:9" x14ac:dyDescent="0.3">
      <c r="B93" t="s">
        <v>349</v>
      </c>
      <c r="E93" s="106">
        <f>E71</f>
        <v>43823</v>
      </c>
      <c r="F93" s="106">
        <f t="shared" ref="F93:I93" si="16">F71</f>
        <v>62931.5</v>
      </c>
      <c r="G93" s="106">
        <f t="shared" si="16"/>
        <v>77497.5</v>
      </c>
      <c r="H93" s="106">
        <f t="shared" si="16"/>
        <v>99425</v>
      </c>
      <c r="I93" s="106">
        <f t="shared" si="16"/>
        <v>126876</v>
      </c>
    </row>
    <row r="94" spans="2:9" x14ac:dyDescent="0.3">
      <c r="B94" s="89" t="s">
        <v>350</v>
      </c>
      <c r="C94" s="89"/>
      <c r="D94" s="89"/>
      <c r="E94" s="90">
        <f>E72</f>
        <v>0.17780617483969605</v>
      </c>
      <c r="F94" s="90">
        <f t="shared" ref="F94:I94" si="17">F72</f>
        <v>0.14650850527954998</v>
      </c>
      <c r="G94" s="90">
        <f t="shared" si="17"/>
        <v>0.14467563469789349</v>
      </c>
      <c r="H94" s="90">
        <f t="shared" si="17"/>
        <v>0.13002765903947699</v>
      </c>
      <c r="I94" s="90">
        <f t="shared" si="17"/>
        <v>0.10686812320691068</v>
      </c>
    </row>
    <row r="96" spans="2:9" x14ac:dyDescent="0.3">
      <c r="B96" s="89" t="s">
        <v>355</v>
      </c>
      <c r="C96" s="89"/>
      <c r="D96" s="89"/>
      <c r="E96" s="90">
        <f>E90*E94</f>
        <v>2.2202952787349108E-2</v>
      </c>
      <c r="F96" s="90">
        <f t="shared" ref="F96:I96" si="18">F90*F94</f>
        <v>2.0021769701977544E-2</v>
      </c>
      <c r="G96" s="90">
        <f t="shared" si="18"/>
        <v>2.5820187747991871E-2</v>
      </c>
      <c r="H96" s="90">
        <f t="shared" si="18"/>
        <v>1.9984913251194367E-2</v>
      </c>
      <c r="I96" s="90">
        <f t="shared" si="18"/>
        <v>1.6914152400769253E-2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Green Energy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(ADANIGREEN | BSE Code: 541450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1334</v>
      </c>
      <c r="C4" s="93"/>
      <c r="D4" s="93"/>
      <c r="E4" s="93"/>
      <c r="F4" s="93"/>
      <c r="H4" s="93"/>
      <c r="I4" s="93"/>
    </row>
    <row r="5" spans="1:9" x14ac:dyDescent="0.3">
      <c r="B5" s="58" t="s">
        <v>8624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68" t="s">
        <v>8625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69" t="s">
        <v>8626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8585</v>
      </c>
      <c r="B38" s="169" t="s">
        <v>8627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8585</v>
      </c>
      <c r="B40" s="169" t="s">
        <v>8628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8585</v>
      </c>
      <c r="B42" s="169" t="s">
        <v>8629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8585</v>
      </c>
      <c r="B44" s="169" t="s">
        <v>8630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8585</v>
      </c>
      <c r="B46" s="169" t="s">
        <v>8631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6521</v>
      </c>
      <c r="F59" s="106">
        <f>'Data Sheet'!H65-'Data Sheet'!H60</f>
        <v>6751</v>
      </c>
      <c r="G59" s="106">
        <f>'Data Sheet'!I65-'Data Sheet'!I60</f>
        <v>4466</v>
      </c>
      <c r="H59" s="106">
        <f>'Data Sheet'!J65-'Data Sheet'!J60</f>
        <v>-4960</v>
      </c>
      <c r="I59" s="106">
        <f>'Data Sheet'!K65-'Data Sheet'!K60</f>
        <v>-642</v>
      </c>
    </row>
    <row r="60" spans="2:9" x14ac:dyDescent="0.3">
      <c r="B60" t="s">
        <v>96</v>
      </c>
      <c r="E60" s="106">
        <f>'Data Sheet'!G66</f>
        <v>58954</v>
      </c>
      <c r="F60" s="106">
        <f>'Data Sheet'!H66</f>
        <v>66909</v>
      </c>
      <c r="G60" s="106">
        <f>'Data Sheet'!I66</f>
        <v>88086</v>
      </c>
      <c r="H60" s="106">
        <f>'Data Sheet'!J66</f>
        <v>110764</v>
      </c>
      <c r="I60" s="106">
        <f>'Data Sheet'!K66</f>
        <v>142988</v>
      </c>
    </row>
    <row r="61" spans="2:9" x14ac:dyDescent="0.3">
      <c r="B61" s="89" t="s">
        <v>8588</v>
      </c>
      <c r="C61" s="89"/>
      <c r="D61" s="89"/>
      <c r="E61" s="90">
        <f>E59/E60</f>
        <v>0.11061166333073244</v>
      </c>
      <c r="F61" s="90">
        <f t="shared" ref="F61:I61" si="0">F59/F60</f>
        <v>0.10089823491608005</v>
      </c>
      <c r="G61" s="90">
        <f t="shared" si="0"/>
        <v>5.0700451831164998E-2</v>
      </c>
      <c r="H61" s="90">
        <f t="shared" si="0"/>
        <v>-4.4779892383807016E-2</v>
      </c>
      <c r="I61" s="90">
        <f t="shared" si="0"/>
        <v>-4.4898872632668473E-3</v>
      </c>
    </row>
    <row r="63" spans="2:9" x14ac:dyDescent="0.3">
      <c r="B63" s="161" t="s">
        <v>8589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1050</v>
      </c>
      <c r="F65" s="106">
        <f>'Data Sheet'!H58</f>
        <v>5720</v>
      </c>
      <c r="G65" s="106">
        <f>'Data Sheet'!I58</f>
        <v>8250</v>
      </c>
      <c r="H65" s="106">
        <f>'Data Sheet'!J58</f>
        <v>10553</v>
      </c>
      <c r="I65" s="106">
        <f>'Data Sheet'!K58</f>
        <v>18318</v>
      </c>
    </row>
    <row r="66" spans="2:9" x14ac:dyDescent="0.3">
      <c r="B66" t="s">
        <v>96</v>
      </c>
      <c r="E66" s="106">
        <f>E60</f>
        <v>58954</v>
      </c>
      <c r="F66" s="106">
        <f t="shared" ref="F66:I66" si="1">F60</f>
        <v>66909</v>
      </c>
      <c r="G66" s="106">
        <f t="shared" si="1"/>
        <v>88086</v>
      </c>
      <c r="H66" s="106">
        <f t="shared" si="1"/>
        <v>110764</v>
      </c>
      <c r="I66" s="106">
        <f t="shared" si="1"/>
        <v>142988</v>
      </c>
    </row>
    <row r="67" spans="2:9" x14ac:dyDescent="0.3">
      <c r="B67" s="89" t="s">
        <v>8589</v>
      </c>
      <c r="C67" s="89"/>
      <c r="D67" s="89"/>
      <c r="E67" s="90">
        <f>E65/E66</f>
        <v>1.7810496319164093E-2</v>
      </c>
      <c r="F67" s="90">
        <f t="shared" ref="F67:I67" si="2">F65/F66</f>
        <v>8.5489246588650258E-2</v>
      </c>
      <c r="G67" s="90">
        <f t="shared" si="2"/>
        <v>9.3658470131462432E-2</v>
      </c>
      <c r="H67" s="90">
        <f t="shared" si="2"/>
        <v>9.5274637969015197E-2</v>
      </c>
      <c r="I67" s="90">
        <f t="shared" si="2"/>
        <v>0.12810865247433351</v>
      </c>
    </row>
    <row r="69" spans="2:9" x14ac:dyDescent="0.3">
      <c r="B69" s="161" t="s">
        <v>8590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4337</v>
      </c>
      <c r="F71" s="106">
        <f>'Intrinsic Valuation'!I47</f>
        <v>6677</v>
      </c>
      <c r="G71" s="106">
        <f>'Intrinsic Valuation'!J47</f>
        <v>7707</v>
      </c>
      <c r="H71" s="106">
        <f>'Intrinsic Valuation'!K47</f>
        <v>8485</v>
      </c>
      <c r="I71" s="106">
        <f>'Intrinsic Valuation'!L47</f>
        <v>8793</v>
      </c>
    </row>
    <row r="72" spans="2:9" x14ac:dyDescent="0.3">
      <c r="B72" t="s">
        <v>96</v>
      </c>
      <c r="E72" s="106">
        <f>E66</f>
        <v>58954</v>
      </c>
      <c r="F72" s="106">
        <f t="shared" ref="F72:I72" si="3">F66</f>
        <v>66909</v>
      </c>
      <c r="G72" s="106">
        <f t="shared" si="3"/>
        <v>88086</v>
      </c>
      <c r="H72" s="106">
        <f t="shared" si="3"/>
        <v>110764</v>
      </c>
      <c r="I72" s="106">
        <f t="shared" si="3"/>
        <v>142988</v>
      </c>
    </row>
    <row r="73" spans="2:9" x14ac:dyDescent="0.3">
      <c r="B73" s="89" t="s">
        <v>8590</v>
      </c>
      <c r="C73" s="89"/>
      <c r="D73" s="89"/>
      <c r="E73" s="90">
        <f>E71/E72</f>
        <v>7.3565830986871125E-2</v>
      </c>
      <c r="F73" s="90">
        <f t="shared" ref="F73:I73" si="4">F71/F72</f>
        <v>9.979225515252059E-2</v>
      </c>
      <c r="G73" s="90">
        <f t="shared" si="4"/>
        <v>8.7494039915537086E-2</v>
      </c>
      <c r="H73" s="90">
        <f t="shared" si="4"/>
        <v>7.6604311870282757E-2</v>
      </c>
      <c r="I73" s="90">
        <f t="shared" si="4"/>
        <v>6.149467088147257E-2</v>
      </c>
    </row>
    <row r="75" spans="2:9" x14ac:dyDescent="0.3">
      <c r="B75" s="161" t="s">
        <v>8591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8592</v>
      </c>
      <c r="E77" s="106">
        <f>'Data Sheet'!G90*'Data Sheet'!G93</f>
        <v>311991.20999999996</v>
      </c>
      <c r="F77" s="106">
        <f>'Data Sheet'!H90*'Data Sheet'!H93</f>
        <v>92520.224999999991</v>
      </c>
      <c r="G77" s="106">
        <f>'Data Sheet'!I90*'Data Sheet'!I93</f>
        <v>324681.34499999997</v>
      </c>
      <c r="H77" s="106">
        <f>'Data Sheet'!J90*'Data Sheet'!J93</f>
        <v>127543.67999999999</v>
      </c>
      <c r="I77" s="106">
        <f>'Data Sheet'!K90*'Data Sheet'!K93</f>
        <v>156028.54499999998</v>
      </c>
    </row>
    <row r="78" spans="2:9" x14ac:dyDescent="0.3">
      <c r="B78" t="s">
        <v>8593</v>
      </c>
      <c r="E78" s="106">
        <f>SUM('Data Sheet'!G59:G60)</f>
        <v>56340</v>
      </c>
      <c r="F78" s="106">
        <f>SUM('Data Sheet'!H59:H60)</f>
        <v>59605</v>
      </c>
      <c r="G78" s="106">
        <f>SUM('Data Sheet'!I59:I60)</f>
        <v>78252</v>
      </c>
      <c r="H78" s="106">
        <f>SUM('Data Sheet'!J59:J60)</f>
        <v>98627</v>
      </c>
      <c r="I78" s="106">
        <f>SUM('Data Sheet'!K59:K60)</f>
        <v>123023</v>
      </c>
    </row>
    <row r="79" spans="2:9" x14ac:dyDescent="0.3">
      <c r="B79" s="89" t="s">
        <v>8591</v>
      </c>
      <c r="C79" s="89"/>
      <c r="D79" s="89"/>
      <c r="E79" s="90">
        <f>E77/E78</f>
        <v>5.5376501597444081</v>
      </c>
      <c r="F79" s="90">
        <f t="shared" ref="F79:I79" si="5">F77/F78</f>
        <v>1.5522225484439223</v>
      </c>
      <c r="G79" s="90">
        <f t="shared" si="5"/>
        <v>4.1491763149823644</v>
      </c>
      <c r="H79" s="90">
        <f t="shared" si="5"/>
        <v>1.293192330700518</v>
      </c>
      <c r="I79" s="90">
        <f t="shared" si="5"/>
        <v>1.2682875966282727</v>
      </c>
    </row>
    <row r="81" spans="2:9" x14ac:dyDescent="0.3">
      <c r="B81" s="161" t="s">
        <v>8595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8594</v>
      </c>
      <c r="E83" s="106">
        <f>'Data Sheet'!G17</f>
        <v>7792</v>
      </c>
      <c r="F83" s="106">
        <f>'Data Sheet'!H17</f>
        <v>9220</v>
      </c>
      <c r="G83" s="106">
        <f>'Data Sheet'!I17</f>
        <v>11212</v>
      </c>
      <c r="H83" s="106">
        <f>'Data Sheet'!J17</f>
        <v>12928</v>
      </c>
      <c r="I83" s="106">
        <f>'Data Sheet'!K17</f>
        <v>13559</v>
      </c>
    </row>
    <row r="84" spans="2:9" x14ac:dyDescent="0.3">
      <c r="B84" t="s">
        <v>96</v>
      </c>
      <c r="E84" s="106">
        <f>E72</f>
        <v>58954</v>
      </c>
      <c r="F84" s="106">
        <f t="shared" ref="F84:I84" si="6">F72</f>
        <v>66909</v>
      </c>
      <c r="G84" s="106">
        <f t="shared" si="6"/>
        <v>88086</v>
      </c>
      <c r="H84" s="106">
        <f t="shared" si="6"/>
        <v>110764</v>
      </c>
      <c r="I84" s="106">
        <f t="shared" si="6"/>
        <v>142988</v>
      </c>
    </row>
    <row r="85" spans="2:9" x14ac:dyDescent="0.3">
      <c r="B85" s="89" t="s">
        <v>8595</v>
      </c>
      <c r="C85" s="89"/>
      <c r="D85" s="89"/>
      <c r="E85" s="91">
        <f>E83/E84</f>
        <v>0.13217084506564439</v>
      </c>
      <c r="F85" s="91">
        <f t="shared" ref="F85:I85" si="7">F83/F84</f>
        <v>0.13779910027051667</v>
      </c>
      <c r="G85" s="91">
        <f t="shared" si="7"/>
        <v>0.12728469904411599</v>
      </c>
      <c r="H85" s="91">
        <f t="shared" si="7"/>
        <v>0.11671662272940667</v>
      </c>
      <c r="I85" s="91">
        <f t="shared" si="7"/>
        <v>9.4826139256441094E-2</v>
      </c>
    </row>
    <row r="87" spans="2:9" x14ac:dyDescent="0.3">
      <c r="B87" s="161" t="s">
        <v>8596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8597</v>
      </c>
      <c r="E89" s="76">
        <f>(1.2*E61)+(1.4*E67)+(3.3*E73)+(0.6*E79)+(E85*1)</f>
        <v>3.8551968740126727</v>
      </c>
      <c r="F89" s="76">
        <f t="shared" ref="F89:I89" si="8">(1.2*F61)+(1.4*F67)+(3.3*F73)+(0.6*F79)+(F85*1)</f>
        <v>1.6392098984635943</v>
      </c>
      <c r="G89" s="76">
        <f t="shared" si="8"/>
        <v>3.0974832201362523</v>
      </c>
      <c r="H89" s="76">
        <f t="shared" si="8"/>
        <v>1.2250748726177034</v>
      </c>
      <c r="I89" s="76">
        <f t="shared" si="8"/>
        <v>1.2326953598904109</v>
      </c>
    </row>
    <row r="90" spans="2:9" x14ac:dyDescent="0.3">
      <c r="B90" t="s">
        <v>8598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Distressed</v>
      </c>
      <c r="G90" s="93" t="str">
        <f t="shared" si="9"/>
        <v>Strong</v>
      </c>
      <c r="H90" s="93" t="str">
        <f t="shared" si="9"/>
        <v>Distressed</v>
      </c>
      <c r="I90" s="93" t="str">
        <f t="shared" si="9"/>
        <v>Distressed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42430</v>
      </c>
      <c r="D3" s="40">
        <v>42795</v>
      </c>
      <c r="E3" s="40">
        <v>43160</v>
      </c>
      <c r="F3" s="40">
        <v>43525</v>
      </c>
      <c r="G3" s="40">
        <v>43891</v>
      </c>
      <c r="H3" s="40">
        <v>44256</v>
      </c>
      <c r="I3" s="40">
        <v>44621</v>
      </c>
      <c r="J3" s="40">
        <v>44986</v>
      </c>
      <c r="K3" s="40">
        <v>45352</v>
      </c>
      <c r="L3" s="40">
        <v>45717</v>
      </c>
      <c r="M3" s="40">
        <v>46082</v>
      </c>
      <c r="N3" s="40">
        <v>46082</v>
      </c>
      <c r="O3" s="40"/>
      <c r="S3" s="35" t="s">
        <v>8612</v>
      </c>
      <c r="T3" s="35">
        <v>42795</v>
      </c>
      <c r="U3" s="35">
        <v>43160</v>
      </c>
      <c r="V3" s="35">
        <v>43525</v>
      </c>
      <c r="W3" s="35">
        <v>43891</v>
      </c>
      <c r="X3" s="35">
        <v>44256</v>
      </c>
      <c r="Y3" s="35">
        <v>44621</v>
      </c>
      <c r="Z3" s="35">
        <v>44986</v>
      </c>
      <c r="AA3" s="35">
        <v>45352</v>
      </c>
      <c r="AB3" s="35">
        <v>45717</v>
      </c>
      <c r="AC3" s="35">
        <v>46082</v>
      </c>
      <c r="AD3" s="35" t="s">
        <v>280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28</v>
      </c>
      <c r="T4" s="48">
        <v>502</v>
      </c>
      <c r="U4" s="48">
        <v>1480</v>
      </c>
      <c r="V4" s="48">
        <v>2058</v>
      </c>
      <c r="W4" s="48">
        <v>2549</v>
      </c>
      <c r="X4" s="48">
        <v>3124</v>
      </c>
      <c r="Y4" s="48">
        <v>5133</v>
      </c>
      <c r="Z4" s="48">
        <v>7792</v>
      </c>
      <c r="AA4" s="48">
        <v>9220</v>
      </c>
      <c r="AB4" s="48">
        <v>11212</v>
      </c>
      <c r="AC4" s="48">
        <v>12928</v>
      </c>
      <c r="AD4" s="48">
        <v>13559</v>
      </c>
      <c r="AE4" s="48">
        <v>76488</v>
      </c>
    </row>
    <row r="5" spans="2:31" x14ac:dyDescent="0.3">
      <c r="B5" s="35" t="s">
        <v>242</v>
      </c>
      <c r="C5" s="108">
        <v>160</v>
      </c>
      <c r="D5" s="47">
        <v>1274</v>
      </c>
      <c r="E5" s="47">
        <v>1564</v>
      </c>
      <c r="F5" s="47">
        <v>1564</v>
      </c>
      <c r="G5" s="47">
        <v>1564</v>
      </c>
      <c r="H5" s="47">
        <v>1564</v>
      </c>
      <c r="I5" s="47">
        <v>1564</v>
      </c>
      <c r="J5" s="47">
        <v>1584</v>
      </c>
      <c r="K5" s="47">
        <v>1584</v>
      </c>
      <c r="L5" s="47">
        <v>1584</v>
      </c>
      <c r="M5" s="47">
        <v>1647</v>
      </c>
      <c r="N5" s="47">
        <v>1253</v>
      </c>
      <c r="R5" t="s">
        <v>282</v>
      </c>
      <c r="S5" s="48">
        <v>14</v>
      </c>
      <c r="T5" s="48">
        <v>98</v>
      </c>
      <c r="U5" s="48">
        <v>637</v>
      </c>
      <c r="V5" s="48">
        <v>532</v>
      </c>
      <c r="W5" s="48">
        <v>1099</v>
      </c>
      <c r="X5" s="48">
        <v>883</v>
      </c>
      <c r="Y5" s="48">
        <v>1621</v>
      </c>
      <c r="Z5" s="48">
        <v>2822</v>
      </c>
      <c r="AA5" s="48">
        <v>1902</v>
      </c>
      <c r="AB5" s="48">
        <v>2323</v>
      </c>
      <c r="AC5" s="48">
        <v>2143</v>
      </c>
      <c r="AD5" s="48">
        <v>1848</v>
      </c>
      <c r="AE5" s="48">
        <v>50806</v>
      </c>
    </row>
    <row r="6" spans="2:31" x14ac:dyDescent="0.3">
      <c r="B6" t="s">
        <v>25</v>
      </c>
      <c r="C6" s="48">
        <v>-9</v>
      </c>
      <c r="D6" s="48">
        <v>-71</v>
      </c>
      <c r="E6" s="48">
        <v>-223</v>
      </c>
      <c r="F6" s="48">
        <v>369</v>
      </c>
      <c r="G6" s="48">
        <v>792</v>
      </c>
      <c r="H6" s="48">
        <v>636</v>
      </c>
      <c r="I6" s="48">
        <v>1050</v>
      </c>
      <c r="J6" s="48">
        <v>5720</v>
      </c>
      <c r="K6" s="48">
        <v>8250</v>
      </c>
      <c r="L6" s="48">
        <v>10553</v>
      </c>
      <c r="M6" s="48">
        <v>18318</v>
      </c>
      <c r="N6" s="48">
        <v>71254</v>
      </c>
      <c r="O6" s="48"/>
      <c r="R6" t="s">
        <v>8</v>
      </c>
      <c r="S6" s="48">
        <v>13</v>
      </c>
      <c r="T6" s="48">
        <v>403</v>
      </c>
      <c r="U6" s="48">
        <v>843</v>
      </c>
      <c r="V6" s="48">
        <v>1526</v>
      </c>
      <c r="W6" s="48">
        <v>1450</v>
      </c>
      <c r="X6" s="48">
        <v>2241</v>
      </c>
      <c r="Y6" s="48">
        <v>3512</v>
      </c>
      <c r="Z6" s="48">
        <v>4970</v>
      </c>
      <c r="AA6" s="48">
        <v>7318</v>
      </c>
      <c r="AB6" s="48">
        <v>8889</v>
      </c>
      <c r="AC6" s="48">
        <v>10785</v>
      </c>
      <c r="AD6" s="48">
        <v>11711</v>
      </c>
      <c r="AE6" s="48">
        <v>25682</v>
      </c>
    </row>
    <row r="7" spans="2:31" x14ac:dyDescent="0.3">
      <c r="B7" s="48" t="s">
        <v>243</v>
      </c>
      <c r="C7" s="48">
        <v>4132</v>
      </c>
      <c r="D7" s="48">
        <v>4347</v>
      </c>
      <c r="E7" s="48">
        <v>9864</v>
      </c>
      <c r="F7" s="48">
        <v>11142</v>
      </c>
      <c r="G7" s="48">
        <v>14867</v>
      </c>
      <c r="H7" s="48">
        <v>24209</v>
      </c>
      <c r="I7" s="48">
        <v>52832</v>
      </c>
      <c r="J7" s="48">
        <v>54223</v>
      </c>
      <c r="K7" s="48">
        <v>64858</v>
      </c>
      <c r="L7" s="48">
        <v>80040</v>
      </c>
      <c r="M7" s="48">
        <v>103545</v>
      </c>
      <c r="N7" s="48">
        <v>2399</v>
      </c>
      <c r="O7" s="48"/>
      <c r="R7" t="s">
        <v>283</v>
      </c>
      <c r="S7" s="75">
        <v>48</v>
      </c>
      <c r="T7" s="75">
        <v>80</v>
      </c>
      <c r="U7" s="75">
        <v>57</v>
      </c>
      <c r="V7" s="75">
        <v>74</v>
      </c>
      <c r="W7" s="75">
        <v>57</v>
      </c>
      <c r="X7" s="75">
        <v>72</v>
      </c>
      <c r="Y7" s="75">
        <v>68</v>
      </c>
      <c r="Z7" s="75">
        <v>64</v>
      </c>
      <c r="AA7" s="75">
        <v>79</v>
      </c>
      <c r="AB7" s="75">
        <v>79</v>
      </c>
      <c r="AC7" s="75">
        <v>83</v>
      </c>
      <c r="AD7" s="75">
        <v>86</v>
      </c>
      <c r="AE7" s="75">
        <v>0.34</v>
      </c>
    </row>
    <row r="8" spans="2:31" x14ac:dyDescent="0.3">
      <c r="B8" s="48" t="s">
        <v>244</v>
      </c>
      <c r="C8" s="48">
        <v>3541</v>
      </c>
      <c r="D8" s="48">
        <v>3663</v>
      </c>
      <c r="E8" s="48">
        <v>8373</v>
      </c>
      <c r="F8" s="48">
        <v>9948</v>
      </c>
      <c r="G8" s="48">
        <v>12610</v>
      </c>
      <c r="H8" s="48">
        <v>19746</v>
      </c>
      <c r="I8" s="48">
        <v>42717</v>
      </c>
      <c r="J8" s="48">
        <v>48632</v>
      </c>
      <c r="K8" s="48">
        <v>40503</v>
      </c>
      <c r="L8" s="48">
        <v>67363</v>
      </c>
      <c r="M8" s="48">
        <v>87897</v>
      </c>
      <c r="N8" s="48">
        <v>60</v>
      </c>
      <c r="R8" t="s">
        <v>284</v>
      </c>
      <c r="S8" s="48">
        <v>7</v>
      </c>
      <c r="T8" s="48">
        <v>80</v>
      </c>
      <c r="U8" s="48">
        <v>42</v>
      </c>
      <c r="V8" s="48">
        <v>73</v>
      </c>
      <c r="W8" s="48">
        <v>-111</v>
      </c>
      <c r="X8" s="48">
        <v>385</v>
      </c>
      <c r="Y8" s="48">
        <v>507</v>
      </c>
      <c r="Z8" s="48">
        <v>667</v>
      </c>
      <c r="AA8" s="48">
        <v>1262</v>
      </c>
      <c r="AB8" s="48">
        <v>1316</v>
      </c>
      <c r="AC8" s="48">
        <v>1072</v>
      </c>
      <c r="AD8" s="48">
        <v>713</v>
      </c>
      <c r="AE8" s="48">
        <v>2908</v>
      </c>
    </row>
    <row r="9" spans="2:31" x14ac:dyDescent="0.3">
      <c r="B9" t="s">
        <v>245</v>
      </c>
      <c r="C9">
        <v>591</v>
      </c>
      <c r="D9">
        <v>635</v>
      </c>
      <c r="E9">
        <v>1351</v>
      </c>
      <c r="F9">
        <v>742</v>
      </c>
      <c r="G9">
        <v>1115</v>
      </c>
      <c r="H9">
        <v>3693</v>
      </c>
      <c r="I9">
        <v>9471</v>
      </c>
      <c r="J9">
        <v>4215</v>
      </c>
      <c r="K9">
        <v>22557</v>
      </c>
      <c r="L9">
        <v>10706</v>
      </c>
      <c r="M9">
        <v>12581</v>
      </c>
      <c r="N9" s="48">
        <v>2126</v>
      </c>
      <c r="R9" t="s">
        <v>11</v>
      </c>
      <c r="S9">
        <v>23</v>
      </c>
      <c r="T9">
        <v>334</v>
      </c>
      <c r="U9">
        <v>552</v>
      </c>
      <c r="V9">
        <v>1121</v>
      </c>
      <c r="W9">
        <v>995</v>
      </c>
      <c r="X9">
        <v>1953</v>
      </c>
      <c r="Y9">
        <v>2617</v>
      </c>
      <c r="Z9">
        <v>2911</v>
      </c>
      <c r="AA9">
        <v>5006</v>
      </c>
      <c r="AB9">
        <v>5492</v>
      </c>
      <c r="AC9">
        <v>6484</v>
      </c>
      <c r="AD9">
        <v>6960</v>
      </c>
      <c r="AE9">
        <v>108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375</v>
      </c>
      <c r="H10">
        <v>335</v>
      </c>
      <c r="I10">
        <v>644</v>
      </c>
      <c r="J10">
        <v>1376</v>
      </c>
      <c r="K10">
        <v>1798</v>
      </c>
      <c r="L10">
        <v>1971</v>
      </c>
      <c r="M10">
        <v>3067</v>
      </c>
      <c r="N10">
        <v>213</v>
      </c>
      <c r="O10" s="48"/>
      <c r="R10" t="s">
        <v>10</v>
      </c>
      <c r="S10" s="48">
        <v>6</v>
      </c>
      <c r="T10" s="48">
        <v>333</v>
      </c>
      <c r="U10" s="48">
        <v>543</v>
      </c>
      <c r="V10" s="48">
        <v>1062</v>
      </c>
      <c r="W10" s="48">
        <v>394</v>
      </c>
      <c r="X10" s="48">
        <v>486</v>
      </c>
      <c r="Y10" s="48">
        <v>849</v>
      </c>
      <c r="Z10" s="48">
        <v>1300</v>
      </c>
      <c r="AA10" s="48">
        <v>1903</v>
      </c>
      <c r="AB10" s="48">
        <v>2498</v>
      </c>
      <c r="AC10" s="48">
        <v>3372</v>
      </c>
      <c r="AD10" s="48">
        <v>3631</v>
      </c>
      <c r="AE10" s="48">
        <v>1715</v>
      </c>
    </row>
    <row r="11" spans="2:31" x14ac:dyDescent="0.3">
      <c r="B11" s="48" t="s">
        <v>8601</v>
      </c>
      <c r="C11" s="48">
        <v>0</v>
      </c>
      <c r="D11" s="48">
        <v>49</v>
      </c>
      <c r="E11" s="48">
        <v>140</v>
      </c>
      <c r="F11" s="48">
        <v>452</v>
      </c>
      <c r="G11" s="48">
        <v>767</v>
      </c>
      <c r="H11" s="48">
        <v>435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-9</v>
      </c>
      <c r="T11" s="48">
        <v>-184</v>
      </c>
      <c r="U11" s="48">
        <v>-210</v>
      </c>
      <c r="V11" s="48">
        <v>-585</v>
      </c>
      <c r="W11" s="48">
        <v>-50</v>
      </c>
      <c r="X11" s="48">
        <v>187</v>
      </c>
      <c r="Y11" s="48">
        <v>553</v>
      </c>
      <c r="Z11" s="48">
        <v>1426</v>
      </c>
      <c r="AA11" s="48">
        <v>1671</v>
      </c>
      <c r="AB11" s="48">
        <v>2215</v>
      </c>
      <c r="AC11" s="48">
        <v>2001</v>
      </c>
      <c r="AD11" s="48">
        <v>1833</v>
      </c>
      <c r="AE11" s="48">
        <v>26766</v>
      </c>
    </row>
    <row r="12" spans="2:31" x14ac:dyDescent="0.3">
      <c r="B12" s="48" t="s">
        <v>247</v>
      </c>
      <c r="C12" s="48">
        <v>1286</v>
      </c>
      <c r="D12" s="48">
        <v>610</v>
      </c>
      <c r="E12" s="48">
        <v>4503</v>
      </c>
      <c r="F12" s="48">
        <v>1582</v>
      </c>
      <c r="G12" s="48">
        <v>1201</v>
      </c>
      <c r="H12" s="48">
        <v>2283</v>
      </c>
      <c r="I12" s="48">
        <v>3508</v>
      </c>
      <c r="J12" s="48">
        <v>5382</v>
      </c>
      <c r="K12" s="48">
        <v>13394</v>
      </c>
      <c r="L12" s="48">
        <v>18587</v>
      </c>
      <c r="M12" s="48">
        <v>19478</v>
      </c>
      <c r="N12" s="48">
        <v>18731</v>
      </c>
      <c r="R12" t="s">
        <v>285</v>
      </c>
      <c r="S12" s="75">
        <v>3</v>
      </c>
      <c r="T12" s="75">
        <v>-75</v>
      </c>
      <c r="U12" s="75">
        <v>-35</v>
      </c>
      <c r="V12" s="75">
        <v>-19</v>
      </c>
      <c r="W12" s="75">
        <v>22</v>
      </c>
      <c r="X12" s="75">
        <v>6</v>
      </c>
      <c r="Y12" s="75">
        <v>12</v>
      </c>
      <c r="Z12" s="75">
        <v>32</v>
      </c>
      <c r="AA12" s="75">
        <v>25</v>
      </c>
      <c r="AB12" s="75">
        <v>10</v>
      </c>
      <c r="AC12" s="75">
        <v>1</v>
      </c>
      <c r="AD12" s="75">
        <v>0</v>
      </c>
    </row>
    <row r="13" spans="2:31" x14ac:dyDescent="0.3">
      <c r="B13" t="s">
        <v>248</v>
      </c>
      <c r="C13">
        <v>0</v>
      </c>
      <c r="D13">
        <v>0</v>
      </c>
      <c r="E13">
        <v>0</v>
      </c>
      <c r="F13">
        <v>-1</v>
      </c>
      <c r="G13">
        <v>-46</v>
      </c>
      <c r="H13">
        <v>-74</v>
      </c>
      <c r="I13">
        <v>0</v>
      </c>
      <c r="J13">
        <v>46</v>
      </c>
      <c r="K13">
        <v>7614</v>
      </c>
      <c r="L13">
        <v>10436</v>
      </c>
      <c r="M13">
        <v>9914</v>
      </c>
      <c r="N13">
        <v>366</v>
      </c>
      <c r="O13" s="48"/>
      <c r="R13" t="s">
        <v>286</v>
      </c>
      <c r="S13" s="48">
        <v>-9</v>
      </c>
      <c r="T13" s="48">
        <v>-47</v>
      </c>
      <c r="U13" s="48">
        <v>-138</v>
      </c>
      <c r="V13" s="48">
        <v>-475</v>
      </c>
      <c r="W13" s="48">
        <v>-68</v>
      </c>
      <c r="X13" s="48">
        <v>182</v>
      </c>
      <c r="Y13" s="48">
        <v>489</v>
      </c>
      <c r="Z13" s="48">
        <v>973</v>
      </c>
      <c r="AA13" s="48">
        <v>1260</v>
      </c>
      <c r="AB13" s="48">
        <v>2001</v>
      </c>
      <c r="AC13" s="48">
        <v>1987</v>
      </c>
      <c r="AD13" s="48">
        <v>2146</v>
      </c>
      <c r="AE13" s="48">
        <v>20184</v>
      </c>
    </row>
    <row r="14" spans="2:31" x14ac:dyDescent="0.3">
      <c r="B14" s="48" t="s">
        <v>249</v>
      </c>
      <c r="C14" s="48">
        <v>1</v>
      </c>
      <c r="D14" s="48">
        <v>8</v>
      </c>
      <c r="E14" s="48">
        <v>98</v>
      </c>
      <c r="F14" s="48">
        <v>161</v>
      </c>
      <c r="G14" s="48">
        <v>175</v>
      </c>
      <c r="H14" s="48">
        <v>129</v>
      </c>
      <c r="I14" s="48">
        <v>145</v>
      </c>
      <c r="J14" s="48">
        <v>391</v>
      </c>
      <c r="K14" s="48">
        <v>354</v>
      </c>
      <c r="L14" s="48">
        <v>395</v>
      </c>
      <c r="M14" s="48">
        <v>407</v>
      </c>
      <c r="N14" s="48">
        <v>5640</v>
      </c>
      <c r="S14">
        <v>-0.57999999999999996</v>
      </c>
      <c r="T14">
        <v>-0.37</v>
      </c>
      <c r="U14">
        <v>-1</v>
      </c>
      <c r="V14">
        <v>-3.03</v>
      </c>
      <c r="W14">
        <v>-0.15</v>
      </c>
      <c r="X14">
        <v>1.34</v>
      </c>
      <c r="Y14">
        <v>3.13</v>
      </c>
      <c r="Z14">
        <v>6.15</v>
      </c>
      <c r="AA14">
        <v>6.94</v>
      </c>
      <c r="AB14">
        <v>9.1199999999999992</v>
      </c>
      <c r="AC14">
        <v>10.029999999999999</v>
      </c>
      <c r="AD14">
        <v>10.83</v>
      </c>
    </row>
    <row r="15" spans="2:31" x14ac:dyDescent="0.3">
      <c r="B15" t="s">
        <v>250</v>
      </c>
      <c r="C15">
        <v>0</v>
      </c>
      <c r="D15">
        <v>0</v>
      </c>
      <c r="E15">
        <v>5</v>
      </c>
      <c r="F15">
        <v>5</v>
      </c>
      <c r="G15">
        <v>10</v>
      </c>
      <c r="H15">
        <v>12</v>
      </c>
      <c r="I15">
        <v>0</v>
      </c>
      <c r="J15" s="48">
        <v>0</v>
      </c>
      <c r="K15" s="48">
        <v>0</v>
      </c>
      <c r="L15">
        <v>0</v>
      </c>
      <c r="M15" s="48">
        <v>0</v>
      </c>
      <c r="N15" s="48">
        <v>1342</v>
      </c>
      <c r="O15" s="48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2:31" x14ac:dyDescent="0.3">
      <c r="B16" s="48" t="s">
        <v>251</v>
      </c>
      <c r="C16" s="48">
        <v>1284</v>
      </c>
      <c r="D16" s="48">
        <v>602</v>
      </c>
      <c r="E16" s="48">
        <v>4399</v>
      </c>
      <c r="F16" s="48">
        <v>1416</v>
      </c>
      <c r="G16" s="48">
        <v>1062</v>
      </c>
      <c r="H16" s="48">
        <v>2216</v>
      </c>
      <c r="I16" s="48">
        <v>3363</v>
      </c>
      <c r="J16" s="48">
        <v>4945</v>
      </c>
      <c r="K16" s="48">
        <v>5426</v>
      </c>
      <c r="L16" s="48">
        <v>7756</v>
      </c>
      <c r="M16" s="48">
        <v>9157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5569</v>
      </c>
      <c r="D18" s="71">
        <v>6160</v>
      </c>
      <c r="E18" s="71">
        <v>15709</v>
      </c>
      <c r="F18" s="71">
        <v>14658</v>
      </c>
      <c r="G18" s="71">
        <v>18424</v>
      </c>
      <c r="H18" s="71">
        <v>28692</v>
      </c>
      <c r="I18" s="71">
        <v>58954</v>
      </c>
      <c r="J18" s="71">
        <v>66909</v>
      </c>
      <c r="K18" s="71">
        <v>88086</v>
      </c>
      <c r="L18" s="71">
        <v>110764</v>
      </c>
      <c r="M18" s="71">
        <v>142988</v>
      </c>
      <c r="N18" s="71">
        <f t="shared" ref="D18:N18" si="0">SUM(N5:N17)</f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0</v>
      </c>
      <c r="T19" s="48">
        <v>28</v>
      </c>
      <c r="U19" s="48">
        <v>649</v>
      </c>
      <c r="V19" s="48">
        <v>1625</v>
      </c>
      <c r="W19" s="48">
        <v>1965</v>
      </c>
      <c r="X19" s="48">
        <v>1601</v>
      </c>
      <c r="Y19" s="48">
        <v>3060</v>
      </c>
      <c r="Z19" s="48">
        <v>7265</v>
      </c>
      <c r="AA19" s="48">
        <v>7713</v>
      </c>
      <c r="AB19" s="48">
        <v>8364</v>
      </c>
      <c r="AC19" s="48">
        <v>10135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0</v>
      </c>
      <c r="T20" s="48">
        <v>405</v>
      </c>
      <c r="U20" s="48">
        <v>860</v>
      </c>
      <c r="V20" s="48">
        <v>1561</v>
      </c>
      <c r="W20" s="48">
        <v>1776</v>
      </c>
      <c r="X20" s="48">
        <v>2244</v>
      </c>
      <c r="Y20" s="48">
        <v>3545</v>
      </c>
      <c r="Z20" s="48">
        <v>5571</v>
      </c>
      <c r="AA20" s="48">
        <v>7346</v>
      </c>
      <c r="AB20" s="48">
        <v>9046</v>
      </c>
      <c r="AC20" s="48">
        <v>10912</v>
      </c>
      <c r="AD20" s="48">
        <v>27600</v>
      </c>
    </row>
    <row r="21" spans="2:30" x14ac:dyDescent="0.3">
      <c r="B21" s="73" t="s">
        <v>252</v>
      </c>
      <c r="C21" s="73">
        <v>2781</v>
      </c>
      <c r="D21" s="73">
        <v>4341</v>
      </c>
      <c r="E21" s="73">
        <v>9120</v>
      </c>
      <c r="F21" s="73">
        <v>10388</v>
      </c>
      <c r="G21" s="73">
        <v>12554</v>
      </c>
      <c r="H21" s="73">
        <v>16429</v>
      </c>
      <c r="I21" s="73">
        <v>28452</v>
      </c>
      <c r="J21" s="73">
        <v>48336</v>
      </c>
      <c r="K21" s="73">
        <v>62284</v>
      </c>
      <c r="L21" s="73">
        <v>79914</v>
      </c>
      <c r="M21" s="73">
        <v>102138</v>
      </c>
      <c r="N21" s="73"/>
      <c r="R21" t="s">
        <v>78</v>
      </c>
      <c r="S21">
        <v>0</v>
      </c>
      <c r="T21">
        <v>-333</v>
      </c>
      <c r="U21">
        <v>-512</v>
      </c>
      <c r="V21">
        <v>90</v>
      </c>
      <c r="W21">
        <v>10</v>
      </c>
      <c r="X21" s="48">
        <v>-346</v>
      </c>
      <c r="Y21">
        <v>-109</v>
      </c>
      <c r="Z21">
        <v>-450</v>
      </c>
      <c r="AA21">
        <v>893</v>
      </c>
      <c r="AB21">
        <v>-222</v>
      </c>
      <c r="AC21" s="48">
        <v>-626</v>
      </c>
      <c r="AD21">
        <v>468</v>
      </c>
    </row>
    <row r="22" spans="2:30" x14ac:dyDescent="0.3">
      <c r="B22" s="48" t="s">
        <v>253</v>
      </c>
      <c r="C22" s="48">
        <v>446</v>
      </c>
      <c r="D22" s="48">
        <v>107</v>
      </c>
      <c r="E22" s="48">
        <v>225</v>
      </c>
      <c r="F22" s="48">
        <v>291</v>
      </c>
      <c r="G22" s="48">
        <v>708</v>
      </c>
      <c r="H22" s="48">
        <v>980</v>
      </c>
      <c r="I22" s="48">
        <v>1375</v>
      </c>
      <c r="J22" s="48">
        <v>2295</v>
      </c>
      <c r="K22" s="48">
        <v>2759</v>
      </c>
      <c r="L22" s="48">
        <v>3026</v>
      </c>
      <c r="M22" s="48">
        <v>4350</v>
      </c>
      <c r="N22" s="48">
        <v>1633</v>
      </c>
      <c r="O22" s="48"/>
      <c r="R22" t="s">
        <v>45</v>
      </c>
      <c r="S22">
        <v>0</v>
      </c>
      <c r="T22">
        <v>0</v>
      </c>
      <c r="U22">
        <v>-1692</v>
      </c>
      <c r="V22">
        <v>1556</v>
      </c>
      <c r="W22">
        <v>32</v>
      </c>
      <c r="X22">
        <v>75</v>
      </c>
      <c r="Y22" s="48">
        <v>12</v>
      </c>
      <c r="Z22">
        <v>-27</v>
      </c>
      <c r="AA22" s="48">
        <v>-252</v>
      </c>
      <c r="AB22" s="48">
        <v>190</v>
      </c>
      <c r="AC22" s="48">
        <v>-35</v>
      </c>
      <c r="AD22" s="48">
        <v>-3306</v>
      </c>
    </row>
    <row r="23" spans="2:30" x14ac:dyDescent="0.3">
      <c r="B23" s="48" t="s">
        <v>254</v>
      </c>
      <c r="C23" s="48">
        <v>49</v>
      </c>
      <c r="D23" s="48">
        <v>102</v>
      </c>
      <c r="E23" s="48">
        <v>198</v>
      </c>
      <c r="F23" s="48">
        <v>286</v>
      </c>
      <c r="G23" s="48">
        <v>365</v>
      </c>
      <c r="H23" s="48">
        <v>398</v>
      </c>
      <c r="I23" s="48">
        <v>617</v>
      </c>
      <c r="J23" s="48">
        <v>665</v>
      </c>
      <c r="K23" s="48">
        <v>873</v>
      </c>
      <c r="L23" s="48">
        <v>978</v>
      </c>
      <c r="M23" s="48">
        <v>1035</v>
      </c>
      <c r="N23" s="48">
        <v>7791</v>
      </c>
      <c r="O23" s="48"/>
      <c r="R23" t="s">
        <v>131</v>
      </c>
      <c r="S23">
        <v>0</v>
      </c>
      <c r="T23">
        <v>1</v>
      </c>
      <c r="U23">
        <v>90</v>
      </c>
      <c r="V23" s="48">
        <v>63</v>
      </c>
      <c r="W23">
        <v>15</v>
      </c>
      <c r="X23">
        <v>-106</v>
      </c>
      <c r="Y23" s="48">
        <v>-172</v>
      </c>
      <c r="Z23" s="48">
        <v>316</v>
      </c>
      <c r="AA23" s="48">
        <v>122</v>
      </c>
      <c r="AB23">
        <v>148</v>
      </c>
      <c r="AC23" s="48">
        <v>1531</v>
      </c>
      <c r="AD23">
        <v>76</v>
      </c>
    </row>
    <row r="24" spans="2:30" x14ac:dyDescent="0.3">
      <c r="B24" s="48" t="s">
        <v>255</v>
      </c>
      <c r="C24" s="48">
        <v>2294</v>
      </c>
      <c r="D24" s="48">
        <v>4456</v>
      </c>
      <c r="E24" s="48">
        <v>9558</v>
      </c>
      <c r="F24" s="48">
        <v>11729</v>
      </c>
      <c r="G24" s="48">
        <v>13788</v>
      </c>
      <c r="H24" s="48">
        <v>17753</v>
      </c>
      <c r="I24" s="48">
        <v>29228</v>
      </c>
      <c r="J24" s="48">
        <v>49389</v>
      </c>
      <c r="K24" s="48">
        <v>63971</v>
      </c>
      <c r="L24" s="48">
        <v>83278</v>
      </c>
      <c r="M24" s="48">
        <v>107265</v>
      </c>
      <c r="N24" s="48">
        <v>20424</v>
      </c>
      <c r="R24" t="s">
        <v>132</v>
      </c>
      <c r="S24">
        <v>0</v>
      </c>
      <c r="T24">
        <v>-375</v>
      </c>
      <c r="U24">
        <v>-205</v>
      </c>
      <c r="V24" s="48">
        <v>92</v>
      </c>
      <c r="W24">
        <v>207</v>
      </c>
      <c r="X24">
        <v>-629</v>
      </c>
      <c r="Y24">
        <v>-465</v>
      </c>
      <c r="Z24">
        <v>1683</v>
      </c>
      <c r="AA24">
        <v>417</v>
      </c>
      <c r="AB24" s="48">
        <v>-460</v>
      </c>
      <c r="AC24" s="48">
        <v>-634</v>
      </c>
      <c r="AD24" s="48">
        <v>-2762</v>
      </c>
    </row>
    <row r="25" spans="2:30" x14ac:dyDescent="0.3">
      <c r="B25" t="s">
        <v>256</v>
      </c>
      <c r="C25">
        <v>2</v>
      </c>
      <c r="D25">
        <v>2</v>
      </c>
      <c r="E25">
        <v>4</v>
      </c>
      <c r="F25">
        <v>6</v>
      </c>
      <c r="G25">
        <v>8</v>
      </c>
      <c r="H25">
        <v>10</v>
      </c>
      <c r="I25">
        <v>21</v>
      </c>
      <c r="J25">
        <v>30</v>
      </c>
      <c r="K25">
        <v>48</v>
      </c>
      <c r="L25">
        <v>67</v>
      </c>
      <c r="M25">
        <v>81</v>
      </c>
      <c r="N25">
        <v>75</v>
      </c>
      <c r="R25" t="s">
        <v>133</v>
      </c>
      <c r="S25" s="48">
        <v>0</v>
      </c>
      <c r="T25" s="48">
        <v>-2</v>
      </c>
      <c r="U25" s="48">
        <v>-6</v>
      </c>
      <c r="V25" s="48">
        <v>-29</v>
      </c>
      <c r="W25" s="48">
        <v>-18</v>
      </c>
      <c r="X25" s="48">
        <v>-14</v>
      </c>
      <c r="Y25" s="48">
        <v>-20</v>
      </c>
      <c r="Z25" s="48">
        <v>11</v>
      </c>
      <c r="AA25" s="48">
        <v>-50</v>
      </c>
      <c r="AB25" s="48">
        <v>-222</v>
      </c>
      <c r="AC25" s="48">
        <v>-143</v>
      </c>
      <c r="AD25" s="48">
        <v>-6374</v>
      </c>
    </row>
    <row r="26" spans="2:30" x14ac:dyDescent="0.3">
      <c r="B26" s="48" t="s">
        <v>257</v>
      </c>
      <c r="C26" s="48">
        <v>1</v>
      </c>
      <c r="D26" s="48">
        <v>1</v>
      </c>
      <c r="E26" s="48">
        <v>1</v>
      </c>
      <c r="F26" s="48">
        <v>2</v>
      </c>
      <c r="G26" s="48">
        <v>2</v>
      </c>
      <c r="H26" s="48">
        <v>2</v>
      </c>
      <c r="I26" s="48">
        <v>6</v>
      </c>
      <c r="J26" s="48">
        <v>7</v>
      </c>
      <c r="K26" s="48">
        <v>17</v>
      </c>
      <c r="L26" s="48">
        <v>22</v>
      </c>
      <c r="M26" s="48">
        <v>25</v>
      </c>
      <c r="N26" s="48">
        <v>304</v>
      </c>
      <c r="R26" t="s">
        <v>134</v>
      </c>
      <c r="S26" s="48">
        <v>0</v>
      </c>
      <c r="T26" s="48">
        <v>-1511</v>
      </c>
      <c r="U26" s="48">
        <v>-4428</v>
      </c>
      <c r="V26" s="48">
        <v>-2666</v>
      </c>
      <c r="W26" s="48">
        <v>-3743</v>
      </c>
      <c r="X26" s="48">
        <v>-9137</v>
      </c>
      <c r="Y26" s="48">
        <v>-18663</v>
      </c>
      <c r="Z26" s="48">
        <v>-3857</v>
      </c>
      <c r="AA26" s="48">
        <v>-21060</v>
      </c>
      <c r="AB26" s="48">
        <v>-19828</v>
      </c>
      <c r="AC26">
        <v>-26227</v>
      </c>
      <c r="AD26" s="48">
        <v>-2321</v>
      </c>
    </row>
    <row r="27" spans="2:30" x14ac:dyDescent="0.3">
      <c r="B27" s="48" t="s">
        <v>258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0</v>
      </c>
      <c r="T27" s="48">
        <v>-917</v>
      </c>
      <c r="U27" s="48">
        <v>-4428</v>
      </c>
      <c r="V27" s="48">
        <v>-2869</v>
      </c>
      <c r="W27" s="48">
        <v>-3399</v>
      </c>
      <c r="X27" s="48">
        <v>-6143</v>
      </c>
      <c r="Y27" s="48">
        <v>-14792</v>
      </c>
      <c r="Z27" s="48">
        <v>-3376</v>
      </c>
      <c r="AA27" s="48">
        <v>-15773</v>
      </c>
      <c r="AB27" s="48">
        <v>-24776</v>
      </c>
      <c r="AC27" s="48">
        <v>-26097</v>
      </c>
      <c r="AD27" s="48">
        <v>-2183</v>
      </c>
    </row>
    <row r="28" spans="2:30" x14ac:dyDescent="0.3">
      <c r="B28" t="s">
        <v>259</v>
      </c>
      <c r="C28">
        <v>1</v>
      </c>
      <c r="D28">
        <v>1</v>
      </c>
      <c r="E28">
        <v>2</v>
      </c>
      <c r="F28">
        <v>2</v>
      </c>
      <c r="G28">
        <v>2</v>
      </c>
      <c r="H28">
        <v>3</v>
      </c>
      <c r="I28">
        <v>5</v>
      </c>
      <c r="J28">
        <v>9</v>
      </c>
      <c r="K28">
        <v>11</v>
      </c>
      <c r="L28">
        <v>13</v>
      </c>
      <c r="M28">
        <v>19</v>
      </c>
      <c r="N28">
        <v>155</v>
      </c>
      <c r="O28" s="48"/>
      <c r="R28" t="s">
        <v>136</v>
      </c>
      <c r="S28" s="48">
        <v>0</v>
      </c>
      <c r="T28" s="48">
        <v>0</v>
      </c>
      <c r="U28" s="48">
        <v>16</v>
      </c>
      <c r="V28" s="48">
        <v>1</v>
      </c>
      <c r="W28" s="48">
        <v>3</v>
      </c>
      <c r="X28" s="48">
        <v>13</v>
      </c>
      <c r="Y28" s="48">
        <v>4</v>
      </c>
      <c r="Z28" s="48">
        <v>38</v>
      </c>
      <c r="AA28" s="48">
        <v>73</v>
      </c>
      <c r="AB28">
        <v>15</v>
      </c>
      <c r="AC28" s="48">
        <v>105</v>
      </c>
      <c r="AD28" s="48">
        <v>50</v>
      </c>
    </row>
    <row r="29" spans="2:30" x14ac:dyDescent="0.3">
      <c r="B29" t="s">
        <v>260</v>
      </c>
      <c r="C29">
        <v>0</v>
      </c>
      <c r="D29">
        <v>0</v>
      </c>
      <c r="E29">
        <v>0</v>
      </c>
      <c r="F29">
        <v>3</v>
      </c>
      <c r="G29">
        <v>3</v>
      </c>
      <c r="H29">
        <v>3</v>
      </c>
      <c r="I29" s="48">
        <v>3</v>
      </c>
      <c r="J29" s="48">
        <v>3</v>
      </c>
      <c r="K29" s="48">
        <v>3</v>
      </c>
      <c r="L29" s="48">
        <v>3</v>
      </c>
      <c r="M29" s="48">
        <v>3</v>
      </c>
      <c r="N29" s="48">
        <v>4248</v>
      </c>
      <c r="R29" t="s">
        <v>137</v>
      </c>
      <c r="S29" s="48">
        <v>0</v>
      </c>
      <c r="T29" s="48">
        <v>-20</v>
      </c>
      <c r="U29" s="48">
        <v>-13</v>
      </c>
      <c r="V29" s="48">
        <v>-2</v>
      </c>
      <c r="W29" s="48">
        <v>-395</v>
      </c>
      <c r="X29" s="48">
        <v>-14</v>
      </c>
      <c r="Y29" s="48">
        <v>-208</v>
      </c>
      <c r="Z29" s="48">
        <v>-482</v>
      </c>
      <c r="AA29" s="48">
        <v>-74</v>
      </c>
      <c r="AB29" s="48">
        <v>-630</v>
      </c>
      <c r="AC29" s="48">
        <v>0</v>
      </c>
      <c r="AD29" s="48">
        <v>-68173</v>
      </c>
    </row>
    <row r="30" spans="2:30" x14ac:dyDescent="0.3">
      <c r="B30" t="s">
        <v>261</v>
      </c>
      <c r="C30">
        <v>1</v>
      </c>
      <c r="D30">
        <v>2</v>
      </c>
      <c r="E30">
        <v>3</v>
      </c>
      <c r="F30">
        <v>4</v>
      </c>
      <c r="G30">
        <v>5</v>
      </c>
      <c r="H30">
        <v>83</v>
      </c>
      <c r="I30">
        <v>829</v>
      </c>
      <c r="J30">
        <v>831</v>
      </c>
      <c r="K30">
        <v>1336</v>
      </c>
      <c r="L30">
        <v>1738</v>
      </c>
      <c r="M30">
        <v>1941</v>
      </c>
      <c r="N30" s="48">
        <v>1041</v>
      </c>
      <c r="O30" s="48"/>
      <c r="R30" t="s">
        <v>138</v>
      </c>
      <c r="S30" s="48">
        <v>0</v>
      </c>
      <c r="T30" s="48">
        <v>0</v>
      </c>
      <c r="U30" s="48">
        <v>0</v>
      </c>
      <c r="V30" s="48">
        <v>14</v>
      </c>
      <c r="W30" s="48">
        <v>0</v>
      </c>
      <c r="X30" s="48">
        <v>0</v>
      </c>
      <c r="Y30" s="48">
        <v>0</v>
      </c>
      <c r="Z30" s="48">
        <v>0</v>
      </c>
      <c r="AA30" s="48">
        <v>84</v>
      </c>
      <c r="AB30" s="48">
        <v>0</v>
      </c>
      <c r="AC30" s="48">
        <v>315</v>
      </c>
      <c r="AD30" s="48">
        <v>65737</v>
      </c>
    </row>
    <row r="31" spans="2:30" x14ac:dyDescent="0.3">
      <c r="B31" t="s">
        <v>262</v>
      </c>
      <c r="C31" s="48">
        <v>2793</v>
      </c>
      <c r="D31" s="48">
        <v>4671</v>
      </c>
      <c r="E31" s="48">
        <v>9995</v>
      </c>
      <c r="F31" s="48">
        <v>12329</v>
      </c>
      <c r="G31" s="48">
        <v>14888</v>
      </c>
      <c r="H31" s="48">
        <v>19245</v>
      </c>
      <c r="I31" s="48">
        <v>32105</v>
      </c>
      <c r="J31" s="48">
        <v>53261</v>
      </c>
      <c r="K31" s="48">
        <v>69064</v>
      </c>
      <c r="L31" s="48">
        <v>89190</v>
      </c>
      <c r="M31" s="48">
        <v>114778</v>
      </c>
      <c r="N31" s="48">
        <v>35672</v>
      </c>
      <c r="O31" s="73"/>
      <c r="R31" t="s">
        <v>139</v>
      </c>
      <c r="S31">
        <v>0</v>
      </c>
      <c r="T31">
        <v>5</v>
      </c>
      <c r="U31" s="48">
        <v>17</v>
      </c>
      <c r="V31" s="48">
        <v>35</v>
      </c>
      <c r="W31" s="48">
        <v>45</v>
      </c>
      <c r="X31" s="48">
        <v>291</v>
      </c>
      <c r="Y31" s="48">
        <v>249</v>
      </c>
      <c r="Z31" s="48">
        <v>709</v>
      </c>
      <c r="AA31" s="48">
        <v>807</v>
      </c>
      <c r="AB31" s="48">
        <v>722</v>
      </c>
      <c r="AC31" s="48">
        <v>227</v>
      </c>
      <c r="AD31" s="48">
        <v>917</v>
      </c>
    </row>
    <row r="32" spans="2:30" x14ac:dyDescent="0.3">
      <c r="B32" s="48" t="s">
        <v>263</v>
      </c>
      <c r="C32" s="48">
        <v>12</v>
      </c>
      <c r="D32" s="48">
        <v>330</v>
      </c>
      <c r="E32" s="48">
        <v>875</v>
      </c>
      <c r="F32" s="48">
        <v>1941</v>
      </c>
      <c r="G32" s="48">
        <v>2334</v>
      </c>
      <c r="H32" s="48">
        <v>2816</v>
      </c>
      <c r="I32" s="48">
        <v>3653</v>
      </c>
      <c r="J32" s="48">
        <v>4925</v>
      </c>
      <c r="K32" s="48">
        <v>6780</v>
      </c>
      <c r="L32" s="48">
        <v>9276</v>
      </c>
      <c r="M32" s="48">
        <v>12640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v>2781</v>
      </c>
      <c r="D33" s="48">
        <v>4341</v>
      </c>
      <c r="E33" s="48">
        <v>9120</v>
      </c>
      <c r="F33" s="48">
        <v>10388</v>
      </c>
      <c r="G33" s="48">
        <v>12554</v>
      </c>
      <c r="H33" s="48">
        <v>16429</v>
      </c>
      <c r="I33" s="48">
        <v>28452</v>
      </c>
      <c r="J33" s="48">
        <v>48336</v>
      </c>
      <c r="K33" s="48">
        <v>62284</v>
      </c>
      <c r="L33" s="48">
        <v>79914</v>
      </c>
      <c r="M33" s="48">
        <v>102138</v>
      </c>
      <c r="N33" s="48">
        <f t="shared" ref="D33:N33" si="1">N31-N32</f>
        <v>22442</v>
      </c>
      <c r="O33" s="48"/>
      <c r="R33" t="s">
        <v>8599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0</v>
      </c>
      <c r="T34" s="48">
        <v>-580</v>
      </c>
      <c r="U34" s="48">
        <v>-20</v>
      </c>
      <c r="V34" s="48">
        <v>155</v>
      </c>
      <c r="W34" s="48">
        <v>-285</v>
      </c>
      <c r="X34" s="48">
        <v>-2848</v>
      </c>
      <c r="Y34" s="48">
        <v>1705</v>
      </c>
      <c r="Z34" s="48">
        <v>-746</v>
      </c>
      <c r="AA34" s="48">
        <v>-6177</v>
      </c>
      <c r="AB34" s="48">
        <v>4841</v>
      </c>
      <c r="AC34" s="48">
        <v>-777</v>
      </c>
      <c r="AD34" s="48">
        <v>-183</v>
      </c>
    </row>
    <row r="35" spans="2:58" x14ac:dyDescent="0.3">
      <c r="B35" t="s">
        <v>264</v>
      </c>
      <c r="C35" s="48">
        <v>1962</v>
      </c>
      <c r="D35" s="48">
        <v>267</v>
      </c>
      <c r="E35" s="48">
        <v>1725</v>
      </c>
      <c r="F35" s="48">
        <v>743</v>
      </c>
      <c r="G35" s="48">
        <v>1208</v>
      </c>
      <c r="H35" s="48">
        <v>4452</v>
      </c>
      <c r="I35" s="48">
        <v>19899</v>
      </c>
      <c r="J35" s="48">
        <v>5291</v>
      </c>
      <c r="K35" s="48">
        <v>6427</v>
      </c>
      <c r="L35" s="48">
        <v>14480</v>
      </c>
      <c r="M35" s="48">
        <v>19031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7</v>
      </c>
      <c r="D36" s="48">
        <v>26</v>
      </c>
      <c r="E36" s="48">
        <v>87</v>
      </c>
      <c r="F36" s="48">
        <v>77</v>
      </c>
      <c r="G36" s="48">
        <v>477</v>
      </c>
      <c r="H36" s="48">
        <v>502</v>
      </c>
      <c r="I36" s="48">
        <v>574</v>
      </c>
      <c r="J36" s="48">
        <v>1149</v>
      </c>
      <c r="K36" s="48">
        <v>1515</v>
      </c>
      <c r="L36" s="48">
        <v>2743</v>
      </c>
      <c r="M36" s="48">
        <v>2983</v>
      </c>
      <c r="N36" s="48">
        <v>38128</v>
      </c>
      <c r="O36" s="48"/>
      <c r="R36" t="s">
        <v>142</v>
      </c>
      <c r="S36" s="48">
        <v>0</v>
      </c>
      <c r="T36" s="48">
        <v>1559</v>
      </c>
      <c r="U36" s="48">
        <v>3942</v>
      </c>
      <c r="V36" s="48">
        <v>1045</v>
      </c>
      <c r="W36" s="48">
        <v>2161</v>
      </c>
      <c r="X36" s="48">
        <v>7083</v>
      </c>
      <c r="Y36" s="48">
        <v>15986</v>
      </c>
      <c r="Z36" s="48">
        <v>-2973</v>
      </c>
      <c r="AA36">
        <v>13953</v>
      </c>
      <c r="AB36" s="48">
        <v>12068</v>
      </c>
      <c r="AC36">
        <v>15615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1114</v>
      </c>
      <c r="U37" s="48">
        <v>103</v>
      </c>
      <c r="V37" s="48">
        <v>0</v>
      </c>
      <c r="W37" s="48">
        <v>0</v>
      </c>
      <c r="X37" s="48">
        <v>5</v>
      </c>
      <c r="Y37" s="48">
        <v>0</v>
      </c>
      <c r="Z37" s="48">
        <v>3898</v>
      </c>
      <c r="AA37" s="48">
        <v>0</v>
      </c>
      <c r="AB37" s="48">
        <v>0</v>
      </c>
      <c r="AC37" s="48">
        <v>0</v>
      </c>
      <c r="AD37" s="48">
        <v>-16147</v>
      </c>
    </row>
    <row r="38" spans="2:58" x14ac:dyDescent="0.3">
      <c r="B38" t="s">
        <v>265</v>
      </c>
      <c r="C38" s="73">
        <v>819</v>
      </c>
      <c r="D38" s="73">
        <v>1525</v>
      </c>
      <c r="E38" s="73">
        <v>4777</v>
      </c>
      <c r="F38" s="73">
        <v>3449</v>
      </c>
      <c r="G38" s="73">
        <v>4185</v>
      </c>
      <c r="H38" s="73">
        <v>7309</v>
      </c>
      <c r="I38" s="73">
        <v>10029</v>
      </c>
      <c r="J38" s="73">
        <v>12133</v>
      </c>
      <c r="K38" s="73">
        <v>17860</v>
      </c>
      <c r="L38" s="73">
        <v>13627</v>
      </c>
      <c r="M38" s="73">
        <v>18836</v>
      </c>
      <c r="N38" s="73">
        <v>31464</v>
      </c>
      <c r="O38" s="48"/>
      <c r="R38" t="s">
        <v>144</v>
      </c>
      <c r="S38">
        <v>0</v>
      </c>
      <c r="T38">
        <v>1686</v>
      </c>
      <c r="U38" s="48">
        <v>10039</v>
      </c>
      <c r="V38">
        <v>8245</v>
      </c>
      <c r="W38">
        <v>12295</v>
      </c>
      <c r="X38">
        <v>12530</v>
      </c>
      <c r="Y38">
        <v>33148</v>
      </c>
      <c r="Z38">
        <v>20837</v>
      </c>
      <c r="AA38" s="48">
        <v>26838</v>
      </c>
      <c r="AB38" s="48">
        <v>39199</v>
      </c>
      <c r="AC38">
        <v>37391</v>
      </c>
      <c r="AD38">
        <v>405</v>
      </c>
    </row>
    <row r="39" spans="2:58" x14ac:dyDescent="0.3">
      <c r="B39" t="s">
        <v>266</v>
      </c>
      <c r="C39" s="48">
        <v>401</v>
      </c>
      <c r="D39" s="48">
        <v>0</v>
      </c>
      <c r="E39" s="48">
        <v>1692</v>
      </c>
      <c r="F39" s="48">
        <v>136</v>
      </c>
      <c r="G39" s="48">
        <v>104</v>
      </c>
      <c r="H39" s="48">
        <v>29</v>
      </c>
      <c r="I39" s="48">
        <v>17</v>
      </c>
      <c r="J39" s="48">
        <v>52</v>
      </c>
      <c r="K39" s="48">
        <v>291</v>
      </c>
      <c r="L39" s="48">
        <v>101</v>
      </c>
      <c r="M39" s="48">
        <v>136</v>
      </c>
      <c r="N39" s="48">
        <v>18623</v>
      </c>
      <c r="O39" s="48"/>
      <c r="R39" t="s">
        <v>145</v>
      </c>
      <c r="S39">
        <v>0</v>
      </c>
      <c r="T39">
        <v>-871</v>
      </c>
      <c r="U39">
        <v>-5646</v>
      </c>
      <c r="V39">
        <v>-5942</v>
      </c>
      <c r="W39">
        <v>-8897</v>
      </c>
      <c r="X39">
        <v>-3369</v>
      </c>
      <c r="Y39">
        <v>-13915</v>
      </c>
      <c r="Z39">
        <v>-22304</v>
      </c>
      <c r="AA39">
        <v>-12903</v>
      </c>
      <c r="AB39">
        <v>-25015</v>
      </c>
      <c r="AC39">
        <v>-20093</v>
      </c>
      <c r="AD39" s="48">
        <v>2120</v>
      </c>
    </row>
    <row r="40" spans="2:58" x14ac:dyDescent="0.3">
      <c r="B40" t="s">
        <v>267</v>
      </c>
      <c r="C40" s="48">
        <v>64</v>
      </c>
      <c r="D40" s="48">
        <v>336</v>
      </c>
      <c r="E40" s="48">
        <v>848</v>
      </c>
      <c r="F40" s="48">
        <v>758</v>
      </c>
      <c r="G40" s="48">
        <v>740</v>
      </c>
      <c r="H40" s="48">
        <v>1203</v>
      </c>
      <c r="I40" s="48">
        <v>1809</v>
      </c>
      <c r="J40" s="48">
        <v>2206</v>
      </c>
      <c r="K40" s="48">
        <v>1342</v>
      </c>
      <c r="L40" s="48">
        <v>1540</v>
      </c>
      <c r="M40" s="48">
        <v>2129</v>
      </c>
      <c r="N40" s="48">
        <v>3923</v>
      </c>
      <c r="O40" s="48"/>
      <c r="R40" t="s">
        <v>146</v>
      </c>
      <c r="S40">
        <v>0</v>
      </c>
      <c r="T40">
        <v>0</v>
      </c>
      <c r="U40">
        <v>-404</v>
      </c>
      <c r="V40" s="48">
        <v>-1257</v>
      </c>
      <c r="W40">
        <v>-1109</v>
      </c>
      <c r="X40">
        <v>-1632</v>
      </c>
      <c r="Y40" s="48">
        <v>-3202</v>
      </c>
      <c r="Z40">
        <v>-5139</v>
      </c>
      <c r="AA40" s="48">
        <v>-4601</v>
      </c>
      <c r="AB40" s="48">
        <v>-4965</v>
      </c>
      <c r="AC40" s="48">
        <v>-7434</v>
      </c>
      <c r="AD40" s="48">
        <v>-105</v>
      </c>
    </row>
    <row r="41" spans="2:58" x14ac:dyDescent="0.3">
      <c r="B41" t="s">
        <v>268</v>
      </c>
      <c r="C41" s="48">
        <v>106</v>
      </c>
      <c r="D41" s="48">
        <v>187</v>
      </c>
      <c r="E41" s="48">
        <v>457</v>
      </c>
      <c r="F41" s="48">
        <v>361</v>
      </c>
      <c r="G41" s="48">
        <v>695</v>
      </c>
      <c r="H41" s="48">
        <v>1019</v>
      </c>
      <c r="I41" s="48">
        <v>1593</v>
      </c>
      <c r="J41" s="48">
        <v>1984</v>
      </c>
      <c r="K41" s="48">
        <v>8764</v>
      </c>
      <c r="L41" s="48">
        <v>3332</v>
      </c>
      <c r="M41" s="48">
        <v>2766</v>
      </c>
      <c r="N41" s="48">
        <v>3009</v>
      </c>
      <c r="O41" s="48"/>
      <c r="R41" t="s">
        <v>147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-332</v>
      </c>
      <c r="AD41" s="48">
        <v>-82</v>
      </c>
    </row>
    <row r="42" spans="2:58" x14ac:dyDescent="0.3">
      <c r="B42" t="s">
        <v>269</v>
      </c>
      <c r="C42" s="48">
        <v>2</v>
      </c>
      <c r="D42" s="48">
        <v>540</v>
      </c>
      <c r="E42" s="48">
        <v>441</v>
      </c>
      <c r="F42" s="48">
        <v>476</v>
      </c>
      <c r="G42" s="48">
        <v>219</v>
      </c>
      <c r="H42" s="48">
        <v>274</v>
      </c>
      <c r="I42" s="48">
        <v>405</v>
      </c>
      <c r="J42" s="48">
        <v>219</v>
      </c>
      <c r="K42" s="48">
        <v>203</v>
      </c>
      <c r="L42" s="48">
        <v>320</v>
      </c>
      <c r="M42" s="48">
        <v>520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246</v>
      </c>
      <c r="D43" s="48">
        <v>462</v>
      </c>
      <c r="E43" s="48">
        <v>1338</v>
      </c>
      <c r="F43" s="48">
        <v>1718</v>
      </c>
      <c r="G43" s="48">
        <v>2427</v>
      </c>
      <c r="H43" s="48">
        <v>4784</v>
      </c>
      <c r="I43" s="48">
        <v>6205</v>
      </c>
      <c r="J43" s="48">
        <v>7672</v>
      </c>
      <c r="K43" s="48">
        <v>7260</v>
      </c>
      <c r="L43" s="48">
        <v>8334</v>
      </c>
      <c r="M43" s="48">
        <v>13285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5569</v>
      </c>
      <c r="D44" s="48">
        <v>6160</v>
      </c>
      <c r="E44" s="48">
        <v>15709</v>
      </c>
      <c r="F44" s="48">
        <v>14658</v>
      </c>
      <c r="G44" s="48">
        <v>18424</v>
      </c>
      <c r="H44" s="48">
        <v>28692</v>
      </c>
      <c r="I44" s="48">
        <v>58954</v>
      </c>
      <c r="J44" s="48">
        <v>66909</v>
      </c>
      <c r="K44" s="48">
        <v>88086</v>
      </c>
      <c r="L44" s="48">
        <v>110764</v>
      </c>
      <c r="M44" s="48">
        <v>142988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0</v>
      </c>
      <c r="T45">
        <v>76</v>
      </c>
      <c r="U45">
        <v>162</v>
      </c>
      <c r="V45">
        <v>3</v>
      </c>
      <c r="W45">
        <v>383</v>
      </c>
      <c r="X45">
        <v>-453</v>
      </c>
      <c r="Y45">
        <v>383</v>
      </c>
      <c r="Z45">
        <v>435</v>
      </c>
      <c r="AA45">
        <v>606</v>
      </c>
      <c r="AB45">
        <v>604</v>
      </c>
      <c r="AC45">
        <v>-477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8611</v>
      </c>
      <c r="M56">
        <v>1334</v>
      </c>
      <c r="N56">
        <v>164.7</v>
      </c>
      <c r="AR56">
        <v>398421.79</v>
      </c>
      <c r="AS56">
        <f>AZ56-BA56</f>
        <v>79684.36</v>
      </c>
      <c r="AT56">
        <f>AR56+AS56</f>
        <v>478106.14999999997</v>
      </c>
      <c r="AU56">
        <v>75607.56</v>
      </c>
      <c r="AV56">
        <f t="shared" ref="AV56:AV65" si="2">AT56/AX56</f>
        <v>27764.584785133564</v>
      </c>
      <c r="AW56">
        <v>19466.400000000001</v>
      </c>
      <c r="AX56">
        <v>17.22</v>
      </c>
      <c r="AZ56">
        <v>99605.45</v>
      </c>
      <c r="BA56">
        <v>19921.09</v>
      </c>
    </row>
    <row r="57" spans="11:58" x14ac:dyDescent="0.3">
      <c r="K57">
        <v>1</v>
      </c>
      <c r="L57" t="s">
        <v>8613</v>
      </c>
      <c r="M57">
        <v>206.6</v>
      </c>
      <c r="N57">
        <v>1928.47</v>
      </c>
      <c r="AR57">
        <v>313832.59999999998</v>
      </c>
      <c r="AS57">
        <f>AZ57-BA57</f>
        <v>62766.52</v>
      </c>
      <c r="AT57">
        <f>AR57+AS57</f>
        <v>376599.12</v>
      </c>
      <c r="AU57">
        <v>202963.84</v>
      </c>
      <c r="AV57">
        <f t="shared" si="2"/>
        <v>42219.632286995518</v>
      </c>
      <c r="AW57">
        <v>27585.759999999998</v>
      </c>
      <c r="AX57">
        <v>8.92</v>
      </c>
      <c r="AZ57">
        <v>78458.149999999994</v>
      </c>
      <c r="BA57">
        <v>15691.63</v>
      </c>
    </row>
    <row r="58" spans="11:58" x14ac:dyDescent="0.3">
      <c r="K58">
        <v>2</v>
      </c>
      <c r="L58" t="s">
        <v>4611</v>
      </c>
      <c r="M58">
        <v>323.64999999999998</v>
      </c>
      <c r="N58">
        <v>969.67</v>
      </c>
      <c r="AR58">
        <v>251395.32</v>
      </c>
      <c r="AS58">
        <f>AZ58-BA58</f>
        <v>50279.06</v>
      </c>
      <c r="AT58">
        <f>AR58+AS58</f>
        <v>301674.38</v>
      </c>
      <c r="AU58">
        <v>45986.879999999997</v>
      </c>
      <c r="AV58">
        <f t="shared" si="2"/>
        <v>33151.030769230769</v>
      </c>
      <c r="AW58">
        <v>14393.68</v>
      </c>
      <c r="AX58">
        <v>9.1</v>
      </c>
      <c r="AZ58">
        <v>62848.83</v>
      </c>
      <c r="BA58">
        <v>12569.77</v>
      </c>
    </row>
    <row r="59" spans="11:58" x14ac:dyDescent="0.3">
      <c r="K59">
        <v>3</v>
      </c>
      <c r="L59" t="s">
        <v>8614</v>
      </c>
      <c r="M59">
        <v>270.3</v>
      </c>
      <c r="N59">
        <v>930.06</v>
      </c>
      <c r="AR59">
        <v>219815.66</v>
      </c>
      <c r="AS59">
        <f>AZ59-BA59</f>
        <v>100779</v>
      </c>
      <c r="AT59">
        <f>AR59+AS59</f>
        <v>320594.66000000003</v>
      </c>
      <c r="AU59">
        <v>17724</v>
      </c>
      <c r="AV59">
        <f t="shared" si="2"/>
        <v>43382.22733423546</v>
      </c>
      <c r="AW59">
        <v>3932</v>
      </c>
      <c r="AX59">
        <v>7.39</v>
      </c>
      <c r="AZ59">
        <v>103545</v>
      </c>
      <c r="BA59">
        <v>2766</v>
      </c>
    </row>
    <row r="60" spans="11:58" x14ac:dyDescent="0.3">
      <c r="K60">
        <v>4</v>
      </c>
      <c r="L60" t="s">
        <v>8615</v>
      </c>
      <c r="M60">
        <v>1334.5</v>
      </c>
      <c r="N60">
        <v>164.72</v>
      </c>
      <c r="AR60">
        <v>175628.49</v>
      </c>
      <c r="AS60">
        <f>AZ60-BA60</f>
        <v>35125.700000000004</v>
      </c>
      <c r="AT60">
        <f>AR60+AS60</f>
        <v>210754.19</v>
      </c>
      <c r="AU60">
        <v>38844.32</v>
      </c>
      <c r="AV60">
        <f t="shared" si="2"/>
        <v>21839.812435233162</v>
      </c>
      <c r="AW60">
        <v>4946.24</v>
      </c>
      <c r="AX60">
        <v>9.65</v>
      </c>
      <c r="AZ60">
        <v>43907.12</v>
      </c>
      <c r="BA60">
        <v>8781.42</v>
      </c>
    </row>
    <row r="61" spans="11:58" x14ac:dyDescent="0.3">
      <c r="K61">
        <v>5</v>
      </c>
      <c r="L61" t="s">
        <v>8616</v>
      </c>
      <c r="M61">
        <v>1436.1</v>
      </c>
      <c r="N61">
        <v>122.3</v>
      </c>
      <c r="AR61">
        <v>119761.33</v>
      </c>
      <c r="AS61">
        <f>AZ61-BA61</f>
        <v>23952.260000000002</v>
      </c>
      <c r="AT61">
        <f>AR61+AS61</f>
        <v>143713.59</v>
      </c>
      <c r="AU61">
        <v>76205.039999999994</v>
      </c>
      <c r="AV61">
        <f t="shared" si="2"/>
        <v>13648.014245014245</v>
      </c>
      <c r="AW61">
        <v>5603.44</v>
      </c>
      <c r="AX61">
        <v>10.53</v>
      </c>
      <c r="AZ61">
        <v>29940.33</v>
      </c>
      <c r="BA61">
        <v>5988.07</v>
      </c>
    </row>
    <row r="62" spans="11:58" x14ac:dyDescent="0.3">
      <c r="K62">
        <v>6</v>
      </c>
      <c r="L62" t="s">
        <v>8617</v>
      </c>
      <c r="M62">
        <v>374.8</v>
      </c>
      <c r="N62">
        <v>319.52999999999997</v>
      </c>
      <c r="AR62">
        <v>96441.19</v>
      </c>
      <c r="AS62">
        <f>AZ62-BA62</f>
        <v>19288.239999999998</v>
      </c>
      <c r="AT62">
        <f>AR62+AS62</f>
        <v>115729.43</v>
      </c>
      <c r="AU62">
        <v>20828.52</v>
      </c>
      <c r="AV62">
        <f t="shared" si="2"/>
        <v>14182.528186274509</v>
      </c>
      <c r="AW62">
        <v>2130.8000000000002</v>
      </c>
      <c r="AX62">
        <v>8.16</v>
      </c>
      <c r="AZ62">
        <v>24110.3</v>
      </c>
      <c r="BA62">
        <v>4822.0600000000004</v>
      </c>
    </row>
    <row r="63" spans="11:58" x14ac:dyDescent="0.3">
      <c r="K63">
        <v>7</v>
      </c>
      <c r="L63" t="s">
        <v>8618</v>
      </c>
      <c r="M63">
        <v>526</v>
      </c>
      <c r="N63">
        <v>183.35</v>
      </c>
      <c r="AR63">
        <v>77296.539999999994</v>
      </c>
      <c r="AS63">
        <f>AZ63-BA63</f>
        <v>15459.300000000001</v>
      </c>
      <c r="AT63">
        <f>AR63+AS63</f>
        <v>92755.839999999997</v>
      </c>
      <c r="AU63">
        <v>15233.24</v>
      </c>
      <c r="AV63">
        <f t="shared" si="2"/>
        <v>16131.450434782608</v>
      </c>
      <c r="AW63">
        <v>4712.3599999999997</v>
      </c>
      <c r="AX63">
        <v>5.75</v>
      </c>
      <c r="AZ63">
        <v>19324.13</v>
      </c>
      <c r="BA63">
        <v>3864.83</v>
      </c>
    </row>
    <row r="64" spans="11:58" x14ac:dyDescent="0.3">
      <c r="K64">
        <v>8</v>
      </c>
      <c r="L64" t="s">
        <v>8619</v>
      </c>
      <c r="M64">
        <v>76.95</v>
      </c>
      <c r="N64">
        <v>1004.5</v>
      </c>
      <c r="AR64">
        <v>74615.149999999994</v>
      </c>
      <c r="AS64">
        <f>AZ64-BA64</f>
        <v>14923.03</v>
      </c>
      <c r="AT64">
        <f>AR64+AS64</f>
        <v>89538.18</v>
      </c>
      <c r="AU64">
        <v>4427.4399999999996</v>
      </c>
      <c r="AV64">
        <f t="shared" si="2"/>
        <v>25151.174157303369</v>
      </c>
      <c r="AW64">
        <v>1219.3599999999999</v>
      </c>
      <c r="AX64">
        <v>3.56</v>
      </c>
      <c r="AZ64">
        <v>18653.79</v>
      </c>
      <c r="BA64">
        <v>3730.76</v>
      </c>
    </row>
    <row r="65" spans="11:53" x14ac:dyDescent="0.3">
      <c r="K65">
        <v>9</v>
      </c>
      <c r="L65" t="s">
        <v>8620</v>
      </c>
      <c r="M65">
        <v>88.55</v>
      </c>
      <c r="N65">
        <v>842.63</v>
      </c>
      <c r="AR65">
        <v>63431.38</v>
      </c>
      <c r="AS65">
        <f>AZ65-BA65</f>
        <v>12686.27</v>
      </c>
      <c r="AT65">
        <f>AR65+AS65</f>
        <v>76117.649999999994</v>
      </c>
      <c r="AU65">
        <v>32496.6</v>
      </c>
      <c r="AV65">
        <f t="shared" si="2"/>
        <v>5572.3023426061491</v>
      </c>
      <c r="AW65">
        <v>2647.4</v>
      </c>
      <c r="AX65">
        <v>13.66</v>
      </c>
      <c r="AZ65">
        <v>15857.84</v>
      </c>
      <c r="BA65">
        <v>3171.57</v>
      </c>
    </row>
    <row r="66" spans="11:53" x14ac:dyDescent="0.3">
      <c r="K66">
        <v>10</v>
      </c>
      <c r="L66" t="s">
        <v>8621</v>
      </c>
      <c r="M66">
        <v>1258.8</v>
      </c>
      <c r="N66">
        <v>50.39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2026-09-19T14:15:20Z</dcterms:modified>
</cp:coreProperties>
</file>