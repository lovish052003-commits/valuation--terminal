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6.xml" ContentType="application/vnd.openxmlformats-officedocument.drawing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drawings/drawing8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Quarter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Customization" sheetId="6" state="visible" r:id="rId6"/>
    <sheet xmlns:r="http://schemas.openxmlformats.org/officeDocument/2006/relationships" name="Common Size Statement" sheetId="7" state="visible" r:id="rId7"/>
    <sheet xmlns:r="http://schemas.openxmlformats.org/officeDocument/2006/relationships" name="Data Sheet" sheetId="8" state="visible" r:id="rId8"/>
    <sheet xmlns:r="http://schemas.openxmlformats.org/officeDocument/2006/relationships" name="Cash Flow Statement" sheetId="9" state="visible" r:id="rId9"/>
    <sheet xmlns:r="http://schemas.openxmlformats.org/officeDocument/2006/relationships" name="Historical FS" sheetId="10" state="visible" r:id="rId10"/>
    <sheet xmlns:r="http://schemas.openxmlformats.org/officeDocument/2006/relationships" name="Ratio Analysis" sheetId="11" state="visible" r:id="rId11"/>
    <sheet xmlns:r="http://schemas.openxmlformats.org/officeDocument/2006/relationships" name="Forecasting" sheetId="12" state="visible" r:id="rId12"/>
    <sheet xmlns:r="http://schemas.openxmlformats.org/officeDocument/2006/relationships" name="Rm" sheetId="13" state="visible" r:id="rId13"/>
    <sheet xmlns:r="http://schemas.openxmlformats.org/officeDocument/2006/relationships" name="Beta-Regression" sheetId="14" state="visible" r:id="rId14"/>
    <sheet xmlns:r="http://schemas.openxmlformats.org/officeDocument/2006/relationships" name="WACC" sheetId="15" state="visible" r:id="rId15"/>
    <sheet xmlns:r="http://schemas.openxmlformats.org/officeDocument/2006/relationships" name="Intrinsic Valuation" sheetId="16" state="visible" r:id="rId16"/>
    <sheet xmlns:r="http://schemas.openxmlformats.org/officeDocument/2006/relationships" name="DCF" sheetId="17" state="visible" r:id="rId17"/>
    <sheet xmlns:r="http://schemas.openxmlformats.org/officeDocument/2006/relationships" name="Raw Data" sheetId="18" state="visible" r:id="rId18"/>
    <sheet xmlns:r="http://schemas.openxmlformats.org/officeDocument/2006/relationships" name="Comp_Valuation" sheetId="19" state="visible" r:id="rId19"/>
    <sheet xmlns:r="http://schemas.openxmlformats.org/officeDocument/2006/relationships" name="Dupont Analysis" sheetId="20" state="visible" r:id="rId20"/>
    <sheet xmlns:r="http://schemas.openxmlformats.org/officeDocument/2006/relationships" name="Altman's Z Score" sheetId="21" state="visible" r:id="rId21"/>
    <sheet xmlns:r="http://schemas.openxmlformats.org/officeDocument/2006/relationships" name="Raw FS" sheetId="22" state="visible" r:id="rId22"/>
    <sheet xmlns:r="http://schemas.openxmlformats.org/officeDocument/2006/relationships" name="List of Stocks" sheetId="23" state="visible" r:id="rId23"/>
  </sheets>
  <definedNames>
    <definedName name="UPDATE">'Data Sheet'!$E$1</definedName>
    <definedName name="CURRENT_PRICE">'Data Sheet'!$B$8</definedName>
    <definedName name="MARKET_CAP">'Data Sheet'!$B$9</definedName>
    <definedName name="SHARES_OUTSTANDING">'Data Sheet'!$B$6</definedName>
    <definedName name="TOTAL_DEBT">'Data Sheet'!$K$59</definedName>
    <definedName name="CASH">'Data Sheet'!$K$85</definedName>
    <definedName name="REVENUE">'Data Sheet'!$K$17</definedName>
    <definedName name="EBITDA">'Data Sheet'!$K$32</definedName>
    <definedName name="NET_INCOME">'Data Sheet'!$K$30</definedName>
    <definedName name="TOTAL_ASSETS">'Data Sheet'!$K$66</definedName>
    <definedName name="TOTAL_EQUITY">'Data Sheet'!$K$58</definedName>
    <definedName name="TOTAL_LIABILITIES">'Data Sheet'!$K$61</definedName>
    <definedName name="CURRENT_ASSETS">'Data Sheet'!$K$65</definedName>
    <definedName name="CURRENT_LIABILITIES">'Data Sheet'!$K$60</definedName>
    <definedName name="UPDATE" localSheetId="22">#REF!</definedName>
    <definedName name="_xlnm._FilterDatabase" localSheetId="22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  <numFmt numFmtId="177" formatCode="+0.0%;-0.0%;0.0%"/>
  </numFmts>
  <fonts count="2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color theme="1"/>
      <sz val="11"/>
    </font>
  </fonts>
  <fills count="1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06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20" fillId="15" borderId="0" applyAlignment="1" pivotButton="0" quotePrefix="0" xfId="0">
      <alignment horizontal="center"/>
    </xf>
    <xf numFmtId="174" fontId="0" fillId="0" borderId="0" pivotButton="0" quotePrefix="0" xfId="0"/>
    <xf numFmtId="174" fontId="22" fillId="15" borderId="0" applyAlignment="1" pivotButton="0" quotePrefix="0" xfId="0">
      <alignment horizontal="center"/>
    </xf>
    <xf numFmtId="175" fontId="0" fillId="0" borderId="0" pivotButton="0" quotePrefix="0" xfId="0"/>
    <xf numFmtId="175" fontId="22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2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4" fontId="0" fillId="0" borderId="0" pivotButton="0" quotePrefix="0" xfId="0"/>
    <xf numFmtId="176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  <xf numFmtId="177" fontId="0" fillId="0" borderId="0" pivotButton="0" quotePrefix="0" xfId="0"/>
    <xf numFmtId="49" fontId="22" fillId="15" borderId="0" applyAlignment="1" pivotButton="0" quotePrefix="0" xfId="0">
      <alignment horizontal="center"/>
    </xf>
    <xf numFmtId="10" fontId="23" fillId="14" borderId="0" applyAlignment="1" pivotButton="0" quotePrefix="0" xfId="0">
      <alignment horizontal="center"/>
    </xf>
    <xf numFmtId="0" fontId="24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13488</v>
                </pt>
                <pt idx="1">
                  <v>14500</v>
                </pt>
                <pt idx="2">
                  <v>14680</v>
                </pt>
                <pt idx="3">
                  <v>14334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87381</v>
                </pt>
                <pt idx="1">
                  <v>107705</v>
                </pt>
                <pt idx="2">
                  <v>123160</v>
                </pt>
                <pt idx="3">
                  <v>139948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0.2076146937267669</v>
                </pt>
                <pt idx="1">
                  <v>0.1809830500012481</v>
                </pt>
                <pt idx="2">
                  <v>0.1614286656843124</v>
                </pt>
                <pt idx="3">
                  <v>0.14094672461602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0.154358498987194</v>
                </pt>
                <pt idx="1">
                  <v>0.1346269903904183</v>
                </pt>
                <pt idx="2">
                  <v>0.119194543683014</v>
                </pt>
                <pt idx="3">
                  <v>0.1024237573956041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1.345016277620004</v>
                </pt>
                <pt idx="1">
                  <v>1.344329613819616</v>
                </pt>
                <pt idx="2">
                  <v>1.354329323275199</v>
                </pt>
                <pt idx="3">
                  <v>1.376113591221066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74443</v>
                </pt>
                <pt idx="1">
                  <v>85479</v>
                </pt>
                <pt idx="2">
                  <v>96083</v>
                </pt>
                <pt idx="3">
                  <v>106999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11.33492423144602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10.19092664471105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11.78202109946409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10.38082548309179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10.76067826670501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1.586074796399486</v>
                </pt>
                <pt idx="1">
                  <v>1.417077897428725</v>
                </pt>
                <pt idx="2">
                  <v>1.32617255255672</v>
                </pt>
                <pt idx="3">
                  <v>1.399187885449106</v>
                </pt>
                <pt idx="4">
                  <v>1.324429070392262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9.587511547011632</v>
                </pt>
                <pt idx="1">
                  <v>8.860145661771186</v>
                </pt>
                <pt idx="2">
                  <v>9.863153893287</v>
                </pt>
                <pt idx="3">
                  <v>9.054092163519357</v>
                </pt>
                <pt idx="4">
                  <v>9.103688663408285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..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..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..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..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..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..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Relationship Type="http://schemas.openxmlformats.org/officeDocument/2006/relationships/chart" Target="../charts/chart6.xml" Id="rId6"/><Relationship Type="http://schemas.openxmlformats.org/officeDocument/2006/relationships/chart" Target="../charts/chart7.xml" Id="rId7"/><Relationship Type="http://schemas.openxmlformats.org/officeDocument/2006/relationships/chart" Target="../charts/chart8.xml" Id="rId8"/><Relationship Type="http://schemas.openxmlformats.org/officeDocument/2006/relationships/chart" Target="../charts/chart9.xml" Id="rId9"/><Relationship Type="http://schemas.openxmlformats.org/officeDocument/2006/relationships/image" Target="..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../charts/chart10.xml" Id="rId1"/><Relationship Type="http://schemas.openxmlformats.org/officeDocument/2006/relationships/chart" Target="../charts/chart11.xml" Id="rId2"/><Relationship Type="http://schemas.openxmlformats.org/officeDocument/2006/relationships/chart" Target="../charts/chart12.xml" Id="rId3"/><Relationship Type="http://schemas.openxmlformats.org/officeDocument/2006/relationships/chart" Target="../charts/chart13.xml" Id="rId4"/><Relationship Type="http://schemas.openxmlformats.org/officeDocument/2006/relationships/chart" Target="../charts/chart14.xml" Id="rId5"/><Relationship Type="http://schemas.openxmlformats.org/officeDocument/2006/relationships/chart" Target="../charts/chart15.xml" Id="rId6"/><Relationship Type="http://schemas.openxmlformats.org/officeDocument/2006/relationships/chart" Target="../charts/chart16.xml" Id="rId7"/><Relationship Type="http://schemas.openxmlformats.org/officeDocument/2006/relationships/chart" Target="../charts/chart17.xml" Id="rId8"/><Relationship Type="http://schemas.openxmlformats.org/officeDocument/2006/relationships/chart" Target="../charts/chart18.xml" Id="rId9"/><Relationship Type="http://schemas.openxmlformats.org/officeDocument/2006/relationships/image" Target="..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..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..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..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..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tabSelected="1" workbookViewId="0">
      <selection activeCell="A1" sqref="A1:G2"/>
    </sheetView>
  </sheetViews>
  <sheetFormatPr baseColWidth="8" defaultRowHeight="14.4"/>
  <cols>
    <col width="54.44140625" bestFit="1" customWidth="1" style="176" min="1" max="1"/>
    <col width="10.6640625" bestFit="1" customWidth="1" style="176" min="2" max="2"/>
    <col width="12.109375" bestFit="1" customWidth="1" style="176" min="3" max="3"/>
    <col width="20" bestFit="1" customWidth="1" style="176" min="4" max="4"/>
    <col width="9" bestFit="1" customWidth="1" style="176" min="5" max="5"/>
    <col width="14.109375" bestFit="1" customWidth="1" style="176" min="6" max="6"/>
    <col width="9.77734375" bestFit="1" customWidth="1" style="176" min="7" max="7"/>
  </cols>
  <sheetData>
    <row r="1">
      <c r="A1" s="174" t="inlineStr">
        <is>
          <t>Bajaj Housing Finance Ltd (BAJAJHFL) - Institutional Valuation</t>
        </is>
      </c>
    </row>
    <row r="4">
      <c r="A4" s="162" t="inlineStr">
        <is>
          <t>Current Price</t>
        </is>
      </c>
      <c r="B4" s="162" t="inlineStr">
        <is>
          <t>Intrinsic Value</t>
        </is>
      </c>
      <c r="C4" s="162" t="inlineStr">
        <is>
          <t>Margin of Safety</t>
        </is>
      </c>
      <c r="D4" s="162" t="inlineStr">
        <is>
          <t>Valuation Gap</t>
        </is>
      </c>
      <c r="E4" s="162" t="inlineStr">
        <is>
          <t>WACC</t>
        </is>
      </c>
      <c r="F4" s="162" t="inlineStr">
        <is>
          <t>Altman Z-Score</t>
        </is>
      </c>
      <c r="G4" s="162" t="inlineStr">
        <is>
          <t>DuPont ROE</t>
        </is>
      </c>
    </row>
    <row r="5" ht="15.6" customHeight="1" s="176">
      <c r="A5" s="164">
        <f>DCF!D44</f>
        <v/>
      </c>
      <c r="B5" s="164">
        <f>DCF!D42</f>
        <v/>
      </c>
      <c r="C5" s="166">
        <f>IF(OR(A5="N/A", B5="N/A", ISBLANK(A5), ISBLANK(B5), A5&lt;=0), "N/A", IFERROR((B5-A5)/A5, "N/A"))</f>
        <v/>
      </c>
      <c r="D5" s="168">
        <f>IF(OR(C5="N/A", ISBLANK(C5)), "N/A", IF(C5&gt;=0, TEXT(C5,"0.0%") &amp; " Discount", TEXT(ABS(C5),"0.0%") &amp; " Premium"))</f>
        <v/>
      </c>
      <c r="E5" s="169">
        <f>IF(OR(ISERROR(DCF!D20), DCF!D20="N/A"), "N/A", DCF!D20)</f>
        <v/>
      </c>
      <c r="F5" s="203" t="inlineStr">
        <is>
          <t>Not applicable / insufficient data</t>
        </is>
      </c>
      <c r="G5" s="169">
        <f>IF(OR(ISERROR('Dupont Analysis'!I78), 'Dupont Analysis'!I78="N/A", ISBLANK('Dupont Analysis'!I78)), "N/A", 'Dupont Analysis'!I78)</f>
        <v/>
      </c>
    </row>
    <row r="7" ht="15.6" customHeight="1" s="176">
      <c r="A7" s="167" t="inlineStr">
        <is>
          <t>THE 4 CORE VALUATION PILLARS</t>
        </is>
      </c>
      <c r="B7" t="inlineStr">
        <is>
          <t>KEY VALUATION PARAMETERS &amp; LIVE MODEL INPUTS</t>
        </is>
      </c>
    </row>
    <row r="8">
      <c r="A8" s="37" t="inlineStr">
        <is>
          <t>Pillar 1: FCF Engine</t>
        </is>
      </c>
      <c r="B8" t="inlineStr">
        <is>
          <t>Discount Rate (WACC)</t>
        </is>
      </c>
      <c r="C8" s="46">
        <f>WACC!K46</f>
        <v/>
      </c>
      <c r="D8" t="inlineStr">
        <is>
          <t>0.00%</t>
        </is>
      </c>
    </row>
    <row r="9">
      <c r="A9" s="37" t="inlineStr">
        <is>
          <t>Pillar 2: Growth Trajectory</t>
        </is>
      </c>
      <c r="B9" t="inlineStr">
        <is>
          <t>Cost of Equity (Ke)</t>
        </is>
      </c>
      <c r="C9" s="46">
        <f>WACC!K29</f>
        <v/>
      </c>
      <c r="D9" t="inlineStr">
        <is>
          <t>0.00%</t>
        </is>
      </c>
    </row>
    <row r="10">
      <c r="A10" s="37" t="inlineStr">
        <is>
          <t>Pillar 3: Cost of Capital (WACC)</t>
        </is>
      </c>
      <c r="B10" t="inlineStr">
        <is>
          <t>Risk-Free Rate (Rf)</t>
        </is>
      </c>
      <c r="C10" s="46">
        <f>WACC!K26</f>
        <v/>
      </c>
      <c r="D10" t="inlineStr">
        <is>
          <t>0.00%</t>
        </is>
      </c>
    </row>
    <row r="11">
      <c r="A11" s="37" t="inlineStr">
        <is>
          <t>Pillar 4: Relative Multiples</t>
        </is>
      </c>
      <c r="B11" t="inlineStr">
        <is>
          <t>Equity Risk Premium (ERP)</t>
        </is>
      </c>
      <c r="C11" s="46">
        <f>WACC!K27</f>
        <v/>
      </c>
      <c r="D11" t="inlineStr">
        <is>
          <t>0.00%</t>
        </is>
      </c>
    </row>
    <row r="12">
      <c r="B12" t="inlineStr">
        <is>
          <t>Levered Beta</t>
        </is>
      </c>
      <c r="C12">
        <f>WACC!K28</f>
        <v/>
      </c>
      <c r="D12" t="inlineStr">
        <is>
          <t>0.00</t>
        </is>
      </c>
    </row>
    <row r="13">
      <c r="A13" s="37" t="inlineStr">
        <is>
          <t>5-Year Discounted Cash Flow (DCF) Schedule (Amounts in ₹ Cr)</t>
        </is>
      </c>
      <c r="B13" t="inlineStr">
        <is>
          <t>Terminal Growth Rate</t>
        </is>
      </c>
      <c r="C13" s="46">
        <f>DCF!D19</f>
        <v/>
      </c>
      <c r="D13" t="inlineStr">
        <is>
          <t>0.00%</t>
        </is>
      </c>
    </row>
    <row r="14">
      <c r="A14" s="171" t="inlineStr">
        <is>
          <t>Year</t>
        </is>
      </c>
      <c r="B14" s="171" t="inlineStr">
        <is>
          <t>Post-Tax Cost of Debt (Kd)</t>
        </is>
      </c>
      <c r="C14" s="204">
        <f>WACC!K43</f>
        <v/>
      </c>
      <c r="D14" s="171" t="inlineStr">
        <is>
          <t>0.00%</t>
        </is>
      </c>
      <c r="E14" s="171" t="inlineStr">
        <is>
          <t>FCFF</t>
        </is>
      </c>
      <c r="F14" s="171" t="inlineStr">
        <is>
          <t>Discount Factor</t>
        </is>
      </c>
      <c r="G14" s="171" t="inlineStr">
        <is>
          <t>PV of FCFF</t>
        </is>
      </c>
    </row>
    <row r="15">
      <c r="A15" s="180" t="inlineStr">
        <is>
          <t>Year 1</t>
        </is>
      </c>
      <c r="B15" s="172" t="inlineStr">
        <is>
          <t>Cash &amp; Liquid Investments</t>
        </is>
      </c>
      <c r="C15" s="172">
        <f>'Data Sheet'!K85</f>
        <v/>
      </c>
      <c r="D15" s="46" t="inlineStr">
        <is>
          <t>#,##0.00</t>
        </is>
      </c>
      <c r="E15" s="172">
        <f>DCF!I12</f>
        <v/>
      </c>
      <c r="F15" s="173">
        <f>DCF!I14</f>
        <v/>
      </c>
      <c r="G15" s="172">
        <f>DCF!I16</f>
        <v/>
      </c>
    </row>
    <row r="16">
      <c r="A16" s="180" t="inlineStr">
        <is>
          <t>Year 2</t>
        </is>
      </c>
      <c r="B16" s="172" t="inlineStr">
        <is>
          <t>Total Debt &amp; Borrowings</t>
        </is>
      </c>
      <c r="C16" s="172">
        <f>'Data Sheet'!K59</f>
        <v/>
      </c>
      <c r="D16" s="46" t="inlineStr">
        <is>
          <t>#,##0.00</t>
        </is>
      </c>
      <c r="E16" s="172">
        <f>DCF!J12</f>
        <v/>
      </c>
      <c r="F16" s="173">
        <f>DCF!J14</f>
        <v/>
      </c>
      <c r="G16" s="172">
        <f>DCF!J16</f>
        <v/>
      </c>
    </row>
    <row r="17">
      <c r="A17" s="180" t="inlineStr">
        <is>
          <t>Year 3</t>
        </is>
      </c>
      <c r="B17" s="172" t="inlineStr">
        <is>
          <t>Shares Outstanding</t>
        </is>
      </c>
      <c r="C17" s="172">
        <f>B6</f>
        <v/>
      </c>
      <c r="D17" s="46" t="inlineStr">
        <is>
          <t>#,##0.00</t>
        </is>
      </c>
      <c r="E17" s="172">
        <f>DCF!K12</f>
        <v/>
      </c>
      <c r="F17" s="173">
        <f>DCF!K14</f>
        <v/>
      </c>
      <c r="G17" s="172">
        <f>DCF!K16</f>
        <v/>
      </c>
    </row>
    <row r="18">
      <c r="A18" s="180" t="inlineStr">
        <is>
          <t>Year 4</t>
        </is>
      </c>
      <c r="B18" s="172" t="inlineStr">
        <is>
          <t>Sector Median EV/Revenue</t>
        </is>
      </c>
      <c r="C18" s="172">
        <f>Comp_Valuation!O25</f>
        <v/>
      </c>
      <c r="D18" s="46" t="inlineStr">
        <is>
          <t>0.00"x"</t>
        </is>
      </c>
      <c r="E18" s="172">
        <f>DCF!L12</f>
        <v/>
      </c>
      <c r="F18" s="173">
        <f>DCF!L14</f>
        <v/>
      </c>
      <c r="G18" s="172">
        <f>DCF!L16</f>
        <v/>
      </c>
    </row>
    <row r="19">
      <c r="A19" s="180" t="inlineStr">
        <is>
          <t>Year 5</t>
        </is>
      </c>
      <c r="B19" s="172" t="inlineStr">
        <is>
          <t>Sector Median EV/EBITDA</t>
        </is>
      </c>
      <c r="C19" s="172">
        <f>Comp_Valuation!P25</f>
        <v/>
      </c>
      <c r="D19" s="46" t="inlineStr">
        <is>
          <t>0.00"x"</t>
        </is>
      </c>
      <c r="E19" s="172">
        <f>DCF!M12</f>
        <v/>
      </c>
      <c r="F19" s="173">
        <f>DCF!M14</f>
        <v/>
      </c>
      <c r="G19" s="172">
        <f>DCF!M16</f>
        <v/>
      </c>
    </row>
    <row r="20">
      <c r="A20" t="inlineStr">
        <is>
          <t>5-Year Discounted Cash Flow (DCF) Schedule (Amounts in ₹ Cr)</t>
        </is>
      </c>
      <c r="B20" t="inlineStr">
        <is>
          <t>Sector Median P/E</t>
        </is>
      </c>
      <c r="C20">
        <f>Comp_Valuation!Q25</f>
        <v/>
      </c>
      <c r="D20" t="inlineStr">
        <is>
          <t>0.00"x"</t>
        </is>
      </c>
    </row>
    <row r="21">
      <c r="A21" s="37" t="inlineStr">
        <is>
          <t>Year</t>
        </is>
      </c>
      <c r="B21" t="inlineStr">
        <is>
          <t>EBIT</t>
        </is>
      </c>
      <c r="C21" t="inlineStr">
        <is>
          <t>NOPAT</t>
        </is>
      </c>
      <c r="D21" t="inlineStr">
        <is>
          <t>Reinvest Rate</t>
        </is>
      </c>
      <c r="E21" t="inlineStr">
        <is>
          <t>FCFF</t>
        </is>
      </c>
      <c r="F21" t="inlineStr">
        <is>
          <t>Discount Factor</t>
        </is>
      </c>
      <c r="G21" t="inlineStr">
        <is>
          <t>PV of FCFF</t>
        </is>
      </c>
    </row>
    <row r="22">
      <c r="A22" s="37" t="inlineStr">
        <is>
          <t>Year 1</t>
        </is>
      </c>
      <c r="B22" s="172">
        <f>DCF!I8</f>
        <v/>
      </c>
      <c r="C22">
        <f>DCF!I10</f>
        <v/>
      </c>
      <c r="D22">
        <f>DCF!I11</f>
        <v/>
      </c>
      <c r="E22">
        <f>DCF!I12</f>
        <v/>
      </c>
      <c r="F22">
        <f>DCF!I14</f>
        <v/>
      </c>
      <c r="G22">
        <f>DCF!I16</f>
        <v/>
      </c>
    </row>
    <row r="23">
      <c r="A23" s="37" t="inlineStr">
        <is>
          <t>Year 2</t>
        </is>
      </c>
      <c r="B23" s="172">
        <f>DCF!J8</f>
        <v/>
      </c>
      <c r="C23">
        <f>DCF!J10</f>
        <v/>
      </c>
      <c r="D23">
        <f>DCF!J11</f>
        <v/>
      </c>
      <c r="E23">
        <f>DCF!J12</f>
        <v/>
      </c>
      <c r="F23">
        <f>DCF!J14</f>
        <v/>
      </c>
      <c r="G23">
        <f>DCF!J16</f>
        <v/>
      </c>
    </row>
    <row r="24">
      <c r="A24" s="37" t="inlineStr">
        <is>
          <t>Year 3</t>
        </is>
      </c>
      <c r="B24" s="172">
        <f>DCF!K8</f>
        <v/>
      </c>
      <c r="C24">
        <f>DCF!K10</f>
        <v/>
      </c>
      <c r="D24">
        <f>DCF!K11</f>
        <v/>
      </c>
      <c r="E24">
        <f>DCF!K12</f>
        <v/>
      </c>
      <c r="F24">
        <f>DCF!K14</f>
        <v/>
      </c>
      <c r="G24">
        <f>DCF!K16</f>
        <v/>
      </c>
    </row>
    <row r="25">
      <c r="A25" s="37" t="inlineStr">
        <is>
          <t>Year 4</t>
        </is>
      </c>
      <c r="B25" s="172">
        <f>DCF!L8</f>
        <v/>
      </c>
      <c r="C25">
        <f>DCF!L10</f>
        <v/>
      </c>
      <c r="D25">
        <f>DCF!L11</f>
        <v/>
      </c>
      <c r="E25">
        <f>DCF!L12</f>
        <v/>
      </c>
      <c r="F25">
        <f>DCF!L14</f>
        <v/>
      </c>
      <c r="G25">
        <f>DCF!L16</f>
        <v/>
      </c>
    </row>
    <row r="26">
      <c r="A26" s="37" t="inlineStr">
        <is>
          <t>Year 5</t>
        </is>
      </c>
      <c r="B26" s="172">
        <f>DCF!M8</f>
        <v/>
      </c>
      <c r="C26">
        <f>DCF!M10</f>
        <v/>
      </c>
      <c r="D26">
        <f>DCF!M11</f>
        <v/>
      </c>
      <c r="E26">
        <f>DCF!M12</f>
        <v/>
      </c>
      <c r="F26">
        <f>DCF!M14</f>
        <v/>
      </c>
      <c r="G26">
        <f>DCF!M16</f>
        <v/>
      </c>
    </row>
    <row r="27">
      <c r="A27" s="37" t="inlineStr">
        <is>
          <t>Less: Total Debt &amp; Borrowings</t>
        </is>
      </c>
      <c r="B27" s="172">
        <f>DCF!D38</f>
        <v/>
      </c>
    </row>
    <row r="28">
      <c r="A28" s="37" t="inlineStr">
        <is>
          <t>Net Equity Value</t>
        </is>
      </c>
      <c r="B28" s="172" t="inlineStr">
        <is>
          <t>Enterprise to Equity Value Bridge</t>
        </is>
      </c>
    </row>
    <row r="29">
      <c r="A29" s="37" t="inlineStr">
        <is>
          <t>Shares Outstanding</t>
        </is>
      </c>
      <c r="B29" s="172" t="inlineStr">
        <is>
          <t>PV of 5-Year FCFFs</t>
        </is>
      </c>
      <c r="C29" s="163">
        <f>DCF!D33</f>
        <v/>
      </c>
      <c r="D29" t="inlineStr">
        <is>
          <t>₹ Cr</t>
        </is>
      </c>
    </row>
    <row r="30">
      <c r="A30" s="37" t="inlineStr">
        <is>
          <t>Intrinsic Value per Share</t>
        </is>
      </c>
      <c r="B30" s="163" t="inlineStr">
        <is>
          <t>Terminal Value</t>
        </is>
      </c>
      <c r="C30" s="163">
        <f>DCF!D29</f>
        <v/>
      </c>
      <c r="D30" t="inlineStr">
        <is>
          <t>₹ Cr</t>
        </is>
      </c>
    </row>
    <row r="31">
      <c r="A31" s="37" t="inlineStr">
        <is>
          <t>Current Market Price</t>
        </is>
      </c>
      <c r="B31" s="163" t="inlineStr">
        <is>
          <t>PV of Terminal Value</t>
        </is>
      </c>
      <c r="C31" s="163">
        <f>DCF!D34</f>
        <v/>
      </c>
      <c r="D31" t="inlineStr">
        <is>
          <t>₹ Cr</t>
        </is>
      </c>
    </row>
    <row r="32">
      <c r="A32" s="37" t="inlineStr">
        <is>
          <t>Margin of Safety / Discount</t>
        </is>
      </c>
      <c r="B32" s="165" t="inlineStr">
        <is>
          <t>Enterprise Value (Operating Assets)</t>
        </is>
      </c>
      <c r="C32" s="163">
        <f>DCF!D35</f>
        <v/>
      </c>
      <c r="D32" t="inlineStr">
        <is>
          <t>₹ Cr</t>
        </is>
      </c>
    </row>
    <row r="33">
      <c r="B33" t="inlineStr">
        <is>
          <t>Add: Estimated Cash &amp; Liquid Assets</t>
        </is>
      </c>
      <c r="C33" s="163">
        <f>DCF!D37</f>
        <v/>
      </c>
      <c r="D33" t="inlineStr">
        <is>
          <t>₹ Cr</t>
        </is>
      </c>
    </row>
    <row r="34">
      <c r="B34" t="inlineStr">
        <is>
          <t>Less: Total Debt &amp; Borrowings</t>
        </is>
      </c>
      <c r="C34" s="163">
        <f>DCF!D38</f>
        <v/>
      </c>
      <c r="D34" t="inlineStr">
        <is>
          <t>₹ Cr</t>
        </is>
      </c>
    </row>
    <row r="35">
      <c r="B35" t="inlineStr">
        <is>
          <t>Net Equity Value</t>
        </is>
      </c>
      <c r="C35" s="163">
        <f>DCF!D39</f>
        <v/>
      </c>
      <c r="D35" t="inlineStr">
        <is>
          <t>₹ Cr</t>
        </is>
      </c>
    </row>
    <row r="36">
      <c r="B36" t="inlineStr">
        <is>
          <t>Shares Outstanding</t>
        </is>
      </c>
      <c r="C36" s="172">
        <f>DCF!D40</f>
        <v/>
      </c>
      <c r="D36" t="inlineStr">
        <is>
          <t>Cr shares</t>
        </is>
      </c>
    </row>
    <row r="37">
      <c r="B37" t="inlineStr">
        <is>
          <t>Intrinsic Value per Share</t>
        </is>
      </c>
      <c r="C37" s="163">
        <f>DCF!D42</f>
        <v/>
      </c>
      <c r="D37" t="inlineStr">
        <is>
          <t>₹</t>
        </is>
      </c>
    </row>
    <row r="38">
      <c r="B38" t="inlineStr">
        <is>
          <t>Current Market Price</t>
        </is>
      </c>
      <c r="C38" s="163">
        <f>DCF!D44</f>
        <v/>
      </c>
      <c r="D38" t="inlineStr">
        <is>
          <t>₹</t>
        </is>
      </c>
    </row>
    <row r="39">
      <c r="B39" t="inlineStr">
        <is>
          <t>Margin of Safety / Discount</t>
        </is>
      </c>
      <c r="C39" s="165">
        <f>(C37-C38)/C38</f>
        <v/>
      </c>
      <c r="D39" t="inlineStr">
        <is>
          <t>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76" min="1" max="1"/>
    <col width="13.44140625" customWidth="1" style="176" min="2" max="6"/>
    <col width="14.77734375" bestFit="1" customWidth="1" style="176" min="7" max="7"/>
    <col width="13.44140625" customWidth="1" style="176" min="8" max="11"/>
    <col width="13.33203125" customWidth="1" style="176" min="12" max="12"/>
    <col width="12.109375" customWidth="1" style="176" min="13" max="14"/>
    <col width="8.77734375" customWidth="1" style="176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87">
        <f>'Data Sheet'!B17</f>
        <v/>
      </c>
      <c r="C4" s="187">
        <f>'Data Sheet'!C17</f>
        <v/>
      </c>
      <c r="D4" s="187">
        <f>'Data Sheet'!D17</f>
        <v/>
      </c>
      <c r="E4" s="187">
        <f>'Data Sheet'!E17</f>
        <v/>
      </c>
      <c r="F4" s="187">
        <f>'Data Sheet'!F17</f>
        <v/>
      </c>
      <c r="G4" s="187">
        <f>'Data Sheet'!G17</f>
        <v/>
      </c>
      <c r="H4" s="187">
        <f>'Data Sheet'!H17</f>
        <v/>
      </c>
      <c r="I4" s="187">
        <f>'Data Sheet'!I17</f>
        <v/>
      </c>
      <c r="J4" s="187">
        <f>'Data Sheet'!J17</f>
        <v/>
      </c>
      <c r="K4" s="187">
        <f>'Data Sheet'!K17</f>
        <v/>
      </c>
      <c r="L4" s="187">
        <f>SUM(Quarters!H4:K4)</f>
        <v/>
      </c>
      <c r="M4" s="187">
        <f>$K4+M23*K4</f>
        <v/>
      </c>
      <c r="N4" s="187">
        <f>$K4+N23*L4</f>
        <v/>
      </c>
    </row>
    <row r="5">
      <c r="A5" t="inlineStr">
        <is>
          <t>Expenses</t>
        </is>
      </c>
      <c r="B5" s="188">
        <f>SUM('Data Sheet'!B18,'Data Sheet'!B20:B24, -1*'Data Sheet'!B19)</f>
        <v/>
      </c>
      <c r="C5" s="188">
        <f>SUM('Data Sheet'!C18,'Data Sheet'!C20:C24, -1*'Data Sheet'!C19)</f>
        <v/>
      </c>
      <c r="D5" s="188">
        <f>SUM('Data Sheet'!D18,'Data Sheet'!D20:D24, -1*'Data Sheet'!D19)</f>
        <v/>
      </c>
      <c r="E5" s="188">
        <f>SUM('Data Sheet'!E18,'Data Sheet'!E20:E24, -1*'Data Sheet'!E19)</f>
        <v/>
      </c>
      <c r="F5" s="188">
        <f>SUM('Data Sheet'!F18,'Data Sheet'!F20:F24, -1*'Data Sheet'!F19)</f>
        <v/>
      </c>
      <c r="G5" s="188">
        <f>SUM('Data Sheet'!G18,'Data Sheet'!G20:G24, -1*'Data Sheet'!G19)</f>
        <v/>
      </c>
      <c r="H5" s="188">
        <f>SUM('Data Sheet'!H18,'Data Sheet'!H20:H24, -1*'Data Sheet'!H19)</f>
        <v/>
      </c>
      <c r="I5" s="188">
        <f>SUM('Data Sheet'!I18,'Data Sheet'!I20:I24, -1*'Data Sheet'!I19)</f>
        <v/>
      </c>
      <c r="J5" s="188">
        <f>SUM('Data Sheet'!J18,'Data Sheet'!J20:J24, -1*'Data Sheet'!J19)</f>
        <v/>
      </c>
      <c r="K5" s="188">
        <f>SUM('Data Sheet'!K18,'Data Sheet'!K20:K24, -1*'Data Sheet'!K19)</f>
        <v/>
      </c>
      <c r="L5" s="188">
        <f>SUM(Quarters!H5:K5)</f>
        <v/>
      </c>
      <c r="M5" s="188">
        <f>M4-M6</f>
        <v/>
      </c>
      <c r="N5" s="188">
        <f>N4-N6</f>
        <v/>
      </c>
    </row>
    <row r="6" customFormat="1" s="37">
      <c r="A6" s="37" t="inlineStr">
        <is>
          <t>Operating Profit</t>
        </is>
      </c>
      <c r="B6" s="187">
        <f>B4-B5</f>
        <v/>
      </c>
      <c r="C6" s="187">
        <f>C4-C5</f>
        <v/>
      </c>
      <c r="D6" s="187">
        <f>D4-D5</f>
        <v/>
      </c>
      <c r="E6" s="187">
        <f>E4-E5</f>
        <v/>
      </c>
      <c r="F6" s="187">
        <f>F4-F5</f>
        <v/>
      </c>
      <c r="G6" s="187">
        <f>G4-G5</f>
        <v/>
      </c>
      <c r="H6" s="187">
        <f>H4-H5</f>
        <v/>
      </c>
      <c r="I6" s="187">
        <f>I4-I5</f>
        <v/>
      </c>
      <c r="J6" s="187">
        <f>J4-J5</f>
        <v/>
      </c>
      <c r="K6" s="187">
        <f>K4-K5</f>
        <v/>
      </c>
      <c r="L6" s="187">
        <f>SUM(Quarters!H6:K6)</f>
        <v/>
      </c>
      <c r="M6" s="187">
        <f>M4*M24</f>
        <v/>
      </c>
      <c r="N6" s="187">
        <f>N4*N24</f>
        <v/>
      </c>
    </row>
    <row r="7">
      <c r="A7" t="inlineStr">
        <is>
          <t>Other Income</t>
        </is>
      </c>
      <c r="B7" s="188">
        <f>'Data Sheet'!B25</f>
        <v/>
      </c>
      <c r="C7" s="188">
        <f>'Data Sheet'!C25</f>
        <v/>
      </c>
      <c r="D7" s="188">
        <f>'Data Sheet'!D25</f>
        <v/>
      </c>
      <c r="E7" s="188">
        <f>'Data Sheet'!E25</f>
        <v/>
      </c>
      <c r="F7" s="188">
        <f>'Data Sheet'!F25</f>
        <v/>
      </c>
      <c r="G7" s="188">
        <f>'Data Sheet'!G25</f>
        <v/>
      </c>
      <c r="H7" s="188">
        <f>'Data Sheet'!H25</f>
        <v/>
      </c>
      <c r="I7" s="188">
        <f>'Data Sheet'!I25</f>
        <v/>
      </c>
      <c r="J7" s="188">
        <f>'Data Sheet'!J25</f>
        <v/>
      </c>
      <c r="K7" s="188">
        <f>'Data Sheet'!K25</f>
        <v/>
      </c>
      <c r="L7" s="188">
        <f>SUM(Quarters!H7:K7)</f>
        <v/>
      </c>
      <c r="M7" s="188" t="n">
        <v>0</v>
      </c>
      <c r="N7" s="188" t="n">
        <v>0</v>
      </c>
    </row>
    <row r="8">
      <c r="A8" t="inlineStr">
        <is>
          <t>Depreciation</t>
        </is>
      </c>
      <c r="B8" s="188">
        <f>'Data Sheet'!B26</f>
        <v/>
      </c>
      <c r="C8" s="188">
        <f>'Data Sheet'!C26</f>
        <v/>
      </c>
      <c r="D8" s="188">
        <f>'Data Sheet'!D26</f>
        <v/>
      </c>
      <c r="E8" s="188">
        <f>'Data Sheet'!E26</f>
        <v/>
      </c>
      <c r="F8" s="188">
        <f>'Data Sheet'!F26</f>
        <v/>
      </c>
      <c r="G8" s="188">
        <f>'Data Sheet'!G26</f>
        <v/>
      </c>
      <c r="H8" s="188">
        <f>'Data Sheet'!H26</f>
        <v/>
      </c>
      <c r="I8" s="188">
        <f>'Data Sheet'!I26</f>
        <v/>
      </c>
      <c r="J8" s="188">
        <f>'Data Sheet'!J26</f>
        <v/>
      </c>
      <c r="K8" s="188">
        <f>'Data Sheet'!K26</f>
        <v/>
      </c>
      <c r="L8" s="188">
        <f>SUM(Quarters!H8:K8)</f>
        <v/>
      </c>
      <c r="M8" s="188">
        <f>+$L8</f>
        <v/>
      </c>
      <c r="N8" s="188">
        <f>+$L8</f>
        <v/>
      </c>
    </row>
    <row r="9">
      <c r="A9" t="inlineStr">
        <is>
          <t>Interest</t>
        </is>
      </c>
      <c r="B9" s="188">
        <f>'Data Sheet'!B27</f>
        <v/>
      </c>
      <c r="C9" s="188">
        <f>'Data Sheet'!C27</f>
        <v/>
      </c>
      <c r="D9" s="188">
        <f>'Data Sheet'!D27</f>
        <v/>
      </c>
      <c r="E9" s="188">
        <f>'Data Sheet'!E27</f>
        <v/>
      </c>
      <c r="F9" s="188">
        <f>'Data Sheet'!F27</f>
        <v/>
      </c>
      <c r="G9" s="188">
        <f>'Data Sheet'!G27</f>
        <v/>
      </c>
      <c r="H9" s="188">
        <f>'Data Sheet'!H27</f>
        <v/>
      </c>
      <c r="I9" s="188">
        <f>'Data Sheet'!I27</f>
        <v/>
      </c>
      <c r="J9" s="188">
        <f>'Data Sheet'!J27</f>
        <v/>
      </c>
      <c r="K9" s="188">
        <f>'Data Sheet'!K27</f>
        <v/>
      </c>
      <c r="L9" s="188">
        <f>SUM(Quarters!H9:K9)</f>
        <v/>
      </c>
      <c r="M9" s="188">
        <f>+$L9</f>
        <v/>
      </c>
      <c r="N9" s="188">
        <f>+$L9</f>
        <v/>
      </c>
    </row>
    <row r="10">
      <c r="A10" t="inlineStr">
        <is>
          <t>Profit before tax</t>
        </is>
      </c>
      <c r="B10" s="188">
        <f>'Data Sheet'!B28</f>
        <v/>
      </c>
      <c r="C10" s="188">
        <f>'Data Sheet'!C28</f>
        <v/>
      </c>
      <c r="D10" s="188">
        <f>'Data Sheet'!D28</f>
        <v/>
      </c>
      <c r="E10" s="188">
        <f>'Data Sheet'!E28</f>
        <v/>
      </c>
      <c r="F10" s="188">
        <f>'Data Sheet'!F28</f>
        <v/>
      </c>
      <c r="G10" s="188">
        <f>'Data Sheet'!G28</f>
        <v/>
      </c>
      <c r="H10" s="188">
        <f>'Data Sheet'!H28</f>
        <v/>
      </c>
      <c r="I10" s="188">
        <f>'Data Sheet'!I28</f>
        <v/>
      </c>
      <c r="J10" s="188">
        <f>'Data Sheet'!J28</f>
        <v/>
      </c>
      <c r="K10" s="188">
        <f>'Data Sheet'!K28</f>
        <v/>
      </c>
      <c r="L10" s="188">
        <f>SUM(Quarters!H10:K10)</f>
        <v/>
      </c>
      <c r="M10" s="188">
        <f>M6+M7-SUM(M8:M9)</f>
        <v/>
      </c>
      <c r="N10" s="188">
        <f>N6+N7-SUM(N8:N9)</f>
        <v/>
      </c>
    </row>
    <row r="11">
      <c r="A11" t="inlineStr">
        <is>
          <t>Tax</t>
        </is>
      </c>
      <c r="B11" s="188">
        <f>'Data Sheet'!B29</f>
        <v/>
      </c>
      <c r="C11" s="188">
        <f>'Data Sheet'!C29</f>
        <v/>
      </c>
      <c r="D11" s="188">
        <f>'Data Sheet'!D29</f>
        <v/>
      </c>
      <c r="E11" s="188">
        <f>'Data Sheet'!E29</f>
        <v/>
      </c>
      <c r="F11" s="188">
        <f>'Data Sheet'!F29</f>
        <v/>
      </c>
      <c r="G11" s="188">
        <f>'Data Sheet'!G29</f>
        <v/>
      </c>
      <c r="H11" s="188">
        <f>'Data Sheet'!H29</f>
        <v/>
      </c>
      <c r="I11" s="188">
        <f>'Data Sheet'!I29</f>
        <v/>
      </c>
      <c r="J11" s="188">
        <f>'Data Sheet'!J29</f>
        <v/>
      </c>
      <c r="K11" s="188">
        <f>'Data Sheet'!K29</f>
        <v/>
      </c>
      <c r="L11" s="188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87">
        <f>'Data Sheet'!B30</f>
        <v/>
      </c>
      <c r="C12" s="187">
        <f>'Data Sheet'!C30</f>
        <v/>
      </c>
      <c r="D12" s="187">
        <f>'Data Sheet'!D30</f>
        <v/>
      </c>
      <c r="E12" s="187">
        <f>'Data Sheet'!E30</f>
        <v/>
      </c>
      <c r="F12" s="187">
        <f>'Data Sheet'!F30</f>
        <v/>
      </c>
      <c r="G12" s="187">
        <f>'Data Sheet'!G30</f>
        <v/>
      </c>
      <c r="H12" s="187">
        <f>'Data Sheet'!H30</f>
        <v/>
      </c>
      <c r="I12" s="187">
        <f>'Data Sheet'!I30</f>
        <v/>
      </c>
      <c r="J12" s="187">
        <f>'Data Sheet'!J30</f>
        <v/>
      </c>
      <c r="K12" s="187">
        <f>'Data Sheet'!K30</f>
        <v/>
      </c>
      <c r="L12" s="187">
        <f>SUM(Quarters!H12:K12)</f>
        <v/>
      </c>
      <c r="M12" s="187">
        <f>M10-M11*M10</f>
        <v/>
      </c>
      <c r="N12" s="187">
        <f>N10-N11*N10</f>
        <v/>
      </c>
    </row>
    <row r="13">
      <c r="A13" t="inlineStr">
        <is>
          <t>EPS</t>
        </is>
      </c>
      <c r="B13" s="188">
        <f>IF('Data Sheet'!B93&gt;0,B12/'Data Sheet'!B93,0)</f>
        <v/>
      </c>
      <c r="C13" s="188">
        <f>IF('Data Sheet'!C93&gt;0,C12/'Data Sheet'!C93,0)</f>
        <v/>
      </c>
      <c r="D13" s="188">
        <f>IF('Data Sheet'!D93&gt;0,D12/'Data Sheet'!D93,0)</f>
        <v/>
      </c>
      <c r="E13" s="188">
        <f>IF('Data Sheet'!E93&gt;0,E12/'Data Sheet'!E93,0)</f>
        <v/>
      </c>
      <c r="F13" s="188">
        <f>IF('Data Sheet'!F93&gt;0,F12/'Data Sheet'!F93,0)</f>
        <v/>
      </c>
      <c r="G13" s="188">
        <f>IF('Data Sheet'!G93&gt;0,G12/'Data Sheet'!G93,0)</f>
        <v/>
      </c>
      <c r="H13" s="188">
        <f>IF('Data Sheet'!H93&gt;0,H12/'Data Sheet'!H93,0)</f>
        <v/>
      </c>
      <c r="I13" s="188">
        <f>IF('Data Sheet'!I93&gt;0,I12/'Data Sheet'!I93,0)</f>
        <v/>
      </c>
      <c r="J13" s="188">
        <f>IF('Data Sheet'!J93&gt;0,J12/'Data Sheet'!J93,0)</f>
        <v/>
      </c>
      <c r="K13" s="188">
        <f>IF('Data Sheet'!K93&gt;0,K12/'Data Sheet'!K93,0)</f>
        <v/>
      </c>
      <c r="L13" s="188">
        <f>IF('Data Sheet'!$B6&gt;0,'Profit &amp; Loss'!L12/'Data Sheet'!$B6,0)</f>
        <v/>
      </c>
      <c r="M13" s="188">
        <f>IF('Data Sheet'!$B6&gt;0,'Profit &amp; Loss'!M12/'Data Sheet'!$B6,0)</f>
        <v/>
      </c>
      <c r="N13" s="188">
        <f>IF('Data Sheet'!$B6&gt;0,'Profit &amp; Loss'!N12/'Data Sheet'!$B6,0)</f>
        <v/>
      </c>
    </row>
    <row r="14">
      <c r="A14" t="inlineStr">
        <is>
          <t>Price to earning</t>
        </is>
      </c>
      <c r="B14" s="188">
        <f>IF(B15&gt;0,B15/B13,"")</f>
        <v/>
      </c>
      <c r="C14" s="188">
        <f>IF(C15&gt;0,C15/C13,"")</f>
        <v/>
      </c>
      <c r="D14" s="188">
        <f>IF(D15&gt;0,D15/D13,"")</f>
        <v/>
      </c>
      <c r="E14" s="188">
        <f>IF(E15&gt;0,E15/E13,"")</f>
        <v/>
      </c>
      <c r="F14" s="188">
        <f>IF(F15&gt;0,F15/F13,"")</f>
        <v/>
      </c>
      <c r="G14" s="188">
        <f>IF(G15&gt;0,G15/G13,"")</f>
        <v/>
      </c>
      <c r="H14" s="188">
        <f>IF(H15&gt;0,H15/H13,"")</f>
        <v/>
      </c>
      <c r="I14" s="188">
        <f>IF(I15&gt;0,I15/I13,"")</f>
        <v/>
      </c>
      <c r="J14" s="188">
        <f>IF(J15&gt;0,J15/J13,"")</f>
        <v/>
      </c>
      <c r="K14" s="188">
        <f>IF(K15&gt;0,K15/K13,"")</f>
        <v/>
      </c>
      <c r="L14" s="188">
        <f>IF(L13&gt;0,L15/L13,0)</f>
        <v/>
      </c>
      <c r="M14" s="188">
        <f>M25</f>
        <v/>
      </c>
      <c r="N14" s="188">
        <f>N25</f>
        <v/>
      </c>
    </row>
    <row r="15" customFormat="1" s="37">
      <c r="A15" s="37" t="inlineStr">
        <is>
          <t>Price</t>
        </is>
      </c>
      <c r="B15" s="187">
        <f>'Data Sheet'!B90</f>
        <v/>
      </c>
      <c r="C15" s="187">
        <f>'Data Sheet'!C90</f>
        <v/>
      </c>
      <c r="D15" s="187">
        <f>'Data Sheet'!D90</f>
        <v/>
      </c>
      <c r="E15" s="187">
        <f>'Data Sheet'!E90</f>
        <v/>
      </c>
      <c r="F15" s="187">
        <f>'Data Sheet'!F90</f>
        <v/>
      </c>
      <c r="G15" s="187">
        <f>'Data Sheet'!G90</f>
        <v/>
      </c>
      <c r="H15" s="187">
        <f>'Data Sheet'!H90</f>
        <v/>
      </c>
      <c r="I15" s="187">
        <f>'Data Sheet'!I90</f>
        <v/>
      </c>
      <c r="J15" s="187">
        <f>'Data Sheet'!J90</f>
        <v/>
      </c>
      <c r="K15" s="187">
        <f>'Data Sheet'!K90</f>
        <v/>
      </c>
      <c r="L15" s="187">
        <f>'Data Sheet'!B8</f>
        <v/>
      </c>
      <c r="M15" s="189">
        <f>M13*M14</f>
        <v/>
      </c>
      <c r="N15" s="190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8">
        <f>IF(ISERROR(AVERAGEIF(B14:$L14,"&gt;0")),"",AVERAGEIF(B14:$L14,"&gt;0"))</f>
        <v/>
      </c>
      <c r="I25" s="188">
        <f>IF(ISERROR(AVERAGEIF(E14:$L14,"&gt;0")),"",AVERAGEIF(E14:$L14,"&gt;0"))</f>
        <v/>
      </c>
      <c r="J25" s="188">
        <f>IF(ISERROR(AVERAGEIF(G14:$L14,"&gt;0")),"",AVERAGEIF(G14:$L14,"&gt;0"))</f>
        <v/>
      </c>
      <c r="K25" s="188">
        <f>IF(ISERROR(AVERAGEIF(I14:$L14,"&gt;0")),"",AVERAGEIF(I14:$L14,"&gt;0"))</f>
        <v/>
      </c>
      <c r="L25" s="188">
        <f>L14</f>
        <v/>
      </c>
      <c r="M25" s="187">
        <f>MAX(K25:L25)</f>
        <v/>
      </c>
      <c r="N25" s="187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76" min="1" max="1"/>
    <col width="13.44140625" bestFit="1" customWidth="1" style="176" min="2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87">
        <f>'Data Sheet'!B42</f>
        <v/>
      </c>
      <c r="C4" s="187">
        <f>'Data Sheet'!C42</f>
        <v/>
      </c>
      <c r="D4" s="187">
        <f>'Data Sheet'!D42</f>
        <v/>
      </c>
      <c r="E4" s="187">
        <f>'Data Sheet'!E42</f>
        <v/>
      </c>
      <c r="F4" s="187">
        <f>'Data Sheet'!F42</f>
        <v/>
      </c>
      <c r="G4" s="187">
        <f>'Data Sheet'!G42</f>
        <v/>
      </c>
      <c r="H4" s="187">
        <f>'Data Sheet'!H42</f>
        <v/>
      </c>
      <c r="I4" s="187">
        <f>'Data Sheet'!I42</f>
        <v/>
      </c>
      <c r="J4" s="187">
        <f>'Data Sheet'!J42</f>
        <v/>
      </c>
      <c r="K4" s="187">
        <f>'Data Sheet'!K42</f>
        <v/>
      </c>
    </row>
    <row r="5">
      <c r="A5" t="inlineStr">
        <is>
          <t>Expenses</t>
        </is>
      </c>
      <c r="B5" s="188">
        <f>'Data Sheet'!B43</f>
        <v/>
      </c>
      <c r="C5" s="188">
        <f>'Data Sheet'!C43</f>
        <v/>
      </c>
      <c r="D5" s="188">
        <f>'Data Sheet'!D43</f>
        <v/>
      </c>
      <c r="E5" s="188">
        <f>'Data Sheet'!E43</f>
        <v/>
      </c>
      <c r="F5" s="188">
        <f>'Data Sheet'!F43</f>
        <v/>
      </c>
      <c r="G5" s="188">
        <f>'Data Sheet'!G43</f>
        <v/>
      </c>
      <c r="H5" s="188">
        <f>'Data Sheet'!H43</f>
        <v/>
      </c>
      <c r="I5" s="188">
        <f>'Data Sheet'!I43</f>
        <v/>
      </c>
      <c r="J5" s="188">
        <f>'Data Sheet'!J43</f>
        <v/>
      </c>
      <c r="K5" s="188">
        <f>'Data Sheet'!K43</f>
        <v/>
      </c>
    </row>
    <row r="6" customFormat="1" s="37">
      <c r="A6" s="37" t="inlineStr">
        <is>
          <t>Operating Profit</t>
        </is>
      </c>
      <c r="B6" s="187">
        <f>'Data Sheet'!B50</f>
        <v/>
      </c>
      <c r="C6" s="187">
        <f>'Data Sheet'!C50</f>
        <v/>
      </c>
      <c r="D6" s="187">
        <f>'Data Sheet'!D50</f>
        <v/>
      </c>
      <c r="E6" s="187">
        <f>'Data Sheet'!E50</f>
        <v/>
      </c>
      <c r="F6" s="187">
        <f>'Data Sheet'!F50</f>
        <v/>
      </c>
      <c r="G6" s="187">
        <f>'Data Sheet'!G50</f>
        <v/>
      </c>
      <c r="H6" s="187">
        <f>'Data Sheet'!H50</f>
        <v/>
      </c>
      <c r="I6" s="187">
        <f>'Data Sheet'!I50</f>
        <v/>
      </c>
      <c r="J6" s="187">
        <f>'Data Sheet'!J50</f>
        <v/>
      </c>
      <c r="K6" s="187">
        <f>'Data Sheet'!K50</f>
        <v/>
      </c>
    </row>
    <row r="7">
      <c r="A7" t="inlineStr">
        <is>
          <t>Other Income</t>
        </is>
      </c>
      <c r="B7" s="188">
        <f>'Data Sheet'!B44</f>
        <v/>
      </c>
      <c r="C7" s="188">
        <f>'Data Sheet'!C44</f>
        <v/>
      </c>
      <c r="D7" s="188">
        <f>'Data Sheet'!D44</f>
        <v/>
      </c>
      <c r="E7" s="188">
        <f>'Data Sheet'!E44</f>
        <v/>
      </c>
      <c r="F7" s="188">
        <f>'Data Sheet'!F44</f>
        <v/>
      </c>
      <c r="G7" s="188">
        <f>'Data Sheet'!G44</f>
        <v/>
      </c>
      <c r="H7" s="188">
        <f>'Data Sheet'!H44</f>
        <v/>
      </c>
      <c r="I7" s="188">
        <f>'Data Sheet'!I44</f>
        <v/>
      </c>
      <c r="J7" s="188">
        <f>'Data Sheet'!J44</f>
        <v/>
      </c>
      <c r="K7" s="188">
        <f>'Data Sheet'!K44</f>
        <v/>
      </c>
    </row>
    <row r="8">
      <c r="A8" t="inlineStr">
        <is>
          <t>Depreciation</t>
        </is>
      </c>
      <c r="B8" s="188">
        <f>'Data Sheet'!B45</f>
        <v/>
      </c>
      <c r="C8" s="188">
        <f>'Data Sheet'!C45</f>
        <v/>
      </c>
      <c r="D8" s="188">
        <f>'Data Sheet'!D45</f>
        <v/>
      </c>
      <c r="E8" s="188">
        <f>'Data Sheet'!E45</f>
        <v/>
      </c>
      <c r="F8" s="188">
        <f>'Data Sheet'!F45</f>
        <v/>
      </c>
      <c r="G8" s="188">
        <f>'Data Sheet'!G45</f>
        <v/>
      </c>
      <c r="H8" s="188">
        <f>'Data Sheet'!H45</f>
        <v/>
      </c>
      <c r="I8" s="188">
        <f>'Data Sheet'!I45</f>
        <v/>
      </c>
      <c r="J8" s="188">
        <f>'Data Sheet'!J45</f>
        <v/>
      </c>
      <c r="K8" s="188">
        <f>'Data Sheet'!K45</f>
        <v/>
      </c>
    </row>
    <row r="9">
      <c r="A9" t="inlineStr">
        <is>
          <t>Interest</t>
        </is>
      </c>
      <c r="B9" s="188">
        <f>'Data Sheet'!B46</f>
        <v/>
      </c>
      <c r="C9" s="188">
        <f>'Data Sheet'!C46</f>
        <v/>
      </c>
      <c r="D9" s="188">
        <f>'Data Sheet'!D46</f>
        <v/>
      </c>
      <c r="E9" s="188">
        <f>'Data Sheet'!E46</f>
        <v/>
      </c>
      <c r="F9" s="188">
        <f>'Data Sheet'!F46</f>
        <v/>
      </c>
      <c r="G9" s="188">
        <f>'Data Sheet'!G46</f>
        <v/>
      </c>
      <c r="H9" s="188">
        <f>'Data Sheet'!H46</f>
        <v/>
      </c>
      <c r="I9" s="188">
        <f>'Data Sheet'!I46</f>
        <v/>
      </c>
      <c r="J9" s="188">
        <f>'Data Sheet'!J46</f>
        <v/>
      </c>
      <c r="K9" s="188">
        <f>'Data Sheet'!K46</f>
        <v/>
      </c>
    </row>
    <row r="10">
      <c r="A10" t="inlineStr">
        <is>
          <t>Profit before tax</t>
        </is>
      </c>
      <c r="B10" s="188">
        <f>'Data Sheet'!B47</f>
        <v/>
      </c>
      <c r="C10" s="188">
        <f>'Data Sheet'!C47</f>
        <v/>
      </c>
      <c r="D10" s="188">
        <f>'Data Sheet'!D47</f>
        <v/>
      </c>
      <c r="E10" s="188">
        <f>'Data Sheet'!E47</f>
        <v/>
      </c>
      <c r="F10" s="188">
        <f>'Data Sheet'!F47</f>
        <v/>
      </c>
      <c r="G10" s="188">
        <f>'Data Sheet'!G47</f>
        <v/>
      </c>
      <c r="H10" s="188">
        <f>'Data Sheet'!H47</f>
        <v/>
      </c>
      <c r="I10" s="188">
        <f>'Data Sheet'!I47</f>
        <v/>
      </c>
      <c r="J10" s="188">
        <f>'Data Sheet'!J47</f>
        <v/>
      </c>
      <c r="K10" s="188">
        <f>'Data Sheet'!K47</f>
        <v/>
      </c>
    </row>
    <row r="11">
      <c r="A11" t="inlineStr">
        <is>
          <t>Tax</t>
        </is>
      </c>
      <c r="B11" s="188">
        <f>'Data Sheet'!B48</f>
        <v/>
      </c>
      <c r="C11" s="188">
        <f>'Data Sheet'!C48</f>
        <v/>
      </c>
      <c r="D11" s="188">
        <f>'Data Sheet'!D48</f>
        <v/>
      </c>
      <c r="E11" s="188">
        <f>'Data Sheet'!E48</f>
        <v/>
      </c>
      <c r="F11" s="188">
        <f>'Data Sheet'!F48</f>
        <v/>
      </c>
      <c r="G11" s="188">
        <f>'Data Sheet'!G48</f>
        <v/>
      </c>
      <c r="H11" s="188">
        <f>'Data Sheet'!H48</f>
        <v/>
      </c>
      <c r="I11" s="188">
        <f>'Data Sheet'!I48</f>
        <v/>
      </c>
      <c r="J11" s="188">
        <f>'Data Sheet'!J48</f>
        <v/>
      </c>
      <c r="K11" s="188">
        <f>'Data Sheet'!K48</f>
        <v/>
      </c>
    </row>
    <row r="12" customFormat="1" s="37">
      <c r="A12" s="37" t="inlineStr">
        <is>
          <t>Net profit</t>
        </is>
      </c>
      <c r="B12" s="187">
        <f>'Data Sheet'!B49</f>
        <v/>
      </c>
      <c r="C12" s="187">
        <f>'Data Sheet'!C49</f>
        <v/>
      </c>
      <c r="D12" s="187">
        <f>'Data Sheet'!D49</f>
        <v/>
      </c>
      <c r="E12" s="187">
        <f>'Data Sheet'!E49</f>
        <v/>
      </c>
      <c r="F12" s="187">
        <f>'Data Sheet'!F49</f>
        <v/>
      </c>
      <c r="G12" s="187">
        <f>'Data Sheet'!G49</f>
        <v/>
      </c>
      <c r="H12" s="187">
        <f>'Data Sheet'!H49</f>
        <v/>
      </c>
      <c r="I12" s="187">
        <f>'Data Sheet'!I49</f>
        <v/>
      </c>
      <c r="J12" s="187">
        <f>'Data Sheet'!J49</f>
        <v/>
      </c>
      <c r="K12" s="187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76" min="1" max="1"/>
    <col width="13.44140625" customWidth="1" style="176" min="2" max="2"/>
    <col width="15.44140625" customWidth="1" style="176" min="3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76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1">
        <f>'Data Sheet'!B57</f>
        <v/>
      </c>
      <c r="C4" s="191">
        <f>'Data Sheet'!C57</f>
        <v/>
      </c>
      <c r="D4" s="191">
        <f>'Data Sheet'!D57</f>
        <v/>
      </c>
      <c r="E4" s="191">
        <f>'Data Sheet'!E57</f>
        <v/>
      </c>
      <c r="F4" s="191">
        <f>'Data Sheet'!F57</f>
        <v/>
      </c>
      <c r="G4" s="191">
        <f>'Data Sheet'!G57</f>
        <v/>
      </c>
      <c r="H4" s="191">
        <f>'Data Sheet'!H57</f>
        <v/>
      </c>
      <c r="I4" s="191">
        <f>'Data Sheet'!I57</f>
        <v/>
      </c>
      <c r="J4" s="191">
        <f>'Data Sheet'!J57</f>
        <v/>
      </c>
      <c r="K4" s="191">
        <f>'Data Sheet'!K57</f>
        <v/>
      </c>
    </row>
    <row r="5" s="176">
      <c r="A5" t="inlineStr">
        <is>
          <t>Reserves</t>
        </is>
      </c>
      <c r="B5" s="191">
        <f>'Data Sheet'!B58</f>
        <v/>
      </c>
      <c r="C5" s="191">
        <f>'Data Sheet'!C58</f>
        <v/>
      </c>
      <c r="D5" s="191">
        <f>'Data Sheet'!D58</f>
        <v/>
      </c>
      <c r="E5" s="191">
        <f>'Data Sheet'!E58</f>
        <v/>
      </c>
      <c r="F5" s="191">
        <f>'Data Sheet'!F58</f>
        <v/>
      </c>
      <c r="G5" s="191">
        <f>'Data Sheet'!G58</f>
        <v/>
      </c>
      <c r="H5" s="191">
        <f>'Data Sheet'!H58</f>
        <v/>
      </c>
      <c r="I5" s="191">
        <f>'Data Sheet'!I58</f>
        <v/>
      </c>
      <c r="J5" s="191">
        <f>'Data Sheet'!J58</f>
        <v/>
      </c>
      <c r="K5" s="191">
        <f>'Data Sheet'!K58</f>
        <v/>
      </c>
    </row>
    <row r="6">
      <c r="A6" t="inlineStr">
        <is>
          <t>Borrowings</t>
        </is>
      </c>
      <c r="B6" s="191">
        <f>'Data Sheet'!B59</f>
        <v/>
      </c>
      <c r="C6" s="191">
        <f>'Data Sheet'!C59</f>
        <v/>
      </c>
      <c r="D6" s="191">
        <f>'Data Sheet'!D59</f>
        <v/>
      </c>
      <c r="E6" s="191">
        <f>'Data Sheet'!E59</f>
        <v/>
      </c>
      <c r="F6" s="191">
        <f>'Data Sheet'!F59</f>
        <v/>
      </c>
      <c r="G6" s="191">
        <f>'Data Sheet'!G59</f>
        <v/>
      </c>
      <c r="H6" s="191">
        <f>'Data Sheet'!H59</f>
        <v/>
      </c>
      <c r="I6" s="191">
        <f>'Data Sheet'!I59</f>
        <v/>
      </c>
      <c r="J6" s="191">
        <f>'Data Sheet'!J59</f>
        <v/>
      </c>
      <c r="K6" s="191">
        <f>'Data Sheet'!K59</f>
        <v/>
      </c>
    </row>
    <row r="7" s="176">
      <c r="A7" t="inlineStr">
        <is>
          <t>Other Liabilities</t>
        </is>
      </c>
      <c r="B7" s="191">
        <f>'Data Sheet'!B60</f>
        <v/>
      </c>
      <c r="C7" s="191">
        <f>'Data Sheet'!C60</f>
        <v/>
      </c>
      <c r="D7" s="191">
        <f>'Data Sheet'!D60</f>
        <v/>
      </c>
      <c r="E7" s="191">
        <f>'Data Sheet'!E60</f>
        <v/>
      </c>
      <c r="F7" s="191">
        <f>'Data Sheet'!F60</f>
        <v/>
      </c>
      <c r="G7" s="191">
        <f>'Data Sheet'!G60</f>
        <v/>
      </c>
      <c r="H7" s="191">
        <f>'Data Sheet'!H60</f>
        <v/>
      </c>
      <c r="I7" s="191">
        <f>'Data Sheet'!I60</f>
        <v/>
      </c>
      <c r="J7" s="191">
        <f>'Data Sheet'!J60</f>
        <v/>
      </c>
      <c r="K7" s="191">
        <f>'Data Sheet'!K60</f>
        <v/>
      </c>
    </row>
    <row r="8" customFormat="1" s="37">
      <c r="A8" s="37" t="inlineStr">
        <is>
          <t>Total</t>
        </is>
      </c>
      <c r="B8" s="192">
        <f>'Data Sheet'!B61</f>
        <v/>
      </c>
      <c r="C8" s="192">
        <f>'Data Sheet'!C61</f>
        <v/>
      </c>
      <c r="D8" s="192">
        <f>'Data Sheet'!D61</f>
        <v/>
      </c>
      <c r="E8" s="192">
        <f>'Data Sheet'!E61</f>
        <v/>
      </c>
      <c r="F8" s="192">
        <f>'Data Sheet'!F61</f>
        <v/>
      </c>
      <c r="G8" s="192">
        <f>'Data Sheet'!G61</f>
        <v/>
      </c>
      <c r="H8" s="192">
        <f>'Data Sheet'!H61</f>
        <v/>
      </c>
      <c r="I8" s="192">
        <f>'Data Sheet'!I61</f>
        <v/>
      </c>
      <c r="J8" s="192">
        <f>'Data Sheet'!J61</f>
        <v/>
      </c>
      <c r="K8" s="192">
        <f>'Data Sheet'!K61</f>
        <v/>
      </c>
    </row>
    <row r="9" customFormat="1" s="37">
      <c r="B9" s="192" t="n"/>
      <c r="C9" s="192" t="n"/>
      <c r="D9" s="192" t="n"/>
      <c r="E9" s="192" t="n"/>
      <c r="F9" s="192" t="n"/>
      <c r="G9" s="192" t="n"/>
      <c r="H9" s="192" t="n"/>
      <c r="I9" s="192" t="n"/>
      <c r="J9" s="192" t="n"/>
      <c r="K9" s="192" t="n"/>
    </row>
    <row r="10">
      <c r="A10" t="inlineStr">
        <is>
          <t>Net Block</t>
        </is>
      </c>
      <c r="B10" s="191">
        <f>'Data Sheet'!B62</f>
        <v/>
      </c>
      <c r="C10" s="191">
        <f>'Data Sheet'!C62</f>
        <v/>
      </c>
      <c r="D10" s="191">
        <f>'Data Sheet'!D62</f>
        <v/>
      </c>
      <c r="E10" s="191">
        <f>'Data Sheet'!E62</f>
        <v/>
      </c>
      <c r="F10" s="191">
        <f>'Data Sheet'!F62</f>
        <v/>
      </c>
      <c r="G10" s="191">
        <f>'Data Sheet'!G62</f>
        <v/>
      </c>
      <c r="H10" s="191">
        <f>'Data Sheet'!H62</f>
        <v/>
      </c>
      <c r="I10" s="191">
        <f>'Data Sheet'!I62</f>
        <v/>
      </c>
      <c r="J10" s="191">
        <f>'Data Sheet'!J62</f>
        <v/>
      </c>
      <c r="K10" s="191">
        <f>'Data Sheet'!K62</f>
        <v/>
      </c>
    </row>
    <row r="11">
      <c r="A11" t="inlineStr">
        <is>
          <t>Capital Work in Progress</t>
        </is>
      </c>
      <c r="B11" s="191">
        <f>'Data Sheet'!B63</f>
        <v/>
      </c>
      <c r="C11" s="191">
        <f>'Data Sheet'!C63</f>
        <v/>
      </c>
      <c r="D11" s="191">
        <f>'Data Sheet'!D63</f>
        <v/>
      </c>
      <c r="E11" s="191">
        <f>'Data Sheet'!E63</f>
        <v/>
      </c>
      <c r="F11" s="191">
        <f>'Data Sheet'!F63</f>
        <v/>
      </c>
      <c r="G11" s="191">
        <f>'Data Sheet'!G63</f>
        <v/>
      </c>
      <c r="H11" s="191">
        <f>'Data Sheet'!H63</f>
        <v/>
      </c>
      <c r="I11" s="191">
        <f>'Data Sheet'!I63</f>
        <v/>
      </c>
      <c r="J11" s="191">
        <f>'Data Sheet'!J63</f>
        <v/>
      </c>
      <c r="K11" s="191">
        <f>'Data Sheet'!K63</f>
        <v/>
      </c>
    </row>
    <row r="12">
      <c r="A12" t="inlineStr">
        <is>
          <t>Investments</t>
        </is>
      </c>
      <c r="B12" s="191">
        <f>'Data Sheet'!B64</f>
        <v/>
      </c>
      <c r="C12" s="191">
        <f>'Data Sheet'!C64</f>
        <v/>
      </c>
      <c r="D12" s="191">
        <f>'Data Sheet'!D64</f>
        <v/>
      </c>
      <c r="E12" s="191">
        <f>'Data Sheet'!E64</f>
        <v/>
      </c>
      <c r="F12" s="191">
        <f>'Data Sheet'!F64</f>
        <v/>
      </c>
      <c r="G12" s="191">
        <f>'Data Sheet'!G64</f>
        <v/>
      </c>
      <c r="H12" s="191">
        <f>'Data Sheet'!H64</f>
        <v/>
      </c>
      <c r="I12" s="191">
        <f>'Data Sheet'!I64</f>
        <v/>
      </c>
      <c r="J12" s="191">
        <f>'Data Sheet'!J64</f>
        <v/>
      </c>
      <c r="K12" s="191">
        <f>'Data Sheet'!K64</f>
        <v/>
      </c>
    </row>
    <row r="13">
      <c r="A13" t="inlineStr">
        <is>
          <t>Other Assets</t>
        </is>
      </c>
      <c r="B13" s="191">
        <f>'Data Sheet'!B65</f>
        <v/>
      </c>
      <c r="C13" s="191">
        <f>'Data Sheet'!C65</f>
        <v/>
      </c>
      <c r="D13" s="191">
        <f>'Data Sheet'!D65</f>
        <v/>
      </c>
      <c r="E13" s="191">
        <f>'Data Sheet'!E65</f>
        <v/>
      </c>
      <c r="F13" s="191">
        <f>'Data Sheet'!F65</f>
        <v/>
      </c>
      <c r="G13" s="191">
        <f>'Data Sheet'!G65</f>
        <v/>
      </c>
      <c r="H13" s="191">
        <f>'Data Sheet'!H65</f>
        <v/>
      </c>
      <c r="I13" s="191">
        <f>'Data Sheet'!I65</f>
        <v/>
      </c>
      <c r="J13" s="191">
        <f>'Data Sheet'!J65</f>
        <v/>
      </c>
      <c r="K13" s="191">
        <f>'Data Sheet'!K65</f>
        <v/>
      </c>
    </row>
    <row r="14" customFormat="1" s="37">
      <c r="A14" s="37" t="inlineStr">
        <is>
          <t>Total</t>
        </is>
      </c>
      <c r="B14" s="191">
        <f>'Data Sheet'!B66</f>
        <v/>
      </c>
      <c r="C14" s="191">
        <f>'Data Sheet'!C66</f>
        <v/>
      </c>
      <c r="D14" s="191">
        <f>'Data Sheet'!D66</f>
        <v/>
      </c>
      <c r="E14" s="191">
        <f>'Data Sheet'!E66</f>
        <v/>
      </c>
      <c r="F14" s="191">
        <f>'Data Sheet'!F66</f>
        <v/>
      </c>
      <c r="G14" s="191">
        <f>'Data Sheet'!G66</f>
        <v/>
      </c>
      <c r="H14" s="191">
        <f>'Data Sheet'!H66</f>
        <v/>
      </c>
      <c r="I14" s="191">
        <f>'Data Sheet'!I66</f>
        <v/>
      </c>
      <c r="J14" s="191">
        <f>'Data Sheet'!J66</f>
        <v/>
      </c>
      <c r="K14" s="191">
        <f>'Data Sheet'!K66</f>
        <v/>
      </c>
    </row>
    <row r="15"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</row>
    <row r="16">
      <c r="A16" t="inlineStr">
        <is>
          <t>Working Capital</t>
        </is>
      </c>
      <c r="B16" s="193">
        <f>B13-B7</f>
        <v/>
      </c>
      <c r="C16" s="193">
        <f>C13-C7</f>
        <v/>
      </c>
      <c r="D16" s="193">
        <f>D13-D7</f>
        <v/>
      </c>
      <c r="E16" s="193">
        <f>E13-E7</f>
        <v/>
      </c>
      <c r="F16" s="193">
        <f>F13-F7</f>
        <v/>
      </c>
      <c r="G16" s="193">
        <f>G13-G7</f>
        <v/>
      </c>
      <c r="H16" s="193">
        <f>H13-H7</f>
        <v/>
      </c>
      <c r="I16" s="193">
        <f>I13-I7</f>
        <v/>
      </c>
      <c r="J16" s="193">
        <f>J13-J7</f>
        <v/>
      </c>
      <c r="K16" s="193">
        <f>K13-K7</f>
        <v/>
      </c>
    </row>
    <row r="17">
      <c r="A17" t="inlineStr">
        <is>
          <t>Debtors</t>
        </is>
      </c>
      <c r="B17" s="193">
        <f>'Data Sheet'!B67</f>
        <v/>
      </c>
      <c r="C17" s="193">
        <f>'Data Sheet'!C67</f>
        <v/>
      </c>
      <c r="D17" s="193">
        <f>'Data Sheet'!D67</f>
        <v/>
      </c>
      <c r="E17" s="193">
        <f>'Data Sheet'!E67</f>
        <v/>
      </c>
      <c r="F17" s="193">
        <f>'Data Sheet'!F67</f>
        <v/>
      </c>
      <c r="G17" s="193">
        <f>'Data Sheet'!G67</f>
        <v/>
      </c>
      <c r="H17" s="193">
        <f>'Data Sheet'!H67</f>
        <v/>
      </c>
      <c r="I17" s="193">
        <f>'Data Sheet'!I67</f>
        <v/>
      </c>
      <c r="J17" s="193">
        <f>'Data Sheet'!J67</f>
        <v/>
      </c>
      <c r="K17" s="193">
        <f>'Data Sheet'!K67</f>
        <v/>
      </c>
    </row>
    <row r="18">
      <c r="A18" t="inlineStr">
        <is>
          <t>Inventory</t>
        </is>
      </c>
      <c r="B18" s="193">
        <f>'Data Sheet'!B68</f>
        <v/>
      </c>
      <c r="C18" s="193">
        <f>'Data Sheet'!C68</f>
        <v/>
      </c>
      <c r="D18" s="193">
        <f>'Data Sheet'!D68</f>
        <v/>
      </c>
      <c r="E18" s="193">
        <f>'Data Sheet'!E68</f>
        <v/>
      </c>
      <c r="F18" s="193">
        <f>'Data Sheet'!F68</f>
        <v/>
      </c>
      <c r="G18" s="193">
        <f>'Data Sheet'!G68</f>
        <v/>
      </c>
      <c r="H18" s="193">
        <f>'Data Sheet'!H68</f>
        <v/>
      </c>
      <c r="I18" s="193">
        <f>'Data Sheet'!I68</f>
        <v/>
      </c>
      <c r="J18" s="193">
        <f>'Data Sheet'!J68</f>
        <v/>
      </c>
      <c r="K18" s="193">
        <f>'Data Sheet'!K68</f>
        <v/>
      </c>
    </row>
    <row r="20">
      <c r="A20" t="inlineStr">
        <is>
          <t>Debtor Days</t>
        </is>
      </c>
      <c r="B20" s="193">
        <f>IF('Profit &amp; Loss'!B4&gt;0,'Balance Sheet'!B17/('Profit &amp; Loss'!B4/365),0)</f>
        <v/>
      </c>
      <c r="C20" s="193">
        <f>IF('Profit &amp; Loss'!C4&gt;0,'Balance Sheet'!C17/('Profit &amp; Loss'!C4/365),0)</f>
        <v/>
      </c>
      <c r="D20" s="193">
        <f>IF('Profit &amp; Loss'!D4&gt;0,'Balance Sheet'!D17/('Profit &amp; Loss'!D4/365),0)</f>
        <v/>
      </c>
      <c r="E20" s="193">
        <f>IF('Profit &amp; Loss'!E4&gt;0,'Balance Sheet'!E17/('Profit &amp; Loss'!E4/365),0)</f>
        <v/>
      </c>
      <c r="F20" s="193">
        <f>IF('Profit &amp; Loss'!F4&gt;0,'Balance Sheet'!F17/('Profit &amp; Loss'!F4/365),0)</f>
        <v/>
      </c>
      <c r="G20" s="193">
        <f>IF('Profit &amp; Loss'!G4&gt;0,'Balance Sheet'!G17/('Profit &amp; Loss'!G4/365),0)</f>
        <v/>
      </c>
      <c r="H20" s="193">
        <f>IF('Profit &amp; Loss'!H4&gt;0,'Balance Sheet'!H17/('Profit &amp; Loss'!H4/365),0)</f>
        <v/>
      </c>
      <c r="I20" s="193">
        <f>IF('Profit &amp; Loss'!I4&gt;0,'Balance Sheet'!I17/('Profit &amp; Loss'!I4/365),0)</f>
        <v/>
      </c>
      <c r="J20" s="193">
        <f>IF('Profit &amp; Loss'!J4&gt;0,'Balance Sheet'!J17/('Profit &amp; Loss'!J4/365),0)</f>
        <v/>
      </c>
      <c r="K20" s="193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93">
        <f>IF('Balance Sheet'!B18&gt;0,'Profit &amp; Loss'!B4/'Balance Sheet'!B18,0)</f>
        <v/>
      </c>
      <c r="C21" s="193">
        <f>IF('Balance Sheet'!C18&gt;0,'Profit &amp; Loss'!C4/'Balance Sheet'!C18,0)</f>
        <v/>
      </c>
      <c r="D21" s="193">
        <f>IF('Balance Sheet'!D18&gt;0,'Profit &amp; Loss'!D4/'Balance Sheet'!D18,0)</f>
        <v/>
      </c>
      <c r="E21" s="193">
        <f>IF('Balance Sheet'!E18&gt;0,'Profit &amp; Loss'!E4/'Balance Sheet'!E18,0)</f>
        <v/>
      </c>
      <c r="F21" s="193">
        <f>IF('Balance Sheet'!F18&gt;0,'Profit &amp; Loss'!F4/'Balance Sheet'!F18,0)</f>
        <v/>
      </c>
      <c r="G21" s="193">
        <f>IF('Balance Sheet'!G18&gt;0,'Profit &amp; Loss'!G4/'Balance Sheet'!G18,0)</f>
        <v/>
      </c>
      <c r="H21" s="193">
        <f>IF('Balance Sheet'!H18&gt;0,'Profit &amp; Loss'!H4/'Balance Sheet'!H18,0)</f>
        <v/>
      </c>
      <c r="I21" s="193">
        <f>IF('Balance Sheet'!I18&gt;0,'Profit &amp; Loss'!I4/'Balance Sheet'!I18,0)</f>
        <v/>
      </c>
      <c r="J21" s="193">
        <f>IF('Balance Sheet'!J18&gt;0,'Profit &amp; Loss'!J4/'Balance Sheet'!J18,0)</f>
        <v/>
      </c>
      <c r="K21" s="193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76" min="1" max="1"/>
    <col width="13.44140625" customWidth="1" style="176" min="2" max="6"/>
    <col width="13.44140625" bestFit="1" customWidth="1" style="176" min="7" max="11"/>
    <col width="8.77734375" customWidth="1" style="176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87">
        <f>'Data Sheet'!B82</f>
        <v/>
      </c>
      <c r="C4" s="187">
        <f>'Data Sheet'!C82</f>
        <v/>
      </c>
      <c r="D4" s="187">
        <f>'Data Sheet'!D82</f>
        <v/>
      </c>
      <c r="E4" s="187">
        <f>'Data Sheet'!E82</f>
        <v/>
      </c>
      <c r="F4" s="187">
        <f>'Data Sheet'!F82</f>
        <v/>
      </c>
      <c r="G4" s="187">
        <f>'Data Sheet'!G82</f>
        <v/>
      </c>
      <c r="H4" s="187">
        <f>'Data Sheet'!H82</f>
        <v/>
      </c>
      <c r="I4" s="187">
        <f>'Data Sheet'!I82</f>
        <v/>
      </c>
      <c r="J4" s="187">
        <f>'Data Sheet'!J82</f>
        <v/>
      </c>
      <c r="K4" s="187">
        <f>'Data Sheet'!K82</f>
        <v/>
      </c>
    </row>
    <row r="5">
      <c r="A5" t="inlineStr">
        <is>
          <t>Cash from Investing Activity</t>
        </is>
      </c>
      <c r="B5" s="188">
        <f>'Data Sheet'!B83</f>
        <v/>
      </c>
      <c r="C5" s="188">
        <f>'Data Sheet'!C83</f>
        <v/>
      </c>
      <c r="D5" s="188">
        <f>'Data Sheet'!D83</f>
        <v/>
      </c>
      <c r="E5" s="188">
        <f>'Data Sheet'!E83</f>
        <v/>
      </c>
      <c r="F5" s="188">
        <f>'Data Sheet'!F83</f>
        <v/>
      </c>
      <c r="G5" s="188">
        <f>'Data Sheet'!G83</f>
        <v/>
      </c>
      <c r="H5" s="188">
        <f>'Data Sheet'!H83</f>
        <v/>
      </c>
      <c r="I5" s="188">
        <f>'Data Sheet'!I83</f>
        <v/>
      </c>
      <c r="J5" s="188">
        <f>'Data Sheet'!J83</f>
        <v/>
      </c>
      <c r="K5" s="188">
        <f>'Data Sheet'!K83</f>
        <v/>
      </c>
    </row>
    <row r="6">
      <c r="A6" t="inlineStr">
        <is>
          <t>Cash from Financing Activity</t>
        </is>
      </c>
      <c r="B6" s="188">
        <f>'Data Sheet'!B84</f>
        <v/>
      </c>
      <c r="C6" s="188">
        <f>'Data Sheet'!C84</f>
        <v/>
      </c>
      <c r="D6" s="188">
        <f>'Data Sheet'!D84</f>
        <v/>
      </c>
      <c r="E6" s="188">
        <f>'Data Sheet'!E84</f>
        <v/>
      </c>
      <c r="F6" s="188">
        <f>'Data Sheet'!F84</f>
        <v/>
      </c>
      <c r="G6" s="188">
        <f>'Data Sheet'!G84</f>
        <v/>
      </c>
      <c r="H6" s="188">
        <f>'Data Sheet'!H84</f>
        <v/>
      </c>
      <c r="I6" s="188">
        <f>'Data Sheet'!I84</f>
        <v/>
      </c>
      <c r="J6" s="188">
        <f>'Data Sheet'!J84</f>
        <v/>
      </c>
      <c r="K6" s="188">
        <f>'Data Sheet'!K84</f>
        <v/>
      </c>
    </row>
    <row r="7" customFormat="1" s="37">
      <c r="A7" s="37" t="inlineStr">
        <is>
          <t>Net Cash Flow</t>
        </is>
      </c>
      <c r="B7" s="187">
        <f>'Data Sheet'!B85</f>
        <v/>
      </c>
      <c r="C7" s="187">
        <f>'Data Sheet'!C85</f>
        <v/>
      </c>
      <c r="D7" s="187">
        <f>'Data Sheet'!D85</f>
        <v/>
      </c>
      <c r="E7" s="187">
        <f>'Data Sheet'!E85</f>
        <v/>
      </c>
      <c r="F7" s="187">
        <f>'Data Sheet'!F85</f>
        <v/>
      </c>
      <c r="G7" s="187">
        <f>'Data Sheet'!G85</f>
        <v/>
      </c>
      <c r="H7" s="187">
        <f>'Data Sheet'!H85</f>
        <v/>
      </c>
      <c r="I7" s="187">
        <f>'Data Sheet'!I85</f>
        <v/>
      </c>
      <c r="J7" s="187">
        <f>'Data Sheet'!J85</f>
        <v/>
      </c>
      <c r="K7" s="187">
        <f>'Data Sheet'!K85</f>
        <v/>
      </c>
    </row>
    <row r="8">
      <c r="B8" s="188" t="n"/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</row>
    <row r="24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76" min="2" max="2"/>
    <col width="13.33203125" customWidth="1" style="26" min="3" max="3"/>
    <col width="8.77734375" customWidth="1" style="176" min="4" max="5"/>
    <col width="6.77734375" customWidth="1" style="176" min="6" max="6"/>
    <col width="8.77734375" customWidth="1" style="176" min="7" max="16384"/>
  </cols>
  <sheetData>
    <row r="1" ht="21" customHeight="1" s="176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76" min="1" max="1"/>
    <col width="27.33203125" customWidth="1" style="176" min="2" max="2"/>
    <col width="9.6640625" bestFit="1" customWidth="1" style="176" min="3" max="3"/>
  </cols>
  <sheetData>
    <row r="2">
      <c r="B2" s="177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76"/>
    <row r="6">
      <c r="B6" s="194">
        <f>IF(OR(ISBLANK('Data Sheet'!B$17), 'Data Sheet'!B$17&lt;=0), "N/A", IFERROR('Data Sheet'!B6/'Data Sheet'!B$17, "N/A"))</f>
        <v/>
      </c>
      <c r="C6" s="114">
        <f>IF(OR(ISBLANK('Data Sheet'!C$17), 'Data Sheet'!C$17&lt;=0), "N/A", IFERROR('Data Sheet'!C6/'Data Sheet'!C$17, "N/A"))</f>
        <v/>
      </c>
      <c r="D6" s="114">
        <f>IF(OR(ISBLANK('Data Sheet'!D$17), 'Data Sheet'!D$17&lt;=0), "N/A", IFERROR('Data Sheet'!D6/'Data Sheet'!D$17, "N/A"))</f>
        <v/>
      </c>
      <c r="E6" s="114">
        <f>IF(OR(ISBLANK('Data Sheet'!E$17), 'Data Sheet'!E$17&lt;=0), "N/A", IFERROR('Data Sheet'!E6/'Data Sheet'!E$17, "N/A"))</f>
        <v/>
      </c>
      <c r="F6" s="114">
        <f>IF(OR(ISBLANK('Data Sheet'!F$17), 'Data Sheet'!F$17&lt;=0), "N/A", IFERROR('Data Sheet'!F6/'Data Sheet'!F$17, "N/A"))</f>
        <v/>
      </c>
      <c r="G6" s="114">
        <f>IF(OR(ISBLANK('Data Sheet'!G$17), 'Data Sheet'!G$17&lt;=0), "N/A", IFERROR('Data Sheet'!G6/'Data Sheet'!G$17, "N/A"))</f>
        <v/>
      </c>
      <c r="H6" s="114">
        <f>IF(OR(ISBLANK('Data Sheet'!H$17), 'Data Sheet'!H$17&lt;=0), "N/A", IFERROR('Data Sheet'!H6/'Data Sheet'!H$17, "N/A"))</f>
        <v/>
      </c>
      <c r="I6" s="114">
        <f>IF(OR(ISBLANK('Data Sheet'!I$17), 'Data Sheet'!I$17&lt;=0), "N/A", IFERROR('Data Sheet'!I6/'Data Sheet'!I$17, "N/A"))</f>
        <v/>
      </c>
      <c r="J6" s="114">
        <f>IF(OR(ISBLANK('Data Sheet'!J$17), 'Data Sheet'!J$17&lt;=0), "N/A", IFERROR('Data Sheet'!J6/'Data Sheet'!J$17, "N/A"))</f>
        <v/>
      </c>
      <c r="K6" s="114">
        <f>IF(OR(ISBLANK('Data Sheet'!K$17), 'Data Sheet'!K$17&lt;=0), "N/A", IFERROR('Data Sheet'!K6/'Data Sheet'!K$17, "N/A"))</f>
        <v/>
      </c>
      <c r="L6" s="114">
        <f>'Data Sheet'!K17/'Data Sheet'!K$17</f>
        <v/>
      </c>
    </row>
    <row r="7">
      <c r="B7" s="195">
        <f>IF(OR(ISBLANK('Data Sheet'!B$17), 'Data Sheet'!B$17&lt;=0), "N/A", IFERROR('Data Sheet'!B7/'Data Sheet'!B$17, "N/A"))</f>
        <v/>
      </c>
      <c r="C7" s="36">
        <f>IF(OR(ISBLANK('Data Sheet'!C$17), 'Data Sheet'!C$17&lt;=0), "N/A", IFERROR('Data Sheet'!C7/'Data Sheet'!C$17, "N/A"))</f>
        <v/>
      </c>
      <c r="D7" s="36">
        <f>IF(OR(ISBLANK('Data Sheet'!D$17), 'Data Sheet'!D$17&lt;=0), "N/A", IFERROR('Data Sheet'!D7/'Data Sheet'!D$17, "N/A"))</f>
        <v/>
      </c>
      <c r="E7" s="36">
        <f>IF(OR(ISBLANK('Data Sheet'!E$17), 'Data Sheet'!E$17&lt;=0), "N/A", IFERROR('Data Sheet'!E7/'Data Sheet'!E$17, "N/A"))</f>
        <v/>
      </c>
      <c r="F7" s="36">
        <f>IF(OR(ISBLANK('Data Sheet'!F$17), 'Data Sheet'!F$17&lt;=0), "N/A", IFERROR('Data Sheet'!F7/'Data Sheet'!F$17, "N/A"))</f>
        <v/>
      </c>
      <c r="G7" s="36">
        <f>IF(OR(ISBLANK('Data Sheet'!G$17), 'Data Sheet'!G$17&lt;=0), "N/A", IFERROR('Data Sheet'!G7/'Data Sheet'!G$17, "N/A"))</f>
        <v/>
      </c>
      <c r="H7" s="36">
        <f>IF(OR(ISBLANK('Data Sheet'!H$17), 'Data Sheet'!H$17&lt;=0), "N/A", IFERROR('Data Sheet'!H7/'Data Sheet'!H$17, "N/A"))</f>
        <v/>
      </c>
      <c r="I7" s="36">
        <f>IF(OR(ISBLANK('Data Sheet'!I$17), 'Data Sheet'!I$17&lt;=0), "N/A", IFERROR('Data Sheet'!I7/'Data Sheet'!I$17, "N/A"))</f>
        <v/>
      </c>
      <c r="J7" s="36">
        <f>IF(OR(ISBLANK('Data Sheet'!J$17), 'Data Sheet'!J$17&lt;=0), "N/A", IFERROR('Data Sheet'!J7/'Data Sheet'!J$17, "N/A"))</f>
        <v/>
      </c>
      <c r="K7" s="36">
        <f>IF(OR(ISBLANK('Data Sheet'!K$17), 'Data Sheet'!K$17&lt;=0), "N/A", IFERROR('Data Sheet'!K7/'Data Sheet'!K$17, "N/A"))</f>
        <v/>
      </c>
      <c r="L7" s="36">
        <f>'Data Sheet'!K18/'Data Sheet'!K$17</f>
        <v/>
      </c>
    </row>
    <row r="8">
      <c r="B8" s="195">
        <f>IF(OR(ISBLANK('Data Sheet'!B$17), 'Data Sheet'!B$17&lt;=0), "N/A", IFERROR('Data Sheet'!B8/'Data Sheet'!B$17, "N/A"))</f>
        <v/>
      </c>
      <c r="C8" s="36">
        <f>IF(OR(ISBLANK('Data Sheet'!C$17), 'Data Sheet'!C$17&lt;=0), "N/A", IFERROR('Data Sheet'!C8/'Data Sheet'!C$17, "N/A"))</f>
        <v/>
      </c>
      <c r="D8" s="36">
        <f>IF(OR(ISBLANK('Data Sheet'!D$17), 'Data Sheet'!D$17&lt;=0), "N/A", IFERROR('Data Sheet'!D8/'Data Sheet'!D$17, "N/A"))</f>
        <v/>
      </c>
      <c r="E8" s="36">
        <f>IF(OR(ISBLANK('Data Sheet'!E$17), 'Data Sheet'!E$17&lt;=0), "N/A", IFERROR('Data Sheet'!E8/'Data Sheet'!E$17, "N/A"))</f>
        <v/>
      </c>
      <c r="F8" s="36">
        <f>IF(OR(ISBLANK('Data Sheet'!F$17), 'Data Sheet'!F$17&lt;=0), "N/A", IFERROR('Data Sheet'!F8/'Data Sheet'!F$17, "N/A"))</f>
        <v/>
      </c>
      <c r="G8" s="36">
        <f>IF(OR(ISBLANK('Data Sheet'!G$17), 'Data Sheet'!G$17&lt;=0), "N/A", IFERROR('Data Sheet'!G8/'Data Sheet'!G$17, "N/A"))</f>
        <v/>
      </c>
      <c r="H8" s="36">
        <f>IF(OR(ISBLANK('Data Sheet'!H$17), 'Data Sheet'!H$17&lt;=0), "N/A", IFERROR('Data Sheet'!H8/'Data Sheet'!H$17, "N/A"))</f>
        <v/>
      </c>
      <c r="I8" s="36">
        <f>IF(OR(ISBLANK('Data Sheet'!I$17), 'Data Sheet'!I$17&lt;=0), "N/A", IFERROR('Data Sheet'!I8/'Data Sheet'!I$17, "N/A"))</f>
        <v/>
      </c>
      <c r="J8" s="36">
        <f>IF(OR(ISBLANK('Data Sheet'!J$17), 'Data Sheet'!J$17&lt;=0), "N/A", IFERROR('Data Sheet'!J8/'Data Sheet'!J$17, "N/A"))</f>
        <v/>
      </c>
      <c r="K8" s="36">
        <f>IF(OR(ISBLANK('Data Sheet'!K$17), 'Data Sheet'!K$17&lt;=0), "N/A", IFERROR('Data Sheet'!K8/'Data Sheet'!K$17, "N/A"))</f>
        <v/>
      </c>
      <c r="L8" s="36">
        <f>'Data Sheet'!K19/'Data Sheet'!K$17</f>
        <v/>
      </c>
    </row>
    <row r="9">
      <c r="B9" s="195">
        <f>IF(OR(ISBLANK('Data Sheet'!B$17), 'Data Sheet'!B$17&lt;=0), "N/A", IFERROR('Data Sheet'!B9/'Data Sheet'!B$17, "N/A"))</f>
        <v/>
      </c>
      <c r="C9" s="36">
        <f>IF(OR(ISBLANK('Data Sheet'!C$17), 'Data Sheet'!C$17&lt;=0), "N/A", IFERROR('Data Sheet'!C9/'Data Sheet'!C$17, "N/A"))</f>
        <v/>
      </c>
      <c r="D9" s="36">
        <f>IF(OR(ISBLANK('Data Sheet'!D$17), 'Data Sheet'!D$17&lt;=0), "N/A", IFERROR('Data Sheet'!D9/'Data Sheet'!D$17, "N/A"))</f>
        <v/>
      </c>
      <c r="E9" s="36">
        <f>IF(OR(ISBLANK('Data Sheet'!E$17), 'Data Sheet'!E$17&lt;=0), "N/A", IFERROR('Data Sheet'!E9/'Data Sheet'!E$17, "N/A"))</f>
        <v/>
      </c>
      <c r="F9" s="36">
        <f>IF(OR(ISBLANK('Data Sheet'!F$17), 'Data Sheet'!F$17&lt;=0), "N/A", IFERROR('Data Sheet'!F9/'Data Sheet'!F$17, "N/A"))</f>
        <v/>
      </c>
      <c r="G9" s="36">
        <f>IF(OR(ISBLANK('Data Sheet'!G$17), 'Data Sheet'!G$17&lt;=0), "N/A", IFERROR('Data Sheet'!G9/'Data Sheet'!G$17, "N/A"))</f>
        <v/>
      </c>
      <c r="H9" s="36">
        <f>IF(OR(ISBLANK('Data Sheet'!H$17), 'Data Sheet'!H$17&lt;=0), "N/A", IFERROR('Data Sheet'!H9/'Data Sheet'!H$17, "N/A"))</f>
        <v/>
      </c>
      <c r="I9" s="36">
        <f>IF(OR(ISBLANK('Data Sheet'!I$17), 'Data Sheet'!I$17&lt;=0), "N/A", IFERROR('Data Sheet'!I9/'Data Sheet'!I$17, "N/A"))</f>
        <v/>
      </c>
      <c r="J9" s="36">
        <f>IF(OR(ISBLANK('Data Sheet'!J$17), 'Data Sheet'!J$17&lt;=0), "N/A", IFERROR('Data Sheet'!J9/'Data Sheet'!J$17, "N/A"))</f>
        <v/>
      </c>
      <c r="K9" s="36">
        <f>IF(OR(ISBLANK('Data Sheet'!K$17), 'Data Sheet'!K$17&lt;=0), "N/A", IFERROR('Data Sheet'!K9/'Data Sheet'!K$17, "N/A"))</f>
        <v/>
      </c>
      <c r="L9" s="36">
        <f>'Data Sheet'!K20/'Data Sheet'!K$17</f>
        <v/>
      </c>
    </row>
    <row r="10">
      <c r="B10" s="195">
        <f>IF(OR(ISBLANK('Data Sheet'!B$17), 'Data Sheet'!B$17&lt;=0), "N/A", IFERROR('Data Sheet'!B10/'Data Sheet'!B$17, "N/A"))</f>
        <v/>
      </c>
      <c r="C10" s="36">
        <f>IF(OR(ISBLANK('Data Sheet'!C$17), 'Data Sheet'!C$17&lt;=0), "N/A", IFERROR('Data Sheet'!C10/'Data Sheet'!C$17, "N/A"))</f>
        <v/>
      </c>
      <c r="D10" s="36">
        <f>IF(OR(ISBLANK('Data Sheet'!D$17), 'Data Sheet'!D$17&lt;=0), "N/A", IFERROR('Data Sheet'!D10/'Data Sheet'!D$17, "N/A"))</f>
        <v/>
      </c>
      <c r="E10" s="36">
        <f>IF(OR(ISBLANK('Data Sheet'!E$17), 'Data Sheet'!E$17&lt;=0), "N/A", IFERROR('Data Sheet'!E10/'Data Sheet'!E$17, "N/A"))</f>
        <v/>
      </c>
      <c r="F10" s="36">
        <f>IF(OR(ISBLANK('Data Sheet'!F$17), 'Data Sheet'!F$17&lt;=0), "N/A", IFERROR('Data Sheet'!F10/'Data Sheet'!F$17, "N/A"))</f>
        <v/>
      </c>
      <c r="G10" s="36">
        <f>IF(OR(ISBLANK('Data Sheet'!G$17), 'Data Sheet'!G$17&lt;=0), "N/A", IFERROR('Data Sheet'!G10/'Data Sheet'!G$17, "N/A"))</f>
        <v/>
      </c>
      <c r="H10" s="36">
        <f>IF(OR(ISBLANK('Data Sheet'!H$17), 'Data Sheet'!H$17&lt;=0), "N/A", IFERROR('Data Sheet'!H10/'Data Sheet'!H$17, "N/A"))</f>
        <v/>
      </c>
      <c r="I10" s="36">
        <f>IF(OR(ISBLANK('Data Sheet'!I$17), 'Data Sheet'!I$17&lt;=0), "N/A", IFERROR('Data Sheet'!I10/'Data Sheet'!I$17, "N/A"))</f>
        <v/>
      </c>
      <c r="J10" s="36">
        <f>IF(OR(ISBLANK('Data Sheet'!J$17), 'Data Sheet'!J$17&lt;=0), "N/A", IFERROR('Data Sheet'!J10/'Data Sheet'!J$17, "N/A"))</f>
        <v/>
      </c>
      <c r="K10" s="36">
        <f>IF(OR(ISBLANK('Data Sheet'!K$17), 'Data Sheet'!K$17&lt;=0), "N/A", IFERROR('Data Sheet'!K10/'Data Sheet'!K$17, "N/A"))</f>
        <v/>
      </c>
      <c r="L10" s="36">
        <f>'Data Sheet'!K21/'Data Sheet'!K$17</f>
        <v/>
      </c>
    </row>
    <row r="11">
      <c r="B11" s="195">
        <f>IF(OR(ISBLANK('Data Sheet'!B$17), 'Data Sheet'!B$17&lt;=0), "N/A", IFERROR('Data Sheet'!B11/'Data Sheet'!B$17, "N/A"))</f>
        <v/>
      </c>
      <c r="C11" s="36">
        <f>IF(OR(ISBLANK('Data Sheet'!C$17), 'Data Sheet'!C$17&lt;=0), "N/A", IFERROR('Data Sheet'!C11/'Data Sheet'!C$17, "N/A"))</f>
        <v/>
      </c>
      <c r="D11" s="36">
        <f>IF(OR(ISBLANK('Data Sheet'!D$17), 'Data Sheet'!D$17&lt;=0), "N/A", IFERROR('Data Sheet'!D11/'Data Sheet'!D$17, "N/A"))</f>
        <v/>
      </c>
      <c r="E11" s="36">
        <f>IF(OR(ISBLANK('Data Sheet'!E$17), 'Data Sheet'!E$17&lt;=0), "N/A", IFERROR('Data Sheet'!E11/'Data Sheet'!E$17, "N/A"))</f>
        <v/>
      </c>
      <c r="F11" s="36">
        <f>IF(OR(ISBLANK('Data Sheet'!F$17), 'Data Sheet'!F$17&lt;=0), "N/A", IFERROR('Data Sheet'!F11/'Data Sheet'!F$17, "N/A"))</f>
        <v/>
      </c>
      <c r="G11" s="36">
        <f>IF(OR(ISBLANK('Data Sheet'!G$17), 'Data Sheet'!G$17&lt;=0), "N/A", IFERROR('Data Sheet'!G11/'Data Sheet'!G$17, "N/A"))</f>
        <v/>
      </c>
      <c r="H11" s="36">
        <f>IF(OR(ISBLANK('Data Sheet'!H$17), 'Data Sheet'!H$17&lt;=0), "N/A", IFERROR('Data Sheet'!H11/'Data Sheet'!H$17, "N/A"))</f>
        <v/>
      </c>
      <c r="I11" s="36">
        <f>IF(OR(ISBLANK('Data Sheet'!I$17), 'Data Sheet'!I$17&lt;=0), "N/A", IFERROR('Data Sheet'!I11/'Data Sheet'!I$17, "N/A"))</f>
        <v/>
      </c>
      <c r="J11" s="36">
        <f>IF(OR(ISBLANK('Data Sheet'!J$17), 'Data Sheet'!J$17&lt;=0), "N/A", IFERROR('Data Sheet'!J11/'Data Sheet'!J$17, "N/A"))</f>
        <v/>
      </c>
      <c r="K11" s="36">
        <f>IF(OR(ISBLANK('Data Sheet'!K$17), 'Data Sheet'!K$17&lt;=0), "N/A", IFERROR('Data Sheet'!K11/'Data Sheet'!K$17, "N/A"))</f>
        <v/>
      </c>
      <c r="L11" s="36">
        <f>'Data Sheet'!K22/'Data Sheet'!K$17</f>
        <v/>
      </c>
    </row>
    <row r="12">
      <c r="B12" s="195">
        <f>IF(OR(ISBLANK('Data Sheet'!B$17), 'Data Sheet'!B$17&lt;=0), "N/A", IFERROR('Data Sheet'!B12/'Data Sheet'!B$17, "N/A"))</f>
        <v/>
      </c>
      <c r="C12" s="36">
        <f>IF(OR(ISBLANK('Data Sheet'!C$17), 'Data Sheet'!C$17&lt;=0), "N/A", IFERROR('Data Sheet'!C12/'Data Sheet'!C$17, "N/A"))</f>
        <v/>
      </c>
      <c r="D12" s="36">
        <f>IF(OR(ISBLANK('Data Sheet'!D$17), 'Data Sheet'!D$17&lt;=0), "N/A", IFERROR('Data Sheet'!D12/'Data Sheet'!D$17, "N/A"))</f>
        <v/>
      </c>
      <c r="E12" s="36">
        <f>IF(OR(ISBLANK('Data Sheet'!E$17), 'Data Sheet'!E$17&lt;=0), "N/A", IFERROR('Data Sheet'!E12/'Data Sheet'!E$17, "N/A"))</f>
        <v/>
      </c>
      <c r="F12" s="36">
        <f>IF(OR(ISBLANK('Data Sheet'!F$17), 'Data Sheet'!F$17&lt;=0), "N/A", IFERROR('Data Sheet'!F12/'Data Sheet'!F$17, "N/A"))</f>
        <v/>
      </c>
      <c r="G12" s="36">
        <f>IF(OR(ISBLANK('Data Sheet'!G$17), 'Data Sheet'!G$17&lt;=0), "N/A", IFERROR('Data Sheet'!G12/'Data Sheet'!G$17, "N/A"))</f>
        <v/>
      </c>
      <c r="H12" s="36">
        <f>IF(OR(ISBLANK('Data Sheet'!H$17), 'Data Sheet'!H$17&lt;=0), "N/A", IFERROR('Data Sheet'!H12/'Data Sheet'!H$17, "N/A"))</f>
        <v/>
      </c>
      <c r="I12" s="36">
        <f>IF(OR(ISBLANK('Data Sheet'!I$17), 'Data Sheet'!I$17&lt;=0), "N/A", IFERROR('Data Sheet'!I12/'Data Sheet'!I$17, "N/A"))</f>
        <v/>
      </c>
      <c r="J12" s="36">
        <f>IF(OR(ISBLANK('Data Sheet'!J$17), 'Data Sheet'!J$17&lt;=0), "N/A", IFERROR('Data Sheet'!J12/'Data Sheet'!J$17, "N/A"))</f>
        <v/>
      </c>
      <c r="K12" s="36">
        <f>IF(OR(ISBLANK('Data Sheet'!K$17), 'Data Sheet'!K$17&lt;=0), "N/A", IFERROR('Data Sheet'!K12/'Data Sheet'!K$17, "N/A"))</f>
        <v/>
      </c>
      <c r="L12" s="36">
        <f>'Data Sheet'!K23/'Data Sheet'!K$17</f>
        <v/>
      </c>
    </row>
    <row r="13">
      <c r="B13" s="195">
        <f>IF(OR(ISBLANK('Data Sheet'!B$17), 'Data Sheet'!B$17&lt;=0), "N/A", IFERROR('Data Sheet'!B13/'Data Sheet'!B$17, "N/A"))</f>
        <v/>
      </c>
      <c r="C13" s="36">
        <f>IF(OR(ISBLANK('Data Sheet'!C$17), 'Data Sheet'!C$17&lt;=0), "N/A", IFERROR('Data Sheet'!C13/'Data Sheet'!C$17, "N/A"))</f>
        <v/>
      </c>
      <c r="D13" s="36">
        <f>IF(OR(ISBLANK('Data Sheet'!D$17), 'Data Sheet'!D$17&lt;=0), "N/A", IFERROR('Data Sheet'!D13/'Data Sheet'!D$17, "N/A"))</f>
        <v/>
      </c>
      <c r="E13" s="36">
        <f>IF(OR(ISBLANK('Data Sheet'!E$17), 'Data Sheet'!E$17&lt;=0), "N/A", IFERROR('Data Sheet'!E13/'Data Sheet'!E$17, "N/A"))</f>
        <v/>
      </c>
      <c r="F13" s="36">
        <f>IF(OR(ISBLANK('Data Sheet'!F$17), 'Data Sheet'!F$17&lt;=0), "N/A", IFERROR('Data Sheet'!F13/'Data Sheet'!F$17, "N/A"))</f>
        <v/>
      </c>
      <c r="G13" s="36">
        <f>IF(OR(ISBLANK('Data Sheet'!G$17), 'Data Sheet'!G$17&lt;=0), "N/A", IFERROR('Data Sheet'!G13/'Data Sheet'!G$17, "N/A"))</f>
        <v/>
      </c>
      <c r="H13" s="36">
        <f>IF(OR(ISBLANK('Data Sheet'!H$17), 'Data Sheet'!H$17&lt;=0), "N/A", IFERROR('Data Sheet'!H13/'Data Sheet'!H$17, "N/A"))</f>
        <v/>
      </c>
      <c r="I13" s="36">
        <f>IF(OR(ISBLANK('Data Sheet'!I$17), 'Data Sheet'!I$17&lt;=0), "N/A", IFERROR('Data Sheet'!I13/'Data Sheet'!I$17, "N/A"))</f>
        <v/>
      </c>
      <c r="J13" s="36">
        <f>IF(OR(ISBLANK('Data Sheet'!J$17), 'Data Sheet'!J$17&lt;=0), "N/A", IFERROR('Data Sheet'!J13/'Data Sheet'!J$17, "N/A"))</f>
        <v/>
      </c>
      <c r="K13" s="36">
        <f>IF(OR(ISBLANK('Data Sheet'!K$17), 'Data Sheet'!K$17&lt;=0), "N/A", IFERROR('Data Sheet'!K13/'Data Sheet'!K$17, "N/A"))</f>
        <v/>
      </c>
      <c r="L13" s="36">
        <f>'Data Sheet'!K24/'Data Sheet'!K$17</f>
        <v/>
      </c>
    </row>
    <row r="14">
      <c r="B14" s="195">
        <f>IF(OR(ISBLANK('Data Sheet'!B$17), 'Data Sheet'!B$17&lt;=0), "N/A", IFERROR('Data Sheet'!B14/'Data Sheet'!B$17, "N/A"))</f>
        <v/>
      </c>
      <c r="C14" s="36">
        <f>IF(OR(ISBLANK('Data Sheet'!C$17), 'Data Sheet'!C$17&lt;=0), "N/A", IFERROR('Data Sheet'!C14/'Data Sheet'!C$17, "N/A"))</f>
        <v/>
      </c>
      <c r="D14" s="36">
        <f>IF(OR(ISBLANK('Data Sheet'!D$17), 'Data Sheet'!D$17&lt;=0), "N/A", IFERROR('Data Sheet'!D14/'Data Sheet'!D$17, "N/A"))</f>
        <v/>
      </c>
      <c r="E14" s="36">
        <f>IF(OR(ISBLANK('Data Sheet'!E$17), 'Data Sheet'!E$17&lt;=0), "N/A", IFERROR('Data Sheet'!E14/'Data Sheet'!E$17, "N/A"))</f>
        <v/>
      </c>
      <c r="F14" s="36">
        <f>IF(OR(ISBLANK('Data Sheet'!F$17), 'Data Sheet'!F$17&lt;=0), "N/A", IFERROR('Data Sheet'!F14/'Data Sheet'!F$17, "N/A"))</f>
        <v/>
      </c>
      <c r="G14" s="36">
        <f>IF(OR(ISBLANK('Data Sheet'!G$17), 'Data Sheet'!G$17&lt;=0), "N/A", IFERROR('Data Sheet'!G14/'Data Sheet'!G$17, "N/A"))</f>
        <v/>
      </c>
      <c r="H14" s="36">
        <f>IF(OR(ISBLANK('Data Sheet'!H$17), 'Data Sheet'!H$17&lt;=0), "N/A", IFERROR('Data Sheet'!H14/'Data Sheet'!H$17, "N/A"))</f>
        <v/>
      </c>
      <c r="I14" s="36">
        <f>IF(OR(ISBLANK('Data Sheet'!I$17), 'Data Sheet'!I$17&lt;=0), "N/A", IFERROR('Data Sheet'!I14/'Data Sheet'!I$17, "N/A"))</f>
        <v/>
      </c>
      <c r="J14" s="36">
        <f>IF(OR(ISBLANK('Data Sheet'!J$17), 'Data Sheet'!J$17&lt;=0), "N/A", IFERROR('Data Sheet'!J14/'Data Sheet'!J$17, "N/A"))</f>
        <v/>
      </c>
      <c r="K14" s="36">
        <f>IF(OR(ISBLANK('Data Sheet'!K$17), 'Data Sheet'!K$17&lt;=0), "N/A", IFERROR('Data Sheet'!K14/'Data Sheet'!K$17, "N/A"))</f>
        <v/>
      </c>
      <c r="L14" s="36">
        <f>'Data Sheet'!K25/'Data Sheet'!K$17</f>
        <v/>
      </c>
    </row>
    <row r="15">
      <c r="B15" s="195">
        <f>IF(OR(ISBLANK('Data Sheet'!B$17), 'Data Sheet'!B$17&lt;=0), "N/A", IFERROR('Data Sheet'!B15/'Data Sheet'!B$17, "N/A"))</f>
        <v/>
      </c>
      <c r="C15" s="36">
        <f>IF(OR(ISBLANK('Data Sheet'!C$17), 'Data Sheet'!C$17&lt;=0), "N/A", IFERROR('Data Sheet'!C15/'Data Sheet'!C$17, "N/A"))</f>
        <v/>
      </c>
      <c r="D15" s="36">
        <f>IF(OR(ISBLANK('Data Sheet'!D$17), 'Data Sheet'!D$17&lt;=0), "N/A", IFERROR('Data Sheet'!D15/'Data Sheet'!D$17, "N/A"))</f>
        <v/>
      </c>
      <c r="E15" s="36">
        <f>IF(OR(ISBLANK('Data Sheet'!E$17), 'Data Sheet'!E$17&lt;=0), "N/A", IFERROR('Data Sheet'!E15/'Data Sheet'!E$17, "N/A"))</f>
        <v/>
      </c>
      <c r="F15" s="36">
        <f>IF(OR(ISBLANK('Data Sheet'!F$17), 'Data Sheet'!F$17&lt;=0), "N/A", IFERROR('Data Sheet'!F15/'Data Sheet'!F$17, "N/A"))</f>
        <v/>
      </c>
      <c r="G15" s="36">
        <f>IF(OR(ISBLANK('Data Sheet'!G$17), 'Data Sheet'!G$17&lt;=0), "N/A", IFERROR('Data Sheet'!G15/'Data Sheet'!G$17, "N/A"))</f>
        <v/>
      </c>
      <c r="H15" s="36">
        <f>IF(OR(ISBLANK('Data Sheet'!H$17), 'Data Sheet'!H$17&lt;=0), "N/A", IFERROR('Data Sheet'!H15/'Data Sheet'!H$17, "N/A"))</f>
        <v/>
      </c>
      <c r="I15" s="36">
        <f>IF(OR(ISBLANK('Data Sheet'!I$17), 'Data Sheet'!I$17&lt;=0), "N/A", IFERROR('Data Sheet'!I15/'Data Sheet'!I$17, "N/A"))</f>
        <v/>
      </c>
      <c r="J15" s="36">
        <f>IF(OR(ISBLANK('Data Sheet'!J$17), 'Data Sheet'!J$17&lt;=0), "N/A", IFERROR('Data Sheet'!J15/'Data Sheet'!J$17, "N/A"))</f>
        <v/>
      </c>
      <c r="K15" s="36">
        <f>IF(OR(ISBLANK('Data Sheet'!K$17), 'Data Sheet'!K$17&lt;=0), "N/A", IFERROR('Data Sheet'!K15/'Data Sheet'!K$17, "N/A"))</f>
        <v/>
      </c>
      <c r="L15" s="36">
        <f>'Data Sheet'!K26/'Data Sheet'!K$17</f>
        <v/>
      </c>
    </row>
    <row r="16">
      <c r="B16" s="195">
        <f>IF(OR(ISBLANK('Data Sheet'!B$17), 'Data Sheet'!B$17&lt;=0), "N/A", IFERROR('Data Sheet'!B16/'Data Sheet'!B$17, "N/A"))</f>
        <v/>
      </c>
      <c r="C16" s="36">
        <f>IF(OR(ISBLANK('Data Sheet'!C$17), 'Data Sheet'!C$17&lt;=0), "N/A", IFERROR('Data Sheet'!C16/'Data Sheet'!C$17, "N/A"))</f>
        <v/>
      </c>
      <c r="D16" s="36">
        <f>IF(OR(ISBLANK('Data Sheet'!D$17), 'Data Sheet'!D$17&lt;=0), "N/A", IFERROR('Data Sheet'!D16/'Data Sheet'!D$17, "N/A"))</f>
        <v/>
      </c>
      <c r="E16" s="36">
        <f>IF(OR(ISBLANK('Data Sheet'!E$17), 'Data Sheet'!E$17&lt;=0), "N/A", IFERROR('Data Sheet'!E16/'Data Sheet'!E$17, "N/A"))</f>
        <v/>
      </c>
      <c r="F16" s="36">
        <f>IF(OR(ISBLANK('Data Sheet'!F$17), 'Data Sheet'!F$17&lt;=0), "N/A", IFERROR('Data Sheet'!F16/'Data Sheet'!F$17, "N/A"))</f>
        <v/>
      </c>
      <c r="G16" s="36">
        <f>IF(OR(ISBLANK('Data Sheet'!G$17), 'Data Sheet'!G$17&lt;=0), "N/A", IFERROR('Data Sheet'!G16/'Data Sheet'!G$17, "N/A"))</f>
        <v/>
      </c>
      <c r="H16" s="36">
        <f>IF(OR(ISBLANK('Data Sheet'!H$17), 'Data Sheet'!H$17&lt;=0), "N/A", IFERROR('Data Sheet'!H16/'Data Sheet'!H$17, "N/A"))</f>
        <v/>
      </c>
      <c r="I16" s="36">
        <f>IF(OR(ISBLANK('Data Sheet'!I$17), 'Data Sheet'!I$17&lt;=0), "N/A", IFERROR('Data Sheet'!I16/'Data Sheet'!I$17, "N/A"))</f>
        <v/>
      </c>
      <c r="J16" s="36">
        <f>IF(OR(ISBLANK('Data Sheet'!J$17), 'Data Sheet'!J$17&lt;=0), "N/A", IFERROR('Data Sheet'!J16/'Data Sheet'!J$17, "N/A"))</f>
        <v/>
      </c>
      <c r="K16" s="36">
        <f>IF(OR(ISBLANK('Data Sheet'!K$17), 'Data Sheet'!K$17&lt;=0), "N/A", IFERROR('Data Sheet'!K16/'Data Sheet'!K$17, "N/A"))</f>
        <v/>
      </c>
      <c r="L16" s="36">
        <f>'Data Sheet'!K27/'Data Sheet'!K$17</f>
        <v/>
      </c>
    </row>
    <row r="17">
      <c r="B17" s="195">
        <f>IF(OR(ISBLANK('Data Sheet'!B$17), 'Data Sheet'!B$17&lt;=0), "N/A", IFERROR('Data Sheet'!B17/'Data Sheet'!B$17, "N/A"))</f>
        <v/>
      </c>
      <c r="C17" s="36">
        <f>IF(OR(ISBLANK('Data Sheet'!C$17), 'Data Sheet'!C$17&lt;=0), "N/A", IFERROR('Data Sheet'!C17/'Data Sheet'!C$17, "N/A"))</f>
        <v/>
      </c>
      <c r="D17" s="36">
        <f>IF(OR(ISBLANK('Data Sheet'!D$17), 'Data Sheet'!D$17&lt;=0), "N/A", IFERROR('Data Sheet'!D17/'Data Sheet'!D$17, "N/A"))</f>
        <v/>
      </c>
      <c r="E17" s="36">
        <f>IF(OR(ISBLANK('Data Sheet'!E$17), 'Data Sheet'!E$17&lt;=0), "N/A", IFERROR('Data Sheet'!E17/'Data Sheet'!E$17, "N/A"))</f>
        <v/>
      </c>
      <c r="F17" s="36">
        <f>IF(OR(ISBLANK('Data Sheet'!F$17), 'Data Sheet'!F$17&lt;=0), "N/A", IFERROR('Data Sheet'!F17/'Data Sheet'!F$17, "N/A"))</f>
        <v/>
      </c>
      <c r="G17" s="36">
        <f>IF(OR(ISBLANK('Data Sheet'!G$17), 'Data Sheet'!G$17&lt;=0), "N/A", IFERROR('Data Sheet'!G17/'Data Sheet'!G$17, "N/A"))</f>
        <v/>
      </c>
      <c r="H17" s="36">
        <f>IF(OR(ISBLANK('Data Sheet'!H$17), 'Data Sheet'!H$17&lt;=0), "N/A", IFERROR('Data Sheet'!H17/'Data Sheet'!H$17, "N/A"))</f>
        <v/>
      </c>
      <c r="I17" s="36">
        <f>IF(OR(ISBLANK('Data Sheet'!I$17), 'Data Sheet'!I$17&lt;=0), "N/A", IFERROR('Data Sheet'!I17/'Data Sheet'!I$17, "N/A"))</f>
        <v/>
      </c>
      <c r="J17" s="36">
        <f>IF(OR(ISBLANK('Data Sheet'!J$17), 'Data Sheet'!J$17&lt;=0), "N/A", IFERROR('Data Sheet'!J17/'Data Sheet'!J$17, "N/A"))</f>
        <v/>
      </c>
      <c r="K17" s="36">
        <f>IF(OR(ISBLANK('Data Sheet'!K$17), 'Data Sheet'!K$17&lt;=0), "N/A", IFERROR('Data Sheet'!K17/'Data Sheet'!K$17, "N/A"))</f>
        <v/>
      </c>
      <c r="L17" s="36">
        <f>'Data Sheet'!K28/'Data Sheet'!K$17</f>
        <v/>
      </c>
    </row>
    <row r="18">
      <c r="B18" s="195">
        <f>IF(OR(ISBLANK('Data Sheet'!B$17), 'Data Sheet'!B$17&lt;=0), "N/A", IFERROR('Data Sheet'!B18/'Data Sheet'!B$17, "N/A"))</f>
        <v/>
      </c>
      <c r="C18" s="36">
        <f>IF(OR(ISBLANK('Data Sheet'!C$17), 'Data Sheet'!C$17&lt;=0), "N/A", IFERROR('Data Sheet'!C18/'Data Sheet'!C$17, "N/A"))</f>
        <v/>
      </c>
      <c r="D18" s="36">
        <f>IF(OR(ISBLANK('Data Sheet'!D$17), 'Data Sheet'!D$17&lt;=0), "N/A", IFERROR('Data Sheet'!D18/'Data Sheet'!D$17, "N/A"))</f>
        <v/>
      </c>
      <c r="E18" s="36">
        <f>IF(OR(ISBLANK('Data Sheet'!E$17), 'Data Sheet'!E$17&lt;=0), "N/A", IFERROR('Data Sheet'!E18/'Data Sheet'!E$17, "N/A"))</f>
        <v/>
      </c>
      <c r="F18" s="36">
        <f>IF(OR(ISBLANK('Data Sheet'!F$17), 'Data Sheet'!F$17&lt;=0), "N/A", IFERROR('Data Sheet'!F18/'Data Sheet'!F$17, "N/A"))</f>
        <v/>
      </c>
      <c r="G18" s="36">
        <f>IF(OR(ISBLANK('Data Sheet'!G$17), 'Data Sheet'!G$17&lt;=0), "N/A", IFERROR('Data Sheet'!G18/'Data Sheet'!G$17, "N/A"))</f>
        <v/>
      </c>
      <c r="H18" s="36">
        <f>IF(OR(ISBLANK('Data Sheet'!H$17), 'Data Sheet'!H$17&lt;=0), "N/A", IFERROR('Data Sheet'!H18/'Data Sheet'!H$17, "N/A"))</f>
        <v/>
      </c>
      <c r="I18" s="36">
        <f>IF(OR(ISBLANK('Data Sheet'!I$17), 'Data Sheet'!I$17&lt;=0), "N/A", IFERROR('Data Sheet'!I18/'Data Sheet'!I$17, "N/A"))</f>
        <v/>
      </c>
      <c r="J18" s="36">
        <f>IF(OR(ISBLANK('Data Sheet'!J$17), 'Data Sheet'!J$17&lt;=0), "N/A", IFERROR('Data Sheet'!J18/'Data Sheet'!J$17, "N/A"))</f>
        <v/>
      </c>
      <c r="K18" s="36">
        <f>IF(OR(ISBLANK('Data Sheet'!K$17), 'Data Sheet'!K$17&lt;=0), "N/A", IFERROR('Data Sheet'!K18/'Data Sheet'!K$17, "N/A"))</f>
        <v/>
      </c>
      <c r="L18" s="36">
        <f>'Data Sheet'!K29/'Data Sheet'!K$17</f>
        <v/>
      </c>
    </row>
    <row r="19">
      <c r="B19" s="195">
        <f>IF(OR(ISBLANK('Data Sheet'!B$17), 'Data Sheet'!B$17&lt;=0), "N/A", IFERROR('Data Sheet'!B19/'Data Sheet'!B$17, "N/A"))</f>
        <v/>
      </c>
      <c r="C19" s="36">
        <f>IF(OR(ISBLANK('Data Sheet'!C$17), 'Data Sheet'!C$17&lt;=0), "N/A", IFERROR('Data Sheet'!C19/'Data Sheet'!C$17, "N/A"))</f>
        <v/>
      </c>
      <c r="D19" s="36">
        <f>IF(OR(ISBLANK('Data Sheet'!D$17), 'Data Sheet'!D$17&lt;=0), "N/A", IFERROR('Data Sheet'!D19/'Data Sheet'!D$17, "N/A"))</f>
        <v/>
      </c>
      <c r="E19" s="36">
        <f>IF(OR(ISBLANK('Data Sheet'!E$17), 'Data Sheet'!E$17&lt;=0), "N/A", IFERROR('Data Sheet'!E19/'Data Sheet'!E$17, "N/A"))</f>
        <v/>
      </c>
      <c r="F19" s="36">
        <f>IF(OR(ISBLANK('Data Sheet'!F$17), 'Data Sheet'!F$17&lt;=0), "N/A", IFERROR('Data Sheet'!F19/'Data Sheet'!F$17, "N/A"))</f>
        <v/>
      </c>
      <c r="G19" s="36">
        <f>IF(OR(ISBLANK('Data Sheet'!G$17), 'Data Sheet'!G$17&lt;=0), "N/A", IFERROR('Data Sheet'!G19/'Data Sheet'!G$17, "N/A"))</f>
        <v/>
      </c>
      <c r="H19" s="36">
        <f>IF(OR(ISBLANK('Data Sheet'!H$17), 'Data Sheet'!H$17&lt;=0), "N/A", IFERROR('Data Sheet'!H19/'Data Sheet'!H$17, "N/A"))</f>
        <v/>
      </c>
      <c r="I19" s="36">
        <f>IF(OR(ISBLANK('Data Sheet'!I$17), 'Data Sheet'!I$17&lt;=0), "N/A", IFERROR('Data Sheet'!I19/'Data Sheet'!I$17, "N/A"))</f>
        <v/>
      </c>
      <c r="J19" s="36">
        <f>IF(OR(ISBLANK('Data Sheet'!J$17), 'Data Sheet'!J$17&lt;=0), "N/A", IFERROR('Data Sheet'!J19/'Data Sheet'!J$17, "N/A"))</f>
        <v/>
      </c>
      <c r="K19" s="36">
        <f>IF(OR(ISBLANK('Data Sheet'!K$17), 'Data Sheet'!K$17&lt;=0), "N/A", IFERROR('Data Sheet'!K19/'Data Sheet'!K$17, "N/A"))</f>
        <v/>
      </c>
      <c r="L19" s="36">
        <f>'Data Sheet'!K30/'Data Sheet'!K$17</f>
        <v/>
      </c>
    </row>
    <row r="20">
      <c r="B20" s="195">
        <f>IF(OR(ISBLANK('Data Sheet'!B$17), 'Data Sheet'!B$17&lt;=0), "N/A", IFERROR('Data Sheet'!B20/'Data Sheet'!B$17, "N/A"))</f>
        <v/>
      </c>
      <c r="C20" s="36">
        <f>IF(OR(ISBLANK('Data Sheet'!C$17), 'Data Sheet'!C$17&lt;=0), "N/A", IFERROR('Data Sheet'!C20/'Data Sheet'!C$17, "N/A"))</f>
        <v/>
      </c>
      <c r="D20" s="36">
        <f>IF(OR(ISBLANK('Data Sheet'!D$17), 'Data Sheet'!D$17&lt;=0), "N/A", IFERROR('Data Sheet'!D20/'Data Sheet'!D$17, "N/A"))</f>
        <v/>
      </c>
      <c r="E20" s="36">
        <f>IF(OR(ISBLANK('Data Sheet'!E$17), 'Data Sheet'!E$17&lt;=0), "N/A", IFERROR('Data Sheet'!E20/'Data Sheet'!E$17, "N/A"))</f>
        <v/>
      </c>
      <c r="F20" s="36">
        <f>IF(OR(ISBLANK('Data Sheet'!F$17), 'Data Sheet'!F$17&lt;=0), "N/A", IFERROR('Data Sheet'!F20/'Data Sheet'!F$17, "N/A"))</f>
        <v/>
      </c>
      <c r="G20" s="36">
        <f>IF(OR(ISBLANK('Data Sheet'!G$17), 'Data Sheet'!G$17&lt;=0), "N/A", IFERROR('Data Sheet'!G20/'Data Sheet'!G$17, "N/A"))</f>
        <v/>
      </c>
      <c r="H20" s="36">
        <f>IF(OR(ISBLANK('Data Sheet'!H$17), 'Data Sheet'!H$17&lt;=0), "N/A", IFERROR('Data Sheet'!H20/'Data Sheet'!H$17, "N/A"))</f>
        <v/>
      </c>
      <c r="I20" s="36">
        <f>IF(OR(ISBLANK('Data Sheet'!I$17), 'Data Sheet'!I$17&lt;=0), "N/A", IFERROR('Data Sheet'!I20/'Data Sheet'!I$17, "N/A"))</f>
        <v/>
      </c>
      <c r="J20" s="36">
        <f>IF(OR(ISBLANK('Data Sheet'!J$17), 'Data Sheet'!J$17&lt;=0), "N/A", IFERROR('Data Sheet'!J20/'Data Sheet'!J$17, "N/A"))</f>
        <v/>
      </c>
      <c r="K20" s="36">
        <f>IF(OR(ISBLANK('Data Sheet'!K$17), 'Data Sheet'!K$17&lt;=0), "N/A", IFERROR('Data Sheet'!K20/'Data Sheet'!K$17, "N/A"))</f>
        <v/>
      </c>
      <c r="L20" s="36">
        <f>'Data Sheet'!K31/'Data Sheet'!K$17</f>
        <v/>
      </c>
    </row>
    <row r="21">
      <c r="B21" s="195">
        <f>IF(OR(ISBLANK('Data Sheet'!B$17), 'Data Sheet'!B$17&lt;=0), "N/A", IFERROR('Data Sheet'!B21/'Data Sheet'!B$17, "N/A"))</f>
        <v/>
      </c>
      <c r="C21" s="36">
        <f>IF(OR(ISBLANK('Data Sheet'!C$17), 'Data Sheet'!C$17&lt;=0), "N/A", IFERROR('Data Sheet'!C21/'Data Sheet'!C$17, "N/A"))</f>
        <v/>
      </c>
      <c r="D21" s="36">
        <f>IF(OR(ISBLANK('Data Sheet'!D$17), 'Data Sheet'!D$17&lt;=0), "N/A", IFERROR('Data Sheet'!D21/'Data Sheet'!D$17, "N/A"))</f>
        <v/>
      </c>
      <c r="E21" s="36">
        <f>IF(OR(ISBLANK('Data Sheet'!E$17), 'Data Sheet'!E$17&lt;=0), "N/A", IFERROR('Data Sheet'!E21/'Data Sheet'!E$17, "N/A"))</f>
        <v/>
      </c>
      <c r="F21" s="36">
        <f>IF(OR(ISBLANK('Data Sheet'!F$17), 'Data Sheet'!F$17&lt;=0), "N/A", IFERROR('Data Sheet'!F21/'Data Sheet'!F$17, "N/A"))</f>
        <v/>
      </c>
      <c r="G21" s="36">
        <f>IF(OR(ISBLANK('Data Sheet'!G$17), 'Data Sheet'!G$17&lt;=0), "N/A", IFERROR('Data Sheet'!G21/'Data Sheet'!G$17, "N/A"))</f>
        <v/>
      </c>
      <c r="H21" s="36">
        <f>IF(OR(ISBLANK('Data Sheet'!H$17), 'Data Sheet'!H$17&lt;=0), "N/A", IFERROR('Data Sheet'!H21/'Data Sheet'!H$17, "N/A"))</f>
        <v/>
      </c>
      <c r="I21" s="36">
        <f>IF(OR(ISBLANK('Data Sheet'!I$17), 'Data Sheet'!I$17&lt;=0), "N/A", IFERROR('Data Sheet'!I21/'Data Sheet'!I$17, "N/A"))</f>
        <v/>
      </c>
      <c r="J21" s="36">
        <f>IF(OR(ISBLANK('Data Sheet'!J$17), 'Data Sheet'!J$17&lt;=0), "N/A", IFERROR('Data Sheet'!J21/'Data Sheet'!J$17, "N/A"))</f>
        <v/>
      </c>
      <c r="K21" s="36">
        <f>IF(OR(ISBLANK('Data Sheet'!K$17), 'Data Sheet'!K$17&lt;=0), "N/A", IFERROR('Data Sheet'!K21/'Data Sheet'!K$17, "N/A"))</f>
        <v/>
      </c>
      <c r="L21" s="36">
        <f>'Data Sheet'!K32/'Data Sheet'!K$17</f>
        <v/>
      </c>
    </row>
    <row r="23">
      <c r="B23" s="177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76"/>
    <row r="27">
      <c r="B27" s="194">
        <f>IF(OR(ISBLANK('Data Sheet'!B$61), 'Data Sheet'!B$61&lt;=0), "N/A", IFERROR('Data Sheet'!B61/'Data Sheet'!B$61, "N/A"))</f>
        <v/>
      </c>
      <c r="C27" s="114">
        <f>IF(OR(ISBLANK('Data Sheet'!C$61), 'Data Sheet'!C$61&lt;=0), "N/A", IFERROR('Data Sheet'!C61/'Data Sheet'!C$61, "N/A"))</f>
        <v/>
      </c>
      <c r="D27" s="114">
        <f>IF(OR(ISBLANK('Data Sheet'!D$61), 'Data Sheet'!D$61&lt;=0), "N/A", IFERROR('Data Sheet'!D61/'Data Sheet'!D$61, "N/A"))</f>
        <v/>
      </c>
      <c r="E27" s="114">
        <f>IF(OR(ISBLANK('Data Sheet'!E$61), 'Data Sheet'!E$61&lt;=0), "N/A", IFERROR('Data Sheet'!E61/'Data Sheet'!E$61, "N/A"))</f>
        <v/>
      </c>
      <c r="F27" s="114">
        <f>IF(OR(ISBLANK('Data Sheet'!F$61), 'Data Sheet'!F$61&lt;=0), "N/A", IFERROR('Data Sheet'!F61/'Data Sheet'!F$61, "N/A"))</f>
        <v/>
      </c>
      <c r="G27" s="114">
        <f>IF(OR(ISBLANK('Data Sheet'!G$61), 'Data Sheet'!G$61&lt;=0), "N/A", IFERROR('Data Sheet'!G61/'Data Sheet'!G$61, "N/A"))</f>
        <v/>
      </c>
      <c r="H27" s="114">
        <f>IF(OR(ISBLANK('Data Sheet'!H$61), 'Data Sheet'!H$61&lt;=0), "N/A", IFERROR('Data Sheet'!H61/'Data Sheet'!H$61, "N/A"))</f>
        <v/>
      </c>
      <c r="I27" s="114">
        <f>IF(OR(ISBLANK('Data Sheet'!I$61), 'Data Sheet'!I$61&lt;=0), "N/A", IFERROR('Data Sheet'!I61/'Data Sheet'!I$61, "N/A"))</f>
        <v/>
      </c>
      <c r="J27" s="114">
        <f>IF(OR(ISBLANK('Data Sheet'!J$61), 'Data Sheet'!J$61&lt;=0), "N/A", IFERROR('Data Sheet'!J61/'Data Sheet'!J$61, "N/A"))</f>
        <v/>
      </c>
      <c r="K27" s="114">
        <f>IF(OR(ISBLANK('Data Sheet'!K$61), 'Data Sheet'!K$61&lt;=0), "N/A", IFERROR('Data Sheet'!K61/'Data Sheet'!K$61, "N/A"))</f>
        <v/>
      </c>
      <c r="L27" s="114">
        <f>'Data Sheet'!K61/'Data Sheet'!K$61</f>
        <v/>
      </c>
    </row>
    <row r="28">
      <c r="B28" s="195">
        <f>IF(OR(ISBLANK('Data Sheet'!B$61), 'Data Sheet'!B$61&lt;=0), "N/A", IFERROR('Data Sheet'!B57/'Data Sheet'!B$61, "N/A"))</f>
        <v/>
      </c>
      <c r="C28" s="36">
        <f>IF(OR(ISBLANK('Data Sheet'!C$61), 'Data Sheet'!C$61&lt;=0), "N/A", IFERROR('Data Sheet'!C57/'Data Sheet'!C$61, "N/A"))</f>
        <v/>
      </c>
      <c r="D28" s="36">
        <f>IF(OR(ISBLANK('Data Sheet'!D$61), 'Data Sheet'!D$61&lt;=0), "N/A", IFERROR('Data Sheet'!D57/'Data Sheet'!D$61, "N/A"))</f>
        <v/>
      </c>
      <c r="E28" s="36">
        <f>IF(OR(ISBLANK('Data Sheet'!E$61), 'Data Sheet'!E$61&lt;=0), "N/A", IFERROR('Data Sheet'!E57/'Data Sheet'!E$61, "N/A"))</f>
        <v/>
      </c>
      <c r="F28" s="36">
        <f>IF(OR(ISBLANK('Data Sheet'!F$61), 'Data Sheet'!F$61&lt;=0), "N/A", IFERROR('Data Sheet'!F57/'Data Sheet'!F$61, "N/A"))</f>
        <v/>
      </c>
      <c r="G28" s="36">
        <f>IF(OR(ISBLANK('Data Sheet'!G$61), 'Data Sheet'!G$61&lt;=0), "N/A", IFERROR('Data Sheet'!G57/'Data Sheet'!G$61, "N/A"))</f>
        <v/>
      </c>
      <c r="H28" s="36">
        <f>IF(OR(ISBLANK('Data Sheet'!H$61), 'Data Sheet'!H$61&lt;=0), "N/A", IFERROR('Data Sheet'!H57/'Data Sheet'!H$61, "N/A"))</f>
        <v/>
      </c>
      <c r="I28" s="36">
        <f>IF(OR(ISBLANK('Data Sheet'!I$61), 'Data Sheet'!I$61&lt;=0), "N/A", IFERROR('Data Sheet'!I57/'Data Sheet'!I$61, "N/A"))</f>
        <v/>
      </c>
      <c r="J28" s="36">
        <f>IF(OR(ISBLANK('Data Sheet'!J$61), 'Data Sheet'!J$61&lt;=0), "N/A", IFERROR('Data Sheet'!J57/'Data Sheet'!J$61, "N/A"))</f>
        <v/>
      </c>
      <c r="K28" s="36">
        <f>IF(OR(ISBLANK('Data Sheet'!K$61), 'Data Sheet'!K$61&lt;=0), "N/A", IFERROR('Data Sheet'!K57/'Data Sheet'!K$61, "N/A"))</f>
        <v/>
      </c>
      <c r="L28" s="36">
        <f>'Data Sheet'!K57/'Data Sheet'!K$61</f>
        <v/>
      </c>
    </row>
    <row r="29">
      <c r="B29" s="195">
        <f>IF(OR(ISBLANK('Data Sheet'!B$61), 'Data Sheet'!B$61&lt;=0), "N/A", IFERROR('Data Sheet'!B58/'Data Sheet'!B$61, "N/A"))</f>
        <v/>
      </c>
      <c r="C29" s="36">
        <f>IF(OR(ISBLANK('Data Sheet'!C$61), 'Data Sheet'!C$61&lt;=0), "N/A", IFERROR('Data Sheet'!C58/'Data Sheet'!C$61, "N/A"))</f>
        <v/>
      </c>
      <c r="D29" s="36">
        <f>IF(OR(ISBLANK('Data Sheet'!D$61), 'Data Sheet'!D$61&lt;=0), "N/A", IFERROR('Data Sheet'!D58/'Data Sheet'!D$61, "N/A"))</f>
        <v/>
      </c>
      <c r="E29" s="36">
        <f>IF(OR(ISBLANK('Data Sheet'!E$61), 'Data Sheet'!E$61&lt;=0), "N/A", IFERROR('Data Sheet'!E58/'Data Sheet'!E$61, "N/A"))</f>
        <v/>
      </c>
      <c r="F29" s="36">
        <f>IF(OR(ISBLANK('Data Sheet'!F$61), 'Data Sheet'!F$61&lt;=0), "N/A", IFERROR('Data Sheet'!F58/'Data Sheet'!F$61, "N/A"))</f>
        <v/>
      </c>
      <c r="G29" s="36">
        <f>IF(OR(ISBLANK('Data Sheet'!G$61), 'Data Sheet'!G$61&lt;=0), "N/A", IFERROR('Data Sheet'!G58/'Data Sheet'!G$61, "N/A"))</f>
        <v/>
      </c>
      <c r="H29" s="36">
        <f>IF(OR(ISBLANK('Data Sheet'!H$61), 'Data Sheet'!H$61&lt;=0), "N/A", IFERROR('Data Sheet'!H58/'Data Sheet'!H$61, "N/A"))</f>
        <v/>
      </c>
      <c r="I29" s="36">
        <f>IF(OR(ISBLANK('Data Sheet'!I$61), 'Data Sheet'!I$61&lt;=0), "N/A", IFERROR('Data Sheet'!I58/'Data Sheet'!I$61, "N/A"))</f>
        <v/>
      </c>
      <c r="J29" s="36">
        <f>IF(OR(ISBLANK('Data Sheet'!J$61), 'Data Sheet'!J$61&lt;=0), "N/A", IFERROR('Data Sheet'!J58/'Data Sheet'!J$61, "N/A"))</f>
        <v/>
      </c>
      <c r="K29" s="36">
        <f>IF(OR(ISBLANK('Data Sheet'!K$61), 'Data Sheet'!K$61&lt;=0), "N/A", IFERROR('Data Sheet'!K58/'Data Sheet'!K$61, "N/A"))</f>
        <v/>
      </c>
      <c r="L29" s="36">
        <f>'Data Sheet'!K58/'Data Sheet'!K$61</f>
        <v/>
      </c>
    </row>
    <row r="30">
      <c r="B30" s="195">
        <f>IF(OR(ISBLANK('Data Sheet'!B$61), 'Data Sheet'!B$61&lt;=0), "N/A", IFERROR('Data Sheet'!B59/'Data Sheet'!B$61, "N/A"))</f>
        <v/>
      </c>
      <c r="C30" s="36">
        <f>IF(OR(ISBLANK('Data Sheet'!C$61), 'Data Sheet'!C$61&lt;=0), "N/A", IFERROR('Data Sheet'!C59/'Data Sheet'!C$61, "N/A"))</f>
        <v/>
      </c>
      <c r="D30" s="36">
        <f>IF(OR(ISBLANK('Data Sheet'!D$61), 'Data Sheet'!D$61&lt;=0), "N/A", IFERROR('Data Sheet'!D59/'Data Sheet'!D$61, "N/A"))</f>
        <v/>
      </c>
      <c r="E30" s="36">
        <f>IF(OR(ISBLANK('Data Sheet'!E$61), 'Data Sheet'!E$61&lt;=0), "N/A", IFERROR('Data Sheet'!E59/'Data Sheet'!E$61, "N/A"))</f>
        <v/>
      </c>
      <c r="F30" s="36">
        <f>IF(OR(ISBLANK('Data Sheet'!F$61), 'Data Sheet'!F$61&lt;=0), "N/A", IFERROR('Data Sheet'!F59/'Data Sheet'!F$61, "N/A"))</f>
        <v/>
      </c>
      <c r="G30" s="36">
        <f>IF(OR(ISBLANK('Data Sheet'!G$61), 'Data Sheet'!G$61&lt;=0), "N/A", IFERROR('Data Sheet'!G59/'Data Sheet'!G$61, "N/A"))</f>
        <v/>
      </c>
      <c r="H30" s="36">
        <f>IF(OR(ISBLANK('Data Sheet'!H$61), 'Data Sheet'!H$61&lt;=0), "N/A", IFERROR('Data Sheet'!H59/'Data Sheet'!H$61, "N/A"))</f>
        <v/>
      </c>
      <c r="I30" s="36">
        <f>IF(OR(ISBLANK('Data Sheet'!I$61), 'Data Sheet'!I$61&lt;=0), "N/A", IFERROR('Data Sheet'!I59/'Data Sheet'!I$61, "N/A"))</f>
        <v/>
      </c>
      <c r="J30" s="36">
        <f>IF(OR(ISBLANK('Data Sheet'!J$61), 'Data Sheet'!J$61&lt;=0), "N/A", IFERROR('Data Sheet'!J59/'Data Sheet'!J$61, "N/A"))</f>
        <v/>
      </c>
      <c r="K30" s="36">
        <f>IF(OR(ISBLANK('Data Sheet'!K$61), 'Data Sheet'!K$61&lt;=0), "N/A", IFERROR('Data Sheet'!K59/'Data Sheet'!K$61, "N/A"))</f>
        <v/>
      </c>
      <c r="L30" s="36">
        <f>'Data Sheet'!K59/'Data Sheet'!K$61</f>
        <v/>
      </c>
    </row>
    <row r="31">
      <c r="B31" s="195">
        <f>IF(OR(ISBLANK('Data Sheet'!B$61), 'Data Sheet'!B$61&lt;=0), "N/A", IFERROR('Data Sheet'!B60/'Data Sheet'!B$61, "N/A"))</f>
        <v/>
      </c>
      <c r="C31" s="36">
        <f>IF(OR(ISBLANK('Data Sheet'!C$61), 'Data Sheet'!C$61&lt;=0), "N/A", IFERROR('Data Sheet'!C60/'Data Sheet'!C$61, "N/A"))</f>
        <v/>
      </c>
      <c r="D31" s="36">
        <f>IF(OR(ISBLANK('Data Sheet'!D$61), 'Data Sheet'!D$61&lt;=0), "N/A", IFERROR('Data Sheet'!D60/'Data Sheet'!D$61, "N/A"))</f>
        <v/>
      </c>
      <c r="E31" s="36">
        <f>IF(OR(ISBLANK('Data Sheet'!E$61), 'Data Sheet'!E$61&lt;=0), "N/A", IFERROR('Data Sheet'!E60/'Data Sheet'!E$61, "N/A"))</f>
        <v/>
      </c>
      <c r="F31" s="36">
        <f>IF(OR(ISBLANK('Data Sheet'!F$61), 'Data Sheet'!F$61&lt;=0), "N/A", IFERROR('Data Sheet'!F60/'Data Sheet'!F$61, "N/A"))</f>
        <v/>
      </c>
      <c r="G31" s="36">
        <f>IF(OR(ISBLANK('Data Sheet'!G$61), 'Data Sheet'!G$61&lt;=0), "N/A", IFERROR('Data Sheet'!G60/'Data Sheet'!G$61, "N/A"))</f>
        <v/>
      </c>
      <c r="H31" s="36">
        <f>IF(OR(ISBLANK('Data Sheet'!H$61), 'Data Sheet'!H$61&lt;=0), "N/A", IFERROR('Data Sheet'!H60/'Data Sheet'!H$61, "N/A"))</f>
        <v/>
      </c>
      <c r="I31" s="36">
        <f>IF(OR(ISBLANK('Data Sheet'!I$61), 'Data Sheet'!I$61&lt;=0), "N/A", IFERROR('Data Sheet'!I60/'Data Sheet'!I$61, "N/A"))</f>
        <v/>
      </c>
      <c r="J31" s="36">
        <f>IF(OR(ISBLANK('Data Sheet'!J$61), 'Data Sheet'!J$61&lt;=0), "N/A", IFERROR('Data Sheet'!J60/'Data Sheet'!J$61, "N/A"))</f>
        <v/>
      </c>
      <c r="K31" s="36">
        <f>IF(OR(ISBLANK('Data Sheet'!K$61), 'Data Sheet'!K$61&lt;=0), "N/A", IFERROR('Data Sheet'!K60/'Data Sheet'!K$61, "N/A"))</f>
        <v/>
      </c>
      <c r="L31" s="36">
        <f>'Data Sheet'!K60/'Data Sheet'!K$61</f>
        <v/>
      </c>
    </row>
    <row r="33">
      <c r="B33" s="194">
        <f>IF(OR(ISBLANK('Data Sheet'!B$66), 'Data Sheet'!B$66&lt;=0), "N/A", IFERROR('Data Sheet'!B66/'Data Sheet'!B$66, "N/A"))</f>
        <v/>
      </c>
      <c r="C33" s="114">
        <f>IF(OR(ISBLANK('Data Sheet'!C$66), 'Data Sheet'!C$66&lt;=0), "N/A", IFERROR('Data Sheet'!C66/'Data Sheet'!C$66, "N/A"))</f>
        <v/>
      </c>
      <c r="D33" s="114">
        <f>IF(OR(ISBLANK('Data Sheet'!D$66), 'Data Sheet'!D$66&lt;=0), "N/A", IFERROR('Data Sheet'!D66/'Data Sheet'!D$66, "N/A"))</f>
        <v/>
      </c>
      <c r="E33" s="114">
        <f>IF(OR(ISBLANK('Data Sheet'!E$66), 'Data Sheet'!E$66&lt;=0), "N/A", IFERROR('Data Sheet'!E66/'Data Sheet'!E$66, "N/A"))</f>
        <v/>
      </c>
      <c r="F33" s="114">
        <f>IF(OR(ISBLANK('Data Sheet'!F$66), 'Data Sheet'!F$66&lt;=0), "N/A", IFERROR('Data Sheet'!F66/'Data Sheet'!F$66, "N/A"))</f>
        <v/>
      </c>
      <c r="G33" s="114">
        <f>IF(OR(ISBLANK('Data Sheet'!G$66), 'Data Sheet'!G$66&lt;=0), "N/A", IFERROR('Data Sheet'!G66/'Data Sheet'!G$66, "N/A"))</f>
        <v/>
      </c>
      <c r="H33" s="114">
        <f>IF(OR(ISBLANK('Data Sheet'!H$66), 'Data Sheet'!H$66&lt;=0), "N/A", IFERROR('Data Sheet'!H66/'Data Sheet'!H$66, "N/A"))</f>
        <v/>
      </c>
      <c r="I33" s="114">
        <f>IF(OR(ISBLANK('Data Sheet'!I$66), 'Data Sheet'!I$66&lt;=0), "N/A", IFERROR('Data Sheet'!I66/'Data Sheet'!I$66, "N/A"))</f>
        <v/>
      </c>
      <c r="J33" s="114">
        <f>IF(OR(ISBLANK('Data Sheet'!J$66), 'Data Sheet'!J$66&lt;=0), "N/A", IFERROR('Data Sheet'!J66/'Data Sheet'!J$66, "N/A"))</f>
        <v/>
      </c>
      <c r="K33" s="114">
        <f>IF(OR(ISBLANK('Data Sheet'!K$66), 'Data Sheet'!K$66&lt;=0), "N/A", IFERROR('Data Sheet'!K66/'Data Sheet'!K$66, "N/A"))</f>
        <v/>
      </c>
      <c r="L33" s="114">
        <f>'Data Sheet'!K66/'Data Sheet'!K$66</f>
        <v/>
      </c>
    </row>
    <row r="34">
      <c r="B34" s="195">
        <f>IF(OR(ISBLANK('Data Sheet'!B$66), 'Data Sheet'!B$66&lt;=0), "N/A", IFERROR('Data Sheet'!B62/'Data Sheet'!B$66, "N/A"))</f>
        <v/>
      </c>
      <c r="C34" s="36">
        <f>IF(OR(ISBLANK('Data Sheet'!C$66), 'Data Sheet'!C$66&lt;=0), "N/A", IFERROR('Data Sheet'!C62/'Data Sheet'!C$66, "N/A"))</f>
        <v/>
      </c>
      <c r="D34" s="36">
        <f>IF(OR(ISBLANK('Data Sheet'!D$66), 'Data Sheet'!D$66&lt;=0), "N/A", IFERROR('Data Sheet'!D62/'Data Sheet'!D$66, "N/A"))</f>
        <v/>
      </c>
      <c r="E34" s="36">
        <f>IF(OR(ISBLANK('Data Sheet'!E$66), 'Data Sheet'!E$66&lt;=0), "N/A", IFERROR('Data Sheet'!E62/'Data Sheet'!E$66, "N/A"))</f>
        <v/>
      </c>
      <c r="F34" s="36">
        <f>IF(OR(ISBLANK('Data Sheet'!F$66), 'Data Sheet'!F$66&lt;=0), "N/A", IFERROR('Data Sheet'!F62/'Data Sheet'!F$66, "N/A"))</f>
        <v/>
      </c>
      <c r="G34" s="36">
        <f>IF(OR(ISBLANK('Data Sheet'!G$66), 'Data Sheet'!G$66&lt;=0), "N/A", IFERROR('Data Sheet'!G62/'Data Sheet'!G$66, "N/A"))</f>
        <v/>
      </c>
      <c r="H34" s="36">
        <f>IF(OR(ISBLANK('Data Sheet'!H$66), 'Data Sheet'!H$66&lt;=0), "N/A", IFERROR('Data Sheet'!H62/'Data Sheet'!H$66, "N/A"))</f>
        <v/>
      </c>
      <c r="I34" s="36">
        <f>IF(OR(ISBLANK('Data Sheet'!I$66), 'Data Sheet'!I$66&lt;=0), "N/A", IFERROR('Data Sheet'!I62/'Data Sheet'!I$66, "N/A"))</f>
        <v/>
      </c>
      <c r="J34" s="36">
        <f>IF(OR(ISBLANK('Data Sheet'!J$66), 'Data Sheet'!J$66&lt;=0), "N/A", IFERROR('Data Sheet'!J62/'Data Sheet'!J$66, "N/A"))</f>
        <v/>
      </c>
      <c r="K34" s="36">
        <f>IF(OR(ISBLANK('Data Sheet'!K$66), 'Data Sheet'!K$66&lt;=0), "N/A", IFERROR('Data Sheet'!K62/'Data Sheet'!K$66, "N/A"))</f>
        <v/>
      </c>
      <c r="L34" s="36">
        <f>'Data Sheet'!K62/'Data Sheet'!K$66</f>
        <v/>
      </c>
    </row>
    <row r="35">
      <c r="B35" s="195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95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95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95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95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95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93" min="1" max="1"/>
    <col width="13.44140625" bestFit="1" customWidth="1" style="193" min="2" max="11"/>
    <col width="8.77734375" customWidth="1" style="193" min="12" max="16384"/>
  </cols>
  <sheetData>
    <row r="1" customFormat="1" s="187">
      <c r="A1" s="187" t="inlineStr">
        <is>
          <t>COMPANY NAME</t>
        </is>
      </c>
      <c r="B1" s="187" t="inlineStr">
        <is>
          <t>Bajaj Housing Finance Ltd</t>
        </is>
      </c>
      <c r="E1" s="196">
        <f>IF(B2&lt;&gt;B3, "A NEW VERSION OF THE WORKSHEET IS AVAILABLE", "")</f>
        <v/>
      </c>
    </row>
    <row r="2">
      <c r="A2" s="187" t="inlineStr">
        <is>
          <t>LATEST VERSION</t>
        </is>
      </c>
      <c r="B2" s="193" t="n">
        <v>2.1</v>
      </c>
      <c r="E2" s="197" t="inlineStr">
        <is>
          <t>PLEASE DO NOT MAKE ANY CHANGES TO THIS SHEET</t>
        </is>
      </c>
    </row>
    <row r="3">
      <c r="A3" s="187" t="inlineStr">
        <is>
          <t>CURRENT VERSION</t>
        </is>
      </c>
      <c r="B3" s="193" t="n">
        <v>2.1</v>
      </c>
    </row>
    <row r="4">
      <c r="A4" s="187" t="n"/>
    </row>
    <row r="5">
      <c r="A5" s="187" t="inlineStr">
        <is>
          <t>META</t>
        </is>
      </c>
    </row>
    <row r="6">
      <c r="A6" s="193" t="inlineStr">
        <is>
          <t>Number of shares</t>
        </is>
      </c>
      <c r="B6" s="193">
        <f>IF(B9&gt;0, B9/B8, 0)</f>
        <v/>
      </c>
    </row>
    <row r="7">
      <c r="A7" s="193" t="inlineStr">
        <is>
          <t>Face Value</t>
        </is>
      </c>
      <c r="B7" t="n">
        <v>10</v>
      </c>
    </row>
    <row r="8">
      <c r="A8" s="193" t="inlineStr">
        <is>
          <t>Current Price</t>
        </is>
      </c>
      <c r="B8" t="n">
        <v>83.09999999999999</v>
      </c>
    </row>
    <row r="9">
      <c r="A9" s="193" t="inlineStr">
        <is>
          <t>Market Capitalization</t>
        </is>
      </c>
      <c r="B9" t="n">
        <v>69213.98999999999</v>
      </c>
    </row>
    <row r="15">
      <c r="A15" s="187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43160</v>
      </c>
      <c r="C16" s="16" t="n">
        <v>43525</v>
      </c>
      <c r="D16" s="16" t="n">
        <v>43891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88">
      <c r="A17" s="188" t="inlineStr">
        <is>
          <t>Sales</t>
        </is>
      </c>
      <c r="B17" t="n">
        <v>79809</v>
      </c>
      <c r="C17" t="n">
        <v>86068</v>
      </c>
      <c r="D17" t="n">
        <v>75660</v>
      </c>
      <c r="E17" t="n">
        <v>265</v>
      </c>
      <c r="F17" t="n">
        <v>3155</v>
      </c>
      <c r="G17" t="n">
        <v>3767</v>
      </c>
      <c r="H17" t="n">
        <v>5665</v>
      </c>
      <c r="I17" t="n">
        <v>7617</v>
      </c>
      <c r="J17" t="n">
        <v>9554</v>
      </c>
      <c r="K17" t="n">
        <v>11150</v>
      </c>
    </row>
    <row r="18" customFormat="1" s="188">
      <c r="A18" s="193" t="inlineStr">
        <is>
          <t>Raw Material Cost</t>
        </is>
      </c>
      <c r="B18" t="n">
        <v>55068.21</v>
      </c>
      <c r="C18" t="n">
        <v>59386.92</v>
      </c>
      <c r="D18" t="n">
        <v>52962</v>
      </c>
      <c r="E18" t="n">
        <v>50667.84</v>
      </c>
      <c r="F18" t="n">
        <v>66247.5</v>
      </c>
      <c r="G18" t="n">
        <v>85255.2</v>
      </c>
      <c r="H18" t="n">
        <v>99300.60000000001</v>
      </c>
      <c r="I18" t="n">
        <v>107039.1</v>
      </c>
      <c r="J18" t="n">
        <v>131987.52</v>
      </c>
      <c r="K18" t="n">
        <v>0</v>
      </c>
    </row>
    <row r="19" customFormat="1" s="188">
      <c r="A19" s="193" t="inlineStr">
        <is>
          <t>Change in Inventory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 customFormat="1" s="188">
      <c r="A20" s="193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 customFormat="1" s="188">
      <c r="A21" s="193" t="inlineStr">
        <is>
          <t>Other Mfr. Exp</t>
        </is>
      </c>
      <c r="B21" t="n">
        <v>798.09</v>
      </c>
      <c r="C21" t="n">
        <v>1721.36</v>
      </c>
      <c r="D21" t="n">
        <v>756.6</v>
      </c>
      <c r="E21" t="n">
        <v>1407.44</v>
      </c>
      <c r="F21" t="n">
        <v>1766.6</v>
      </c>
      <c r="G21" t="n">
        <v>2368.2</v>
      </c>
      <c r="H21" t="n">
        <v>2837.16</v>
      </c>
      <c r="I21" t="n">
        <v>3058.26</v>
      </c>
      <c r="J21" t="n">
        <v>3666.32</v>
      </c>
      <c r="K21" t="n">
        <v>0</v>
      </c>
    </row>
    <row r="22" customFormat="1" s="188">
      <c r="A22" s="193" t="inlineStr">
        <is>
          <t>Employee Cost</t>
        </is>
      </c>
      <c r="B22" t="n">
        <v>3192.36</v>
      </c>
      <c r="C22" t="n">
        <v>3442.72</v>
      </c>
      <c r="D22" t="n">
        <v>3783</v>
      </c>
      <c r="E22" t="n">
        <v>0</v>
      </c>
      <c r="F22" t="n">
        <v>0</v>
      </c>
      <c r="G22" t="n">
        <v>0</v>
      </c>
      <c r="H22" t="n">
        <v>0</v>
      </c>
      <c r="I22" t="n">
        <v>470.73</v>
      </c>
      <c r="J22" t="n">
        <v>507.32</v>
      </c>
      <c r="K22" t="n">
        <v>559.73</v>
      </c>
    </row>
    <row r="23" customFormat="1" s="188">
      <c r="A23" s="193" t="inlineStr">
        <is>
          <t>Selling and admin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 customFormat="1" s="188">
      <c r="A24" s="193" t="inlineStr">
        <is>
          <t>Other Expenses</t>
        </is>
      </c>
      <c r="B24" t="n">
        <v>8778.99</v>
      </c>
      <c r="C24" t="n">
        <v>11188.84</v>
      </c>
      <c r="D24" t="n">
        <v>10592.4</v>
      </c>
      <c r="E24" t="n">
        <v>9852.08</v>
      </c>
      <c r="F24" t="n">
        <v>10599.6</v>
      </c>
      <c r="G24" t="n">
        <v>13025.1</v>
      </c>
      <c r="H24" t="n">
        <v>14185.8</v>
      </c>
      <c r="I24" t="n">
        <v>15291.3</v>
      </c>
      <c r="J24" t="n">
        <v>16498.44</v>
      </c>
      <c r="K24" t="n">
        <v>0</v>
      </c>
    </row>
    <row r="25" customFormat="1" s="188">
      <c r="A25" s="188" t="inlineStr">
        <is>
          <t>Other Income</t>
        </is>
      </c>
      <c r="B25" t="n">
        <v>2155</v>
      </c>
      <c r="C25" t="n">
        <v>2664</v>
      </c>
      <c r="D25" t="n">
        <v>3410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</v>
      </c>
      <c r="K25" t="n">
        <v>-14</v>
      </c>
    </row>
    <row r="26" customFormat="1" s="188">
      <c r="A26" s="188" t="inlineStr">
        <is>
          <t>Depreciation</t>
        </is>
      </c>
      <c r="B26" t="n">
        <v>2760</v>
      </c>
      <c r="C26" t="n">
        <v>3021</v>
      </c>
      <c r="D26" t="n">
        <v>3528</v>
      </c>
      <c r="E26" t="n">
        <v>2</v>
      </c>
      <c r="F26" t="n">
        <v>22</v>
      </c>
      <c r="G26" t="n">
        <v>26</v>
      </c>
      <c r="H26" t="n">
        <v>33</v>
      </c>
      <c r="I26" t="n">
        <v>40</v>
      </c>
      <c r="J26" t="n">
        <v>41</v>
      </c>
      <c r="K26" t="n">
        <v>47</v>
      </c>
    </row>
    <row r="27" customFormat="1" s="188">
      <c r="A27" s="188" t="inlineStr">
        <is>
          <t>Interest</t>
        </is>
      </c>
      <c r="B27" t="n">
        <v>346</v>
      </c>
      <c r="C27" t="n">
        <v>76</v>
      </c>
      <c r="D27" t="n">
        <v>134</v>
      </c>
      <c r="E27" t="n">
        <v>162</v>
      </c>
      <c r="F27" t="n">
        <v>1968</v>
      </c>
      <c r="G27" t="n">
        <v>2157</v>
      </c>
      <c r="H27" t="n">
        <v>3213</v>
      </c>
      <c r="I27" t="n">
        <v>4695</v>
      </c>
      <c r="J27" t="n">
        <v>5981</v>
      </c>
      <c r="K27" t="n">
        <v>6761</v>
      </c>
    </row>
    <row r="28" customFormat="1" s="188">
      <c r="A28" s="188" t="inlineStr">
        <is>
          <t>Profit before tax</t>
        </is>
      </c>
      <c r="B28" t="n">
        <v>11167</v>
      </c>
      <c r="C28" t="n">
        <v>10624</v>
      </c>
      <c r="D28" t="n">
        <v>7103</v>
      </c>
      <c r="E28" t="n">
        <v>57</v>
      </c>
      <c r="F28" t="n">
        <v>613</v>
      </c>
      <c r="G28" t="n">
        <v>960</v>
      </c>
      <c r="H28" t="n">
        <v>1700</v>
      </c>
      <c r="I28" t="n">
        <v>2161</v>
      </c>
      <c r="J28" t="n">
        <v>2770</v>
      </c>
      <c r="K28" t="n">
        <v>3320</v>
      </c>
    </row>
    <row r="29" customFormat="1" s="188">
      <c r="A29" s="188" t="inlineStr">
        <is>
          <t>Tax</t>
        </is>
      </c>
      <c r="B29" t="n">
        <v>3286</v>
      </c>
      <c r="C29" t="n">
        <v>2973</v>
      </c>
      <c r="D29" t="n">
        <v>1425</v>
      </c>
      <c r="E29" t="n">
        <v>15</v>
      </c>
      <c r="F29" t="n">
        <v>160</v>
      </c>
      <c r="G29" t="n">
        <v>250</v>
      </c>
      <c r="H29" t="n">
        <v>442</v>
      </c>
      <c r="I29" t="n">
        <v>430</v>
      </c>
      <c r="J29" t="n">
        <v>607</v>
      </c>
      <c r="K29" t="n">
        <v>760</v>
      </c>
    </row>
    <row r="30" customFormat="1" s="188">
      <c r="A30" s="188" t="inlineStr">
        <is>
          <t>Net profit</t>
        </is>
      </c>
      <c r="B30" t="n">
        <v>7881</v>
      </c>
      <c r="C30" t="n">
        <v>7651</v>
      </c>
      <c r="D30" t="n">
        <v>5678</v>
      </c>
      <c r="E30" t="n">
        <v>42</v>
      </c>
      <c r="F30" t="n">
        <v>453</v>
      </c>
      <c r="G30" t="n">
        <v>710</v>
      </c>
      <c r="H30" t="n">
        <v>1258</v>
      </c>
      <c r="I30" t="n">
        <v>1731</v>
      </c>
      <c r="J30" t="n">
        <v>2163</v>
      </c>
      <c r="K30" t="n">
        <v>2560</v>
      </c>
    </row>
    <row r="31" customFormat="1" s="188">
      <c r="A31" s="188" t="inlineStr">
        <is>
          <t>Dividend Amount</t>
        </is>
      </c>
      <c r="B31" t="n">
        <v>2443.11</v>
      </c>
      <c r="C31" t="n">
        <v>2448.32</v>
      </c>
      <c r="D31" t="n">
        <v>1816.96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 customFormat="1" s="188">
      <c r="A32" s="188" t="inlineStr">
        <is>
          <t>EBITDA</t>
        </is>
      </c>
      <c r="B32" s="188">
        <f>SUM(B26:B28)</f>
        <v/>
      </c>
      <c r="C32" s="188">
        <f>SUM(C26:C28)</f>
        <v/>
      </c>
      <c r="D32" s="188">
        <f>SUM(D26:D28)</f>
        <v/>
      </c>
      <c r="E32" s="188">
        <f>SUM(E26:E28)</f>
        <v/>
      </c>
      <c r="F32" s="188">
        <f>SUM(F26:F28)</f>
        <v/>
      </c>
      <c r="G32" s="188">
        <f>SUM(G26:G28)</f>
        <v/>
      </c>
      <c r="H32" s="188">
        <f>SUM(H26:H28)</f>
        <v/>
      </c>
      <c r="I32" s="188">
        <f>SUM(I26:I28)</f>
        <v/>
      </c>
      <c r="J32" s="188">
        <f>SUM(J26:J28)</f>
        <v/>
      </c>
      <c r="K32" s="188">
        <f>SUM(K26:K28)</f>
        <v/>
      </c>
    </row>
    <row r="33">
      <c r="A33" s="188" t="n"/>
      <c r="B33" s="193">
        <f>B30+B29+B27+B26</f>
        <v/>
      </c>
      <c r="C33" s="193">
        <f>C30+C29+C27+C26</f>
        <v/>
      </c>
      <c r="D33" s="193">
        <f>D30+D29+D27+D26</f>
        <v/>
      </c>
      <c r="E33" s="193">
        <f>E30+E29+E27+E26</f>
        <v/>
      </c>
      <c r="F33" s="193">
        <f>F30+F29+F27+F26</f>
        <v/>
      </c>
      <c r="G33" s="193">
        <f>G30+G29+G27+G26</f>
        <v/>
      </c>
      <c r="H33" s="193">
        <f>H30+H29+H27+H26</f>
        <v/>
      </c>
      <c r="I33" s="193">
        <f>I30+I29+I27+I26</f>
        <v/>
      </c>
      <c r="J33" s="193">
        <f>J30+J29+J27+J26</f>
        <v/>
      </c>
      <c r="K33" s="193">
        <f>K30+K29+K27+K26</f>
        <v/>
      </c>
    </row>
    <row r="34">
      <c r="A34" s="188" t="n"/>
    </row>
    <row r="35">
      <c r="A35" s="188" t="n"/>
    </row>
    <row r="36">
      <c r="A36" s="188" t="n"/>
    </row>
    <row r="37">
      <c r="A37" s="188" t="n"/>
    </row>
    <row r="38">
      <c r="A38" s="188" t="n"/>
    </row>
    <row r="39">
      <c r="A39" s="188" t="n"/>
    </row>
    <row r="40">
      <c r="A40" s="187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88">
      <c r="A42" s="188" t="inlineStr">
        <is>
          <t>Sales</t>
        </is>
      </c>
      <c r="B42" t="n">
        <v>1996</v>
      </c>
      <c r="C42" t="n">
        <v>2209</v>
      </c>
      <c r="D42" t="n">
        <v>2410</v>
      </c>
      <c r="E42" t="n">
        <v>2449</v>
      </c>
      <c r="F42" t="n">
        <v>2504</v>
      </c>
      <c r="G42" t="n">
        <v>2616</v>
      </c>
      <c r="H42" t="n">
        <v>2755</v>
      </c>
      <c r="I42" t="n">
        <v>2884</v>
      </c>
      <c r="J42" t="n">
        <v>2903</v>
      </c>
      <c r="K42" t="n">
        <v>3063</v>
      </c>
    </row>
    <row r="43" customFormat="1" s="188">
      <c r="A43" s="188" t="inlineStr">
        <is>
          <t>Expenses</t>
        </is>
      </c>
      <c r="B43" t="n">
        <v>219</v>
      </c>
      <c r="C43" t="n">
        <v>170</v>
      </c>
      <c r="D43" t="n">
        <v>179</v>
      </c>
      <c r="E43" t="n">
        <v>210</v>
      </c>
      <c r="F43" t="n">
        <v>222</v>
      </c>
      <c r="G43" t="n">
        <v>244</v>
      </c>
      <c r="H43" t="n">
        <v>253</v>
      </c>
      <c r="I43" t="n">
        <v>261</v>
      </c>
      <c r="J43" t="n">
        <v>262</v>
      </c>
      <c r="K43" t="n">
        <v>233</v>
      </c>
    </row>
    <row r="44" customFormat="1" s="188">
      <c r="A44" s="188" t="inlineStr">
        <is>
          <t>Other Income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</v>
      </c>
      <c r="H44" t="n">
        <v>0</v>
      </c>
      <c r="I44" t="n">
        <v>-13</v>
      </c>
      <c r="J44" t="n">
        <v>0</v>
      </c>
      <c r="K44" t="n">
        <v>0</v>
      </c>
    </row>
    <row r="45" customFormat="1" s="188">
      <c r="A45" s="188" t="inlineStr">
        <is>
          <t>Depreciation</t>
        </is>
      </c>
      <c r="B45" t="n">
        <v>10</v>
      </c>
      <c r="C45" t="n">
        <v>10</v>
      </c>
      <c r="D45" t="n">
        <v>10</v>
      </c>
      <c r="E45" t="n">
        <v>10</v>
      </c>
      <c r="F45" t="n">
        <v>11</v>
      </c>
      <c r="G45" t="n">
        <v>11</v>
      </c>
      <c r="H45" t="n">
        <v>12</v>
      </c>
      <c r="I45" t="n">
        <v>12</v>
      </c>
      <c r="J45" t="n">
        <v>13</v>
      </c>
      <c r="K45" t="n">
        <v>13</v>
      </c>
    </row>
    <row r="46" customFormat="1" s="188">
      <c r="A46" s="188" t="inlineStr">
        <is>
          <t>Interest</t>
        </is>
      </c>
      <c r="B46" t="n">
        <v>1279</v>
      </c>
      <c r="C46" t="n">
        <v>1399</v>
      </c>
      <c r="D46" t="n">
        <v>1514</v>
      </c>
      <c r="E46" t="n">
        <v>1516</v>
      </c>
      <c r="F46" t="n">
        <v>1551</v>
      </c>
      <c r="G46" t="n">
        <v>1606</v>
      </c>
      <c r="H46" t="n">
        <v>1658</v>
      </c>
      <c r="I46" t="n">
        <v>1734</v>
      </c>
      <c r="J46" t="n">
        <v>1762</v>
      </c>
      <c r="K46" t="n">
        <v>1888</v>
      </c>
    </row>
    <row r="47" customFormat="1" s="188">
      <c r="A47" s="188" t="inlineStr">
        <is>
          <t>Profit before tax</t>
        </is>
      </c>
      <c r="B47" t="n">
        <v>488</v>
      </c>
      <c r="C47" t="n">
        <v>630</v>
      </c>
      <c r="D47" t="n">
        <v>708</v>
      </c>
      <c r="E47" t="n">
        <v>713</v>
      </c>
      <c r="F47" t="n">
        <v>720</v>
      </c>
      <c r="G47" t="n">
        <v>757</v>
      </c>
      <c r="H47" t="n">
        <v>833</v>
      </c>
      <c r="I47" t="n">
        <v>865</v>
      </c>
      <c r="J47" t="n">
        <v>866</v>
      </c>
      <c r="K47" t="n">
        <v>929</v>
      </c>
    </row>
    <row r="48" customFormat="1" s="188">
      <c r="A48" s="188" t="inlineStr">
        <is>
          <t>Tax</t>
        </is>
      </c>
      <c r="B48" t="n">
        <v>107</v>
      </c>
      <c r="C48" t="n">
        <v>147</v>
      </c>
      <c r="D48" t="n">
        <v>162</v>
      </c>
      <c r="E48" t="n">
        <v>165</v>
      </c>
      <c r="F48" t="n">
        <v>133</v>
      </c>
      <c r="G48" t="n">
        <v>174</v>
      </c>
      <c r="H48" t="n">
        <v>190</v>
      </c>
      <c r="I48" t="n">
        <v>200</v>
      </c>
      <c r="J48" t="n">
        <v>197</v>
      </c>
      <c r="K48" t="n">
        <v>214</v>
      </c>
    </row>
    <row r="49" customFormat="1" s="188">
      <c r="A49" s="188" t="inlineStr">
        <is>
          <t>Net profit</t>
        </is>
      </c>
      <c r="B49" t="n">
        <v>381</v>
      </c>
      <c r="C49" t="n">
        <v>483</v>
      </c>
      <c r="D49" t="n">
        <v>546</v>
      </c>
      <c r="E49" t="n">
        <v>548</v>
      </c>
      <c r="F49" t="n">
        <v>587</v>
      </c>
      <c r="G49" t="n">
        <v>583</v>
      </c>
      <c r="H49" t="n">
        <v>643</v>
      </c>
      <c r="I49" t="n">
        <v>665</v>
      </c>
      <c r="J49" t="n">
        <v>669</v>
      </c>
      <c r="K49" t="n">
        <v>715</v>
      </c>
    </row>
    <row r="50">
      <c r="A50" s="188" t="inlineStr">
        <is>
          <t>Operating Profit</t>
        </is>
      </c>
      <c r="B50" t="n">
        <v>5221</v>
      </c>
      <c r="C50" t="n">
        <v>5107</v>
      </c>
      <c r="D50" t="n">
        <v>4999</v>
      </c>
      <c r="E50" t="n">
        <v>5076</v>
      </c>
      <c r="F50" t="n">
        <v>4844</v>
      </c>
      <c r="G50" t="n">
        <v>4623</v>
      </c>
      <c r="H50" t="n">
        <v>5086</v>
      </c>
      <c r="I50" t="n">
        <v>5573</v>
      </c>
      <c r="J50" t="n">
        <v>6158</v>
      </c>
      <c r="K50" t="n">
        <v>4313</v>
      </c>
    </row>
    <row r="51">
      <c r="A51" s="188" t="n"/>
    </row>
    <row r="52">
      <c r="A52" s="188" t="n"/>
    </row>
    <row r="53">
      <c r="A53" s="188" t="n"/>
    </row>
    <row r="54">
      <c r="A54" s="188" t="n"/>
    </row>
    <row r="55">
      <c r="A55" s="187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42795</v>
      </c>
      <c r="C56" s="16" t="n">
        <v>43160</v>
      </c>
      <c r="D56" s="16" t="n">
        <v>43525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88" t="inlineStr">
        <is>
          <t>Equity Share Capital</t>
        </is>
      </c>
      <c r="B57" t="n">
        <v>151</v>
      </c>
      <c r="C57" t="n">
        <v>151</v>
      </c>
      <c r="D57" t="n">
        <v>151</v>
      </c>
      <c r="E57" t="n">
        <v>488</v>
      </c>
      <c r="F57" t="n">
        <v>4883</v>
      </c>
      <c r="G57" t="n">
        <v>4883</v>
      </c>
      <c r="H57" t="n">
        <v>6712</v>
      </c>
      <c r="I57" t="n">
        <v>6712</v>
      </c>
      <c r="J57" t="n">
        <v>8328</v>
      </c>
      <c r="K57" t="n">
        <v>8329</v>
      </c>
    </row>
    <row r="58">
      <c r="A58" s="188" t="inlineStr">
        <is>
          <t>Reserves</t>
        </is>
      </c>
      <c r="B58" t="n">
        <v>36924</v>
      </c>
      <c r="C58" t="n">
        <v>42408</v>
      </c>
      <c r="D58" t="n">
        <v>46941</v>
      </c>
      <c r="E58" t="n">
        <v>70</v>
      </c>
      <c r="F58" t="n">
        <v>1149</v>
      </c>
      <c r="G58" t="n">
        <v>1858</v>
      </c>
      <c r="H58" t="n">
        <v>3791</v>
      </c>
      <c r="I58" t="n">
        <v>5521</v>
      </c>
      <c r="J58" t="n">
        <v>11619</v>
      </c>
      <c r="K58" t="n">
        <v>14194</v>
      </c>
    </row>
    <row r="59">
      <c r="A59" s="188" t="inlineStr">
        <is>
          <t>Borrowings</t>
        </is>
      </c>
      <c r="B59" t="n">
        <v>484</v>
      </c>
      <c r="C59" t="n">
        <v>121</v>
      </c>
      <c r="D59" t="n">
        <v>160</v>
      </c>
      <c r="E59" t="n">
        <v>184</v>
      </c>
      <c r="F59" t="n">
        <v>541</v>
      </c>
      <c r="G59" t="n">
        <v>426</v>
      </c>
      <c r="H59" t="n">
        <v>1248</v>
      </c>
      <c r="I59" t="n">
        <v>119</v>
      </c>
      <c r="J59" t="n">
        <v>87</v>
      </c>
      <c r="K59" t="n">
        <v>0</v>
      </c>
    </row>
    <row r="60">
      <c r="A60" s="188" t="inlineStr">
        <is>
          <t>Other Liabilities</t>
        </is>
      </c>
      <c r="B60" t="n">
        <v>14402</v>
      </c>
      <c r="C60" t="n">
        <v>17568</v>
      </c>
      <c r="D60" t="n">
        <v>16717</v>
      </c>
      <c r="E60" t="n">
        <v>19</v>
      </c>
      <c r="F60" t="n">
        <v>226</v>
      </c>
      <c r="G60" t="n">
        <v>293</v>
      </c>
      <c r="H60" t="n">
        <v>406</v>
      </c>
      <c r="I60" t="n">
        <v>464</v>
      </c>
      <c r="J60" t="n">
        <v>790</v>
      </c>
      <c r="K60" t="n">
        <v>920</v>
      </c>
    </row>
    <row r="61" customFormat="1" s="187">
      <c r="A61" s="187" t="inlineStr">
        <is>
          <t>Total</t>
        </is>
      </c>
      <c r="B61">
        <f>SUM(B57:B60)</f>
        <v/>
      </c>
      <c r="C61">
        <f>SUM(C57:C60)</f>
        <v/>
      </c>
      <c r="D61">
        <f>SUM(D57:D60)</f>
        <v/>
      </c>
      <c r="E61" t="n">
        <v>3137</v>
      </c>
      <c r="F61" t="n">
        <v>37858</v>
      </c>
      <c r="G61" t="n">
        <v>48527</v>
      </c>
      <c r="H61" t="n">
        <v>64654</v>
      </c>
      <c r="I61" t="n">
        <v>81827</v>
      </c>
      <c r="J61" t="n">
        <v>102809</v>
      </c>
      <c r="K61" t="n">
        <v>127147</v>
      </c>
    </row>
    <row r="62">
      <c r="A62" s="188" t="inlineStr">
        <is>
          <t>Net Block</t>
        </is>
      </c>
      <c r="B62" t="n">
        <v>13311</v>
      </c>
      <c r="C62" t="n">
        <v>13389</v>
      </c>
      <c r="D62" t="n">
        <v>15437</v>
      </c>
      <c r="E62" t="n">
        <v>9</v>
      </c>
      <c r="F62" t="n">
        <v>79</v>
      </c>
      <c r="G62" t="n">
        <v>97</v>
      </c>
      <c r="H62" t="n">
        <v>113</v>
      </c>
      <c r="I62" t="n">
        <v>123</v>
      </c>
      <c r="J62" t="n">
        <v>141</v>
      </c>
      <c r="K62" t="n">
        <v>154</v>
      </c>
    </row>
    <row r="63">
      <c r="A63" s="188" t="inlineStr">
        <is>
          <t>Capital Work in Progress</t>
        </is>
      </c>
      <c r="B63" t="n">
        <v>1252</v>
      </c>
      <c r="C63" t="n">
        <v>2132</v>
      </c>
      <c r="D63" t="n">
        <v>1607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</row>
    <row r="64">
      <c r="A64" s="188" t="inlineStr">
        <is>
          <t>Investments</t>
        </is>
      </c>
      <c r="B64" t="n">
        <v>29151</v>
      </c>
      <c r="C64" t="n">
        <v>36123</v>
      </c>
      <c r="D64" t="n">
        <v>37504</v>
      </c>
      <c r="E64" t="n">
        <v>251</v>
      </c>
      <c r="F64" t="n">
        <v>3266</v>
      </c>
      <c r="G64" t="n">
        <v>1248</v>
      </c>
      <c r="H64" t="n">
        <v>2001</v>
      </c>
      <c r="I64" t="n">
        <v>1939</v>
      </c>
      <c r="J64" t="n">
        <v>2533</v>
      </c>
      <c r="K64" t="n">
        <v>2502</v>
      </c>
    </row>
    <row r="65">
      <c r="A65" s="188" t="inlineStr">
        <is>
          <t>Other Assets</t>
        </is>
      </c>
      <c r="B65" t="n">
        <v>8247</v>
      </c>
      <c r="C65" t="n">
        <v>8604</v>
      </c>
      <c r="D65" t="n">
        <v>9421</v>
      </c>
      <c r="E65" t="n">
        <v>2878</v>
      </c>
      <c r="F65" t="n">
        <v>34513</v>
      </c>
      <c r="G65" t="n">
        <v>47180</v>
      </c>
      <c r="H65" t="n">
        <v>62540</v>
      </c>
      <c r="I65" t="n">
        <v>79765</v>
      </c>
      <c r="J65" t="n">
        <v>100134</v>
      </c>
      <c r="K65" t="n">
        <v>124491</v>
      </c>
    </row>
    <row r="66" customFormat="1" s="187">
      <c r="A66" s="187" t="inlineStr">
        <is>
          <t>Total</t>
        </is>
      </c>
      <c r="B66">
        <f>SUM(B62:B65)</f>
        <v/>
      </c>
      <c r="C66">
        <f>SUM(C62:C65)</f>
        <v/>
      </c>
      <c r="D66">
        <f>SUM(D62:D65)</f>
        <v/>
      </c>
      <c r="E66" t="n">
        <v>3137</v>
      </c>
      <c r="F66" t="n">
        <v>37858</v>
      </c>
      <c r="G66" t="n">
        <v>48527</v>
      </c>
      <c r="H66" t="n">
        <v>64654</v>
      </c>
      <c r="I66" t="n">
        <v>81827</v>
      </c>
      <c r="J66" t="n">
        <v>102809</v>
      </c>
      <c r="K66" t="n">
        <v>127147</v>
      </c>
    </row>
    <row r="67" customFormat="1" s="188">
      <c r="A67" s="188" t="inlineStr">
        <is>
          <t>Receivables</t>
        </is>
      </c>
      <c r="B67" t="n">
        <v>1203</v>
      </c>
      <c r="C67" t="n">
        <v>1465</v>
      </c>
      <c r="D67" t="n">
        <v>2313</v>
      </c>
      <c r="E67" t="n">
        <v>12</v>
      </c>
      <c r="F67" t="n">
        <v>311</v>
      </c>
      <c r="G67" t="n">
        <v>2</v>
      </c>
      <c r="H67" t="n">
        <v>2</v>
      </c>
      <c r="I67" t="n">
        <v>13</v>
      </c>
      <c r="J67" t="n">
        <v>22</v>
      </c>
      <c r="K67" t="n">
        <v>28</v>
      </c>
    </row>
    <row r="68">
      <c r="A68" s="188" t="inlineStr">
        <is>
          <t>Inventory</t>
        </is>
      </c>
      <c r="B68" t="n">
        <v>3264</v>
      </c>
      <c r="C68" t="n">
        <v>3160</v>
      </c>
      <c r="D68" t="n">
        <v>3323</v>
      </c>
      <c r="E68" t="n">
        <v>863.4</v>
      </c>
      <c r="F68" t="n">
        <v>10353.9</v>
      </c>
      <c r="G68" t="n">
        <v>14154</v>
      </c>
      <c r="H68" t="n">
        <v>18762</v>
      </c>
      <c r="I68" t="n">
        <v>23929.5</v>
      </c>
      <c r="J68" t="n">
        <v>30040.2</v>
      </c>
      <c r="K68" t="n">
        <v>37347.3</v>
      </c>
    </row>
    <row r="69">
      <c r="A69" s="193" t="inlineStr">
        <is>
          <t>Cash &amp; Bank</t>
        </is>
      </c>
      <c r="B69" t="n">
        <v>24</v>
      </c>
      <c r="C69" t="n">
        <v>74</v>
      </c>
      <c r="D69" t="n">
        <v>188</v>
      </c>
      <c r="E69" t="n">
        <v>66</v>
      </c>
      <c r="F69" t="n">
        <v>717</v>
      </c>
      <c r="G69" t="n">
        <v>407</v>
      </c>
      <c r="H69" t="n">
        <v>109</v>
      </c>
      <c r="I69" t="n">
        <v>64</v>
      </c>
      <c r="J69" t="n">
        <v>62</v>
      </c>
      <c r="K69" t="n">
        <v>166</v>
      </c>
    </row>
    <row r="70">
      <c r="A70" s="193" t="inlineStr">
        <is>
          <t>No. of Equity Shares</t>
        </is>
      </c>
      <c r="B70" t="n">
        <v>302000000</v>
      </c>
      <c r="C70" t="n">
        <v>302000000</v>
      </c>
      <c r="D70" t="n">
        <v>302000000</v>
      </c>
      <c r="E70" t="n">
        <v>976000000</v>
      </c>
      <c r="F70" t="n">
        <v>9766000000</v>
      </c>
      <c r="G70" t="n">
        <v>9766000000</v>
      </c>
      <c r="H70" t="n">
        <v>13424000000</v>
      </c>
      <c r="I70" t="n">
        <v>13424000000</v>
      </c>
      <c r="J70" t="n">
        <v>16656000000</v>
      </c>
      <c r="K70" t="n">
        <v>8329000000</v>
      </c>
    </row>
    <row r="71">
      <c r="A71" s="193" t="inlineStr">
        <is>
          <t>New Bonus Shares</t>
        </is>
      </c>
    </row>
    <row r="72">
      <c r="A72" s="193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10</v>
      </c>
    </row>
    <row r="73">
      <c r="A73" t="inlineStr">
        <is>
          <t>Minority Interest</t>
        </is>
      </c>
      <c r="K73" t="n">
        <v>453</v>
      </c>
    </row>
    <row r="74">
      <c r="A74" s="188" t="inlineStr">
        <is>
          <t>Other Assets</t>
        </is>
      </c>
      <c r="B74" s="193">
        <f>B65-SUM(B67:B69)</f>
        <v/>
      </c>
      <c r="C74" s="193">
        <f>C65-SUM(C67:C69)</f>
        <v/>
      </c>
      <c r="D74" s="193">
        <f>D65-SUM(D67:D69)</f>
        <v/>
      </c>
      <c r="E74" s="193">
        <f>E65-SUM(E67:E69)</f>
        <v/>
      </c>
      <c r="F74" s="193">
        <f>F65-SUM(F67:F69)</f>
        <v/>
      </c>
      <c r="G74" s="193">
        <f>G65-SUM(G67:G69)</f>
        <v/>
      </c>
      <c r="H74" s="193">
        <f>H65-SUM(H67:H69)</f>
        <v/>
      </c>
      <c r="I74" s="193">
        <f>I65-SUM(I67:I69)</f>
        <v/>
      </c>
      <c r="J74" s="193">
        <f>J65-SUM(J67:J69)</f>
        <v/>
      </c>
      <c r="K74" s="193">
        <f>K65-SUM(K67:K69)</f>
        <v/>
      </c>
    </row>
    <row r="75">
      <c r="A75" s="188" t="n"/>
      <c r="B75" s="193">
        <f>B65-SUM(B67:B69)</f>
        <v/>
      </c>
      <c r="C75" s="193">
        <f>C65-SUM(C67:C69)</f>
        <v/>
      </c>
      <c r="D75" s="193">
        <f>D65-SUM(D67:D69)</f>
        <v/>
      </c>
      <c r="E75" s="193">
        <f>E65-SUM(E67:E69)</f>
        <v/>
      </c>
      <c r="F75" s="193">
        <f>F65-SUM(F67:F69)</f>
        <v/>
      </c>
      <c r="G75" s="193">
        <f>G65-SUM(G67:G69)</f>
        <v/>
      </c>
      <c r="H75" s="193">
        <f>H65-SUM(H67:H69)</f>
        <v/>
      </c>
      <c r="I75" s="193">
        <f>I65-SUM(I67:I69)</f>
        <v/>
      </c>
      <c r="J75" s="193">
        <f>J65-SUM(J67:J69)</f>
        <v/>
      </c>
      <c r="K75" s="193">
        <f>K65-SUM(K67:K69)</f>
        <v/>
      </c>
    </row>
    <row r="76">
      <c r="A76" s="188" t="n"/>
    </row>
    <row r="77">
      <c r="A77" s="188" t="n"/>
    </row>
    <row r="78">
      <c r="A78" s="188" t="n"/>
    </row>
    <row r="79">
      <c r="A79" s="188" t="n"/>
    </row>
    <row r="80">
      <c r="A80" s="187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42795</v>
      </c>
      <c r="C81" s="16" t="n">
        <v>43160</v>
      </c>
      <c r="D81" s="16" t="n">
        <v>43525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87">
      <c r="A82" s="188" t="inlineStr">
        <is>
          <t>Cash from Operating Activity</t>
        </is>
      </c>
      <c r="B82" t="n">
        <v>10282</v>
      </c>
      <c r="C82" t="n">
        <v>11788</v>
      </c>
      <c r="D82" t="n">
        <v>6601</v>
      </c>
      <c r="E82" t="n">
        <v>-1024</v>
      </c>
      <c r="F82" t="n">
        <v>-5076</v>
      </c>
      <c r="G82" t="n">
        <v>-12481</v>
      </c>
      <c r="H82" t="n">
        <v>-14332</v>
      </c>
      <c r="I82" t="n">
        <v>-14600</v>
      </c>
      <c r="J82" t="n">
        <v>-17075</v>
      </c>
      <c r="K82" t="n">
        <v>-19895</v>
      </c>
    </row>
    <row r="83" customFormat="1" s="188">
      <c r="A83" s="188" t="inlineStr">
        <is>
          <t>Cash from Investing Activity</t>
        </is>
      </c>
      <c r="B83" t="n">
        <v>-9173</v>
      </c>
      <c r="C83" t="n">
        <v>-8302</v>
      </c>
      <c r="D83" t="n">
        <v>-3540</v>
      </c>
      <c r="E83" t="n">
        <v>-69</v>
      </c>
      <c r="F83" t="n">
        <v>-797</v>
      </c>
      <c r="G83" t="n">
        <v>2197</v>
      </c>
      <c r="H83" t="n">
        <v>-611</v>
      </c>
      <c r="I83" t="n">
        <v>-555</v>
      </c>
      <c r="J83" t="n">
        <v>-798</v>
      </c>
      <c r="K83" t="n">
        <v>-1202</v>
      </c>
    </row>
    <row r="84" customFormat="1" s="188">
      <c r="A84" s="188" t="inlineStr">
        <is>
          <t>Cash from Financing Activity</t>
        </is>
      </c>
      <c r="B84" t="n">
        <v>-1129</v>
      </c>
      <c r="C84" t="n">
        <v>-3436</v>
      </c>
      <c r="D84" t="n">
        <v>-2948</v>
      </c>
      <c r="E84" t="n">
        <v>1149</v>
      </c>
      <c r="F84" t="n">
        <v>5676</v>
      </c>
      <c r="G84" t="n">
        <v>10228</v>
      </c>
      <c r="H84" t="n">
        <v>14630</v>
      </c>
      <c r="I84" t="n">
        <v>15125</v>
      </c>
      <c r="J84" t="n">
        <v>17870</v>
      </c>
      <c r="K84" t="n">
        <v>21197</v>
      </c>
    </row>
    <row r="85" customFormat="1" s="187">
      <c r="A85" s="188" t="inlineStr">
        <is>
          <t>Net Cash Flow</t>
        </is>
      </c>
      <c r="B85" t="n">
        <v>-20</v>
      </c>
      <c r="C85" t="n">
        <v>50</v>
      </c>
      <c r="D85" t="n">
        <v>113</v>
      </c>
      <c r="E85" t="n">
        <v>55</v>
      </c>
      <c r="F85" t="n">
        <v>-197</v>
      </c>
      <c r="G85" t="n">
        <v>-55</v>
      </c>
      <c r="H85" t="n">
        <v>-313</v>
      </c>
      <c r="I85" t="n">
        <v>-30</v>
      </c>
      <c r="J85" t="n">
        <v>-2</v>
      </c>
      <c r="K85" t="n">
        <v>100</v>
      </c>
    </row>
    <row r="86">
      <c r="A86" s="188" t="n"/>
    </row>
    <row r="87">
      <c r="A87" s="188" t="n"/>
    </row>
    <row r="88">
      <c r="A88" s="188" t="n"/>
    </row>
    <row r="89">
      <c r="A89" s="188" t="n"/>
    </row>
    <row r="90" customFormat="1" s="187">
      <c r="A90" s="187" t="inlineStr">
        <is>
          <t>PRICE:</t>
        </is>
      </c>
      <c r="B90" t="n">
        <v>5887.75</v>
      </c>
      <c r="C90" t="n">
        <v>8873.450000000001</v>
      </c>
      <c r="D90" t="n">
        <v>6935.15</v>
      </c>
      <c r="E90" t="n">
        <v>83.09999999999999</v>
      </c>
      <c r="F90" t="n">
        <v>83.09999999999999</v>
      </c>
      <c r="G90" t="n">
        <v>83.09999999999999</v>
      </c>
      <c r="H90" t="n">
        <v>83.09999999999999</v>
      </c>
      <c r="I90" t="n">
        <v>83.09999999999999</v>
      </c>
      <c r="J90" t="n">
        <v>108.73</v>
      </c>
      <c r="K90" t="n">
        <v>87.04000000000001</v>
      </c>
    </row>
    <row r="92" customFormat="1" s="187">
      <c r="A92" s="187" t="inlineStr">
        <is>
          <t>DERIVED:</t>
        </is>
      </c>
    </row>
    <row r="93">
      <c r="A93" s="193" t="inlineStr">
        <is>
          <t>Adjusted Equity Shares in Cr</t>
        </is>
      </c>
      <c r="B93" s="198" t="n">
        <v>30.22</v>
      </c>
      <c r="C93" s="198" t="n">
        <v>30.22</v>
      </c>
      <c r="D93" s="198" t="n">
        <v>30.22</v>
      </c>
      <c r="E93" s="198" t="n">
        <v>466.67</v>
      </c>
      <c r="F93" s="198" t="n">
        <v>466.67</v>
      </c>
      <c r="G93" s="198" t="n">
        <v>466.67</v>
      </c>
      <c r="H93" s="198" t="n">
        <v>466.67</v>
      </c>
      <c r="I93" s="198" t="n">
        <v>466.67</v>
      </c>
      <c r="J93" s="198" t="n">
        <v>466.67</v>
      </c>
      <c r="K93" s="198" t="n">
        <v>466.67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76" min="1" max="1"/>
    <col width="26.44140625" customWidth="1" style="176" min="2" max="2"/>
    <col width="18.77734375" customWidth="1" style="176" min="16" max="16"/>
  </cols>
  <sheetData>
    <row r="2">
      <c r="B2" s="177" t="inlineStr">
        <is>
          <t>Cash Flow Statement - Bajaj Housing Finance Ltd</t>
        </is>
      </c>
    </row>
    <row r="4">
      <c r="B4" s="49" t="inlineStr">
        <is>
          <t>Particulars</t>
        </is>
      </c>
      <c r="C4" s="50" t="inlineStr">
        <is>
          <t>Mar 2020</t>
        </is>
      </c>
      <c r="D4" s="50" t="inlineStr">
        <is>
          <t>Mar 2021</t>
        </is>
      </c>
      <c r="E4" s="50" t="inlineStr">
        <is>
          <t>Mar 2022</t>
        </is>
      </c>
      <c r="F4" s="50" t="inlineStr">
        <is>
          <t>Mar 2023</t>
        </is>
      </c>
      <c r="G4" s="50" t="inlineStr">
        <is>
          <t>Mar 2024</t>
        </is>
      </c>
      <c r="H4" s="50" t="inlineStr">
        <is>
          <t>Mar 2025</t>
        </is>
      </c>
      <c r="I4" s="50" t="inlineStr">
        <is>
          <t>Mar 2026</t>
        </is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76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-1024</v>
      </c>
      <c r="D6" s="73" t="n">
        <v>-5076</v>
      </c>
      <c r="E6" s="73" t="n">
        <v>-12481</v>
      </c>
      <c r="F6" s="73" t="n">
        <v>-14332</v>
      </c>
      <c r="G6" s="73" t="n">
        <v>-14600</v>
      </c>
      <c r="H6" s="73" t="n">
        <v>-17075</v>
      </c>
      <c r="I6" s="73" t="n">
        <v>-19895</v>
      </c>
      <c r="J6" s="73" t="n">
        <v>1840</v>
      </c>
      <c r="K6" s="73" t="n">
        <v>10815</v>
      </c>
      <c r="L6" s="73" t="n">
        <v>16801</v>
      </c>
      <c r="M6" s="73" t="n">
        <v>16180</v>
      </c>
      <c r="N6" s="73" t="n">
        <v>19100</v>
      </c>
    </row>
    <row r="7">
      <c r="B7" t="inlineStr">
        <is>
          <t>Profit from operations</t>
        </is>
      </c>
      <c r="C7" s="73" t="n">
        <v>89</v>
      </c>
      <c r="D7" s="73" t="n">
        <v>1030</v>
      </c>
      <c r="E7" s="73" t="n">
        <v>700</v>
      </c>
      <c r="F7" s="73" t="n">
        <v>1572</v>
      </c>
      <c r="G7" s="73" t="n">
        <v>2157</v>
      </c>
      <c r="H7" s="73" t="n">
        <v>2964</v>
      </c>
      <c r="I7" s="73" t="n">
        <v>3789</v>
      </c>
      <c r="J7" s="73" t="n">
        <v>5832</v>
      </c>
      <c r="K7" s="73" t="n">
        <v>13176</v>
      </c>
      <c r="L7" s="73" t="n">
        <v>18676</v>
      </c>
      <c r="M7" s="73" t="n">
        <v>20322</v>
      </c>
      <c r="N7" s="73" t="n">
        <v>21802</v>
      </c>
    </row>
    <row r="8">
      <c r="B8" t="inlineStr">
        <is>
          <t>Receivables</t>
        </is>
      </c>
      <c r="C8" t="n">
        <v>0</v>
      </c>
      <c r="D8" t="n">
        <v>-2</v>
      </c>
      <c r="E8" t="n">
        <v>4</v>
      </c>
      <c r="F8" t="n">
        <v>0</v>
      </c>
      <c r="G8" t="n">
        <v>-11</v>
      </c>
      <c r="H8" s="73" t="n">
        <v>-9</v>
      </c>
      <c r="I8" t="n">
        <v>-6</v>
      </c>
      <c r="J8" t="n">
        <v>-764</v>
      </c>
      <c r="K8" t="n">
        <v>-1270</v>
      </c>
      <c r="L8" t="n">
        <v>-1316</v>
      </c>
      <c r="M8" s="73" t="n">
        <v>-1969</v>
      </c>
      <c r="N8" t="n">
        <v>1236</v>
      </c>
    </row>
    <row r="9">
      <c r="B9" t="inlineStr">
        <is>
          <t>Inventory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73" t="n">
        <v>0</v>
      </c>
      <c r="J9" t="n">
        <v>-483</v>
      </c>
      <c r="K9" s="73" t="n">
        <v>-1050</v>
      </c>
      <c r="L9" s="73" t="n">
        <v>125</v>
      </c>
      <c r="M9" s="73" t="n">
        <v>-1595</v>
      </c>
      <c r="N9" s="73" t="n">
        <v>-4407</v>
      </c>
    </row>
    <row r="10">
      <c r="B10" t="inlineStr">
        <is>
          <t>Payables</t>
        </is>
      </c>
      <c r="C10" t="n">
        <v>1</v>
      </c>
      <c r="D10" t="n">
        <v>-6</v>
      </c>
      <c r="E10" t="n">
        <v>32</v>
      </c>
      <c r="F10" s="73" t="n">
        <v>44</v>
      </c>
      <c r="G10" t="n">
        <v>21</v>
      </c>
      <c r="H10" t="n">
        <v>40</v>
      </c>
      <c r="I10" s="73" t="n">
        <v>101</v>
      </c>
      <c r="J10" s="73" t="n">
        <v>-396</v>
      </c>
      <c r="K10" s="73" t="n">
        <v>2491</v>
      </c>
      <c r="L10" t="n">
        <v>3321</v>
      </c>
      <c r="M10" s="73" t="n">
        <v>2606</v>
      </c>
      <c r="N10" t="n">
        <v>5194</v>
      </c>
    </row>
    <row r="11">
      <c r="B11" t="inlineStr">
        <is>
          <t>Working capital changes</t>
        </is>
      </c>
      <c r="C11" t="n">
        <v>-1100</v>
      </c>
      <c r="D11" t="n">
        <v>-5926</v>
      </c>
      <c r="E11" t="n">
        <v>-12938</v>
      </c>
      <c r="F11" s="73" t="n">
        <v>-15505</v>
      </c>
      <c r="G11" t="n">
        <v>-16230</v>
      </c>
      <c r="H11" t="n">
        <v>-19415</v>
      </c>
      <c r="I11" t="n">
        <v>-23004</v>
      </c>
      <c r="J11" t="n">
        <v>-2813</v>
      </c>
      <c r="K11" t="n">
        <v>-97</v>
      </c>
      <c r="L11" s="73" t="n">
        <v>1722</v>
      </c>
      <c r="M11" s="73" t="n">
        <v>-335</v>
      </c>
      <c r="N11" s="73" t="n">
        <v>1635</v>
      </c>
    </row>
    <row r="12">
      <c r="B12" t="inlineStr">
        <is>
          <t>Direct taxes</t>
        </is>
      </c>
      <c r="C12" s="73" t="n">
        <v>-13</v>
      </c>
      <c r="D12" s="73" t="n">
        <v>-180</v>
      </c>
      <c r="E12" s="73" t="n">
        <v>-242</v>
      </c>
      <c r="F12" s="73" t="n">
        <v>-399</v>
      </c>
      <c r="G12" s="73" t="n">
        <v>-526</v>
      </c>
      <c r="H12" s="73" t="n">
        <v>-624</v>
      </c>
      <c r="I12" s="73" t="n">
        <v>-680</v>
      </c>
      <c r="J12" s="73" t="n">
        <v>-1178</v>
      </c>
      <c r="K12" s="73" t="n">
        <v>-2265</v>
      </c>
      <c r="L12" s="73" t="n">
        <v>-3597</v>
      </c>
      <c r="M12" s="73" t="n">
        <v>-3807</v>
      </c>
      <c r="N12" s="73" t="n">
        <v>-4337</v>
      </c>
    </row>
    <row r="13">
      <c r="B13" t="inlineStr">
        <is>
          <t>Cash from Investing Activity -</t>
        </is>
      </c>
      <c r="C13" s="73" t="n">
        <v>-69</v>
      </c>
      <c r="D13" s="73" t="n">
        <v>-797</v>
      </c>
      <c r="E13" s="73" t="n">
        <v>2197</v>
      </c>
      <c r="F13" s="73" t="n">
        <v>-611</v>
      </c>
      <c r="G13" s="73" t="n">
        <v>-555</v>
      </c>
      <c r="H13" s="73" t="n">
        <v>-798</v>
      </c>
      <c r="I13" s="73" t="n">
        <v>-1202</v>
      </c>
      <c r="J13" s="73" t="n">
        <v>-239</v>
      </c>
      <c r="K13" s="73" t="n">
        <v>-8820</v>
      </c>
      <c r="L13" s="73" t="n">
        <v>-11865</v>
      </c>
      <c r="M13" t="n">
        <v>-14500</v>
      </c>
      <c r="N13" s="73" t="n">
        <v>-14734</v>
      </c>
    </row>
    <row r="14">
      <c r="B14" t="inlineStr">
        <is>
          <t>Fixed assets purchased</t>
        </is>
      </c>
      <c r="C14" s="73" t="n">
        <v>-3</v>
      </c>
      <c r="D14" s="73" t="n">
        <v>-15</v>
      </c>
      <c r="E14" s="73" t="n">
        <v>-29</v>
      </c>
      <c r="F14" s="73" t="n">
        <v>-34</v>
      </c>
      <c r="G14" s="73" t="n">
        <v>-43</v>
      </c>
      <c r="H14" s="73" t="n">
        <v>-41</v>
      </c>
      <c r="I14" s="73" t="n">
        <v>-48</v>
      </c>
      <c r="J14" s="73" t="n">
        <v>-3459</v>
      </c>
      <c r="K14" s="73" t="n">
        <v>-8065</v>
      </c>
      <c r="L14" s="73" t="n">
        <v>-9200</v>
      </c>
      <c r="M14" s="73" t="n">
        <v>-10621</v>
      </c>
      <c r="N14" s="73" t="n">
        <v>-10398</v>
      </c>
    </row>
    <row r="15">
      <c r="B15" t="inlineStr">
        <is>
          <t>Fixed assets sold</t>
        </is>
      </c>
      <c r="C15" t="n">
        <v>0</v>
      </c>
      <c r="D15" t="n">
        <v>2</v>
      </c>
      <c r="E15" t="n">
        <v>2</v>
      </c>
      <c r="F15" t="n">
        <v>4</v>
      </c>
      <c r="G15" t="n">
        <v>3</v>
      </c>
      <c r="H15" t="n">
        <v>5</v>
      </c>
      <c r="I15" t="n">
        <v>5</v>
      </c>
      <c r="J15" t="n">
        <v>136</v>
      </c>
      <c r="K15" t="n">
        <v>109</v>
      </c>
      <c r="L15" t="n">
        <v>45</v>
      </c>
      <c r="M15" t="n">
        <v>42</v>
      </c>
      <c r="N15" t="n">
        <v>52</v>
      </c>
    </row>
    <row r="16">
      <c r="B16" t="inlineStr">
        <is>
          <t>Investments purchased</t>
        </is>
      </c>
      <c r="C16" s="73" t="n">
        <v>-5555</v>
      </c>
      <c r="D16" s="73" t="n">
        <v>-3475</v>
      </c>
      <c r="E16" s="73" t="n">
        <v>-38034</v>
      </c>
      <c r="F16" s="73" t="n">
        <v>-43036</v>
      </c>
      <c r="G16" s="73" t="n">
        <v>-6655</v>
      </c>
      <c r="H16" s="73" t="n">
        <v>-17032</v>
      </c>
      <c r="I16" s="73" t="n">
        <v>-47348</v>
      </c>
      <c r="J16" s="73" t="n">
        <v>-60525</v>
      </c>
      <c r="K16" s="73" t="n">
        <v>-66597</v>
      </c>
      <c r="L16" s="73" t="n">
        <v>-65736</v>
      </c>
      <c r="M16" s="73" t="n">
        <v>-73882</v>
      </c>
      <c r="N16" s="73" t="n">
        <v>-108034</v>
      </c>
    </row>
    <row r="17">
      <c r="B17" t="inlineStr">
        <is>
          <t>Investments sold</t>
        </is>
      </c>
      <c r="C17" s="73" t="n">
        <v>5487</v>
      </c>
      <c r="D17" s="73" t="n">
        <v>2975</v>
      </c>
      <c r="E17" s="73" t="n">
        <v>40232</v>
      </c>
      <c r="F17" s="73" t="n">
        <v>42408</v>
      </c>
      <c r="G17" s="73" t="n">
        <v>6140</v>
      </c>
      <c r="H17" s="73" t="n">
        <v>16270</v>
      </c>
      <c r="I17" s="73" t="n">
        <v>46189</v>
      </c>
      <c r="J17" s="73" t="n">
        <v>63579</v>
      </c>
      <c r="K17" s="73" t="n">
        <v>61605</v>
      </c>
      <c r="L17" s="73" t="n">
        <v>61933</v>
      </c>
      <c r="M17" s="73" t="n">
        <v>69795</v>
      </c>
      <c r="N17" s="73" t="n">
        <v>101969</v>
      </c>
    </row>
    <row r="18">
      <c r="B18" t="inlineStr">
        <is>
          <t>Interest received</t>
        </is>
      </c>
      <c r="C18" t="n">
        <v>1</v>
      </c>
      <c r="D18" t="n">
        <v>31</v>
      </c>
      <c r="E18" t="n">
        <v>27</v>
      </c>
      <c r="F18" t="n">
        <v>46</v>
      </c>
      <c r="G18" s="73" t="n">
        <v>0</v>
      </c>
      <c r="H18" s="73" t="n">
        <v>0</v>
      </c>
      <c r="I18" s="73" t="n">
        <v>0</v>
      </c>
      <c r="J18" s="73" t="n">
        <v>174</v>
      </c>
      <c r="K18" s="73" t="n">
        <v>313</v>
      </c>
      <c r="L18" s="73" t="n">
        <v>372</v>
      </c>
      <c r="M18" s="73" t="n">
        <v>444</v>
      </c>
      <c r="N18" t="n">
        <v>354</v>
      </c>
    </row>
    <row r="19">
      <c r="B19" t="inlineStr">
        <is>
          <t>Dividends received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6</v>
      </c>
      <c r="L19" t="n">
        <v>6</v>
      </c>
      <c r="M19" t="n">
        <v>9</v>
      </c>
      <c r="N19" t="n">
        <v>11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0</v>
      </c>
      <c r="D23" s="73" t="n">
        <v>-314</v>
      </c>
      <c r="E23" s="73" t="n">
        <v>0</v>
      </c>
      <c r="F23" s="73" t="n">
        <v>0</v>
      </c>
      <c r="G23" s="73" t="n">
        <v>0</v>
      </c>
      <c r="H23" s="73" t="n">
        <v>0</v>
      </c>
      <c r="I23" s="73" t="n">
        <v>0</v>
      </c>
      <c r="J23" s="73" t="n">
        <v>-1</v>
      </c>
      <c r="K23" t="n">
        <v>3808</v>
      </c>
      <c r="L23" s="73" t="n">
        <v>795</v>
      </c>
      <c r="M23" t="n">
        <v>-269</v>
      </c>
      <c r="N23" s="73" t="n">
        <v>1311</v>
      </c>
    </row>
    <row r="24">
      <c r="B24" t="inlineStr">
        <is>
          <t>Cash from Financing Activity -</t>
        </is>
      </c>
      <c r="C24" s="73" t="n">
        <v>1149</v>
      </c>
      <c r="D24" s="73" t="n">
        <v>5676</v>
      </c>
      <c r="E24" s="73" t="n">
        <v>10228</v>
      </c>
      <c r="F24" s="73" t="n">
        <v>14630</v>
      </c>
      <c r="G24" s="73" t="n">
        <v>15125</v>
      </c>
      <c r="H24" s="73" t="n">
        <v>17870</v>
      </c>
      <c r="I24" s="73" t="n">
        <v>21197</v>
      </c>
      <c r="J24" s="73" t="n">
        <v>-1607</v>
      </c>
      <c r="K24" s="73" t="n">
        <v>-1214</v>
      </c>
      <c r="L24" s="73" t="n">
        <v>-4062</v>
      </c>
      <c r="M24" s="73" t="n">
        <v>-4155</v>
      </c>
      <c r="N24" s="73" t="n">
        <v>-4484</v>
      </c>
    </row>
    <row r="25">
      <c r="B25" t="inlineStr">
        <is>
          <t>Proceeds from shares</t>
        </is>
      </c>
      <c r="C25" t="n">
        <v>150</v>
      </c>
      <c r="D25" t="n">
        <v>0</v>
      </c>
      <c r="E25" s="73" t="n">
        <v>0</v>
      </c>
      <c r="F25" t="n">
        <v>2500</v>
      </c>
      <c r="G25" t="n">
        <v>0</v>
      </c>
      <c r="H25" t="n">
        <v>5560</v>
      </c>
      <c r="I25" t="n">
        <v>3</v>
      </c>
      <c r="J25" t="n">
        <v>0</v>
      </c>
      <c r="K25" s="73" t="n">
        <v>0</v>
      </c>
      <c r="L25" s="73" t="n">
        <v>0</v>
      </c>
      <c r="M25" t="n">
        <v>0</v>
      </c>
      <c r="N25" t="n">
        <v>0</v>
      </c>
    </row>
    <row r="26">
      <c r="B26" t="inlineStr">
        <is>
          <t>Proceeds from borrowings</t>
        </is>
      </c>
      <c r="C26" t="n">
        <v>1017</v>
      </c>
      <c r="D26" t="n">
        <v>8731</v>
      </c>
      <c r="E26" t="n">
        <v>16652</v>
      </c>
      <c r="F26" t="n">
        <v>26657</v>
      </c>
      <c r="G26" t="n">
        <v>26948</v>
      </c>
      <c r="H26" t="n">
        <v>26680</v>
      </c>
      <c r="I26" t="n">
        <v>38991</v>
      </c>
      <c r="J26" t="n">
        <v>0</v>
      </c>
      <c r="K26" t="n">
        <v>831</v>
      </c>
      <c r="L26" t="n">
        <v>0</v>
      </c>
      <c r="M26" t="n">
        <v>0</v>
      </c>
      <c r="N26" s="73" t="n">
        <v>0</v>
      </c>
    </row>
    <row r="27">
      <c r="B27" t="inlineStr">
        <is>
          <t>Repayment of borrowings</t>
        </is>
      </c>
      <c r="C27" t="n">
        <v>-18</v>
      </c>
      <c r="D27" t="n">
        <v>-3027</v>
      </c>
      <c r="E27" t="n">
        <v>-6923</v>
      </c>
      <c r="F27" t="n">
        <v>-14173</v>
      </c>
      <c r="G27" t="n">
        <v>-11818</v>
      </c>
      <c r="H27" t="n">
        <v>-14164</v>
      </c>
      <c r="I27" t="n">
        <v>-17791</v>
      </c>
      <c r="J27" t="n">
        <v>-110</v>
      </c>
      <c r="K27" t="n">
        <v>0</v>
      </c>
      <c r="L27" t="n">
        <v>-1183</v>
      </c>
      <c r="M27" t="n">
        <v>-33</v>
      </c>
      <c r="N27" t="n">
        <v>0</v>
      </c>
    </row>
    <row r="28">
      <c r="B28" t="inlineStr">
        <is>
          <t>Interest paid fin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-130</v>
      </c>
      <c r="K28" t="n">
        <v>-186</v>
      </c>
      <c r="L28" t="n">
        <v>-147</v>
      </c>
      <c r="M28" t="n">
        <v>-167</v>
      </c>
      <c r="N28" t="n">
        <v>-204</v>
      </c>
    </row>
    <row r="29">
      <c r="B29" t="inlineStr">
        <is>
          <t>Dividends paid</t>
        </is>
      </c>
      <c r="C29" s="73" t="n">
        <v>0</v>
      </c>
      <c r="D29" s="73" t="n">
        <v>0</v>
      </c>
      <c r="E29" s="73" t="n">
        <v>0</v>
      </c>
      <c r="F29" s="73" t="n">
        <v>0</v>
      </c>
      <c r="G29" s="73" t="n">
        <v>0</v>
      </c>
      <c r="H29" s="73" t="n">
        <v>0</v>
      </c>
      <c r="I29" s="73" t="n">
        <v>0</v>
      </c>
      <c r="J29" s="73" t="n">
        <v>-1359</v>
      </c>
      <c r="K29" s="73" t="n">
        <v>-1812</v>
      </c>
      <c r="L29" s="73" t="n">
        <v>-2719</v>
      </c>
      <c r="M29" s="73" t="n">
        <v>-3930</v>
      </c>
      <c r="N29" s="73" t="n">
        <v>-4244</v>
      </c>
    </row>
    <row r="30">
      <c r="B30" t="inlineStr">
        <is>
          <t>Financial liabilities</t>
        </is>
      </c>
      <c r="C30" t="n">
        <v>-1</v>
      </c>
      <c r="D30" t="n">
        <v>-8</v>
      </c>
      <c r="E30" t="n">
        <v>-11</v>
      </c>
      <c r="F30" t="n">
        <v>-14</v>
      </c>
      <c r="G30" t="n">
        <v>-14</v>
      </c>
      <c r="H30" t="n">
        <v>-14</v>
      </c>
      <c r="I30" t="n">
        <v>-16</v>
      </c>
      <c r="J30" t="n">
        <v>-8</v>
      </c>
      <c r="K30" t="n">
        <v>-47</v>
      </c>
      <c r="L30" t="n">
        <v>-13</v>
      </c>
      <c r="M30" t="n">
        <v>-25</v>
      </c>
      <c r="N30" t="n">
        <v>-36</v>
      </c>
    </row>
    <row r="31">
      <c r="B31" t="inlineStr">
        <is>
          <t>Other financing items</t>
        </is>
      </c>
      <c r="C31" t="n">
        <v>0</v>
      </c>
      <c r="D31" t="n">
        <v>-20</v>
      </c>
      <c r="E31" s="73" t="n">
        <v>0</v>
      </c>
      <c r="F31" s="73" t="n">
        <v>-341</v>
      </c>
      <c r="G31" s="73" t="n">
        <v>0</v>
      </c>
      <c r="H31" s="73" t="n">
        <v>-192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B32" t="inlineStr">
        <is>
          <t>Net Cash Flow</t>
        </is>
      </c>
      <c r="C32" t="n">
        <v>55</v>
      </c>
      <c r="D32" t="n">
        <v>-197</v>
      </c>
      <c r="E32" t="n">
        <v>-55</v>
      </c>
      <c r="F32" t="n">
        <v>-313</v>
      </c>
      <c r="G32" t="n">
        <v>-30</v>
      </c>
      <c r="H32" t="n">
        <v>-2</v>
      </c>
      <c r="I32" t="n">
        <v>100</v>
      </c>
      <c r="J32" t="n">
        <v>-6</v>
      </c>
      <c r="K32" t="n">
        <v>780</v>
      </c>
      <c r="L32" t="n">
        <v>874</v>
      </c>
      <c r="M32" t="n">
        <v>-2475</v>
      </c>
      <c r="N32" t="n">
        <v>-118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76" min="1" max="1"/>
    <col width="30.33203125" customWidth="1" style="176" min="2" max="2"/>
    <col width="12.109375" bestFit="1" customWidth="1" style="176" min="3" max="3"/>
    <col width="10.44140625" bestFit="1" customWidth="1" style="176" min="4" max="12"/>
  </cols>
  <sheetData>
    <row r="2">
      <c r="B2" s="177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  <c r="M16">
        <f>'Data Sheet'!L23</f>
        <v/>
      </c>
      <c r="N16">
        <f>'Data Sheet'!M23</f>
        <v/>
      </c>
      <c r="O16">
        <f>'Data Sheet'!N23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95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95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95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95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95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95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95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95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95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  <c r="M60" s="195">
        <f>'Data Sheet'!L74</f>
        <v/>
      </c>
      <c r="N60" s="195">
        <f>'Data Sheet'!M74</f>
        <v/>
      </c>
      <c r="O60" s="195">
        <f>'Data Sheet'!N74</f>
        <v/>
      </c>
    </row>
    <row r="61">
      <c r="B61" s="195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95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95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95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95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95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95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76" min="1" max="1"/>
    <col width="28.6640625" customWidth="1" style="176" min="2" max="2"/>
    <col width="10" bestFit="1" customWidth="1" style="176" min="3" max="5"/>
    <col width="10" bestFit="1" customWidth="1" style="176" min="14" max="14"/>
  </cols>
  <sheetData>
    <row r="2">
      <c r="B2" s="177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FS'!C25/'Historical FS'!C7,0)</f>
        <v/>
      </c>
      <c r="D13" s="36">
        <f>IFERROR('Historical FS'!D25/'Historical FS'!D7,0)</f>
        <v/>
      </c>
      <c r="E13" s="36">
        <f>IFERROR('Historical FS'!E25/'Historical FS'!E7,0)</f>
        <v/>
      </c>
      <c r="F13" s="36">
        <f>IFERROR('Historical FS'!F25/'Historical FS'!F7,0)</f>
        <v/>
      </c>
      <c r="G13" s="36">
        <f>IFERROR('Historical FS'!G25/'Historical FS'!G7,0)</f>
        <v/>
      </c>
      <c r="H13" s="36">
        <f>IFERROR('Historical FS'!H25/'Historical FS'!H7,0)</f>
        <v/>
      </c>
      <c r="I13" s="36">
        <f>IFERROR('Historical FS'!I25/'Historical FS'!I7,0)</f>
        <v/>
      </c>
      <c r="J13" s="36">
        <f>IFERROR('Historical FS'!J25/'Historical FS'!J7,0)</f>
        <v/>
      </c>
      <c r="K13" s="36">
        <f>IFERROR('Historical FS'!K25/'Historical FS'!K7,0)</f>
        <v/>
      </c>
      <c r="L13" s="36">
        <f>IFERROR('Historical FS'!L25/'Historical FS'!L7,0)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76" min="1" max="1"/>
    <col width="11.109375" bestFit="1" customWidth="1" style="176" min="2" max="2"/>
    <col width="9.6640625" bestFit="1" customWidth="1" style="176" min="3" max="3"/>
    <col width="12" customWidth="1" style="176" min="4" max="4"/>
    <col width="13.21875" customWidth="1" style="176" min="5" max="5"/>
    <col width="2" customWidth="1" style="176" min="6" max="6"/>
    <col width="11.21875" customWidth="1" style="176" min="7" max="7"/>
    <col width="12.109375" customWidth="1" style="176" min="9" max="9"/>
    <col width="12.44140625" customWidth="1" style="176" min="10" max="10"/>
    <col width="2" customWidth="1" style="176" min="11" max="11"/>
    <col width="12.33203125" customWidth="1" style="176" min="12" max="12"/>
    <col width="9.6640625" bestFit="1" customWidth="1" style="176" min="13" max="13"/>
    <col width="10.33203125" customWidth="1" style="176" min="14" max="14"/>
    <col width="15" customWidth="1" style="176" min="15" max="15"/>
  </cols>
  <sheetData>
    <row r="2">
      <c r="B2" s="180">
        <f>'Data Sheet'!$B$1&amp;" -"&amp;'Data Sheet'!A17&amp;" Forecasting"</f>
        <v/>
      </c>
      <c r="G2" s="180">
        <f>'Data Sheet'!$B$1&amp;" -"&amp;'Historical FS'!B19&amp;" Forecasting"</f>
        <v/>
      </c>
      <c r="L2" s="180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80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43525</v>
      </c>
      <c r="D6" s="107" t="n">
        <v>86068</v>
      </c>
      <c r="E6" s="36">
        <f>D6/D5-1</f>
        <v/>
      </c>
      <c r="G6">
        <f>G5+1</f>
        <v/>
      </c>
      <c r="H6" s="54" t="n">
        <v>43525</v>
      </c>
      <c r="I6" s="107" t="n">
        <v>21517</v>
      </c>
      <c r="J6" s="36">
        <f>I6/I5-1</f>
        <v/>
      </c>
      <c r="L6">
        <f>L5+1</f>
        <v/>
      </c>
      <c r="M6" s="54" t="n">
        <v>43525</v>
      </c>
      <c r="N6" s="107" t="n">
        <v>7796</v>
      </c>
      <c r="O6" s="36">
        <f>N6/N5-1</f>
        <v/>
      </c>
    </row>
    <row r="7">
      <c r="B7">
        <f>B6+1</f>
        <v/>
      </c>
      <c r="C7" s="54" t="n">
        <v>43891</v>
      </c>
      <c r="D7" s="107" t="n">
        <v>75660</v>
      </c>
      <c r="E7" s="36">
        <f>D7/D6-1</f>
        <v/>
      </c>
      <c r="G7">
        <f>G6+1</f>
        <v/>
      </c>
      <c r="H7" s="54" t="n">
        <v>43891</v>
      </c>
      <c r="I7" s="107" t="n">
        <v>18158.4</v>
      </c>
      <c r="J7" s="36">
        <f>I7/I6-1</f>
        <v/>
      </c>
      <c r="L7">
        <f>L6+1</f>
        <v/>
      </c>
      <c r="M7" s="54" t="n">
        <v>43891</v>
      </c>
      <c r="N7" s="107" t="n">
        <v>7393.400000000001</v>
      </c>
      <c r="O7" s="36">
        <f>N7/N6-1</f>
        <v/>
      </c>
    </row>
    <row r="8">
      <c r="B8">
        <f>B7+1</f>
        <v/>
      </c>
      <c r="C8" s="54" t="n">
        <v>44256</v>
      </c>
      <c r="D8" s="107" t="n">
        <v>70372</v>
      </c>
      <c r="E8" s="36">
        <f>D8/D7-1</f>
        <v/>
      </c>
      <c r="G8">
        <f>G7+1</f>
        <v/>
      </c>
      <c r="H8" s="54" t="n">
        <v>44256</v>
      </c>
      <c r="I8" s="107" t="n">
        <v>14778.12</v>
      </c>
      <c r="J8" s="36">
        <f>I8/I7-1</f>
        <v/>
      </c>
      <c r="L8">
        <f>L7+1</f>
        <v/>
      </c>
      <c r="M8" s="54" t="n">
        <v>44256</v>
      </c>
      <c r="N8" s="107" t="n">
        <v>6321.120000000003</v>
      </c>
      <c r="O8" s="36">
        <f>N8/N7-1</f>
        <v/>
      </c>
    </row>
    <row r="9">
      <c r="B9">
        <f>B8+1</f>
        <v/>
      </c>
      <c r="C9" s="54" t="n">
        <v>44621</v>
      </c>
      <c r="D9" s="107" t="n">
        <v>88330</v>
      </c>
      <c r="E9" s="36">
        <f>D9/D8-1</f>
        <v/>
      </c>
      <c r="G9">
        <f>G8+1</f>
        <v/>
      </c>
      <c r="H9" s="54" t="n">
        <v>44621</v>
      </c>
      <c r="I9" s="107" t="n">
        <v>15899.39999999999</v>
      </c>
      <c r="J9" s="36">
        <f>I9/I8-1</f>
        <v/>
      </c>
      <c r="L9">
        <f>L8+1</f>
        <v/>
      </c>
      <c r="M9" s="54" t="n">
        <v>44621</v>
      </c>
      <c r="N9" s="107" t="n">
        <v>8286.399999999994</v>
      </c>
      <c r="O9" s="36">
        <f>N9/N8-1</f>
        <v/>
      </c>
    </row>
    <row r="10">
      <c r="B10">
        <f>B9+1</f>
        <v/>
      </c>
      <c r="C10" s="54" t="n">
        <v>44986</v>
      </c>
      <c r="D10" s="107" t="n">
        <v>118410</v>
      </c>
      <c r="E10" s="36">
        <f>D10/D9-1</f>
        <v/>
      </c>
      <c r="G10">
        <f>G9+1</f>
        <v/>
      </c>
      <c r="H10" s="54" t="n">
        <v>44986</v>
      </c>
      <c r="I10" s="107" t="n">
        <v>26050.20000000001</v>
      </c>
      <c r="J10" s="36">
        <f>I10/I9-1</f>
        <v/>
      </c>
      <c r="L10">
        <f>L9+1</f>
        <v/>
      </c>
      <c r="M10" s="54" t="n">
        <v>44986</v>
      </c>
      <c r="N10" s="107" t="n">
        <v>10514.20000000001</v>
      </c>
      <c r="O10" s="36">
        <f>N10/N9-1</f>
        <v/>
      </c>
    </row>
    <row r="11">
      <c r="B11">
        <f>B10+1</f>
        <v/>
      </c>
      <c r="C11" s="54" t="n">
        <v>45352</v>
      </c>
      <c r="D11" s="107" t="n">
        <v>141858</v>
      </c>
      <c r="E11" s="36">
        <f>D11/D10-1</f>
        <v/>
      </c>
      <c r="G11">
        <f>G10+1</f>
        <v/>
      </c>
      <c r="H11" s="54" t="n">
        <v>45352</v>
      </c>
      <c r="I11" s="107" t="n">
        <v>34045.91999999998</v>
      </c>
      <c r="J11" s="36">
        <f>I11/I10-1</f>
        <v/>
      </c>
      <c r="L11">
        <f>L10+1</f>
        <v/>
      </c>
      <c r="M11" s="54" t="n">
        <v>45352</v>
      </c>
      <c r="N11" s="107" t="n">
        <v>11171.91999999998</v>
      </c>
      <c r="O11" s="36">
        <f>N11/N10-1</f>
        <v/>
      </c>
    </row>
    <row r="12">
      <c r="B12">
        <f>B11+1</f>
        <v/>
      </c>
      <c r="C12" s="54" t="n">
        <v>45717</v>
      </c>
      <c r="D12" s="107" t="n">
        <v>152913</v>
      </c>
      <c r="E12" s="36">
        <f>D12/D11-1</f>
        <v/>
      </c>
      <c r="G12">
        <f>G11+1</f>
        <v/>
      </c>
      <c r="H12" s="54" t="n">
        <v>45717</v>
      </c>
      <c r="I12" s="107" t="n">
        <v>35169.99000000001</v>
      </c>
      <c r="J12" s="36">
        <f>I12/I11-1</f>
        <v/>
      </c>
      <c r="L12">
        <f>L11+1</f>
        <v/>
      </c>
      <c r="M12" s="54" t="n">
        <v>45717</v>
      </c>
      <c r="N12" s="107" t="n">
        <v>9747.990000000005</v>
      </c>
      <c r="O12" s="36">
        <f>N12/N11-1</f>
        <v/>
      </c>
    </row>
    <row r="13">
      <c r="B13">
        <f>B12+1</f>
        <v/>
      </c>
      <c r="C13" s="54" t="n">
        <v>46082</v>
      </c>
      <c r="D13" s="107" t="n">
        <v>183316</v>
      </c>
      <c r="E13" s="36">
        <f>D13/D12-1</f>
        <v/>
      </c>
      <c r="G13">
        <f>G12+1</f>
        <v/>
      </c>
      <c r="H13" s="54" t="n">
        <v>46082</v>
      </c>
      <c r="I13" s="107" t="n">
        <v>38496.36000000002</v>
      </c>
      <c r="J13" s="36">
        <f>I13/I12-1</f>
        <v/>
      </c>
      <c r="L13">
        <f>L12+1</f>
        <v/>
      </c>
      <c r="M13" s="54" t="n">
        <v>46082</v>
      </c>
      <c r="N13" s="107" t="n">
        <v>12397.36000000002</v>
      </c>
      <c r="O13" s="36">
        <f>N13/N12-1</f>
        <v/>
      </c>
    </row>
    <row r="14">
      <c r="B14">
        <f>B13+1</f>
        <v/>
      </c>
      <c r="C14" s="54">
        <f>'Data Sheet'!K16</f>
        <v/>
      </c>
      <c r="D14" s="107" t="n">
        <v>197181</v>
      </c>
      <c r="E14" s="36">
        <f>D14/D13-1</f>
        <v/>
      </c>
      <c r="G14">
        <f>G13+1</f>
        <v/>
      </c>
      <c r="H14" s="54">
        <f>'Data Sheet'!K16</f>
        <v/>
      </c>
      <c r="I14" s="107" t="n">
        <v>197181</v>
      </c>
      <c r="J14" s="36">
        <f>I14/I13-1</f>
        <v/>
      </c>
      <c r="L14">
        <f>L13+1</f>
        <v/>
      </c>
      <c r="M14" s="54">
        <f>'Data Sheet'!K16</f>
        <v/>
      </c>
      <c r="N14" s="107" t="n">
        <v>171344</v>
      </c>
      <c r="O14" s="36">
        <f>N14/N13-1</f>
        <v/>
      </c>
    </row>
    <row r="15">
      <c r="B15">
        <f>B14+1</f>
        <v/>
      </c>
      <c r="C15" s="55">
        <f>IFERROR(DATE(YEAR(C14)+1, MONTH(C14), DAY(C14)), C14+365)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IFERROR(DATE(YEAR(H14)+1, MONTH(H14), DAY(H14)), H14+365)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IFERROR(DATE(YEAR(M14)+1, MONTH(M14), DAY(M14)), M14+365)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IFERROR(DATE(YEAR(C15)+1, MONTH(C15), DAY(C15)), C15+365)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IFERROR(DATE(YEAR(H15)+1, MONTH(H15), DAY(H15)), H15+365)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IFERROR(DATE(YEAR(M15)+1, MONTH(M15), DAY(M15)), M15+365)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IFERROR(DATE(YEAR(C16)+1, MONTH(C16), DAY(C16)), C16+365)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IFERROR(DATE(YEAR(H16)+1, MONTH(H16), DAY(H16)), H16+365)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IFERROR(DATE(YEAR(M16)+1, MONTH(M16), DAY(M16)), M16+365)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IFERROR(DATE(YEAR(C17)+1, MONTH(C17), DAY(C17)), C17+365)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IFERROR(DATE(YEAR(H17)+1, MONTH(H17), DAY(H17)), H17+365)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IFERROR(DATE(YEAR(M17)+1, MONTH(M17), DAY(M17)), M17+365)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IFERROR(DATE(YEAR(C18)+1, MONTH(C18), DAY(C18)), C18+365)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IFERROR(DATE(YEAR(H18)+1, MONTH(H18), DAY(H18)), H18+365)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IFERROR(DATE(YEAR(M18)+1, MONTH(M18), DAY(M18)), M18+365)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76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76" min="1" max="1"/>
    <col width="11.5546875" customWidth="1" style="176" min="2" max="2"/>
    <col width="11.6640625" bestFit="1" customWidth="1" style="176" min="3" max="3"/>
    <col width="14.21875" customWidth="1" style="176" min="4" max="4"/>
    <col width="11.33203125" customWidth="1" style="176" min="6" max="6"/>
    <col width="12.33203125" customWidth="1" style="176" min="7" max="7"/>
    <col width="13.44140625" customWidth="1" style="176" min="8" max="8"/>
    <col width="13.6640625" customWidth="1" style="176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77" t="inlineStr">
        <is>
          <t>Nifty 50 Daily Returns</t>
        </is>
      </c>
      <c r="J7" s="177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80" t="inlineStr">
        <is>
          <t>-</t>
        </is>
      </c>
      <c r="F10" s="34">
        <f>'Raw Data'!G6</f>
        <v/>
      </c>
      <c r="G10">
        <f>'Raw Data'!J6</f>
        <v/>
      </c>
      <c r="H10" s="180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 s="161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 s="161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 s="161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 s="161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76" min="1" max="1"/>
    <col width="19.33203125" customWidth="1" style="176" min="2" max="2"/>
    <col width="12.44140625" customWidth="1" style="176" min="3" max="3"/>
    <col width="10.77734375" customWidth="1" style="176" min="4" max="4"/>
    <col width="10.109375" bestFit="1" customWidth="1" style="176" min="5" max="5"/>
    <col width="11.88671875" bestFit="1" customWidth="1" style="176" min="6" max="6"/>
    <col width="10" customWidth="1" style="176" min="10" max="10"/>
    <col width="10.88671875" customWidth="1" style="176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76"/>
    <row r="10">
      <c r="B10" t="inlineStr">
        <is>
          <t>Peer Comps</t>
        </is>
      </c>
    </row>
    <row r="11">
      <c r="B11" s="57" t="n"/>
      <c r="C11" s="57" t="n"/>
      <c r="D11" s="57" t="n"/>
      <c r="E11" s="199" t="inlineStr">
        <is>
          <t>Total Debt</t>
        </is>
      </c>
      <c r="F11" s="199" t="inlineStr">
        <is>
          <t>Total Equity</t>
        </is>
      </c>
      <c r="G11" s="57" t="n"/>
      <c r="H11" s="199" t="inlineStr">
        <is>
          <t>Debt /Equity</t>
        </is>
      </c>
      <c r="I11" s="199" t="inlineStr">
        <is>
          <t>Debt /Capital</t>
        </is>
      </c>
      <c r="J11" s="199" t="inlineStr">
        <is>
          <t>Levered Beta</t>
        </is>
      </c>
      <c r="K11" s="199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82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0.95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1.06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0.95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0.98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1.22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0.068</v>
      </c>
    </row>
    <row r="27">
      <c r="B27" t="inlineStr">
        <is>
          <t>Tax Rate</t>
        </is>
      </c>
      <c r="E27" s="46" t="n">
        <v>0.3</v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'Data Sheet'!K59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'Data Sheet'!K61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76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4"/>
  <sheetViews>
    <sheetView showGridLines="0" workbookViewId="0">
      <selection activeCell="H49" sqref="H49"/>
    </sheetView>
  </sheetViews>
  <sheetFormatPr baseColWidth="8" defaultRowHeight="14.4"/>
  <cols>
    <col width="1.88671875" customWidth="1" style="176" min="1" max="1"/>
    <col width="14" customWidth="1" style="176" min="2" max="2"/>
    <col width="10.44140625" bestFit="1" customWidth="1" style="176" min="8" max="8"/>
    <col width="11.44140625" customWidth="1" style="176" min="9" max="9"/>
    <col width="10.44140625" bestFit="1" customWidth="1" style="176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76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76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76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76" thickBot="1"/>
    <row r="21" ht="15" customHeight="1" s="176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76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76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76" thickBot="1"/>
    <row r="40" ht="15" customHeight="1" s="176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80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76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76"/>
    <row r="62" ht="15" customHeight="1" s="176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  <row r="67">
      <c r="B67" t="inlineStr">
        <is>
          <t>Normalized ROIC (Sustainable)</t>
        </is>
      </c>
      <c r="L67" s="46">
        <f>IFERROR(MEDIAN(I40:L40), 0.12)</f>
        <v/>
      </c>
    </row>
    <row r="68">
      <c r="B68" t="inlineStr">
        <is>
          <t>Expected Growth Rate</t>
        </is>
      </c>
      <c r="L68" s="46" t="n">
        <v>0.1506</v>
      </c>
    </row>
    <row r="69">
      <c r="B69" t="inlineStr">
        <is>
          <t>Fundamental Reinvestment Rate</t>
        </is>
      </c>
      <c r="L69" s="46">
        <f>IF(L67&lt;=0, L55, L68/L67)</f>
        <v/>
      </c>
    </row>
    <row r="70">
      <c r="B70" t="inlineStr">
        <is>
          <t>Sustainable Terminal ROIC</t>
        </is>
      </c>
      <c r="L70" s="46">
        <f>MIN(0.18, MAX(0.06, 0.5*L67 + 0.5*DCF!D20))</f>
        <v/>
      </c>
    </row>
    <row r="71">
      <c r="B71" t="inlineStr">
        <is>
          <t>Terminal Reinvestment Rate</t>
        </is>
      </c>
      <c r="L71" s="46">
        <f>DCF!D19/L70</f>
        <v/>
      </c>
    </row>
    <row r="72">
      <c r="B72" t="inlineStr">
        <is>
          <t>Growth-ROIC Consistency Check</t>
        </is>
      </c>
      <c r="L72">
        <f>IF(ABS(L69*L67 - L68) &lt;= 0.005, "PASS", "WARNING")</f>
        <v/>
      </c>
    </row>
    <row r="73">
      <c r="B73" t="inlineStr">
        <is>
          <t>Growth Source</t>
        </is>
      </c>
      <c r="L73" t="inlineStr">
        <is>
          <t>Historical Normalized</t>
        </is>
      </c>
    </row>
    <row r="74">
      <c r="B74" t="inlineStr">
        <is>
          <t>Reinvestment Confidence</t>
        </is>
      </c>
      <c r="L74" t="inlineStr">
        <is>
          <t>LOW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6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76" min="1" max="1"/>
    <col width="21.109375" customWidth="1" style="176" min="2" max="2"/>
    <col width="13.21875" customWidth="1" style="176" min="4" max="4"/>
    <col width="10.44140625" bestFit="1" customWidth="1" style="176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76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Valuation'!$L$69</f>
        <v/>
      </c>
      <c r="I11" s="81">
        <f>'Intrinsic Valuation'!$L$69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>D21</f>
        <v/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76"/>
    <row r="16" ht="15" customHeight="1" s="176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>
        <f>'Intrinsic Valuation'!$L$68</f>
        <v/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'Intrinsic Valuation'!$L$71</f>
        <v/>
      </c>
    </row>
    <row r="22"/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76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</t>
        </is>
      </c>
      <c r="D37" s="107">
        <f>'Data Sheet'!K85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205" t="inlineStr">
        <is>
          <t>Less: Minority Interest</t>
        </is>
      </c>
      <c r="D39" s="107">
        <f>'Data Sheet'!K73</f>
        <v/>
      </c>
    </row>
    <row r="40">
      <c r="B40" s="37" t="inlineStr">
        <is>
          <t>Equity Value</t>
        </is>
      </c>
      <c r="C40" s="37" t="n"/>
      <c r="D40" s="129">
        <f>D35+D37-D38-D39</f>
        <v/>
      </c>
    </row>
    <row r="41">
      <c r="B41" t="inlineStr">
        <is>
          <t>No. of Shares</t>
        </is>
      </c>
      <c r="D41">
        <f>B6</f>
        <v/>
      </c>
    </row>
    <row r="42" ht="15" customHeight="1" s="176" thickBot="1"/>
    <row r="43">
      <c r="B43" s="127" t="inlineStr">
        <is>
          <t>Equity Value per Share</t>
        </is>
      </c>
      <c r="C43" s="127" t="n"/>
      <c r="D43" s="128">
        <f>D40/D41</f>
        <v/>
      </c>
    </row>
    <row r="44"/>
    <row r="45">
      <c r="B45" t="inlineStr">
        <is>
          <t>Share Price</t>
        </is>
      </c>
      <c r="D45" s="107">
        <f>'Data Sheet'!B8</f>
        <v/>
      </c>
    </row>
    <row r="46">
      <c r="B46" t="inlineStr">
        <is>
          <t>Margin of Safety / (Discount)</t>
        </is>
      </c>
      <c r="D46" s="202">
        <f>D45/D43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76" min="1" max="1"/>
    <col width="9.88671875" bestFit="1" customWidth="1" style="176" min="7" max="7"/>
    <col width="12.33203125" bestFit="1" customWidth="1" style="176" min="14" max="14"/>
    <col width="14.6640625" bestFit="1" customWidth="1" style="176" min="15" max="15"/>
    <col width="13.21875" bestFit="1" customWidth="1" style="176" min="18" max="18"/>
    <col width="13.6640625" bestFit="1" customWidth="1" style="176" min="20" max="20"/>
    <col width="10.77734375" bestFit="1" customWidth="1" style="176" min="23" max="23"/>
    <col width="12.6640625" bestFit="1" customWidth="1" style="176" min="24" max="24"/>
  </cols>
  <sheetData>
    <row r="6">
      <c r="B6" t="n">
        <v>2025</v>
      </c>
      <c r="C6" s="46" t="n">
        <v>0.1051</v>
      </c>
      <c r="G6" s="34" t="inlineStr">
        <is>
          <t>2026-09-25</t>
        </is>
      </c>
      <c r="H6" t="n">
        <v>83.14</v>
      </c>
      <c r="J6" t="n">
        <v>23140.5</v>
      </c>
    </row>
    <row r="7">
      <c r="B7" t="n">
        <v>2024</v>
      </c>
      <c r="C7" s="46" t="n">
        <v>0.08749999999999999</v>
      </c>
      <c r="G7" s="34" t="inlineStr">
        <is>
          <t>2026-09-24</t>
        </is>
      </c>
      <c r="H7" t="n">
        <v>82.95999999999999</v>
      </c>
      <c r="J7" t="n">
        <v>23063.1</v>
      </c>
    </row>
    <row r="8">
      <c r="B8" t="n">
        <v>2023</v>
      </c>
      <c r="C8" s="46" t="n">
        <v>0.1942</v>
      </c>
      <c r="G8" s="34" t="inlineStr">
        <is>
          <t>2026-09-23</t>
        </is>
      </c>
      <c r="H8" t="n">
        <v>83.52</v>
      </c>
      <c r="J8" t="n">
        <v>23446.8</v>
      </c>
    </row>
    <row r="9">
      <c r="B9" t="n">
        <v>2022</v>
      </c>
      <c r="C9" s="46" t="n">
        <v>0.0432</v>
      </c>
      <c r="G9" s="34" t="inlineStr">
        <is>
          <t>2026-09-22</t>
        </is>
      </c>
      <c r="H9" t="n">
        <v>83.12</v>
      </c>
      <c r="J9" t="n">
        <v>23329</v>
      </c>
    </row>
    <row r="10">
      <c r="B10" t="n">
        <v>2021</v>
      </c>
      <c r="C10" s="46" t="n">
        <v>0.2412</v>
      </c>
      <c r="G10" s="34" t="inlineStr">
        <is>
          <t>2026-09-21</t>
        </is>
      </c>
      <c r="H10" t="n">
        <v>83.98</v>
      </c>
      <c r="J10" t="n">
        <v>23414.3</v>
      </c>
    </row>
    <row r="11">
      <c r="B11" t="n">
        <v>2020</v>
      </c>
      <c r="C11" s="46" t="n">
        <v>0.149</v>
      </c>
      <c r="G11" s="34" t="inlineStr">
        <is>
          <t>2026-09-18</t>
        </is>
      </c>
      <c r="H11" t="n">
        <v>85.58</v>
      </c>
      <c r="J11" t="n">
        <v>23346.4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2026-09-17</t>
        </is>
      </c>
      <c r="H12" t="n">
        <v>82.7</v>
      </c>
      <c r="J12" t="n">
        <v>23270.6</v>
      </c>
      <c r="N12" t="n">
        <v>1</v>
      </c>
      <c r="O12" t="inlineStr">
        <is>
          <t>Piramal Finance.</t>
        </is>
      </c>
      <c r="P12" t="n">
        <v>2142.7</v>
      </c>
      <c r="Q12" t="n">
        <v>23.663</v>
      </c>
      <c r="R12" t="n">
        <v>50702.8</v>
      </c>
      <c r="S12" t="n">
        <v>12675.7</v>
      </c>
      <c r="T12" t="n">
        <v>2535.1</v>
      </c>
      <c r="U12" t="n">
        <v>60843.3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inlineStr">
        <is>
          <t>2026-09-16</t>
        </is>
      </c>
      <c r="H13" t="n">
        <v>82.95999999999999</v>
      </c>
      <c r="J13" t="n">
        <v>23217.6</v>
      </c>
      <c r="N13" t="n">
        <v>2</v>
      </c>
      <c r="O13" t="inlineStr">
        <is>
          <t>L&amp;T Finance Ltd</t>
        </is>
      </c>
      <c r="P13" t="n">
        <v>284</v>
      </c>
      <c r="Q13" t="n">
        <v>250.6352</v>
      </c>
      <c r="R13" t="n">
        <v>71180.39999999999</v>
      </c>
      <c r="S13" t="n">
        <v>17795.1</v>
      </c>
      <c r="T13" t="n">
        <v>3559</v>
      </c>
      <c r="U13" t="n">
        <v>85416.5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inlineStr">
        <is>
          <t>2026-09-15</t>
        </is>
      </c>
      <c r="H14" t="n">
        <v>84</v>
      </c>
      <c r="J14" t="n">
        <v>23118.6</v>
      </c>
      <c r="N14" t="n">
        <v>3</v>
      </c>
      <c r="O14" t="inlineStr">
        <is>
          <t>Sundaram Finance</t>
        </is>
      </c>
      <c r="P14" t="n">
        <v>4508</v>
      </c>
      <c r="Q14" t="n">
        <v>11.1104</v>
      </c>
      <c r="R14" t="n">
        <v>50085.6</v>
      </c>
      <c r="S14" t="n">
        <v>12521.4</v>
      </c>
      <c r="T14" t="n">
        <v>2504.3</v>
      </c>
      <c r="U14" t="n">
        <v>60102.7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inlineStr">
        <is>
          <t>2026-09-11</t>
        </is>
      </c>
      <c r="H15" t="n">
        <v>84.11</v>
      </c>
      <c r="J15" t="n">
        <v>23398.1</v>
      </c>
      <c r="N15" t="n">
        <v>4</v>
      </c>
      <c r="O15" t="inlineStr">
        <is>
          <t>Muthoot Finance</t>
        </is>
      </c>
      <c r="P15" t="n">
        <v>2835</v>
      </c>
      <c r="Q15" t="n">
        <v>40.1468</v>
      </c>
      <c r="R15" t="n">
        <v>113816.3</v>
      </c>
      <c r="S15" t="n">
        <v>28454.1</v>
      </c>
      <c r="T15" t="n">
        <v>5690.8</v>
      </c>
      <c r="U15" t="n">
        <v>136579.6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inlineStr">
        <is>
          <t>2026-09-10</t>
        </is>
      </c>
      <c r="H16" t="n">
        <v>84.22</v>
      </c>
      <c r="J16" t="n">
        <v>23477.8</v>
      </c>
      <c r="N16" t="n">
        <v>5</v>
      </c>
      <c r="O16" t="inlineStr">
        <is>
          <t>Shriram Finance</t>
        </is>
      </c>
      <c r="P16" t="n">
        <v>994.1</v>
      </c>
      <c r="Q16" t="n">
        <v>235.3045</v>
      </c>
      <c r="R16" t="n">
        <v>233916.2</v>
      </c>
      <c r="S16" t="n">
        <v>58479.1</v>
      </c>
      <c r="T16" t="n">
        <v>11695.8</v>
      </c>
      <c r="U16" t="n">
        <v>280699.5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inlineStr">
        <is>
          <t>2026-09-09</t>
        </is>
      </c>
      <c r="H17" t="n">
        <v>82.92</v>
      </c>
      <c r="J17" t="n">
        <v>23431.5</v>
      </c>
      <c r="N17" t="n">
        <v>6</v>
      </c>
      <c r="O17" t="inlineStr">
        <is>
          <t>Aadhar Hsg. Fin.</t>
        </is>
      </c>
      <c r="P17" t="n">
        <v>444.5</v>
      </c>
      <c r="Q17" t="n">
        <v>43.8394</v>
      </c>
      <c r="R17" t="n">
        <v>19486.6</v>
      </c>
      <c r="S17" t="n">
        <v>4871.6</v>
      </c>
      <c r="T17" t="n">
        <v>974.3</v>
      </c>
      <c r="U17" t="n">
        <v>23383.9</v>
      </c>
    </row>
    <row r="18">
      <c r="B18" t="n">
        <v>2013</v>
      </c>
      <c r="C18" s="46" t="n">
        <v>0.06759999999999999</v>
      </c>
      <c r="G18" s="34" t="inlineStr">
        <is>
          <t>2026-09-08</t>
        </is>
      </c>
      <c r="H18" t="n">
        <v>84.01000000000001</v>
      </c>
      <c r="J18" t="n">
        <v>23635.1</v>
      </c>
      <c r="N18" t="n">
        <v>7</v>
      </c>
      <c r="O18" t="inlineStr">
        <is>
          <t>Sammaan Capital</t>
        </is>
      </c>
      <c r="P18" t="n">
        <v>140.61</v>
      </c>
      <c r="Q18" t="n">
        <v>116.1546</v>
      </c>
      <c r="R18" t="n">
        <v>16332.5</v>
      </c>
      <c r="S18" t="n">
        <v>4083.1</v>
      </c>
      <c r="T18" t="n">
        <v>816.6</v>
      </c>
      <c r="U18" t="n">
        <v>19599</v>
      </c>
    </row>
    <row r="19">
      <c r="B19" t="n">
        <v>2012</v>
      </c>
      <c r="C19" s="46" t="n">
        <v>0.277</v>
      </c>
      <c r="G19" s="34" t="inlineStr">
        <is>
          <t>2026-09-07</t>
        </is>
      </c>
      <c r="H19" t="n">
        <v>84.04000000000001</v>
      </c>
      <c r="J19" t="n">
        <v>23779.15</v>
      </c>
      <c r="N19" t="n">
        <v>8</v>
      </c>
      <c r="O19" t="inlineStr">
        <is>
          <t>Bosch</t>
        </is>
      </c>
      <c r="P19" t="n">
        <v>47000</v>
      </c>
      <c r="Q19" t="n">
        <v>2.95</v>
      </c>
      <c r="R19" t="n">
        <v>138631.67</v>
      </c>
      <c r="S19" t="n">
        <v>34657.92</v>
      </c>
      <c r="T19" t="n">
        <v>6931.58</v>
      </c>
      <c r="U19" t="n">
        <v>166358.01</v>
      </c>
    </row>
    <row r="20">
      <c r="B20" t="n">
        <v>2011</v>
      </c>
      <c r="C20" s="46" t="n">
        <v>-0.2462</v>
      </c>
      <c r="G20" s="34" t="inlineStr">
        <is>
          <t>2026-09-04</t>
        </is>
      </c>
      <c r="H20" t="n">
        <v>83.08</v>
      </c>
      <c r="J20" t="n">
        <v>23897.7</v>
      </c>
      <c r="N20" t="n">
        <v>9</v>
      </c>
      <c r="O20" t="inlineStr">
        <is>
          <t>Tata Motors PVeh</t>
        </is>
      </c>
      <c r="P20" t="n">
        <v>303.8</v>
      </c>
      <c r="Q20" t="n">
        <v>368.29</v>
      </c>
      <c r="R20" t="n">
        <v>111886.25</v>
      </c>
      <c r="S20" t="n">
        <v>27971.56</v>
      </c>
      <c r="T20" t="n">
        <v>5594.31</v>
      </c>
      <c r="U20" t="n">
        <v>134263.5</v>
      </c>
    </row>
    <row r="21">
      <c r="B21" t="n">
        <v>2010</v>
      </c>
      <c r="C21" s="46" t="n">
        <v>0.1795</v>
      </c>
      <c r="G21" s="34" t="inlineStr">
        <is>
          <t>2026-09-03</t>
        </is>
      </c>
      <c r="H21" t="n">
        <v>82.95</v>
      </c>
      <c r="J21" t="n">
        <v>23873.45</v>
      </c>
      <c r="N21" t="n">
        <v>10</v>
      </c>
      <c r="O21" t="inlineStr">
        <is>
          <t>Hero Motocorp</t>
        </is>
      </c>
      <c r="P21" t="n">
        <v>5285.5</v>
      </c>
      <c r="Q21" t="n">
        <v>20.01</v>
      </c>
      <c r="R21" t="n">
        <v>105784.63</v>
      </c>
      <c r="S21" t="n">
        <v>26446.16</v>
      </c>
      <c r="T21" t="n">
        <v>5289.23</v>
      </c>
      <c r="U21" t="n">
        <v>126941.56</v>
      </c>
    </row>
    <row r="22">
      <c r="B22" t="n">
        <v>2009</v>
      </c>
      <c r="C22" s="46" t="n">
        <v>0.7576000000000001</v>
      </c>
      <c r="G22" s="34" t="inlineStr">
        <is>
          <t>2026-09-02</t>
        </is>
      </c>
      <c r="H22" t="n">
        <v>82.78</v>
      </c>
      <c r="J22" t="n">
        <v>23914.45</v>
      </c>
    </row>
    <row r="23">
      <c r="B23" t="n">
        <v>2008</v>
      </c>
      <c r="C23" s="46" t="n">
        <v>-0.5179</v>
      </c>
      <c r="G23" s="34" t="inlineStr">
        <is>
          <t>2026-09-01</t>
        </is>
      </c>
      <c r="H23" t="n">
        <v>82.84999999999999</v>
      </c>
      <c r="J23" t="n">
        <v>24055.8</v>
      </c>
    </row>
    <row r="24">
      <c r="B24" t="n">
        <v>2007</v>
      </c>
      <c r="C24" s="46" t="n">
        <v>0.5477</v>
      </c>
      <c r="G24" s="34" t="inlineStr">
        <is>
          <t>2026-08-31</t>
        </is>
      </c>
      <c r="H24" t="n">
        <v>84.02</v>
      </c>
      <c r="J24" t="n">
        <v>24080.4</v>
      </c>
      <c r="O24" t="inlineStr">
        <is>
          <t>Piramal Finance.</t>
        </is>
      </c>
      <c r="Q24" t="inlineStr">
        <is>
          <t>India</t>
        </is>
      </c>
      <c r="R24" t="n">
        <v>12675.7</v>
      </c>
      <c r="S24" t="n">
        <v>50702.8</v>
      </c>
      <c r="T24" s="46" t="n">
        <v>0.3</v>
      </c>
    </row>
    <row r="25">
      <c r="B25" t="n">
        <v>2006</v>
      </c>
      <c r="C25" s="46" t="n">
        <v>0.3983</v>
      </c>
      <c r="G25" s="34" t="inlineStr">
        <is>
          <t>2026-08-28</t>
        </is>
      </c>
      <c r="H25" t="n">
        <v>85</v>
      </c>
      <c r="J25" t="n">
        <v>24175.65</v>
      </c>
      <c r="O25" t="inlineStr">
        <is>
          <t>L&amp;T Finance Ltd</t>
        </is>
      </c>
      <c r="Q25">
        <f>Q24</f>
        <v/>
      </c>
      <c r="R25" t="n">
        <v>17795.1</v>
      </c>
      <c r="S25" t="n">
        <v>71180.39999999999</v>
      </c>
      <c r="T25" s="46">
        <f>T24</f>
        <v/>
      </c>
    </row>
    <row r="26">
      <c r="B26" t="n">
        <v>2005</v>
      </c>
      <c r="C26" s="46" t="n">
        <v>0.3634</v>
      </c>
      <c r="G26" s="34" t="inlineStr">
        <is>
          <t>2026-08-27</t>
        </is>
      </c>
      <c r="H26" t="n">
        <v>85.29000000000001</v>
      </c>
      <c r="J26" t="n">
        <v>24090.85</v>
      </c>
      <c r="O26" t="inlineStr">
        <is>
          <t>Sundaram Finance</t>
        </is>
      </c>
      <c r="Q26">
        <f>Q25</f>
        <v/>
      </c>
      <c r="R26" t="n">
        <v>12521.4</v>
      </c>
      <c r="S26" t="n">
        <v>50085.6</v>
      </c>
      <c r="T26" s="46">
        <f>T25</f>
        <v/>
      </c>
    </row>
    <row r="27">
      <c r="B27" t="n">
        <v>2004</v>
      </c>
      <c r="C27" s="46" t="n">
        <v>0.1068</v>
      </c>
      <c r="G27" s="34" t="inlineStr">
        <is>
          <t>2026-08-26</t>
        </is>
      </c>
      <c r="H27" t="n">
        <v>84.06999999999999</v>
      </c>
      <c r="J27" t="n">
        <v>24207.75</v>
      </c>
      <c r="O27" t="inlineStr">
        <is>
          <t>Muthoot Finance</t>
        </is>
      </c>
      <c r="Q27">
        <f>Q26</f>
        <v/>
      </c>
      <c r="R27" t="n">
        <v>28454.1</v>
      </c>
      <c r="S27" t="n">
        <v>113816.3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2026-08-25</t>
        </is>
      </c>
      <c r="H28" t="n">
        <v>84.02</v>
      </c>
      <c r="J28" t="n">
        <v>24334.55</v>
      </c>
      <c r="O28" t="inlineStr">
        <is>
          <t>Shriram Finance</t>
        </is>
      </c>
      <c r="Q28">
        <f>Q27</f>
        <v/>
      </c>
      <c r="R28" t="n">
        <v>58479.1</v>
      </c>
      <c r="S28" t="n">
        <v>233916.2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2026-08-24</t>
        </is>
      </c>
      <c r="H29" t="n">
        <v>84.05</v>
      </c>
      <c r="J29" t="n">
        <v>24219.05</v>
      </c>
    </row>
    <row r="30">
      <c r="G30" s="34" t="inlineStr">
        <is>
          <t>2026-08-21</t>
        </is>
      </c>
      <c r="H30" t="n">
        <v>84.84999999999999</v>
      </c>
      <c r="J30" t="n">
        <v>24252</v>
      </c>
    </row>
    <row r="31">
      <c r="G31" s="34" t="inlineStr">
        <is>
          <t>2026-08-20</t>
        </is>
      </c>
      <c r="H31" t="n">
        <v>85.59</v>
      </c>
      <c r="J31" t="n">
        <v>24231.85</v>
      </c>
    </row>
    <row r="32">
      <c r="G32" s="34" t="inlineStr">
        <is>
          <t>2026-08-19</t>
        </is>
      </c>
      <c r="H32" t="n">
        <v>85.01000000000001</v>
      </c>
      <c r="J32" t="n">
        <v>24078.3</v>
      </c>
    </row>
    <row r="33">
      <c r="G33" s="34" t="inlineStr">
        <is>
          <t>2026-08-18</t>
        </is>
      </c>
      <c r="H33" t="n">
        <v>84.36</v>
      </c>
      <c r="J33" t="n">
        <v>24154.9</v>
      </c>
    </row>
    <row r="34">
      <c r="G34" s="34" t="inlineStr">
        <is>
          <t>2026-08-17</t>
        </is>
      </c>
      <c r="H34" t="n">
        <v>84</v>
      </c>
      <c r="J34" t="n">
        <v>24287.65</v>
      </c>
    </row>
    <row r="35">
      <c r="G35" s="34" t="inlineStr">
        <is>
          <t>2026-08-14</t>
        </is>
      </c>
      <c r="H35" t="n">
        <v>84.33</v>
      </c>
      <c r="J35" t="n">
        <v>24366</v>
      </c>
    </row>
    <row r="36">
      <c r="G36" s="34" t="inlineStr">
        <is>
          <t>2026-08-13</t>
        </is>
      </c>
      <c r="H36" t="n">
        <v>84.37</v>
      </c>
      <c r="J36" t="n">
        <v>24395.85</v>
      </c>
    </row>
    <row r="37">
      <c r="G37" s="34" t="inlineStr">
        <is>
          <t>2026-08-12</t>
        </is>
      </c>
      <c r="H37" t="n">
        <v>84.76000000000001</v>
      </c>
      <c r="J37" t="n">
        <v>24435.95</v>
      </c>
    </row>
    <row r="38">
      <c r="G38" s="34" t="inlineStr">
        <is>
          <t>2026-08-11</t>
        </is>
      </c>
      <c r="H38" t="n">
        <v>85.18000000000001</v>
      </c>
      <c r="J38" t="n">
        <v>24471.7</v>
      </c>
    </row>
    <row r="39">
      <c r="G39" s="34" t="inlineStr">
        <is>
          <t>2026-08-10</t>
        </is>
      </c>
      <c r="H39" t="n">
        <v>85.06</v>
      </c>
      <c r="J39" t="n">
        <v>24583.8</v>
      </c>
    </row>
    <row r="40">
      <c r="G40" s="34" t="inlineStr">
        <is>
          <t>2026-08-07</t>
        </is>
      </c>
      <c r="H40" t="n">
        <v>85.79000000000001</v>
      </c>
      <c r="J40" t="n">
        <v>24570.65</v>
      </c>
    </row>
    <row r="41">
      <c r="G41" s="34" t="inlineStr">
        <is>
          <t>2026-08-06</t>
        </is>
      </c>
      <c r="H41" t="n">
        <v>86.41</v>
      </c>
      <c r="J41" t="n">
        <v>24636</v>
      </c>
    </row>
    <row r="42">
      <c r="G42" s="34" t="inlineStr">
        <is>
          <t>2026-08-05</t>
        </is>
      </c>
      <c r="H42" t="n">
        <v>86.98</v>
      </c>
      <c r="J42" t="n">
        <v>24624.65</v>
      </c>
    </row>
    <row r="43">
      <c r="G43" s="34" t="inlineStr">
        <is>
          <t>2026-08-04</t>
        </is>
      </c>
      <c r="H43" t="n">
        <v>87.11</v>
      </c>
      <c r="J43" t="n">
        <v>24614.9</v>
      </c>
    </row>
    <row r="44">
      <c r="G44" s="34" t="inlineStr">
        <is>
          <t>2026-08-03</t>
        </is>
      </c>
      <c r="H44" t="n">
        <v>86.84999999999999</v>
      </c>
      <c r="J44" t="n">
        <v>24774.3</v>
      </c>
    </row>
    <row r="45">
      <c r="G45" s="34" t="inlineStr">
        <is>
          <t>2026-07-31</t>
        </is>
      </c>
      <c r="H45" t="n">
        <v>86.02</v>
      </c>
      <c r="J45" t="n">
        <v>24383.6</v>
      </c>
    </row>
    <row r="46">
      <c r="G46" s="34" t="inlineStr">
        <is>
          <t>2026-07-30</t>
        </is>
      </c>
      <c r="H46" t="n">
        <v>86.52</v>
      </c>
      <c r="J46" t="n">
        <v>24317.15</v>
      </c>
    </row>
    <row r="47">
      <c r="G47" s="34" t="inlineStr">
        <is>
          <t>2026-07-29</t>
        </is>
      </c>
      <c r="H47" t="n">
        <v>87.63</v>
      </c>
      <c r="J47" t="n">
        <v>24250.2</v>
      </c>
    </row>
    <row r="48">
      <c r="G48" s="34" t="inlineStr">
        <is>
          <t>2026-07-28</t>
        </is>
      </c>
      <c r="H48" t="n">
        <v>85.66</v>
      </c>
      <c r="J48" t="n">
        <v>23985.35</v>
      </c>
    </row>
    <row r="49">
      <c r="G49" s="34" t="inlineStr">
        <is>
          <t>2026-07-27</t>
        </is>
      </c>
      <c r="H49" t="n">
        <v>85.5</v>
      </c>
      <c r="J49" t="n">
        <v>23995.95</v>
      </c>
    </row>
    <row r="50">
      <c r="G50" s="34" t="inlineStr">
        <is>
          <t>2026-07-24</t>
        </is>
      </c>
      <c r="H50" t="n">
        <v>84.19</v>
      </c>
      <c r="J50" t="n">
        <v>23767.45</v>
      </c>
    </row>
    <row r="51">
      <c r="G51" s="34" t="inlineStr">
        <is>
          <t>2026-07-23</t>
        </is>
      </c>
      <c r="H51" t="n">
        <v>84.81</v>
      </c>
      <c r="J51" t="n">
        <v>23869.6</v>
      </c>
    </row>
    <row r="52">
      <c r="G52" s="34" t="inlineStr">
        <is>
          <t>2026-07-22</t>
        </is>
      </c>
      <c r="H52" t="n">
        <v>85.45999999999999</v>
      </c>
      <c r="J52" t="n">
        <v>23996.25</v>
      </c>
    </row>
    <row r="53">
      <c r="G53" s="34" t="inlineStr">
        <is>
          <t>2026-07-21</t>
        </is>
      </c>
      <c r="H53" t="n">
        <v>86.17</v>
      </c>
      <c r="J53" t="n">
        <v>24187.7</v>
      </c>
    </row>
    <row r="54">
      <c r="G54" s="34" t="inlineStr">
        <is>
          <t>2026-07-20</t>
        </is>
      </c>
      <c r="H54" t="n">
        <v>86.03</v>
      </c>
      <c r="J54" t="n">
        <v>24238.5</v>
      </c>
    </row>
    <row r="55">
      <c r="G55" s="34" t="inlineStr">
        <is>
          <t>2026-07-17</t>
        </is>
      </c>
      <c r="H55" t="n">
        <v>86.34</v>
      </c>
      <c r="J55" t="n">
        <v>24334.3</v>
      </c>
    </row>
    <row r="56">
      <c r="G56" s="34" t="inlineStr">
        <is>
          <t>2026-07-16</t>
        </is>
      </c>
      <c r="H56" t="n">
        <v>86.37</v>
      </c>
      <c r="J56" t="n">
        <v>24072.75</v>
      </c>
    </row>
    <row r="57">
      <c r="G57" s="34" t="inlineStr">
        <is>
          <t>2026-07-15</t>
        </is>
      </c>
      <c r="H57" t="n">
        <v>87.45999999999999</v>
      </c>
      <c r="J57" t="n">
        <v>24078.5</v>
      </c>
    </row>
    <row r="58">
      <c r="G58" s="34" t="inlineStr">
        <is>
          <t>2026-07-14</t>
        </is>
      </c>
      <c r="H58" t="n">
        <v>87.31999999999999</v>
      </c>
      <c r="J58" t="n">
        <v>24052.05</v>
      </c>
    </row>
    <row r="59">
      <c r="G59" s="34" t="inlineStr">
        <is>
          <t>2026-07-13</t>
        </is>
      </c>
      <c r="H59" t="n">
        <v>88.56999999999999</v>
      </c>
      <c r="J59" t="n">
        <v>24211</v>
      </c>
    </row>
    <row r="60">
      <c r="G60" s="34" t="inlineStr">
        <is>
          <t>2026-07-10</t>
        </is>
      </c>
      <c r="H60" t="n">
        <v>88.06999999999999</v>
      </c>
      <c r="J60" t="n">
        <v>24206.9</v>
      </c>
    </row>
    <row r="61">
      <c r="G61" s="34" t="inlineStr">
        <is>
          <t>2026-07-09</t>
        </is>
      </c>
      <c r="H61" t="n">
        <v>87.59</v>
      </c>
      <c r="J61" t="n">
        <v>23962.8</v>
      </c>
    </row>
    <row r="62">
      <c r="G62" s="34" t="inlineStr">
        <is>
          <t>2026-07-08</t>
        </is>
      </c>
      <c r="H62" t="n">
        <v>85.98999999999999</v>
      </c>
      <c r="J62" t="n">
        <v>23882.05</v>
      </c>
    </row>
    <row r="63">
      <c r="G63" s="34" t="inlineStr">
        <is>
          <t>2026-07-07</t>
        </is>
      </c>
      <c r="H63" t="n">
        <v>88.53</v>
      </c>
      <c r="J63" t="n">
        <v>24398.7</v>
      </c>
    </row>
    <row r="64">
      <c r="G64" s="34" t="inlineStr">
        <is>
          <t>2026-07-06</t>
        </is>
      </c>
      <c r="H64" t="n">
        <v>90.09999999999999</v>
      </c>
      <c r="J64" t="n">
        <v>24430.35</v>
      </c>
    </row>
    <row r="65">
      <c r="G65" s="34" t="inlineStr">
        <is>
          <t>2026-07-03</t>
        </is>
      </c>
      <c r="H65" t="n">
        <v>91.34999999999999</v>
      </c>
      <c r="J65" t="n">
        <v>24270.85</v>
      </c>
    </row>
    <row r="66">
      <c r="G66" s="34" t="inlineStr">
        <is>
          <t>2026-07-02</t>
        </is>
      </c>
      <c r="H66" t="n">
        <v>88.65000000000001</v>
      </c>
      <c r="J66" t="n">
        <v>24175.7</v>
      </c>
    </row>
    <row r="67">
      <c r="G67" s="34" t="inlineStr">
        <is>
          <t>2026-07-01</t>
        </is>
      </c>
      <c r="H67" t="n">
        <v>87.84</v>
      </c>
      <c r="J67" t="n">
        <v>24005.85</v>
      </c>
    </row>
    <row r="68">
      <c r="G68" s="34" t="inlineStr">
        <is>
          <t>2026-06-30</t>
        </is>
      </c>
      <c r="H68" t="n">
        <v>87.5</v>
      </c>
      <c r="J68" t="n">
        <v>23865.75</v>
      </c>
    </row>
    <row r="69">
      <c r="G69" s="34" t="inlineStr">
        <is>
          <t>2026-06-29</t>
        </is>
      </c>
      <c r="H69" t="n">
        <v>86.79000000000001</v>
      </c>
      <c r="J69" t="n">
        <v>23946.25</v>
      </c>
    </row>
    <row r="70">
      <c r="G70" s="34" t="inlineStr">
        <is>
          <t>2026-06-25</t>
        </is>
      </c>
      <c r="H70" t="n">
        <v>87.5</v>
      </c>
      <c r="J70" t="n">
        <v>24056</v>
      </c>
    </row>
    <row r="71">
      <c r="G71" s="34" t="inlineStr">
        <is>
          <t>2026-06-24</t>
        </is>
      </c>
      <c r="H71" t="n">
        <v>87.95</v>
      </c>
      <c r="J71" t="n">
        <v>24021.65</v>
      </c>
    </row>
    <row r="72">
      <c r="G72" s="34" t="inlineStr">
        <is>
          <t>2026-06-23</t>
        </is>
      </c>
      <c r="H72" t="n">
        <v>87.63</v>
      </c>
      <c r="J72" t="n">
        <v>23824.1</v>
      </c>
    </row>
    <row r="73">
      <c r="G73" s="34" t="inlineStr">
        <is>
          <t>2026-06-22</t>
        </is>
      </c>
      <c r="H73" t="n">
        <v>89</v>
      </c>
      <c r="J73" t="n">
        <v>24102.9</v>
      </c>
    </row>
    <row r="74">
      <c r="G74" s="34" t="inlineStr">
        <is>
          <t>2026-06-19</t>
        </is>
      </c>
      <c r="H74" t="n">
        <v>88.36</v>
      </c>
      <c r="J74" t="n">
        <v>24013.1</v>
      </c>
    </row>
    <row r="75">
      <c r="G75" s="34" t="inlineStr">
        <is>
          <t>2026-06-18</t>
        </is>
      </c>
      <c r="H75" t="n">
        <v>85.87</v>
      </c>
      <c r="J75" t="n">
        <v>24168</v>
      </c>
    </row>
    <row r="76">
      <c r="G76" s="34" t="inlineStr">
        <is>
          <t>2026-06-17</t>
        </is>
      </c>
      <c r="H76" t="n">
        <v>85.73</v>
      </c>
      <c r="J76" t="n">
        <v>24085.7</v>
      </c>
    </row>
    <row r="77">
      <c r="G77" s="34" t="inlineStr">
        <is>
          <t>2026-06-16</t>
        </is>
      </c>
      <c r="H77" t="n">
        <v>85.90000000000001</v>
      </c>
      <c r="J77" t="n">
        <v>23989.15</v>
      </c>
    </row>
    <row r="78">
      <c r="G78" s="34" t="inlineStr">
        <is>
          <t>2026-06-15</t>
        </is>
      </c>
      <c r="H78" t="n">
        <v>86.59</v>
      </c>
      <c r="J78" t="n">
        <v>23853.9</v>
      </c>
    </row>
    <row r="79">
      <c r="G79" s="34" t="inlineStr">
        <is>
          <t>2026-06-12</t>
        </is>
      </c>
      <c r="H79" t="n">
        <v>84.59</v>
      </c>
      <c r="J79" t="n">
        <v>23622.9</v>
      </c>
    </row>
    <row r="80">
      <c r="G80" s="34" t="inlineStr">
        <is>
          <t>2026-06-11</t>
        </is>
      </c>
      <c r="H80" t="n">
        <v>82.84</v>
      </c>
      <c r="J80" t="n">
        <v>23161.6</v>
      </c>
    </row>
    <row r="81">
      <c r="G81" s="34" t="inlineStr">
        <is>
          <t>2026-06-10</t>
        </is>
      </c>
      <c r="H81" t="n">
        <v>82.73999999999999</v>
      </c>
      <c r="J81" t="n">
        <v>23214.95</v>
      </c>
    </row>
    <row r="82">
      <c r="G82" s="34" t="inlineStr">
        <is>
          <t>2026-06-09</t>
        </is>
      </c>
      <c r="H82" t="n">
        <v>84.02</v>
      </c>
      <c r="J82" t="n">
        <v>23242.1</v>
      </c>
    </row>
    <row r="83">
      <c r="G83" s="34" t="inlineStr">
        <is>
          <t>2026-06-08</t>
        </is>
      </c>
      <c r="H83" t="n">
        <v>82.53</v>
      </c>
      <c r="J83" t="n">
        <v>23123</v>
      </c>
    </row>
    <row r="84">
      <c r="G84" s="34" t="inlineStr">
        <is>
          <t>2026-06-05</t>
        </is>
      </c>
      <c r="H84" t="n">
        <v>84.14</v>
      </c>
      <c r="J84" t="n">
        <v>23366.7</v>
      </c>
    </row>
    <row r="85">
      <c r="G85" s="34" t="inlineStr">
        <is>
          <t>2026-06-04</t>
        </is>
      </c>
      <c r="H85" t="n">
        <v>83.42</v>
      </c>
      <c r="J85" t="n">
        <v>23416.55</v>
      </c>
    </row>
    <row r="86">
      <c r="G86" s="34" t="inlineStr">
        <is>
          <t>2026-06-03</t>
        </is>
      </c>
      <c r="H86" t="n">
        <v>83.64</v>
      </c>
      <c r="J86" t="n">
        <v>23405.6</v>
      </c>
    </row>
    <row r="87">
      <c r="G87" s="34" t="inlineStr">
        <is>
          <t>2026-06-02</t>
        </is>
      </c>
      <c r="H87" t="n">
        <v>83.28</v>
      </c>
      <c r="J87" t="n">
        <v>23483.55</v>
      </c>
    </row>
    <row r="88">
      <c r="G88" s="34" t="inlineStr">
        <is>
          <t>2026-06-01</t>
        </is>
      </c>
      <c r="H88" t="n">
        <v>84.05</v>
      </c>
      <c r="J88" t="n">
        <v>23382.6</v>
      </c>
    </row>
    <row r="89">
      <c r="G89" s="34" t="inlineStr">
        <is>
          <t>2026-05-29</t>
        </is>
      </c>
      <c r="H89" t="n">
        <v>84.89</v>
      </c>
      <c r="J89" t="n">
        <v>23547.75</v>
      </c>
    </row>
    <row r="90">
      <c r="G90" s="34" t="inlineStr">
        <is>
          <t>2026-05-27</t>
        </is>
      </c>
      <c r="H90" t="n">
        <v>86.02</v>
      </c>
      <c r="J90" t="n">
        <v>23907.15</v>
      </c>
    </row>
    <row r="91">
      <c r="G91" s="34" t="inlineStr">
        <is>
          <t>2026-05-26</t>
        </is>
      </c>
      <c r="H91" t="n">
        <v>85.05</v>
      </c>
      <c r="J91" t="n">
        <v>23913.7</v>
      </c>
    </row>
    <row r="92">
      <c r="G92" s="34" t="inlineStr">
        <is>
          <t>2026-05-25</t>
        </is>
      </c>
      <c r="H92" t="n">
        <v>83.3</v>
      </c>
      <c r="J92" t="n">
        <v>24031.7</v>
      </c>
    </row>
    <row r="93">
      <c r="G93" s="34" t="inlineStr">
        <is>
          <t>2026-05-22</t>
        </is>
      </c>
      <c r="H93" t="n">
        <v>83.06999999999999</v>
      </c>
      <c r="J93" t="n">
        <v>23719.3</v>
      </c>
    </row>
    <row r="94">
      <c r="G94" s="34" t="inlineStr">
        <is>
          <t>2026-05-21</t>
        </is>
      </c>
      <c r="H94" t="n">
        <v>82.72</v>
      </c>
      <c r="J94" t="n">
        <v>23654.7</v>
      </c>
    </row>
    <row r="95">
      <c r="G95" s="34" t="inlineStr">
        <is>
          <t>2026-05-20</t>
        </is>
      </c>
      <c r="H95" t="n">
        <v>82.65000000000001</v>
      </c>
      <c r="J95" t="n">
        <v>23659</v>
      </c>
    </row>
    <row r="96">
      <c r="G96" s="34" t="inlineStr">
        <is>
          <t>2026-05-19</t>
        </is>
      </c>
      <c r="H96" t="n">
        <v>83.90000000000001</v>
      </c>
      <c r="J96" t="n">
        <v>23618</v>
      </c>
    </row>
    <row r="97">
      <c r="G97" s="34" t="inlineStr">
        <is>
          <t>2026-05-18</t>
        </is>
      </c>
      <c r="H97" t="n">
        <v>83.79000000000001</v>
      </c>
      <c r="J97" t="n">
        <v>23649.95</v>
      </c>
    </row>
    <row r="98">
      <c r="G98" s="34" t="inlineStr">
        <is>
          <t>2026-05-15</t>
        </is>
      </c>
      <c r="H98" t="n">
        <v>83.84999999999999</v>
      </c>
      <c r="J98" t="n">
        <v>23643.5</v>
      </c>
    </row>
    <row r="99">
      <c r="G99" s="34" t="inlineStr">
        <is>
          <t>2026-05-14</t>
        </is>
      </c>
      <c r="H99" t="n">
        <v>84.17</v>
      </c>
      <c r="J99" t="n">
        <v>23689.6</v>
      </c>
    </row>
    <row r="100">
      <c r="G100" s="34" t="inlineStr">
        <is>
          <t>2026-05-13</t>
        </is>
      </c>
      <c r="H100" t="n">
        <v>85.22</v>
      </c>
      <c r="J100" t="n">
        <v>23412.6</v>
      </c>
    </row>
    <row r="101">
      <c r="G101" s="34" t="inlineStr">
        <is>
          <t>2026-05-12</t>
        </is>
      </c>
      <c r="H101" t="n">
        <v>83.87</v>
      </c>
      <c r="J101" t="n">
        <v>23379.55</v>
      </c>
    </row>
    <row r="102">
      <c r="G102" s="34" t="inlineStr">
        <is>
          <t>2026-05-11</t>
        </is>
      </c>
      <c r="H102" t="n">
        <v>86.26000000000001</v>
      </c>
      <c r="J102" t="n">
        <v>23815.85</v>
      </c>
    </row>
    <row r="103">
      <c r="G103" s="34" t="inlineStr">
        <is>
          <t>2026-05-08</t>
        </is>
      </c>
      <c r="H103" t="n">
        <v>87.55</v>
      </c>
      <c r="J103" t="n">
        <v>24176.15</v>
      </c>
    </row>
    <row r="104">
      <c r="G104" s="34" t="inlineStr">
        <is>
          <t>2026-05-07</t>
        </is>
      </c>
      <c r="H104" t="n">
        <v>87.97</v>
      </c>
      <c r="J104" t="n">
        <v>24326.65</v>
      </c>
    </row>
    <row r="105">
      <c r="G105" s="34" t="inlineStr">
        <is>
          <t>2026-05-06</t>
        </is>
      </c>
      <c r="H105" t="n">
        <v>86.97</v>
      </c>
      <c r="J105" t="n">
        <v>24330.95</v>
      </c>
    </row>
    <row r="106">
      <c r="G106" s="34" t="inlineStr">
        <is>
          <t>2026-05-05</t>
        </is>
      </c>
      <c r="H106" t="n">
        <v>86.48999999999999</v>
      </c>
      <c r="J106" t="n">
        <v>24032.8</v>
      </c>
    </row>
    <row r="107">
      <c r="G107" s="34" t="inlineStr">
        <is>
          <t>2026-05-04</t>
        </is>
      </c>
      <c r="H107" t="n">
        <v>86.91</v>
      </c>
      <c r="J107" t="n">
        <v>24119.3</v>
      </c>
    </row>
    <row r="108">
      <c r="G108" s="34" t="inlineStr">
        <is>
          <t>2026-04-30</t>
        </is>
      </c>
      <c r="H108" t="n">
        <v>87.18000000000001</v>
      </c>
      <c r="J108" t="n">
        <v>23997.55</v>
      </c>
    </row>
    <row r="109">
      <c r="G109" s="34" t="inlineStr">
        <is>
          <t>2026-04-29</t>
        </is>
      </c>
      <c r="H109" t="n">
        <v>88.01000000000001</v>
      </c>
      <c r="J109" t="n">
        <v>24177.65</v>
      </c>
    </row>
    <row r="110">
      <c r="G110" s="34" t="inlineStr">
        <is>
          <t>2026-04-28</t>
        </is>
      </c>
      <c r="H110" t="n">
        <v>89.37</v>
      </c>
      <c r="J110" t="n">
        <v>23995.7</v>
      </c>
    </row>
    <row r="111">
      <c r="G111" s="34" t="inlineStr">
        <is>
          <t>2026-04-27</t>
        </is>
      </c>
      <c r="H111" t="n">
        <v>91.06999999999999</v>
      </c>
      <c r="J111" t="n">
        <v>24092.7</v>
      </c>
    </row>
    <row r="112">
      <c r="G112" s="34" t="inlineStr">
        <is>
          <t>2026-04-24</t>
        </is>
      </c>
      <c r="H112" t="n">
        <v>89.39</v>
      </c>
      <c r="J112" t="n">
        <v>23897.95</v>
      </c>
    </row>
    <row r="113">
      <c r="G113" s="34" t="inlineStr">
        <is>
          <t>2026-04-23</t>
        </is>
      </c>
      <c r="H113" t="n">
        <v>90.13</v>
      </c>
      <c r="J113" t="n">
        <v>24173.05</v>
      </c>
    </row>
    <row r="114">
      <c r="G114" s="34" t="inlineStr">
        <is>
          <t>2026-04-22</t>
        </is>
      </c>
      <c r="H114" t="n">
        <v>91.51000000000001</v>
      </c>
      <c r="J114" t="n">
        <v>24378.1</v>
      </c>
    </row>
    <row r="115">
      <c r="G115" s="34" t="inlineStr">
        <is>
          <t>2026-04-21</t>
        </is>
      </c>
      <c r="H115" t="n">
        <v>91.03</v>
      </c>
      <c r="J115" t="n">
        <v>24576.6</v>
      </c>
    </row>
    <row r="116">
      <c r="G116" s="34" t="inlineStr">
        <is>
          <t>2026-04-20</t>
        </is>
      </c>
      <c r="H116" t="n">
        <v>89.53</v>
      </c>
      <c r="J116" t="n">
        <v>24364.85</v>
      </c>
    </row>
    <row r="117">
      <c r="G117" s="34" t="inlineStr">
        <is>
          <t>2026-04-17</t>
        </is>
      </c>
      <c r="H117" t="n">
        <v>91.8</v>
      </c>
      <c r="J117" t="n">
        <v>24353.55</v>
      </c>
    </row>
    <row r="118">
      <c r="G118" s="34" t="inlineStr">
        <is>
          <t>2026-04-16</t>
        </is>
      </c>
      <c r="H118" t="n">
        <v>89.2</v>
      </c>
      <c r="J118" t="n">
        <v>24196.75</v>
      </c>
    </row>
    <row r="119">
      <c r="G119" s="34" t="inlineStr">
        <is>
          <t>2026-04-15</t>
        </is>
      </c>
      <c r="H119" t="n">
        <v>89</v>
      </c>
      <c r="J119" t="n">
        <v>24231.3</v>
      </c>
    </row>
    <row r="120">
      <c r="G120" s="34" t="inlineStr">
        <is>
          <t>2026-04-13</t>
        </is>
      </c>
      <c r="H120" t="n">
        <v>85.03</v>
      </c>
      <c r="J120" t="n">
        <v>23842.65</v>
      </c>
    </row>
    <row r="121">
      <c r="G121" s="34" t="inlineStr">
        <is>
          <t>2026-04-10</t>
        </is>
      </c>
      <c r="H121" t="n">
        <v>85.94</v>
      </c>
      <c r="J121" t="n">
        <v>24050.6</v>
      </c>
    </row>
    <row r="122">
      <c r="G122" s="34" t="inlineStr">
        <is>
          <t>2026-04-09</t>
        </is>
      </c>
      <c r="H122" t="n">
        <v>83.89</v>
      </c>
      <c r="J122" t="n">
        <v>23775.1</v>
      </c>
    </row>
    <row r="123">
      <c r="G123" s="34" t="inlineStr">
        <is>
          <t>2026-04-08</t>
        </is>
      </c>
      <c r="H123" t="n">
        <v>84.48999999999999</v>
      </c>
      <c r="J123" t="n">
        <v>23997.35</v>
      </c>
    </row>
    <row r="124">
      <c r="G124" s="34" t="inlineStr">
        <is>
          <t>2026-04-07</t>
        </is>
      </c>
      <c r="H124" t="n">
        <v>80.52</v>
      </c>
      <c r="J124" t="n">
        <v>23123.65</v>
      </c>
    </row>
    <row r="125">
      <c r="G125" s="34" t="inlineStr">
        <is>
          <t>2026-04-06</t>
        </is>
      </c>
      <c r="H125" t="n">
        <v>79.68000000000001</v>
      </c>
      <c r="J125" t="n">
        <v>22968.25</v>
      </c>
    </row>
    <row r="126">
      <c r="G126" s="34" t="inlineStr">
        <is>
          <t>2026-04-02</t>
        </is>
      </c>
      <c r="H126" t="n">
        <v>78</v>
      </c>
      <c r="J126" t="n">
        <v>22713.1</v>
      </c>
    </row>
    <row r="127">
      <c r="G127" s="34" t="inlineStr">
        <is>
          <t>2026-04-01</t>
        </is>
      </c>
      <c r="H127" t="n">
        <v>77.22</v>
      </c>
      <c r="J127" t="n">
        <v>22679.4</v>
      </c>
    </row>
    <row r="128">
      <c r="G128" s="34" t="inlineStr">
        <is>
          <t>2026-03-30</t>
        </is>
      </c>
      <c r="H128" t="n">
        <v>73.09</v>
      </c>
      <c r="J128" t="n">
        <v>22331.4</v>
      </c>
    </row>
    <row r="129">
      <c r="G129" s="34" t="inlineStr">
        <is>
          <t>2026-03-27</t>
        </is>
      </c>
      <c r="H129" t="n">
        <v>75.84999999999999</v>
      </c>
      <c r="J129" t="n">
        <v>22819.6</v>
      </c>
    </row>
    <row r="130">
      <c r="G130" s="34" t="inlineStr">
        <is>
          <t>2026-03-25</t>
        </is>
      </c>
      <c r="H130" t="n">
        <v>79.13</v>
      </c>
      <c r="J130" t="n">
        <v>23306.45</v>
      </c>
    </row>
    <row r="131">
      <c r="G131" s="34" t="inlineStr">
        <is>
          <t>2026-03-24</t>
        </is>
      </c>
      <c r="H131" t="n">
        <v>78.75</v>
      </c>
      <c r="J131" t="n">
        <v>22912.4</v>
      </c>
    </row>
    <row r="132">
      <c r="G132" s="34" t="inlineStr">
        <is>
          <t>2026-03-23</t>
        </is>
      </c>
      <c r="H132" t="n">
        <v>78.51000000000001</v>
      </c>
      <c r="J132" t="n">
        <v>22512.65</v>
      </c>
    </row>
    <row r="133">
      <c r="G133" s="34" t="inlineStr">
        <is>
          <t>2026-03-20</t>
        </is>
      </c>
      <c r="H133" t="n">
        <v>81.45</v>
      </c>
      <c r="J133" t="n">
        <v>23114.5</v>
      </c>
    </row>
    <row r="134">
      <c r="G134" s="34" t="inlineStr">
        <is>
          <t>2026-03-19</t>
        </is>
      </c>
      <c r="H134" t="n">
        <v>81.75</v>
      </c>
      <c r="J134" t="n">
        <v>23002.15</v>
      </c>
    </row>
    <row r="135">
      <c r="G135" s="34" t="inlineStr">
        <is>
          <t>2026-03-18</t>
        </is>
      </c>
      <c r="H135" t="n">
        <v>83.09</v>
      </c>
      <c r="J135" t="n">
        <v>23777.8</v>
      </c>
    </row>
    <row r="136">
      <c r="G136" s="34" t="inlineStr">
        <is>
          <t>2026-03-17</t>
        </is>
      </c>
      <c r="H136" t="n">
        <v>81.3</v>
      </c>
      <c r="J136" t="n">
        <v>23581.15</v>
      </c>
    </row>
    <row r="137">
      <c r="G137" s="34" t="inlineStr">
        <is>
          <t>2026-03-16</t>
        </is>
      </c>
      <c r="H137" t="n">
        <v>81.31</v>
      </c>
      <c r="J137" t="n">
        <v>23408.8</v>
      </c>
    </row>
    <row r="138">
      <c r="G138" s="34" t="inlineStr">
        <is>
          <t>2026-03-13</t>
        </is>
      </c>
      <c r="H138" t="n">
        <v>82.15000000000001</v>
      </c>
      <c r="J138" t="n">
        <v>23151.1</v>
      </c>
    </row>
    <row r="139">
      <c r="G139" s="34" t="inlineStr">
        <is>
          <t>2026-03-12</t>
        </is>
      </c>
      <c r="H139" t="n">
        <v>83.68000000000001</v>
      </c>
      <c r="J139" t="n">
        <v>23639.15</v>
      </c>
    </row>
    <row r="140">
      <c r="G140" s="34" t="inlineStr">
        <is>
          <t>2026-03-11</t>
        </is>
      </c>
      <c r="H140" t="n">
        <v>83.73999999999999</v>
      </c>
      <c r="J140" t="n">
        <v>23866.85</v>
      </c>
    </row>
    <row r="141">
      <c r="G141" s="34" t="inlineStr">
        <is>
          <t>2026-03-10</t>
        </is>
      </c>
      <c r="H141" t="n">
        <v>84.59999999999999</v>
      </c>
      <c r="J141" t="n">
        <v>24261.6</v>
      </c>
    </row>
    <row r="142">
      <c r="G142" s="34" t="inlineStr">
        <is>
          <t>2026-03-09</t>
        </is>
      </c>
      <c r="H142" t="n">
        <v>82.90000000000001</v>
      </c>
      <c r="J142" t="n">
        <v>24028.05</v>
      </c>
    </row>
    <row r="143">
      <c r="G143" s="34" t="inlineStr">
        <is>
          <t>2026-03-06</t>
        </is>
      </c>
      <c r="H143" t="n">
        <v>84.14</v>
      </c>
      <c r="J143" t="n">
        <v>24450.45</v>
      </c>
    </row>
    <row r="144">
      <c r="G144" s="34" t="inlineStr">
        <is>
          <t>2026-03-05</t>
        </is>
      </c>
      <c r="H144" t="n">
        <v>84.63</v>
      </c>
      <c r="J144" t="n">
        <v>24765.9</v>
      </c>
    </row>
    <row r="145">
      <c r="G145" s="34" t="inlineStr">
        <is>
          <t>2026-03-04</t>
        </is>
      </c>
      <c r="H145" t="n">
        <v>84.14</v>
      </c>
      <c r="J145" t="n">
        <v>24480.5</v>
      </c>
    </row>
    <row r="146">
      <c r="G146" s="34" t="inlineStr">
        <is>
          <t>2026-03-02</t>
        </is>
      </c>
      <c r="H146" t="n">
        <v>85.28</v>
      </c>
      <c r="J146" t="n">
        <v>24865.7</v>
      </c>
    </row>
    <row r="147">
      <c r="G147" s="34" t="inlineStr">
        <is>
          <t>2026-02-27</t>
        </is>
      </c>
      <c r="H147" t="n">
        <v>87.04000000000001</v>
      </c>
      <c r="J147" t="n">
        <v>25178.65</v>
      </c>
    </row>
    <row r="148">
      <c r="G148" s="34" t="inlineStr">
        <is>
          <t>2026-02-26</t>
        </is>
      </c>
      <c r="H148" t="n">
        <v>87.56999999999999</v>
      </c>
      <c r="J148" t="n">
        <v>25496.55</v>
      </c>
    </row>
    <row r="149">
      <c r="G149" s="34" t="inlineStr">
        <is>
          <t>2026-02-25</t>
        </is>
      </c>
      <c r="H149" t="n">
        <v>87.78</v>
      </c>
      <c r="J149" t="n">
        <v>25482.5</v>
      </c>
    </row>
    <row r="150">
      <c r="G150" s="34" t="inlineStr">
        <is>
          <t>2026-02-24</t>
        </is>
      </c>
      <c r="H150" t="n">
        <v>87.31999999999999</v>
      </c>
      <c r="J150" t="n">
        <v>25424.65</v>
      </c>
    </row>
    <row r="151">
      <c r="G151" s="34" t="inlineStr">
        <is>
          <t>2026-02-23</t>
        </is>
      </c>
      <c r="H151" t="n">
        <v>87.26000000000001</v>
      </c>
      <c r="J151" t="n">
        <v>25713</v>
      </c>
    </row>
    <row r="152">
      <c r="G152" s="34" t="inlineStr">
        <is>
          <t>2026-02-20</t>
        </is>
      </c>
      <c r="H152" t="n">
        <v>88.06999999999999</v>
      </c>
      <c r="J152" t="n">
        <v>25571.25</v>
      </c>
    </row>
    <row r="153">
      <c r="G153" s="34" t="inlineStr">
        <is>
          <t>2026-02-19</t>
        </is>
      </c>
      <c r="H153" t="n">
        <v>88.19</v>
      </c>
      <c r="J153" t="n">
        <v>25454.35</v>
      </c>
    </row>
    <row r="154">
      <c r="G154" s="34" t="inlineStr">
        <is>
          <t>2026-02-18</t>
        </is>
      </c>
      <c r="H154" t="n">
        <v>88.76000000000001</v>
      </c>
      <c r="J154" t="n">
        <v>25819.35</v>
      </c>
    </row>
    <row r="155">
      <c r="G155" s="34" t="inlineStr">
        <is>
          <t>2026-02-17</t>
        </is>
      </c>
      <c r="H155" t="n">
        <v>88.73999999999999</v>
      </c>
      <c r="J155" t="n">
        <v>25725.4</v>
      </c>
    </row>
    <row r="156">
      <c r="G156" s="34" t="inlineStr">
        <is>
          <t>2026-02-16</t>
        </is>
      </c>
      <c r="H156" t="n">
        <v>88.83</v>
      </c>
      <c r="J156" t="n">
        <v>25682.75</v>
      </c>
    </row>
    <row r="157">
      <c r="G157" s="34" t="inlineStr">
        <is>
          <t>2026-02-13</t>
        </is>
      </c>
      <c r="H157" t="n">
        <v>89.29000000000001</v>
      </c>
      <c r="J157" t="n">
        <v>25471.1</v>
      </c>
    </row>
    <row r="158">
      <c r="G158" s="34" t="inlineStr">
        <is>
          <t>2026-02-12</t>
        </is>
      </c>
      <c r="H158" t="n">
        <v>90.39</v>
      </c>
      <c r="J158" t="n">
        <v>25807.2</v>
      </c>
    </row>
    <row r="159">
      <c r="G159" s="34" t="inlineStr">
        <is>
          <t>2026-02-11</t>
        </is>
      </c>
      <c r="H159" t="n">
        <v>91.11</v>
      </c>
      <c r="J159" t="n">
        <v>25953.85</v>
      </c>
    </row>
    <row r="160">
      <c r="G160" s="34" t="inlineStr">
        <is>
          <t>2026-02-10</t>
        </is>
      </c>
      <c r="H160" t="n">
        <v>91.70999999999999</v>
      </c>
      <c r="J160" t="n">
        <v>25935.15</v>
      </c>
    </row>
    <row r="161">
      <c r="G161" s="34" t="inlineStr">
        <is>
          <t>2026-02-09</t>
        </is>
      </c>
      <c r="H161" t="n">
        <v>91.12</v>
      </c>
      <c r="J161" t="n">
        <v>25867.3</v>
      </c>
    </row>
    <row r="162">
      <c r="G162" s="34" t="inlineStr">
        <is>
          <t>2026-02-06</t>
        </is>
      </c>
      <c r="H162" t="n">
        <v>91.28</v>
      </c>
      <c r="J162" t="n">
        <v>25693.7</v>
      </c>
    </row>
    <row r="163">
      <c r="G163" s="34" t="inlineStr">
        <is>
          <t>2026-02-05</t>
        </is>
      </c>
      <c r="H163" t="n">
        <v>91.31</v>
      </c>
      <c r="J163" t="n">
        <v>25642.8</v>
      </c>
    </row>
    <row r="164">
      <c r="G164" s="34" t="inlineStr">
        <is>
          <t>2026-02-04</t>
        </is>
      </c>
      <c r="H164" t="n">
        <v>91.84</v>
      </c>
      <c r="J164" t="n">
        <v>25776</v>
      </c>
    </row>
    <row r="165">
      <c r="G165" s="34" t="inlineStr">
        <is>
          <t>2026-02-03</t>
        </is>
      </c>
      <c r="H165" t="n">
        <v>91.06999999999999</v>
      </c>
      <c r="J165" t="n">
        <v>25727.55</v>
      </c>
    </row>
    <row r="166">
      <c r="G166" s="34" t="inlineStr">
        <is>
          <t>2026-02-02</t>
        </is>
      </c>
      <c r="H166" t="n">
        <v>89.7</v>
      </c>
      <c r="J166" t="n">
        <v>25088.4</v>
      </c>
    </row>
    <row r="167">
      <c r="G167" s="34" t="inlineStr">
        <is>
          <t>2026-02-01</t>
        </is>
      </c>
      <c r="H167" t="n">
        <v>89.73</v>
      </c>
      <c r="J167" t="n">
        <v>25320.65</v>
      </c>
    </row>
    <row r="168">
      <c r="G168" s="34" t="inlineStr">
        <is>
          <t>2026-01-30</t>
        </is>
      </c>
      <c r="H168" t="n">
        <v>90.83</v>
      </c>
      <c r="J168" t="n">
        <v>25320.65</v>
      </c>
    </row>
    <row r="169">
      <c r="G169" s="34" t="inlineStr">
        <is>
          <t>2026-01-29</t>
        </is>
      </c>
      <c r="H169" t="n">
        <v>88.02</v>
      </c>
      <c r="J169" t="n">
        <v>25418.9</v>
      </c>
    </row>
    <row r="170">
      <c r="G170" s="34" t="inlineStr">
        <is>
          <t>2026-01-28</t>
        </is>
      </c>
      <c r="H170" t="n">
        <v>89.16</v>
      </c>
      <c r="J170" t="n">
        <v>25342.75</v>
      </c>
    </row>
    <row r="171">
      <c r="G171" s="34" t="inlineStr">
        <is>
          <t>2026-01-27</t>
        </is>
      </c>
      <c r="H171" t="n">
        <v>88.63</v>
      </c>
      <c r="J171" t="n">
        <v>25175.4</v>
      </c>
    </row>
    <row r="172">
      <c r="G172" s="34" t="inlineStr">
        <is>
          <t>2026-01-23</t>
        </is>
      </c>
      <c r="H172" t="n">
        <v>88.34999999999999</v>
      </c>
      <c r="J172" t="n">
        <v>25048.65</v>
      </c>
    </row>
    <row r="173">
      <c r="G173" s="34" t="inlineStr">
        <is>
          <t>2026-01-22</t>
        </is>
      </c>
      <c r="H173" t="n">
        <v>90.55</v>
      </c>
      <c r="J173" t="n">
        <v>25289.9</v>
      </c>
    </row>
    <row r="174">
      <c r="G174" s="34" t="inlineStr">
        <is>
          <t>2026-01-21</t>
        </is>
      </c>
      <c r="H174" t="n">
        <v>89.14</v>
      </c>
      <c r="J174" t="n">
        <v>25157.5</v>
      </c>
    </row>
    <row r="175">
      <c r="G175" s="34" t="inlineStr">
        <is>
          <t>2026-01-20</t>
        </is>
      </c>
      <c r="H175" t="n">
        <v>89.78</v>
      </c>
      <c r="J175" t="n">
        <v>25232.5</v>
      </c>
    </row>
    <row r="176">
      <c r="G176" s="34" t="inlineStr">
        <is>
          <t>2026-01-19</t>
        </is>
      </c>
      <c r="H176" t="n">
        <v>91.34999999999999</v>
      </c>
      <c r="J176" t="n">
        <v>25585.5</v>
      </c>
    </row>
    <row r="177">
      <c r="G177" s="34" t="inlineStr">
        <is>
          <t>2026-01-16</t>
        </is>
      </c>
      <c r="H177" t="n">
        <v>92.39</v>
      </c>
      <c r="J177" t="n">
        <v>25694.35</v>
      </c>
    </row>
    <row r="178">
      <c r="G178" s="34" t="inlineStr">
        <is>
          <t>2026-01-14</t>
        </is>
      </c>
      <c r="H178" t="n">
        <v>93.48999999999999</v>
      </c>
      <c r="J178" t="n">
        <v>25665.6</v>
      </c>
    </row>
    <row r="179">
      <c r="G179" s="34" t="inlineStr">
        <is>
          <t>2026-01-13</t>
        </is>
      </c>
      <c r="H179" t="n">
        <v>94.23</v>
      </c>
      <c r="J179" t="n">
        <v>25732.3</v>
      </c>
    </row>
    <row r="180">
      <c r="G180" s="34" t="inlineStr">
        <is>
          <t>2026-01-12</t>
        </is>
      </c>
      <c r="H180" t="n">
        <v>93.48999999999999</v>
      </c>
      <c r="J180" t="n">
        <v>25790.25</v>
      </c>
    </row>
    <row r="181">
      <c r="G181" s="34" t="inlineStr">
        <is>
          <t>2026-01-09</t>
        </is>
      </c>
      <c r="H181" t="n">
        <v>93.52</v>
      </c>
      <c r="J181" t="n">
        <v>25683.3</v>
      </c>
    </row>
    <row r="182">
      <c r="G182" s="34" t="inlineStr">
        <is>
          <t>2026-01-08</t>
        </is>
      </c>
      <c r="H182" t="n">
        <v>94.91</v>
      </c>
      <c r="J182" t="n">
        <v>25876.85</v>
      </c>
    </row>
    <row r="183">
      <c r="G183" s="34" t="inlineStr">
        <is>
          <t>2026-01-07</t>
        </is>
      </c>
      <c r="H183" t="n">
        <v>95.89</v>
      </c>
      <c r="J183" t="n">
        <v>26140.75</v>
      </c>
    </row>
    <row r="184">
      <c r="G184" s="34" t="inlineStr">
        <is>
          <t>2026-01-06</t>
        </is>
      </c>
      <c r="H184" t="n">
        <v>96.95</v>
      </c>
      <c r="J184" t="n">
        <v>26178.7</v>
      </c>
    </row>
    <row r="185">
      <c r="G185" s="34" t="inlineStr">
        <is>
          <t>2026-01-05</t>
        </is>
      </c>
      <c r="H185" t="n">
        <v>97.45</v>
      </c>
      <c r="J185" t="n">
        <v>26250.3</v>
      </c>
    </row>
    <row r="186">
      <c r="G186" s="34" t="inlineStr">
        <is>
          <t>2026-01-02</t>
        </is>
      </c>
      <c r="H186" t="n">
        <v>96.62</v>
      </c>
      <c r="J186" t="n">
        <v>26328.55</v>
      </c>
    </row>
    <row r="187">
      <c r="G187" s="34" t="inlineStr">
        <is>
          <t>2026-01-01</t>
        </is>
      </c>
      <c r="H187" t="n">
        <v>96.11</v>
      </c>
      <c r="J187" t="n">
        <v>26146.55</v>
      </c>
    </row>
    <row r="188">
      <c r="G188" s="34" t="inlineStr">
        <is>
          <t>2025-12-31</t>
        </is>
      </c>
      <c r="H188" t="n">
        <v>94.33</v>
      </c>
      <c r="J188" t="n">
        <v>26129.6</v>
      </c>
    </row>
    <row r="189">
      <c r="G189" s="34" t="inlineStr">
        <is>
          <t>2025-12-30</t>
        </is>
      </c>
      <c r="H189" t="n">
        <v>94.17</v>
      </c>
      <c r="J189" t="n">
        <v>25938.85</v>
      </c>
    </row>
    <row r="190">
      <c r="G190" s="34" t="inlineStr">
        <is>
          <t>2025-12-29</t>
        </is>
      </c>
      <c r="H190" t="n">
        <v>94.17</v>
      </c>
      <c r="J190" t="n">
        <v>25942.1</v>
      </c>
    </row>
    <row r="191">
      <c r="G191" s="34" t="inlineStr">
        <is>
          <t>2025-12-26</t>
        </is>
      </c>
      <c r="H191" t="n">
        <v>95.13</v>
      </c>
      <c r="J191" t="n">
        <v>26042.3</v>
      </c>
    </row>
    <row r="192">
      <c r="G192" s="34" t="inlineStr">
        <is>
          <t>2025-12-24</t>
        </is>
      </c>
      <c r="H192" t="n">
        <v>95.16</v>
      </c>
      <c r="J192" t="n">
        <v>26142.1</v>
      </c>
    </row>
    <row r="193">
      <c r="G193" s="34" t="inlineStr">
        <is>
          <t>2025-12-23</t>
        </is>
      </c>
      <c r="H193" t="n">
        <v>95.84999999999999</v>
      </c>
      <c r="J193" t="n">
        <v>26177.15</v>
      </c>
    </row>
    <row r="194">
      <c r="G194" s="34" t="inlineStr">
        <is>
          <t>2025-12-22</t>
        </is>
      </c>
      <c r="H194" t="n">
        <v>95.90000000000001</v>
      </c>
      <c r="J194" t="n">
        <v>26172.4</v>
      </c>
    </row>
    <row r="195">
      <c r="G195" s="34" t="inlineStr">
        <is>
          <t>2025-12-19</t>
        </is>
      </c>
      <c r="H195" t="n">
        <v>95.31</v>
      </c>
      <c r="J195" t="n">
        <v>25966.4</v>
      </c>
    </row>
    <row r="196">
      <c r="G196" s="34" t="inlineStr">
        <is>
          <t>2025-12-18</t>
        </is>
      </c>
      <c r="H196" t="n">
        <v>95.04000000000001</v>
      </c>
      <c r="J196" t="n">
        <v>25815.55</v>
      </c>
    </row>
    <row r="197">
      <c r="G197" s="34" t="inlineStr">
        <is>
          <t>2025-12-17</t>
        </is>
      </c>
      <c r="H197" t="n">
        <v>94.59</v>
      </c>
      <c r="J197" t="n">
        <v>25818.55</v>
      </c>
    </row>
    <row r="198">
      <c r="G198" s="34" t="inlineStr">
        <is>
          <t>2025-12-16</t>
        </is>
      </c>
      <c r="H198" t="n">
        <v>95.44</v>
      </c>
      <c r="J198" t="n">
        <v>25860.1</v>
      </c>
    </row>
    <row r="199">
      <c r="G199" s="34" t="inlineStr">
        <is>
          <t>2025-12-15</t>
        </is>
      </c>
      <c r="H199" t="n">
        <v>95.79000000000001</v>
      </c>
      <c r="J199" t="n">
        <v>26027.3</v>
      </c>
    </row>
    <row r="200">
      <c r="G200" s="34" t="inlineStr">
        <is>
          <t>2025-12-12</t>
        </is>
      </c>
      <c r="H200" t="n">
        <v>95.63</v>
      </c>
      <c r="J200" t="n">
        <v>26046.95</v>
      </c>
    </row>
    <row r="201">
      <c r="G201" s="34" t="inlineStr">
        <is>
          <t>2025-12-11</t>
        </is>
      </c>
      <c r="H201" t="n">
        <v>95.81999999999999</v>
      </c>
      <c r="J201" t="n">
        <v>25898.55</v>
      </c>
    </row>
    <row r="202">
      <c r="G202" s="34" t="inlineStr">
        <is>
          <t>2025-12-10</t>
        </is>
      </c>
      <c r="H202" t="n">
        <v>96.23</v>
      </c>
      <c r="J202" t="n">
        <v>25758</v>
      </c>
    </row>
    <row r="203">
      <c r="G203" s="34" t="inlineStr">
        <is>
          <t>2025-12-09</t>
        </is>
      </c>
      <c r="H203" t="n">
        <v>95.53</v>
      </c>
      <c r="J203" t="n">
        <v>25839.65</v>
      </c>
    </row>
    <row r="204">
      <c r="G204" s="34" t="inlineStr">
        <is>
          <t>2025-12-08</t>
        </is>
      </c>
      <c r="H204" t="n">
        <v>93.65000000000001</v>
      </c>
      <c r="J204" t="n">
        <v>25960.55</v>
      </c>
    </row>
    <row r="205">
      <c r="G205" s="34" t="inlineStr">
        <is>
          <t>2025-12-05</t>
        </is>
      </c>
      <c r="H205" t="n">
        <v>95.55</v>
      </c>
      <c r="J205" t="n">
        <v>26186.45</v>
      </c>
    </row>
    <row r="206">
      <c r="G206" s="34" t="inlineStr">
        <is>
          <t>2025-12-04</t>
        </is>
      </c>
      <c r="H206" t="n">
        <v>96.31</v>
      </c>
      <c r="J206" t="n">
        <v>26033.75</v>
      </c>
    </row>
    <row r="207">
      <c r="G207" s="34" t="inlineStr">
        <is>
          <t>2025-12-03</t>
        </is>
      </c>
      <c r="H207" t="n">
        <v>96.97</v>
      </c>
      <c r="J207" t="n">
        <v>25986</v>
      </c>
    </row>
    <row r="208">
      <c r="G208" s="34" t="inlineStr">
        <is>
          <t>2025-12-02</t>
        </is>
      </c>
      <c r="H208" t="n">
        <v>97.02</v>
      </c>
      <c r="J208" t="n">
        <v>26032.2</v>
      </c>
    </row>
    <row r="209">
      <c r="G209" s="34" t="inlineStr">
        <is>
          <t>2025-12-01</t>
        </is>
      </c>
      <c r="H209" t="n">
        <v>104.49</v>
      </c>
      <c r="J209" t="n">
        <v>26175.75</v>
      </c>
    </row>
    <row r="210">
      <c r="G210" s="34" t="inlineStr">
        <is>
          <t>2025-11-28</t>
        </is>
      </c>
      <c r="H210" t="n">
        <v>105.07</v>
      </c>
      <c r="J210" t="n">
        <v>26202.95</v>
      </c>
    </row>
    <row r="211">
      <c r="G211" s="34" t="inlineStr">
        <is>
          <t>2025-11-27</t>
        </is>
      </c>
      <c r="H211" t="n">
        <v>105.35</v>
      </c>
      <c r="J211" t="n">
        <v>26215.55</v>
      </c>
    </row>
    <row r="212">
      <c r="G212" s="34" t="inlineStr">
        <is>
          <t>2025-11-26</t>
        </is>
      </c>
      <c r="H212" t="n">
        <v>105</v>
      </c>
      <c r="J212" t="n">
        <v>26205.3</v>
      </c>
    </row>
    <row r="213">
      <c r="G213" s="34" t="inlineStr">
        <is>
          <t>2025-11-25</t>
        </is>
      </c>
      <c r="H213" t="n">
        <v>104.96</v>
      </c>
      <c r="J213" t="n">
        <v>25884.8</v>
      </c>
    </row>
    <row r="214">
      <c r="G214" s="34" t="inlineStr">
        <is>
          <t>2025-11-24</t>
        </is>
      </c>
      <c r="H214" t="n">
        <v>105.76</v>
      </c>
      <c r="J214" t="n">
        <v>25959.5</v>
      </c>
    </row>
    <row r="215">
      <c r="G215" s="34" t="inlineStr">
        <is>
          <t>2025-11-21</t>
        </is>
      </c>
      <c r="H215" t="n">
        <v>105.53</v>
      </c>
      <c r="J215" t="n">
        <v>26068.15</v>
      </c>
    </row>
    <row r="216">
      <c r="G216" s="34" t="inlineStr">
        <is>
          <t>2025-11-20</t>
        </is>
      </c>
      <c r="H216" t="n">
        <v>106.41</v>
      </c>
      <c r="J216" t="n">
        <v>26192.15</v>
      </c>
    </row>
    <row r="217">
      <c r="G217" s="34" t="inlineStr">
        <is>
          <t>2025-11-19</t>
        </is>
      </c>
      <c r="H217" t="n">
        <v>106.06</v>
      </c>
      <c r="J217" t="n">
        <v>26052.65</v>
      </c>
    </row>
    <row r="218">
      <c r="G218" s="34" t="inlineStr">
        <is>
          <t>2025-11-18</t>
        </is>
      </c>
      <c r="H218" t="n">
        <v>106.58</v>
      </c>
      <c r="J218" t="n">
        <v>25910.05</v>
      </c>
    </row>
    <row r="219">
      <c r="G219" s="34" t="inlineStr">
        <is>
          <t>2025-11-17</t>
        </is>
      </c>
      <c r="H219" t="n">
        <v>107.39</v>
      </c>
      <c r="J219" t="n">
        <v>26013.45</v>
      </c>
    </row>
    <row r="220">
      <c r="G220" s="34" t="inlineStr">
        <is>
          <t>2025-11-14</t>
        </is>
      </c>
      <c r="H220" t="n">
        <v>107.54</v>
      </c>
      <c r="J220" t="n">
        <v>25910.05</v>
      </c>
    </row>
    <row r="221">
      <c r="G221" s="34" t="inlineStr">
        <is>
          <t>2025-11-13</t>
        </is>
      </c>
      <c r="H221" t="n">
        <v>107.64</v>
      </c>
      <c r="J221" t="n">
        <v>25879.15</v>
      </c>
    </row>
    <row r="222">
      <c r="G222" s="34" t="inlineStr">
        <is>
          <t>2025-11-12</t>
        </is>
      </c>
      <c r="H222" t="n">
        <v>108.03</v>
      </c>
      <c r="J222" t="n">
        <v>25875.8</v>
      </c>
    </row>
    <row r="223">
      <c r="G223" s="34" t="inlineStr">
        <is>
          <t>2025-11-11</t>
        </is>
      </c>
      <c r="H223" t="n">
        <v>107.68</v>
      </c>
      <c r="J223" t="n">
        <v>25694.95</v>
      </c>
    </row>
    <row r="224">
      <c r="G224" s="34" t="inlineStr">
        <is>
          <t>2025-11-10</t>
        </is>
      </c>
      <c r="H224" t="n">
        <v>108.26</v>
      </c>
      <c r="J224" t="n">
        <v>25574.35</v>
      </c>
    </row>
    <row r="225">
      <c r="G225" s="34" t="inlineStr">
        <is>
          <t>2025-11-07</t>
        </is>
      </c>
      <c r="H225" t="n">
        <v>109.5</v>
      </c>
      <c r="J225" t="n">
        <v>25492.3</v>
      </c>
    </row>
    <row r="226">
      <c r="G226" s="34" t="inlineStr">
        <is>
          <t>2025-11-06</t>
        </is>
      </c>
      <c r="H226" t="n">
        <v>109.38</v>
      </c>
      <c r="J226" t="n">
        <v>25509.7</v>
      </c>
    </row>
    <row r="227">
      <c r="G227" s="34" t="inlineStr">
        <is>
          <t>2025-11-04</t>
        </is>
      </c>
      <c r="H227" t="n">
        <v>109.54</v>
      </c>
      <c r="J227" t="n">
        <v>25597.65</v>
      </c>
    </row>
    <row r="228">
      <c r="G228" s="34" t="inlineStr">
        <is>
          <t>2025-11-03</t>
        </is>
      </c>
      <c r="H228" t="n">
        <v>109.91</v>
      </c>
      <c r="J228" t="n">
        <v>25763.35</v>
      </c>
    </row>
    <row r="229">
      <c r="G229" s="34" t="inlineStr">
        <is>
          <t>2025-10-31</t>
        </is>
      </c>
      <c r="H229" t="n">
        <v>110.21</v>
      </c>
      <c r="J229" t="n">
        <v>25722.1</v>
      </c>
    </row>
    <row r="230">
      <c r="G230" s="34" t="inlineStr">
        <is>
          <t>2025-10-30</t>
        </is>
      </c>
      <c r="H230" t="n">
        <v>110.72</v>
      </c>
      <c r="J230" t="n">
        <v>25877.85</v>
      </c>
    </row>
    <row r="231">
      <c r="G231" s="34" t="inlineStr">
        <is>
          <t>2025-10-29</t>
        </is>
      </c>
      <c r="H231" t="n">
        <v>110.65</v>
      </c>
      <c r="J231" t="n">
        <v>26053.9</v>
      </c>
    </row>
    <row r="232">
      <c r="G232" s="34" t="inlineStr">
        <is>
          <t>2025-10-28</t>
        </is>
      </c>
      <c r="H232" t="n">
        <v>109.01</v>
      </c>
      <c r="J232" t="n">
        <v>25936.2</v>
      </c>
    </row>
    <row r="233">
      <c r="G233" s="34" t="inlineStr">
        <is>
          <t>2025-10-27</t>
        </is>
      </c>
      <c r="H233" t="n">
        <v>109.82</v>
      </c>
      <c r="J233" t="n">
        <v>25966.05</v>
      </c>
    </row>
    <row r="234">
      <c r="G234" s="34" t="inlineStr">
        <is>
          <t>2025-10-24</t>
        </is>
      </c>
      <c r="H234" t="n">
        <v>110.21</v>
      </c>
      <c r="J234" t="n">
        <v>25795.15</v>
      </c>
    </row>
    <row r="235">
      <c r="G235" s="34" t="inlineStr">
        <is>
          <t>2025-10-23</t>
        </is>
      </c>
      <c r="H235" t="n">
        <v>110.2</v>
      </c>
      <c r="J235" t="n">
        <v>25891.4</v>
      </c>
    </row>
    <row r="236">
      <c r="G236" s="34" t="inlineStr">
        <is>
          <t>2025-10-21</t>
        </is>
      </c>
      <c r="H236" t="n">
        <v>110.7</v>
      </c>
      <c r="J236" t="n">
        <v>25868.6</v>
      </c>
    </row>
    <row r="237">
      <c r="G237" s="34" t="inlineStr">
        <is>
          <t>2025-10-20</t>
        </is>
      </c>
      <c r="H237" t="n">
        <v>109.05</v>
      </c>
      <c r="J237" t="n">
        <v>25843.15</v>
      </c>
    </row>
    <row r="238">
      <c r="G238" s="34" t="inlineStr">
        <is>
          <t>2025-10-17</t>
        </is>
      </c>
      <c r="H238" t="n">
        <v>109.43</v>
      </c>
      <c r="J238" t="n">
        <v>25709.85</v>
      </c>
    </row>
    <row r="239">
      <c r="G239" s="34" t="inlineStr">
        <is>
          <t>2025-10-16</t>
        </is>
      </c>
      <c r="H239" t="n">
        <v>110.04</v>
      </c>
      <c r="J239" t="n">
        <v>25585.3</v>
      </c>
    </row>
    <row r="240">
      <c r="G240" s="34" t="inlineStr">
        <is>
          <t>2025-10-15</t>
        </is>
      </c>
      <c r="H240" t="n">
        <v>110.13</v>
      </c>
      <c r="J240" t="n">
        <v>25323.55</v>
      </c>
    </row>
    <row r="241">
      <c r="G241" s="34" t="inlineStr">
        <is>
          <t>2025-10-14</t>
        </is>
      </c>
      <c r="H241" t="n">
        <v>107.23</v>
      </c>
      <c r="J241" t="n">
        <v>25145.5</v>
      </c>
    </row>
    <row r="242">
      <c r="G242" s="34" t="inlineStr">
        <is>
          <t>2025-10-13</t>
        </is>
      </c>
      <c r="H242" t="n">
        <v>108.72</v>
      </c>
      <c r="J242" t="n">
        <v>25227.35</v>
      </c>
    </row>
    <row r="243">
      <c r="G243" s="34" t="inlineStr">
        <is>
          <t>2025-10-10</t>
        </is>
      </c>
      <c r="H243" t="n">
        <v>110</v>
      </c>
      <c r="J243" t="n">
        <v>25285.35</v>
      </c>
    </row>
    <row r="244">
      <c r="G244" s="34" t="inlineStr">
        <is>
          <t>2025-10-09</t>
        </is>
      </c>
      <c r="H244" t="n">
        <v>110.09</v>
      </c>
      <c r="J244" t="n">
        <v>25181.8</v>
      </c>
    </row>
    <row r="245">
      <c r="G245" s="34" t="inlineStr">
        <is>
          <t>2025-10-08</t>
        </is>
      </c>
      <c r="H245" t="n">
        <v>110.55</v>
      </c>
      <c r="J245" t="n">
        <v>25046.15</v>
      </c>
    </row>
    <row r="246">
      <c r="G246" s="34" t="inlineStr">
        <is>
          <t>2025-10-07</t>
        </is>
      </c>
      <c r="H246" t="n">
        <v>111.1</v>
      </c>
      <c r="J246" t="n">
        <v>25108.3</v>
      </c>
    </row>
    <row r="247">
      <c r="G247" s="34" t="inlineStr">
        <is>
          <t>2025-10-06</t>
        </is>
      </c>
      <c r="H247" t="n">
        <v>111.77</v>
      </c>
      <c r="J247" t="n">
        <v>25077.65</v>
      </c>
    </row>
    <row r="248">
      <c r="G248" s="34" t="inlineStr">
        <is>
          <t>2025-10-03</t>
        </is>
      </c>
      <c r="H248" t="n">
        <v>111.51</v>
      </c>
      <c r="J248" t="n">
        <v>24894.25</v>
      </c>
    </row>
    <row r="249">
      <c r="G249" s="161" t="inlineStr">
        <is>
          <t>2025-10-01</t>
        </is>
      </c>
      <c r="H249" t="n">
        <v>111.47</v>
      </c>
      <c r="J249" t="n">
        <v>24836.3</v>
      </c>
    </row>
    <row r="250">
      <c r="G250" s="161" t="inlineStr">
        <is>
          <t>2025-09-30</t>
        </is>
      </c>
      <c r="H250" t="n">
        <v>110.01</v>
      </c>
      <c r="J250" t="n">
        <v>24611.1</v>
      </c>
    </row>
    <row r="251">
      <c r="G251" s="161" t="inlineStr">
        <is>
          <t>2025-09-29</t>
        </is>
      </c>
      <c r="H251" t="n">
        <v>111.61</v>
      </c>
      <c r="J251" t="n">
        <v>24634.9</v>
      </c>
    </row>
    <row r="252">
      <c r="G252" s="161" t="n">
        <v>45919</v>
      </c>
      <c r="H252" t="n">
        <v>15864</v>
      </c>
      <c r="J252" t="n">
        <v>25327.05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76" min="1" max="1"/>
    <col width="17.109375" customWidth="1" style="176" min="2" max="2"/>
    <col width="10.6640625" customWidth="1" style="176" min="3" max="3"/>
    <col width="9.44140625" bestFit="1" customWidth="1" style="176" min="4" max="4"/>
    <col width="11.21875" customWidth="1" style="176" min="5" max="5"/>
    <col width="11.88671875" bestFit="1" customWidth="1" style="176" min="6" max="6"/>
    <col width="9.5546875" bestFit="1" customWidth="1" style="176" min="7" max="7"/>
    <col width="12.109375" customWidth="1" style="176" min="8" max="8"/>
    <col width="10.44140625" bestFit="1" customWidth="1" style="176" min="11" max="13"/>
    <col width="12.109375" customWidth="1" style="176" min="15" max="16"/>
    <col width="12.88671875" bestFit="1" customWidth="1" style="176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76"/>
    <row r="9">
      <c r="B9" s="84" t="n"/>
      <c r="C9" s="84" t="n"/>
      <c r="D9" s="183" t="inlineStr">
        <is>
          <t>Market Data</t>
        </is>
      </c>
      <c r="E9" s="200" t="n"/>
      <c r="F9" s="200" t="n"/>
      <c r="G9" s="200" t="n"/>
      <c r="H9" s="200" t="n"/>
      <c r="I9" s="200" t="n"/>
      <c r="J9" s="84" t="n"/>
      <c r="K9" s="183" t="inlineStr">
        <is>
          <t>Financials</t>
        </is>
      </c>
      <c r="L9" s="200" t="n"/>
      <c r="M9" s="200" t="n"/>
      <c r="N9" s="84" t="n"/>
      <c r="O9" s="183" t="inlineStr">
        <is>
          <t>Valuation</t>
        </is>
      </c>
      <c r="P9" s="200" t="n"/>
      <c r="Q9" s="200" t="n"/>
    </row>
    <row r="10" ht="30" customHeight="1" s="176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inlineStr">
        <is>
          <t>EV/Revenue</t>
        </is>
      </c>
      <c r="J10" s="84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76"/>
    <row r="12">
      <c r="B12" s="150">
        <f>'Raw FS'!L57</f>
        <v/>
      </c>
      <c r="C12" s="150" t="inlineStr">
        <is>
          <t>PIRAMALFIN</t>
        </is>
      </c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FS'!AS57</f>
        <v/>
      </c>
      <c r="H12" s="155">
        <f>'Raw FS'!AT57</f>
        <v/>
      </c>
      <c r="I12" s="150" t="inlineStr">
        <is>
          <t>N/A</t>
        </is>
      </c>
      <c r="J12" s="150" t="inlineStr">
        <is>
          <t>N/A</t>
        </is>
      </c>
      <c r="K12" s="155">
        <f>'Raw FS'!AU57</f>
        <v/>
      </c>
      <c r="L12" s="155">
        <f>'Raw FS'!AV57</f>
        <v/>
      </c>
      <c r="M12" s="155">
        <f>'Raw FS'!AW57</f>
        <v/>
      </c>
      <c r="N12" s="150" t="n"/>
      <c r="O12" s="151" t="inlineStr">
        <is>
          <t>N/A</t>
        </is>
      </c>
      <c r="P12" s="151" t="inlineStr">
        <is>
          <t>N/A</t>
        </is>
      </c>
      <c r="Q12" s="151">
        <f>IF(OR(ISBLANK(M12), M12&lt;=0), "N/A", IFERROR(F12/M12, "N/A"))</f>
        <v/>
      </c>
    </row>
    <row r="13">
      <c r="B13" s="150">
        <f>'Raw FS'!L58</f>
        <v/>
      </c>
      <c r="C13" s="150" t="inlineStr">
        <is>
          <t>LTF</t>
        </is>
      </c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FS'!AS58</f>
        <v/>
      </c>
      <c r="H13" s="155">
        <f>'Raw FS'!AT58</f>
        <v/>
      </c>
      <c r="I13" s="150" t="inlineStr">
        <is>
          <t>N/A</t>
        </is>
      </c>
      <c r="J13" s="150" t="inlineStr">
        <is>
          <t>N/A</t>
        </is>
      </c>
      <c r="K13" s="155">
        <f>'Raw FS'!AU58</f>
        <v/>
      </c>
      <c r="L13" s="155">
        <f>'Raw FS'!AV58</f>
        <v/>
      </c>
      <c r="M13" s="155">
        <f>'Raw FS'!AW58</f>
        <v/>
      </c>
      <c r="N13" s="150" t="n"/>
      <c r="O13" s="151" t="inlineStr">
        <is>
          <t>N/A</t>
        </is>
      </c>
      <c r="P13" s="151" t="inlineStr">
        <is>
          <t>N/A</t>
        </is>
      </c>
      <c r="Q13" s="151">
        <f>IF(OR(ISBLANK(M13), M13&lt;=0), "N/A", IFERROR(F13/M13, "N/A"))</f>
        <v/>
      </c>
    </row>
    <row r="14">
      <c r="B14" s="150">
        <f>'Raw FS'!L59</f>
        <v/>
      </c>
      <c r="C14" s="150" t="inlineStr">
        <is>
          <t>SUNDARMFIN</t>
        </is>
      </c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FS'!AS59</f>
        <v/>
      </c>
      <c r="H14" s="155">
        <f>'Raw FS'!AT59</f>
        <v/>
      </c>
      <c r="I14" s="150" t="inlineStr">
        <is>
          <t>N/A</t>
        </is>
      </c>
      <c r="J14" s="150" t="inlineStr">
        <is>
          <t>N/A</t>
        </is>
      </c>
      <c r="K14" s="155">
        <f>'Raw FS'!AU59</f>
        <v/>
      </c>
      <c r="L14" s="155">
        <f>'Raw FS'!AV59</f>
        <v/>
      </c>
      <c r="M14" s="155">
        <f>'Raw FS'!AW59</f>
        <v/>
      </c>
      <c r="N14" s="150" t="n"/>
      <c r="O14" s="151" t="inlineStr">
        <is>
          <t>N/A</t>
        </is>
      </c>
      <c r="P14" s="151" t="inlineStr">
        <is>
          <t>N/A</t>
        </is>
      </c>
      <c r="Q14" s="151">
        <f>IF(OR(ISBLANK(M14), M14&lt;=0), "N/A", IFERROR(F14/M14, "N/A"))</f>
        <v/>
      </c>
    </row>
    <row r="15">
      <c r="B15" s="150">
        <f>'Raw FS'!L60</f>
        <v/>
      </c>
      <c r="C15" s="150" t="inlineStr">
        <is>
          <t>MUTHOOTFIN</t>
        </is>
      </c>
      <c r="D15" s="155">
        <f>'Raw FS'!M60</f>
        <v/>
      </c>
      <c r="E15" s="155">
        <f>'Raw FS'!N60</f>
        <v/>
      </c>
      <c r="F15" s="155">
        <f>D15*E15</f>
        <v/>
      </c>
      <c r="G15" s="155">
        <f>'Raw FS'!AS60</f>
        <v/>
      </c>
      <c r="H15" s="155">
        <f>'Raw FS'!AT60</f>
        <v/>
      </c>
      <c r="I15" s="150" t="inlineStr">
        <is>
          <t>N/A</t>
        </is>
      </c>
      <c r="J15" s="150" t="inlineStr">
        <is>
          <t>N/A</t>
        </is>
      </c>
      <c r="K15" s="155">
        <f>'Raw FS'!AU60</f>
        <v/>
      </c>
      <c r="L15" s="155">
        <f>'Raw FS'!AV60</f>
        <v/>
      </c>
      <c r="M15" s="155">
        <f>'Raw FS'!AW60</f>
        <v/>
      </c>
      <c r="N15" s="150" t="n"/>
      <c r="O15" s="151" t="inlineStr">
        <is>
          <t>N/A</t>
        </is>
      </c>
      <c r="P15" s="151" t="inlineStr">
        <is>
          <t>N/A</t>
        </is>
      </c>
      <c r="Q15" s="151">
        <f>IF(OR(ISBLANK(M15), M15&lt;=0), "N/A", IFERROR(F15/M15, "N/A"))</f>
        <v/>
      </c>
    </row>
    <row r="16">
      <c r="B16" s="150">
        <f>'Raw FS'!L61</f>
        <v/>
      </c>
      <c r="C16" s="150" t="inlineStr">
        <is>
          <t>SHRIRAMFIN</t>
        </is>
      </c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FS'!AS61</f>
        <v/>
      </c>
      <c r="H16" s="155">
        <f>'Raw FS'!AT61</f>
        <v/>
      </c>
      <c r="I16" s="150" t="inlineStr">
        <is>
          <t>N/A</t>
        </is>
      </c>
      <c r="J16" s="150" t="inlineStr">
        <is>
          <t>N/A</t>
        </is>
      </c>
      <c r="K16" s="155">
        <f>'Raw FS'!AU61</f>
        <v/>
      </c>
      <c r="L16" s="155">
        <f>'Raw FS'!AV61</f>
        <v/>
      </c>
      <c r="M16" s="155">
        <f>'Raw FS'!AW61</f>
        <v/>
      </c>
      <c r="N16" s="150" t="n"/>
      <c r="O16" s="151" t="inlineStr">
        <is>
          <t>N/A</t>
        </is>
      </c>
      <c r="P16" s="151" t="inlineStr">
        <is>
          <t>N/A</t>
        </is>
      </c>
      <c r="Q16" s="151">
        <f>IF(OR(ISBLANK(M16), M16&lt;=0), "N/A", IFERROR(F16/M16, "N/A"))</f>
        <v/>
      </c>
    </row>
    <row r="17">
      <c r="B17" s="150">
        <f>'Raw FS'!L62</f>
        <v/>
      </c>
      <c r="C17" s="150" t="inlineStr">
        <is>
          <t>AADHARHFC</t>
        </is>
      </c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FS'!AS62</f>
        <v/>
      </c>
      <c r="H17" s="155">
        <f>'Raw FS'!AT62</f>
        <v/>
      </c>
      <c r="I17" s="150" t="inlineStr">
        <is>
          <t>N/A</t>
        </is>
      </c>
      <c r="J17" s="150" t="inlineStr">
        <is>
          <t>N/A</t>
        </is>
      </c>
      <c r="K17" s="155">
        <f>'Raw FS'!AU62</f>
        <v/>
      </c>
      <c r="L17" s="155">
        <f>'Raw FS'!AV62</f>
        <v/>
      </c>
      <c r="M17" s="155">
        <f>'Raw FS'!AW62</f>
        <v/>
      </c>
      <c r="N17" s="150" t="n"/>
      <c r="O17" s="151" t="inlineStr">
        <is>
          <t>N/A</t>
        </is>
      </c>
      <c r="P17" s="151" t="inlineStr">
        <is>
          <t>N/A</t>
        </is>
      </c>
      <c r="Q17" s="151">
        <f>IF(OR(ISBLANK(M17), M17&lt;=0), "N/A", IFERROR(F17/M17, "N/A"))</f>
        <v/>
      </c>
    </row>
    <row r="18">
      <c r="B18" s="150">
        <f>'Raw FS'!L63</f>
        <v/>
      </c>
      <c r="C18" s="150" t="inlineStr">
        <is>
          <t>SAMMAANCAP</t>
        </is>
      </c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FS'!AS63</f>
        <v/>
      </c>
      <c r="H18" s="155">
        <f>'Raw FS'!AT63</f>
        <v/>
      </c>
      <c r="I18" s="150" t="inlineStr">
        <is>
          <t>N/A</t>
        </is>
      </c>
      <c r="J18" s="150" t="inlineStr">
        <is>
          <t>N/A</t>
        </is>
      </c>
      <c r="K18" s="155">
        <f>'Raw FS'!AU63</f>
        <v/>
      </c>
      <c r="L18" s="155">
        <f>'Raw FS'!AV63</f>
        <v/>
      </c>
      <c r="M18" s="155">
        <f>'Raw FS'!AW63</f>
        <v/>
      </c>
      <c r="N18" s="150" t="n"/>
      <c r="O18" s="151" t="inlineStr">
        <is>
          <t>N/A</t>
        </is>
      </c>
      <c r="P18" s="151" t="inlineStr">
        <is>
          <t>N/A</t>
        </is>
      </c>
      <c r="Q18" s="151">
        <f>IF(OR(ISBLANK(M18), M18&lt;=0), "N/A", IFERROR(F18/M18, "N/A"))</f>
        <v/>
      </c>
    </row>
    <row r="19">
      <c r="B19" s="150" t="n"/>
      <c r="C19" s="150" t="n"/>
      <c r="D19" s="155" t="n"/>
      <c r="E19" s="155" t="n"/>
      <c r="F19" s="155" t="n"/>
      <c r="G19" s="155" t="n"/>
      <c r="H19" s="155" t="n"/>
      <c r="I19" s="150" t="n"/>
      <c r="J19" s="150" t="n"/>
      <c r="K19" s="155" t="n"/>
      <c r="L19" s="155" t="n"/>
      <c r="M19" s="155" t="n"/>
      <c r="N19" s="150" t="n"/>
      <c r="O19" s="151" t="n"/>
      <c r="P19" s="151" t="n"/>
      <c r="Q19" s="151" t="n"/>
    </row>
    <row r="20">
      <c r="B20" s="150" t="n"/>
      <c r="C20" s="150" t="n"/>
      <c r="D20" s="155" t="n"/>
      <c r="E20" s="155" t="n"/>
      <c r="F20" s="155" t="n"/>
      <c r="G20" s="155" t="n"/>
      <c r="H20" s="155" t="n"/>
      <c r="I20" s="150" t="n"/>
      <c r="J20" s="150" t="n"/>
      <c r="K20" s="155" t="n"/>
      <c r="L20" s="155" t="n"/>
      <c r="M20" s="155" t="n"/>
      <c r="N20" s="150" t="n"/>
      <c r="O20" s="151" t="n"/>
      <c r="P20" s="151" t="n"/>
      <c r="Q20" s="151" t="n"/>
    </row>
    <row r="21">
      <c r="B21" s="150" t="n"/>
      <c r="C21" s="150" t="n"/>
      <c r="D21" s="155" t="n"/>
      <c r="E21" s="155" t="n"/>
      <c r="F21" s="155" t="n"/>
      <c r="G21" s="155" t="n"/>
      <c r="H21" s="155" t="n"/>
      <c r="I21" s="150" t="n"/>
      <c r="J21" s="150" t="n"/>
      <c r="K21" s="155" t="n"/>
      <c r="L21" s="155" t="n"/>
      <c r="M21" s="155" t="n"/>
      <c r="N21" s="150" t="n"/>
      <c r="O21" s="151" t="n"/>
      <c r="P21" s="151" t="n"/>
      <c r="Q21" s="151" t="n"/>
    </row>
    <row r="22" ht="6.6" customHeight="1" s="176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inlineStr">
        <is>
          <t>N/A</t>
        </is>
      </c>
      <c r="J23" s="79" t="inlineStr">
        <is>
          <t>N/A</t>
        </is>
      </c>
      <c r="K23" s="79" t="n"/>
      <c r="L23" s="79" t="n"/>
      <c r="M23" s="79" t="n"/>
      <c r="N23" s="79" t="n"/>
      <c r="O23" s="86" t="inlineStr">
        <is>
          <t>N/A</t>
        </is>
      </c>
      <c r="P23" s="86" t="inlineStr">
        <is>
          <t>N/A</t>
        </is>
      </c>
      <c r="Q23" s="86">
        <f>MAX(Q12:Q18)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inlineStr">
        <is>
          <t>N/A</t>
        </is>
      </c>
      <c r="J24" s="79" t="inlineStr">
        <is>
          <t>N/A</t>
        </is>
      </c>
      <c r="K24" s="79" t="n"/>
      <c r="L24" s="79" t="n"/>
      <c r="M24" s="79" t="n"/>
      <c r="N24" s="79" t="n"/>
      <c r="O24" s="87" t="inlineStr">
        <is>
          <t>N/A</t>
        </is>
      </c>
      <c r="P24" s="87" t="inlineStr">
        <is>
          <t>N/A</t>
        </is>
      </c>
      <c r="Q24" s="87">
        <f>_xlfn.QUARTILE.INC(Q12:Q18,1)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inlineStr">
        <is>
          <t>N/A</t>
        </is>
      </c>
      <c r="J25" s="152" t="inlineStr">
        <is>
          <t>N/A</t>
        </is>
      </c>
      <c r="K25" s="152" t="n"/>
      <c r="L25" s="152" t="n"/>
      <c r="M25" s="152" t="n"/>
      <c r="N25" s="152" t="n"/>
      <c r="O25" s="153" t="inlineStr">
        <is>
          <t>N/A</t>
        </is>
      </c>
      <c r="P25" s="153" t="inlineStr">
        <is>
          <t>N/A</t>
        </is>
      </c>
      <c r="Q25" s="153">
        <f>MEDIAN(Q12:Q18)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inlineStr">
        <is>
          <t>N/A</t>
        </is>
      </c>
      <c r="J26" s="152" t="inlineStr">
        <is>
          <t>N/A</t>
        </is>
      </c>
      <c r="K26" s="152" t="n"/>
      <c r="L26" s="152" t="n"/>
      <c r="M26" s="152" t="n"/>
      <c r="N26" s="152" t="n"/>
      <c r="O26" s="153" t="inlineStr">
        <is>
          <t>N/A</t>
        </is>
      </c>
      <c r="P26" s="153" t="inlineStr">
        <is>
          <t>N/A</t>
        </is>
      </c>
      <c r="Q26" s="153">
        <f>AVERAGE(Q12:Q18)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inlineStr">
        <is>
          <t>N/A</t>
        </is>
      </c>
      <c r="J27" s="79" t="inlineStr">
        <is>
          <t>N/A</t>
        </is>
      </c>
      <c r="K27" s="79" t="n"/>
      <c r="L27" s="79" t="n"/>
      <c r="M27" s="79" t="n"/>
      <c r="N27" s="79" t="n"/>
      <c r="O27" s="87" t="inlineStr">
        <is>
          <t>N/A</t>
        </is>
      </c>
      <c r="P27" s="87" t="inlineStr">
        <is>
          <t>N/A</t>
        </is>
      </c>
      <c r="Q27" s="87">
        <f>_xlfn.QUARTILE.INC(Q12:Q18,3)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inlineStr">
        <is>
          <t>N/A</t>
        </is>
      </c>
      <c r="J28" s="79" t="inlineStr">
        <is>
          <t>N/A</t>
        </is>
      </c>
      <c r="K28" s="79" t="n"/>
      <c r="L28" s="79" t="n"/>
      <c r="M28" s="79" t="n"/>
      <c r="N28" s="79" t="n"/>
      <c r="O28" s="86" t="inlineStr">
        <is>
          <t>N/A</t>
        </is>
      </c>
      <c r="P28" s="86" t="inlineStr">
        <is>
          <t>N/A</t>
        </is>
      </c>
      <c r="Q28" s="86">
        <f>MIN(Q12:Q18)</f>
        <v/>
      </c>
    </row>
    <row r="30">
      <c r="B30" s="84" t="inlineStr">
        <is>
          <t>Bajaj Housing Finance Ltd Comparable Valuation</t>
        </is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inlineStr">
        <is>
          <t>N/A</t>
        </is>
      </c>
      <c r="J32" s="150" t="inlineStr">
        <is>
          <t>N/A</t>
        </is>
      </c>
      <c r="K32" s="150" t="n"/>
      <c r="L32" s="150" t="n"/>
      <c r="M32" s="150" t="n"/>
      <c r="N32" s="150" t="n"/>
      <c r="O32" s="155" t="inlineStr">
        <is>
          <t>N/A</t>
        </is>
      </c>
      <c r="P32" s="155" t="inlineStr">
        <is>
          <t>N/A</t>
        </is>
      </c>
      <c r="Q32" s="155">
        <f>IF(OR('Raw FS'!AW56&lt;=0, Q25="N/A", ISBLANK(Q25)), "N/A", 'Raw FS'!AW56*Q25)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inlineStr">
        <is>
          <t>N/A</t>
        </is>
      </c>
      <c r="J33" s="150" t="inlineStr">
        <is>
          <t>N/A</t>
        </is>
      </c>
      <c r="K33" s="150" t="n"/>
      <c r="L33" s="150" t="n"/>
      <c r="M33" s="150" t="n"/>
      <c r="N33" s="150" t="n"/>
      <c r="O33" s="155" t="inlineStr">
        <is>
          <t>N/A</t>
        </is>
      </c>
      <c r="P33" s="155" t="inlineStr">
        <is>
          <t>N/A</t>
        </is>
      </c>
      <c r="Q33" s="155" t="n">
        <v>0</v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inlineStr">
        <is>
          <t>N/A</t>
        </is>
      </c>
      <c r="J34" s="150" t="inlineStr">
        <is>
          <t>N/A</t>
        </is>
      </c>
      <c r="K34" s="150" t="n"/>
      <c r="L34" s="150" t="n"/>
      <c r="M34" s="150" t="n"/>
      <c r="N34" s="150" t="n"/>
      <c r="O34" s="155" t="inlineStr">
        <is>
          <t>N/A</t>
        </is>
      </c>
      <c r="P34" s="155" t="inlineStr">
        <is>
          <t>N/A</t>
        </is>
      </c>
      <c r="Q34" s="155">
        <f>IF(Q32="N/A", "N/A", Q32)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inlineStr">
        <is>
          <t>N/A</t>
        </is>
      </c>
      <c r="J35" s="150" t="inlineStr">
        <is>
          <t>N/A</t>
        </is>
      </c>
      <c r="K35" s="150" t="n"/>
      <c r="L35" s="150" t="n"/>
      <c r="M35" s="150" t="n"/>
      <c r="N35" s="150" t="n"/>
      <c r="O35" s="155" t="inlineStr">
        <is>
          <t>N/A</t>
        </is>
      </c>
      <c r="P35" s="155" t="inlineStr">
        <is>
          <t>N/A</t>
        </is>
      </c>
      <c r="Q35" s="155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inlineStr">
        <is>
          <t>N/A</t>
        </is>
      </c>
      <c r="J37" s="152" t="inlineStr">
        <is>
          <t>N/A</t>
        </is>
      </c>
      <c r="K37" s="152" t="n"/>
      <c r="L37" s="152" t="n"/>
      <c r="M37" s="152" t="n"/>
      <c r="N37" s="152" t="n"/>
      <c r="O37" s="157" t="inlineStr">
        <is>
          <t>N/A</t>
        </is>
      </c>
      <c r="P37" s="157" t="inlineStr">
        <is>
          <t>N/A</t>
        </is>
      </c>
      <c r="Q37" s="157">
        <f>IF(OR(Q34="N/A", Q35="N/A", ISBLANK(Q35), Q35&lt;=0), "N/A", Q34/Q35)</f>
        <v/>
      </c>
    </row>
    <row r="38">
      <c r="B38" s="52" t="inlineStr">
        <is>
          <t>Current Market Price</t>
        </is>
      </c>
      <c r="O38">
        <f>'Raw FS'!M56</f>
        <v/>
      </c>
      <c r="P38">
        <f>'Raw FS'!M56</f>
        <v/>
      </c>
      <c r="Q38">
        <f>'Raw FS'!M56</f>
        <v/>
      </c>
    </row>
    <row r="39">
      <c r="B39" t="inlineStr">
        <is>
          <t>Upside / (Downside)</t>
        </is>
      </c>
      <c r="I39" t="inlineStr">
        <is>
          <t>N/A</t>
        </is>
      </c>
      <c r="J39" t="inlineStr">
        <is>
          <t>N/A</t>
        </is>
      </c>
      <c r="O39" t="inlineStr">
        <is>
          <t>N/A</t>
        </is>
      </c>
      <c r="P39" t="inlineStr">
        <is>
          <t>N/A</t>
        </is>
      </c>
      <c r="Q39">
        <f>IF(OR(Q37="N/A", ISBLANK(Q37), 'Raw FS'!M56&lt;=0), "N/A", IFERROR((Q37-'Raw FS'!M56)/'Raw FS'!M56, "N/A"))</f>
        <v/>
      </c>
    </row>
    <row r="40">
      <c r="B40" t="inlineStr">
        <is>
          <t>Valuation Range</t>
        </is>
      </c>
      <c r="O40">
        <f>IF(OR(O37="N/A", P37="N/A", Q37="N/A"), "N/A", TEXT(MIN(O37,P37,Q37),"[$₹-4009]#,##0") &amp; " - " &amp; TEXT(MAX(O37,P37,Q37),"[$₹-4009]#,##0"))</f>
        <v/>
      </c>
    </row>
    <row r="41">
      <c r="B41" t="inlineStr">
        <is>
          <t>Method Dispersion</t>
        </is>
      </c>
      <c r="O41">
        <f>IF(OR(O37="N/A", P37="N/A", Q37="N/A"), "N/A", TEXT((MAX(O37,P37,Q37)-MIN(O37,P37,Q37))/AVERAGE(O37,P37,Q37),"0.0%"))</f>
        <v/>
      </c>
    </row>
    <row r="42">
      <c r="B42" t="inlineStr">
        <is>
          <t>Confidence</t>
        </is>
      </c>
      <c r="O42" t="inlineStr">
        <is>
          <t>HIGH</t>
        </is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76" min="1" max="1"/>
    <col width="26.77734375" customWidth="1" style="176" min="2" max="2"/>
    <col width="11" bestFit="1" customWidth="1" style="176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1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- 114.00 &amp; low INR - 72.60)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76">
      <c r="B7" s="37" t="n"/>
    </row>
    <row r="8">
      <c r="B8" s="185" t="inlineStr">
        <is>
          <t>Bajaj Finance Limited (BFL) is an Indian deposit-taking non-banking financial company (NBFC-UL) headquartered in Pune. The same was formed as Bajaj Auto Finance Limited to finance Bajaj's two and three wheeler segments.</t>
        </is>
      </c>
    </row>
    <row r="9"/>
    <row r="10"/>
    <row r="11"/>
    <row r="13" ht="5.4" customHeight="1" s="176"/>
    <row r="15" ht="21" customHeight="1" s="176">
      <c r="B15" s="99" t="inlineStr">
        <is>
          <t>Financial Summary</t>
        </is>
      </c>
    </row>
    <row r="35" ht="18" customHeight="1" s="176">
      <c r="B35" s="101" t="inlineStr">
        <is>
          <t>Recent Updates</t>
        </is>
      </c>
    </row>
    <row r="37">
      <c r="A37" t="inlineStr">
        <is>
          <t>•</t>
        </is>
      </c>
      <c r="B37" s="184" t="inlineStr">
        <is>
          <t>Bajaj Housing Finance Q1 Results: Net profit jumps 23% YoY to Rs 715 crore, AUM surges 24%</t>
        </is>
      </c>
    </row>
    <row r="38"/>
    <row r="39">
      <c r="A39" t="inlineStr">
        <is>
          <t>•</t>
        </is>
      </c>
      <c r="B39" s="184" t="inlineStr">
        <is>
          <t>Bajaj Housing Finance shares rally 5% as Q1 AUM climbs 24% YoY</t>
        </is>
      </c>
    </row>
    <row r="40"/>
    <row r="41">
      <c r="A41" t="inlineStr">
        <is>
          <t>•</t>
        </is>
      </c>
      <c r="B41" s="184" t="inlineStr">
        <is>
          <t>Can IRDAI’s insurance reforms impact NBFCs? Jefferies warns L&amp;T Finance, Piramal Finance, others are most</t>
        </is>
      </c>
    </row>
    <row r="42"/>
    <row r="43">
      <c r="A43" t="inlineStr">
        <is>
          <t>•</t>
        </is>
      </c>
      <c r="B43" s="184" t="inlineStr">
        <is>
          <t>Why Jefferies sees limited upside in Bajaj Housing Finance despite its fast-growing loan book</t>
        </is>
      </c>
    </row>
    <row r="44"/>
    <row r="45">
      <c r="A45" t="inlineStr">
        <is>
          <t>•</t>
        </is>
      </c>
      <c r="B45" s="184" t="inlineStr">
        <is>
          <t>Bajaj Housing Finance - 15 largecap stocks still down 30–50% from their yearly highs. Do you own any?</t>
        </is>
      </c>
    </row>
    <row r="46"/>
    <row r="47">
      <c r="A47" t="inlineStr">
        <is>
          <t>•</t>
        </is>
      </c>
      <c r="B47" s="184" t="inlineStr">
        <is>
          <t>Bajaj Housing Finance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76"/>
    <row r="54" ht="30.6" customHeight="1" s="176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77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>
        <f>IF(OR(C61="N/A", ISBLANK(C61), C61&lt;=0), "N/A", IFERROR(C60/C61, "N/A"))</f>
        <v/>
      </c>
      <c r="D62" s="89">
        <f>IF(OR(D61="N/A", ISBLANK(D61), D61&lt;=0), "N/A", IFERROR(D60/D61, "N/A"))</f>
        <v/>
      </c>
      <c r="E62" s="90">
        <f>IF(OR(E61="N/A", ISBLANK(E61), E61&lt;=0), "N/A", IFERROR(E60/E61, "N/A"))</f>
        <v/>
      </c>
      <c r="F62" s="90">
        <f>IF(OR(F61="N/A", ISBLANK(F61), F61&lt;=0), "N/A", IFERROR(F60/F61, "N/A"))</f>
        <v/>
      </c>
      <c r="G62" s="90">
        <f>IF(OR(G61="N/A", ISBLANK(G61), G61&lt;=0), "N/A", IFERROR(G60/G61, "N/A"))</f>
        <v/>
      </c>
      <c r="H62" s="90">
        <f>IF(OR(H61="N/A", ISBLANK(H61), H61&lt;=0), "N/A", IFERROR(H60/H61, "N/A"))</f>
        <v/>
      </c>
      <c r="I62" s="90">
        <f>IF(OR(I61="N/A", ISBLANK(I61), I61&lt;=0), "N/A", IFERROR(I60/I61, "N/A"))</f>
        <v/>
      </c>
      <c r="J62">
        <f>IF(OR(J61="N/A", ISBLANK(J61), J61&lt;=0), "N/A", IFERROR(J60/J61, "N/A"))</f>
        <v/>
      </c>
      <c r="K62">
        <f>IF(OR(K61="N/A", ISBLANK(K61), K61&lt;=0), "N/A", IFERROR(K60/K61, "N/A"))</f>
        <v/>
      </c>
    </row>
    <row r="64">
      <c r="B64" s="177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>
        <f>IF(OR(C67="N/A", ISBLANK(C67), C67&lt;=0), "N/A", IFERROR(C66/C67, "N/A"))</f>
        <v/>
      </c>
      <c r="D68" s="89">
        <f>IF(OR(D67="N/A", ISBLANK(D67), D67&lt;=0), "N/A", IFERROR(D66/D67, "N/A"))</f>
        <v/>
      </c>
      <c r="E68" s="90">
        <f>IF(OR(E67="N/A", ISBLANK(E67), E67&lt;=0), "N/A", IFERROR(E66/E67, "N/A"))</f>
        <v/>
      </c>
      <c r="F68" s="90">
        <f>IF(OR(F67="N/A", ISBLANK(F67), F67&lt;=0), "N/A", IFERROR(F66/F67, "N/A"))</f>
        <v/>
      </c>
      <c r="G68" s="90">
        <f>IF(OR(G67="N/A", ISBLANK(G67), G67&lt;=0), "N/A", IFERROR(G66/G67, "N/A"))</f>
        <v/>
      </c>
      <c r="H68" s="90">
        <f>IF(OR(H67="N/A", ISBLANK(H67), H67&lt;=0), "N/A", IFERROR(H66/H67, "N/A"))</f>
        <v/>
      </c>
      <c r="I68" s="90">
        <f>IF(OR(I67="N/A", ISBLANK(I67), I67&lt;=0), "N/A", IFERROR(I66/I67, "N/A"))</f>
        <v/>
      </c>
      <c r="J68">
        <f>IF(OR(J67="N/A", ISBLANK(J67), J67&lt;=0), "N/A", IFERROR(J66/J67, "N/A"))</f>
        <v/>
      </c>
      <c r="K68">
        <f>IF(OR(K67="N/A", ISBLANK(K67), K67&lt;=0), "N/A", IFERROR(K66/K67, "N/A"))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>
        <f>IF(OR(C71="N/A", ISBLANK(C71), C71&lt;=0), "N/A", IFERROR(C70/C71, "N/A"))</f>
        <v/>
      </c>
      <c r="D72" s="89">
        <f>IF(OR(D71="N/A", ISBLANK(D71), D71&lt;=0), "N/A", IFERROR(D70/D71, "N/A"))</f>
        <v/>
      </c>
      <c r="E72" s="154">
        <f>IF(OR(E71="N/A", ISBLANK(E71), E71&lt;=0), "N/A", IFERROR(E70/E71, "N/A"))</f>
        <v/>
      </c>
      <c r="F72" s="154">
        <f>IF(OR(F71="N/A", ISBLANK(F71), F71&lt;=0), "N/A", IFERROR(F70/F71, "N/A"))</f>
        <v/>
      </c>
      <c r="G72" s="154">
        <f>IF(OR(G71="N/A", ISBLANK(G71), G71&lt;=0), "N/A", IFERROR(G70/G71, "N/A"))</f>
        <v/>
      </c>
      <c r="H72" s="154">
        <f>IF(OR(H71="N/A", ISBLANK(H71), H71&lt;=0), "N/A", IFERROR(H70/H71, "N/A"))</f>
        <v/>
      </c>
      <c r="I72" s="154">
        <f>IF(OR(I71="N/A", ISBLANK(I71), I71&lt;=0), "N/A", IFERROR(I70/I71, "N/A"))</f>
        <v/>
      </c>
      <c r="J72">
        <f>IF(OR(J71="N/A", ISBLANK(J71), J71&lt;=0), "N/A", IFERROR(J70/J71, "N/A"))</f>
        <v/>
      </c>
      <c r="K72">
        <f>IF(OR(K71="N/A", ISBLANK(K71), K71&lt;=0), "N/A", IFERROR(K70/K71, "N/A"))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>
        <f>IF(OR(C71="N/A", ISBLANK(C71), C71&lt;=0, C75="N/A", ISBLANK(C75), C75&lt;=0), "N/A", IFERROR(C74/C75, "N/A"))</f>
        <v/>
      </c>
      <c r="D76" s="89">
        <f>IF(OR(D71="N/A", ISBLANK(D71), D71&lt;=0, D75="N/A", ISBLANK(D75), D75&lt;=0), "N/A", IFERROR(D74/D75, "N/A"))</f>
        <v/>
      </c>
      <c r="E76" s="100">
        <f>IF(OR(E71="N/A", ISBLANK(E71), E71&lt;=0, E75="N/A", ISBLANK(E75), E75&lt;=0), "N/A", IFERROR(E74/E75, "N/A"))</f>
        <v/>
      </c>
      <c r="F76" s="100">
        <f>IF(OR(F71="N/A", ISBLANK(F71), F71&lt;=0, F75="N/A", ISBLANK(F75), F75&lt;=0), "N/A", IFERROR(F74/F75, "N/A"))</f>
        <v/>
      </c>
      <c r="G76" s="100">
        <f>IF(OR(G71="N/A", ISBLANK(G71), G71&lt;=0, G75="N/A", ISBLANK(G75), G75&lt;=0), "N/A", IFERROR(G74/G75, "N/A"))</f>
        <v/>
      </c>
      <c r="H76" s="100">
        <f>IF(OR(H71="N/A", ISBLANK(H71), H71&lt;=0, H75="N/A", ISBLANK(H75), H75&lt;=0), "N/A", IFERROR(H74/H75, "N/A"))</f>
        <v/>
      </c>
      <c r="I76" s="100">
        <f>IF(OR(I71="N/A", ISBLANK(I71), I71&lt;=0, I75="N/A", ISBLANK(I75), I75&lt;=0), "N/A", IFERROR(I74/I75, "N/A"))</f>
        <v/>
      </c>
      <c r="J76">
        <f>IF(OR(J71="N/A", ISBLANK(J71), J71&lt;=0, J75="N/A", ISBLANK(J75), J75&lt;=0), "N/A", IFERROR(J74/J75, "N/A"))</f>
        <v/>
      </c>
      <c r="K76">
        <f>IF(OR(K71="N/A", ISBLANK(K71), K71&lt;=0, K75="N/A", ISBLANK(K75), K75&lt;=0), "N/A", IFERROR(K74/K75, "N/A"))</f>
        <v/>
      </c>
    </row>
    <row r="78">
      <c r="B78" s="89" t="inlineStr">
        <is>
          <t>Return on Equity(A*B*C)</t>
        </is>
      </c>
      <c r="C78" s="89">
        <f>IF(OR(C68="N/A", C72="N/A", C76="N/A"), "N/A", IFERROR(C68*C72*C76, "N/A"))</f>
        <v/>
      </c>
      <c r="D78" s="89">
        <f>IF(OR(D68="N/A", D72="N/A", D76="N/A"), "N/A", IFERROR(D68*D72*D76, "N/A"))</f>
        <v/>
      </c>
      <c r="E78" s="90">
        <f>IF(OR(E68="N/A", E72="N/A", E76="N/A"), "N/A", IFERROR(E68*E72*E76, "N/A"))</f>
        <v/>
      </c>
      <c r="F78" s="90">
        <f>IF(OR(F68="N/A", F72="N/A", F76="N/A"), "N/A", IFERROR(F68*F72*F76, "N/A"))</f>
        <v/>
      </c>
      <c r="G78" s="90">
        <f>IF(OR(G68="N/A", G72="N/A", G76="N/A"), "N/A", IFERROR(G68*G72*G76, "N/A"))</f>
        <v/>
      </c>
      <c r="H78" s="90">
        <f>IF(OR(H68="N/A", H72="N/A", H76="N/A"), "N/A", IFERROR(H68*H72*H76, "N/A"))</f>
        <v/>
      </c>
      <c r="I78" s="90">
        <f>IF(OR(I68="N/A", I72="N/A", I76="N/A"), "N/A", IFERROR(I68*I72*I76, "N/A"))</f>
        <v/>
      </c>
      <c r="J78">
        <f>IF(OR(J68="N/A", J72="N/A", J76="N/A"), "N/A", IFERROR(J68*J72*J76, "N/A"))</f>
        <v/>
      </c>
      <c r="K78">
        <f>IF(OR(K68="N/A", K72="N/A", K76="N/A"), "N/A", IFERROR(K68*K72*K76, "N/A"))</f>
        <v/>
      </c>
    </row>
    <row r="80">
      <c r="B80" s="177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77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76" min="1" max="1"/>
    <col width="26.77734375" customWidth="1" style="176" min="2" max="2"/>
    <col width="12.6640625" bestFit="1" customWidth="1" style="176" min="5" max="5"/>
    <col width="12.77734375" bestFit="1" customWidth="1" style="176" min="6" max="7"/>
    <col width="13.44140625" bestFit="1" customWidth="1" style="176" min="8" max="8"/>
    <col width="12.77734375" bestFit="1" customWidth="1" style="176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1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- 114.00 &amp; low INR - 72.60)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76"/>
    <row r="8">
      <c r="B8" s="185" t="inlineStr">
        <is>
          <t>Bajaj Finance Limited (BFL) is an Indian deposit-taking non-banking financial company (NBFC-UL) headquartered in Pune. The same was formed as Bajaj Auto Finance Limited to finance Bajaj's two and three wheeler segments.</t>
        </is>
      </c>
    </row>
    <row r="9"/>
    <row r="10"/>
    <row r="11"/>
    <row r="12" ht="5.4" customHeight="1" s="176"/>
    <row r="14" ht="21" customHeight="1" s="176">
      <c r="B14" s="99" t="inlineStr">
        <is>
          <t>Financial Summary</t>
        </is>
      </c>
    </row>
    <row r="34" ht="18" customHeight="1" s="176">
      <c r="B34" s="101" t="inlineStr">
        <is>
          <t>Recent Updates</t>
        </is>
      </c>
    </row>
    <row r="36">
      <c r="A36" t="inlineStr">
        <is>
          <t>•</t>
        </is>
      </c>
      <c r="B36" s="184" t="inlineStr">
        <is>
          <t>Bajaj Housing Finance Q1 Results: Net profit jumps 23% YoY to Rs 715 crore, AUM surges 24%</t>
        </is>
      </c>
    </row>
    <row r="37"/>
    <row r="38" ht="14.4" customHeight="1" s="176">
      <c r="A38" t="inlineStr">
        <is>
          <t>•</t>
        </is>
      </c>
      <c r="B38" s="184" t="inlineStr">
        <is>
          <t>Bajaj Housing Finance shares rally 5% as Q1 AUM climbs 24% YoY</t>
        </is>
      </c>
    </row>
    <row r="39"/>
    <row r="40" ht="20.4" customHeight="1" s="176">
      <c r="A40" t="inlineStr">
        <is>
          <t>•</t>
        </is>
      </c>
      <c r="B40" s="184" t="inlineStr">
        <is>
          <t>Can IRDAI’s insurance reforms impact NBFCs? Jefferies warns L&amp;T Finance, Piramal Finance, others are most</t>
        </is>
      </c>
    </row>
    <row r="41"/>
    <row r="42">
      <c r="A42" t="inlineStr">
        <is>
          <t>•</t>
        </is>
      </c>
      <c r="B42" s="184" t="inlineStr">
        <is>
          <t>Why Jefferies sees limited upside in Bajaj Housing Finance despite its fast-growing loan book</t>
        </is>
      </c>
    </row>
    <row r="43"/>
    <row r="44">
      <c r="A44" t="inlineStr">
        <is>
          <t>•</t>
        </is>
      </c>
      <c r="B44" s="184" t="inlineStr">
        <is>
          <t>Bajaj Housing Finance - 15 largecap stocks still down 30–50% from their yearly highs. Do you own any?</t>
        </is>
      </c>
    </row>
    <row r="45"/>
    <row r="46">
      <c r="A46" t="inlineStr">
        <is>
          <t>•</t>
        </is>
      </c>
      <c r="B46" s="184" t="inlineStr">
        <is>
          <t>Bajaj Housing Finance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76"/>
    <row r="53" ht="30.6" customHeight="1" s="176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77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>
        <f>IF(OR(C60="N/A", ISBLANK(C60), C60&lt;=0), "N/A", IFERROR(C59/C60, "N/A"))</f>
        <v/>
      </c>
      <c r="D61" s="89">
        <f>IF(OR(D60="N/A", ISBLANK(D60), D60&lt;=0), "N/A", IFERROR(D59/D60, "N/A"))</f>
        <v/>
      </c>
      <c r="E61" s="90">
        <f>IF(OR(E60="N/A", ISBLANK(E60), E60&lt;=0), "N/A", IFERROR(E59/E60, "N/A"))</f>
        <v/>
      </c>
      <c r="F61" s="90">
        <f>IF(OR(F60="N/A", ISBLANK(F60), F60&lt;=0), "N/A", IFERROR(F59/F60, "N/A"))</f>
        <v/>
      </c>
      <c r="G61" s="90">
        <f>IF(OR(G60="N/A", ISBLANK(G60), G60&lt;=0), "N/A", IFERROR(G59/G60, "N/A"))</f>
        <v/>
      </c>
      <c r="H61" s="90">
        <f>IF(OR(H60="N/A", ISBLANK(H60), H60&lt;=0), "N/A", IFERROR(H59/H60, "N/A"))</f>
        <v/>
      </c>
      <c r="I61" s="90">
        <f>IF(OR(I60="N/A", ISBLANK(I60), I60&lt;=0), "N/A", IFERROR(I59/I60, "N/A"))</f>
        <v/>
      </c>
      <c r="J61">
        <f>IF(OR(J60="N/A", ISBLANK(J60), J60&lt;=0), "N/A", IFERROR(J59/J60, "N/A"))</f>
        <v/>
      </c>
      <c r="K61">
        <f>IF(OR(K60="N/A", ISBLANK(K60), K60&lt;=0), "N/A", IFERROR(K59/K60, "N/A"))</f>
        <v/>
      </c>
    </row>
    <row r="63">
      <c r="B63" s="177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>
        <f>IF(OR(C66="N/A", ISBLANK(C66), C66&lt;=0), "N/A", IFERROR(C65/C66, "N/A"))</f>
        <v/>
      </c>
      <c r="D67" s="89">
        <f>IF(OR(D66="N/A", ISBLANK(D66), D66&lt;=0), "N/A", IFERROR(D65/D66, "N/A"))</f>
        <v/>
      </c>
      <c r="E67" s="90">
        <f>IF(OR(E66="N/A", ISBLANK(E66), E66&lt;=0), "N/A", IFERROR(E65/E66, "N/A"))</f>
        <v/>
      </c>
      <c r="F67" s="90">
        <f>IF(OR(F66="N/A", ISBLANK(F66), F66&lt;=0), "N/A", IFERROR(F65/F66, "N/A"))</f>
        <v/>
      </c>
      <c r="G67" s="90">
        <f>IF(OR(G66="N/A", ISBLANK(G66), G66&lt;=0), "N/A", IFERROR(G65/G66, "N/A"))</f>
        <v/>
      </c>
      <c r="H67" s="90">
        <f>IF(OR(H66="N/A", ISBLANK(H66), H66&lt;=0), "N/A", IFERROR(H65/H66, "N/A"))</f>
        <v/>
      </c>
      <c r="I67" s="90">
        <f>IF(OR(I66="N/A", ISBLANK(I66), I66&lt;=0), "N/A", IFERROR(I65/I66, "N/A"))</f>
        <v/>
      </c>
      <c r="J67">
        <f>IF(OR(J66="N/A", ISBLANK(J66), J66&lt;=0), "N/A", IFERROR(J65/J66, "N/A"))</f>
        <v/>
      </c>
      <c r="K67">
        <f>IF(OR(K66="N/A", ISBLANK(K66), K66&lt;=0), "N/A", IFERROR(K65/K66, "N/A"))</f>
        <v/>
      </c>
    </row>
    <row r="69">
      <c r="B69" s="177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>
        <f>IF(OR(C72="N/A", ISBLANK(C72), C72&lt;=0), "N/A", IFERROR(C71/C72, "N/A"))</f>
        <v/>
      </c>
      <c r="D73" s="89">
        <f>IF(OR(D72="N/A", ISBLANK(D72), D72&lt;=0), "N/A", IFERROR(D71/D72, "N/A"))</f>
        <v/>
      </c>
      <c r="E73" s="90">
        <f>IF(OR(E72="N/A", ISBLANK(E72), E72&lt;=0), "N/A", IFERROR(E71/E72, "N/A"))</f>
        <v/>
      </c>
      <c r="F73" s="90">
        <f>IF(OR(F72="N/A", ISBLANK(F72), F72&lt;=0), "N/A", IFERROR(F71/F72, "N/A"))</f>
        <v/>
      </c>
      <c r="G73" s="90">
        <f>IF(OR(G72="N/A", ISBLANK(G72), G72&lt;=0), "N/A", IFERROR(G71/G72, "N/A"))</f>
        <v/>
      </c>
      <c r="H73" s="90">
        <f>IF(OR(H72="N/A", ISBLANK(H72), H72&lt;=0), "N/A", IFERROR(H71/H72, "N/A"))</f>
        <v/>
      </c>
      <c r="I73" s="90">
        <f>IF(OR(I72="N/A", ISBLANK(I72), I72&lt;=0), "N/A", IFERROR(I71/I72, "N/A"))</f>
        <v/>
      </c>
      <c r="J73">
        <f>IF(OR(J72="N/A", ISBLANK(J72), J72&lt;=0), "N/A", IFERROR(J71/J72, "N/A"))</f>
        <v/>
      </c>
      <c r="K73">
        <f>IF(OR(K72="N/A", ISBLANK(K72), K72&lt;=0), "N/A", IFERROR(K71/K72, "N/A"))</f>
        <v/>
      </c>
    </row>
    <row r="75">
      <c r="B75" s="177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>
        <f>IF(OR(C78="N/A", ISBLANK(C78), C78&lt;=0), "N/A", IFERROR(C77/C78, "N/A"))</f>
        <v/>
      </c>
      <c r="D79" s="89">
        <f>IF(OR(D78="N/A", ISBLANK(D78), D78&lt;=0), "N/A", IFERROR(D77/D78, "N/A"))</f>
        <v/>
      </c>
      <c r="E79" s="90">
        <f>IF(OR(E78="N/A", ISBLANK(E78), E78&lt;=0), "N/A", IFERROR(E77/E78, "N/A"))</f>
        <v/>
      </c>
      <c r="F79" s="90">
        <f>IF(OR(F78="N/A", ISBLANK(F78), F78&lt;=0), "N/A", IFERROR(F77/F78, "N/A"))</f>
        <v/>
      </c>
      <c r="G79" s="90">
        <f>IF(OR(G78="N/A", ISBLANK(G78), G78&lt;=0), "N/A", IFERROR(G77/G78, "N/A"))</f>
        <v/>
      </c>
      <c r="H79" s="90">
        <f>IF(OR(H78="N/A", ISBLANK(H78), H78&lt;=0), "N/A", IFERROR(H77/H78, "N/A"))</f>
        <v/>
      </c>
      <c r="I79" s="90">
        <f>IF(OR(I78="N/A", ISBLANK(I78), I78&lt;=0), "N/A", IFERROR(I77/I78, "N/A"))</f>
        <v/>
      </c>
      <c r="J79">
        <f>IF(OR(J78="N/A", ISBLANK(J78), J78&lt;=0), "N/A", IFERROR(J77/J78, "N/A"))</f>
        <v/>
      </c>
      <c r="K79">
        <f>IF(OR(K78="N/A", ISBLANK(K78), K78&lt;=0), "N/A", IFERROR(K77/K78, "N/A"))</f>
        <v/>
      </c>
    </row>
    <row r="81">
      <c r="B81" s="177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>
        <f>IF(OR(C84="N/A", ISBLANK(C84), C84&lt;=0), "N/A", IFERROR(C83/C84, "N/A"))</f>
        <v/>
      </c>
      <c r="D85" s="89">
        <f>IF(OR(D84="N/A", ISBLANK(D84), D84&lt;=0), "N/A", IFERROR(D83/D84, "N/A"))</f>
        <v/>
      </c>
      <c r="E85" s="91">
        <f>IF(OR(E84="N/A", ISBLANK(E84), E84&lt;=0), "N/A", IFERROR(E83/E84, "N/A"))</f>
        <v/>
      </c>
      <c r="F85" s="91">
        <f>IF(OR(F84="N/A", ISBLANK(F84), F84&lt;=0), "N/A", IFERROR(F83/F84, "N/A"))</f>
        <v/>
      </c>
      <c r="G85" s="91">
        <f>IF(OR(G84="N/A", ISBLANK(G84), G84&lt;=0), "N/A", IFERROR(G83/G84, "N/A"))</f>
        <v/>
      </c>
      <c r="H85" s="91">
        <f>IF(OR(H84="N/A", ISBLANK(H84), H84&lt;=0), "N/A", IFERROR(H83/H84, "N/A"))</f>
        <v/>
      </c>
      <c r="I85" s="91">
        <f>IF(OR(I84="N/A", ISBLANK(I84), I84&lt;=0), "N/A", IFERROR(I83/I84, "N/A"))</f>
        <v/>
      </c>
      <c r="J85">
        <f>IF(OR(J84="N/A", ISBLANK(J84), J84&lt;=0), "N/A", IFERROR(J83/J84, "N/A"))</f>
        <v/>
      </c>
      <c r="K85">
        <f>IF(OR(K84="N/A", ISBLANK(K84), K84&lt;=0), "N/A", IFERROR(K83/K84, "N/A"))</f>
        <v/>
      </c>
    </row>
    <row r="87">
      <c r="B87" s="177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C89">
        <f>IF(OR(C61="N/A", C67="N/A", C73="N/A", C79="N/A", C85="N/A"), "N/A", IFERROR((1.2*C61)+(1.4*C67)+(3.3*C73)+(0.6*C79)+(1.0*C85), "N/A"))</f>
        <v/>
      </c>
      <c r="D89">
        <f>IF(OR(D61="N/A", D67="N/A", D73="N/A", D79="N/A", D85="N/A"), "N/A", IFERROR((1.2*D61)+(1.4*D67)+(3.3*D73)+(0.6*D79)+(1.0*D85), "N/A"))</f>
        <v/>
      </c>
      <c r="E89" s="76">
        <f>IF(OR(E61="N/A", E67="N/A", E73="N/A", E79="N/A", E85="N/A"), "N/A", IFERROR((1.2*E61)+(1.4*E67)+(3.3*E73)+(0.6*E79)+(1.0*E85), "N/A"))</f>
        <v/>
      </c>
      <c r="F89" s="76">
        <f>IF(OR(F61="N/A", F67="N/A", F73="N/A", F79="N/A", F85="N/A"), "N/A", IFERROR((1.2*F61)+(1.4*F67)+(3.3*F73)+(0.6*F79)+(1.0*F85), "N/A"))</f>
        <v/>
      </c>
      <c r="G89" s="76">
        <f>IF(OR(G61="N/A", G67="N/A", G73="N/A", G79="N/A", G85="N/A"), "N/A", IFERROR((1.2*G61)+(1.4*G67)+(3.3*G73)+(0.6*G79)+(1.0*G85), "N/A"))</f>
        <v/>
      </c>
      <c r="H89" s="76">
        <f>IF(OR(H61="N/A", H67="N/A", H73="N/A", H79="N/A", H85="N/A"), "N/A", IFERROR((1.2*H61)+(1.4*H67)+(3.3*H73)+(0.6*H79)+(1.0*H85), "N/A"))</f>
        <v/>
      </c>
      <c r="I89" s="76" t="inlineStr">
        <is>
          <t>Not applicable / insufficient data</t>
        </is>
      </c>
      <c r="J89">
        <f>IF(OR(J61="N/A", J67="N/A", J73="N/A", J79="N/A", J85="N/A"), "N/A", IFERROR((1.2*J61)+(1.4*J67)+(3.3*J73)+(0.6*J79)+(1.0*J85), "N/A"))</f>
        <v/>
      </c>
      <c r="K89">
        <f>IF(OR(K61="N/A", K67="N/A", K73="N/A", K79="N/A", K85="N/A"), "N/A", IFERROR((1.2*K61)+(1.4*K67)+(3.3*K73)+(0.6*K79)+(1.0*K85), "N/A"))</f>
        <v/>
      </c>
    </row>
    <row r="90">
      <c r="B90" t="inlineStr">
        <is>
          <t>Financial Stability</t>
        </is>
      </c>
      <c r="C90">
        <f>IF(OR(C89="N/A", ISBLANK(C89)), "N/A (Insufficient Inputs)", IF(C89&lt;1.81, "Distressed", IF(C89&lt;2.99, "Grey Zone", "Safe Zone")))</f>
        <v/>
      </c>
      <c r="D90">
        <f>IF(OR(D89="N/A", ISBLANK(D89)), "N/A (Insufficient Inputs)", IF(D89&lt;1.81, "Distressed", IF(D89&lt;2.99, "Grey Zone", "Safe Zone")))</f>
        <v/>
      </c>
      <c r="E90" s="93">
        <f>IF(OR(E89="N/A", ISBLANK(E89)), "N/A (Insufficient Inputs)", IF(E89&lt;1.81, "Distressed", IF(E89&lt;2.99, "Grey Zone", "Safe Zone")))</f>
        <v/>
      </c>
      <c r="F90" s="93">
        <f>IF(OR(F89="N/A", ISBLANK(F89)), "N/A (Insufficient Inputs)", IF(F89&lt;1.81, "Distressed", IF(F89&lt;2.99, "Grey Zone", "Safe Zone")))</f>
        <v/>
      </c>
      <c r="G90" s="93">
        <f>IF(OR(G89="N/A", ISBLANK(G89)), "N/A (Insufficient Inputs)", IF(G89&lt;1.81, "Distressed", IF(G89&lt;2.99, "Grey Zone", "Safe Zone")))</f>
        <v/>
      </c>
      <c r="H90" s="93">
        <f>IF(OR(H89="N/A", ISBLANK(H89)), "N/A (Insufficient Inputs)", IF(H89&lt;1.81, "Distressed", IF(H89&lt;2.99, "Grey Zone", "Safe Zone")))</f>
        <v/>
      </c>
      <c r="I90" s="93">
        <f>IF(OR(I89="N/A", ISBLANK(I89)), "N/A (Insufficient Inputs)", IF(I89&lt;1.81, "Distressed", IF(I89&lt;2.99, "Grey Zone", "Safe Zone")))</f>
        <v/>
      </c>
      <c r="J90">
        <f>IF(OR(J89="N/A", ISBLANK(J89)), "N/A (Insufficient Inputs)", IF(J89&lt;1.81, "Distressed", IF(J89&lt;2.99, "Grey Zone", "Safe Zone")))</f>
        <v/>
      </c>
      <c r="K90">
        <f>IF(OR(K89="N/A", ISBLANK(K89)), "N/A (Insufficient Inputs)", IF(K89&lt;1.81, "Distressed", IF(K89&lt;2.99, "Grey Zone", "Safe Zone")))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86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76" min="1" max="1"/>
    <col width="22.77734375" bestFit="1" customWidth="1" style="176" min="2" max="2"/>
    <col width="9.44140625" customWidth="1" style="176" min="12" max="12"/>
    <col width="22.77734375" bestFit="1" customWidth="1" style="176" min="17" max="17"/>
    <col width="25.77734375" bestFit="1" customWidth="1" style="176" min="18" max="18"/>
    <col width="14.77734375" customWidth="1" style="176" min="46" max="46"/>
    <col width="11.6640625" customWidth="1" style="176" min="47" max="47"/>
    <col width="12.6640625" customWidth="1" style="176" min="48" max="48"/>
    <col width="13.21875" customWidth="1" style="176" min="50" max="50"/>
  </cols>
  <sheetData>
    <row r="1"/>
    <row r="2"/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inlineStr">
        <is>
          <t>Mar 2020</t>
        </is>
      </c>
      <c r="I3" s="40" t="inlineStr">
        <is>
          <t>Mar 2021</t>
        </is>
      </c>
      <c r="J3" s="40" t="inlineStr">
        <is>
          <t>Mar 2022</t>
        </is>
      </c>
      <c r="K3" s="40" t="inlineStr">
        <is>
          <t>Mar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inlineStr">
        <is>
          <t>Mar 2020</t>
        </is>
      </c>
      <c r="Y3" s="35" t="inlineStr">
        <is>
          <t>Mar 2021</t>
        </is>
      </c>
      <c r="Z3" s="35" t="inlineStr">
        <is>
          <t>Mar 2022</t>
        </is>
      </c>
      <c r="AA3" s="35" t="inlineStr">
        <is>
          <t>Mar 2023</t>
        </is>
      </c>
      <c r="AB3" s="35" t="inlineStr">
        <is>
          <t>Mar 2024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>
        <v>0</v>
      </c>
      <c r="D4" s="35" t="n">
        <v>0</v>
      </c>
      <c r="E4" s="35" t="n">
        <v>0</v>
      </c>
      <c r="F4" s="35" t="n">
        <v>0</v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/>
      <c r="R4" t="inlineStr">
        <is>
          <t>Sales +</t>
        </is>
      </c>
      <c r="S4" s="73" t="n">
        <v>0</v>
      </c>
      <c r="T4" s="73" t="n">
        <v>0</v>
      </c>
      <c r="U4" s="73" t="n">
        <v>0</v>
      </c>
      <c r="V4" s="73" t="n">
        <v>0</v>
      </c>
      <c r="W4" s="73" t="n">
        <v>0</v>
      </c>
      <c r="X4" s="73" t="n">
        <v>265</v>
      </c>
      <c r="Y4" s="73" t="n">
        <v>3155</v>
      </c>
      <c r="Z4" s="73" t="n">
        <v>3767</v>
      </c>
      <c r="AA4" s="73" t="n">
        <v>5665</v>
      </c>
      <c r="AB4" s="73" t="n">
        <v>7617</v>
      </c>
      <c r="AC4" s="73" t="n">
        <v>9554</v>
      </c>
      <c r="AD4" s="73" t="n">
        <v>11150</v>
      </c>
      <c r="AE4" s="73" t="n">
        <v>11604</v>
      </c>
    </row>
    <row r="5">
      <c r="B5" s="35" t="inlineStr">
        <is>
          <t>Equity Capital</t>
        </is>
      </c>
      <c r="C5" t="n">
        <v>0</v>
      </c>
      <c r="D5" s="47" t="n">
        <v>0</v>
      </c>
      <c r="E5" s="47" t="n">
        <v>0</v>
      </c>
      <c r="F5" s="47" t="n">
        <v>0</v>
      </c>
      <c r="G5" s="47" t="n">
        <v>0</v>
      </c>
      <c r="H5" s="47" t="n">
        <v>488</v>
      </c>
      <c r="I5" s="47" t="n">
        <v>4883</v>
      </c>
      <c r="J5" s="47" t="n">
        <v>4883</v>
      </c>
      <c r="K5" s="47" t="n">
        <v>6712</v>
      </c>
      <c r="L5" s="47" t="n">
        <v>6712</v>
      </c>
      <c r="M5" s="47" t="n">
        <v>8328</v>
      </c>
      <c r="N5" s="47" t="n">
        <v>8329</v>
      </c>
      <c r="R5" t="inlineStr">
        <is>
          <t>Expenses +</t>
        </is>
      </c>
      <c r="S5" s="73" t="n">
        <v>0</v>
      </c>
      <c r="T5" s="73" t="n">
        <v>0</v>
      </c>
      <c r="U5" s="73" t="n">
        <v>0</v>
      </c>
      <c r="V5" s="73" t="n">
        <v>0</v>
      </c>
      <c r="W5" s="73" t="n">
        <v>0</v>
      </c>
      <c r="X5" s="73" t="n">
        <v>44</v>
      </c>
      <c r="Y5" s="73" t="n">
        <v>552</v>
      </c>
      <c r="Z5" s="73" t="n">
        <v>624</v>
      </c>
      <c r="AA5" s="73" t="n">
        <v>718</v>
      </c>
      <c r="AB5" s="73" t="n">
        <v>721</v>
      </c>
      <c r="AC5" s="73" t="n">
        <v>759</v>
      </c>
      <c r="AD5" s="73" t="n">
        <v>1007</v>
      </c>
      <c r="AE5" s="73" t="n">
        <v>1009</v>
      </c>
    </row>
    <row r="6">
      <c r="B6" t="inlineStr">
        <is>
          <t>Reserves</t>
        </is>
      </c>
      <c r="C6" s="73" t="n">
        <v>0</v>
      </c>
      <c r="D6" s="73" t="n">
        <v>0</v>
      </c>
      <c r="E6" s="73" t="n">
        <v>0</v>
      </c>
      <c r="F6" s="73" t="n">
        <v>0</v>
      </c>
      <c r="G6" s="73" t="n">
        <v>0</v>
      </c>
      <c r="H6" s="73" t="n">
        <v>70</v>
      </c>
      <c r="I6" s="73" t="n">
        <v>1149</v>
      </c>
      <c r="J6" s="73" t="n">
        <v>1858</v>
      </c>
      <c r="K6" s="73" t="n">
        <v>3791</v>
      </c>
      <c r="L6" s="73" t="n">
        <v>5521</v>
      </c>
      <c r="M6" s="73" t="n">
        <v>11619</v>
      </c>
      <c r="N6" s="73" t="n">
        <v>14194</v>
      </c>
      <c r="O6" s="73" t="n"/>
      <c r="R6" t="inlineStr">
        <is>
          <t>Operating Profit</t>
        </is>
      </c>
      <c r="S6" s="73" t="n">
        <v>0</v>
      </c>
      <c r="T6" s="73" t="n">
        <v>0</v>
      </c>
      <c r="U6" s="73" t="n">
        <v>0</v>
      </c>
      <c r="V6" s="73" t="n">
        <v>0</v>
      </c>
      <c r="W6" s="73" t="n">
        <v>0</v>
      </c>
      <c r="X6" s="73" t="n">
        <v>0</v>
      </c>
      <c r="Y6" s="73" t="n">
        <v>0</v>
      </c>
      <c r="Z6" s="73" t="n">
        <v>0</v>
      </c>
      <c r="AA6" s="73" t="n">
        <v>0</v>
      </c>
      <c r="AB6" s="73" t="n">
        <v>0</v>
      </c>
      <c r="AC6" s="73" t="n">
        <v>0</v>
      </c>
      <c r="AD6" s="73" t="n">
        <v>0</v>
      </c>
      <c r="AE6" s="73" t="n">
        <v>0</v>
      </c>
    </row>
    <row r="7">
      <c r="B7" s="73" t="inlineStr">
        <is>
          <t>Borrowings -</t>
        </is>
      </c>
      <c r="C7" s="73" t="n">
        <v>0</v>
      </c>
      <c r="D7" s="73" t="n">
        <v>0</v>
      </c>
      <c r="E7" s="73" t="n">
        <v>0</v>
      </c>
      <c r="F7" s="73" t="n">
        <v>0</v>
      </c>
      <c r="G7" s="73" t="n">
        <v>0</v>
      </c>
      <c r="H7" s="73" t="n">
        <v>0</v>
      </c>
      <c r="I7" s="73" t="n">
        <v>0</v>
      </c>
      <c r="J7" s="73" t="n">
        <v>0</v>
      </c>
      <c r="K7" s="73" t="n">
        <v>0</v>
      </c>
      <c r="L7" s="73" t="n">
        <v>0</v>
      </c>
      <c r="M7" s="73" t="n">
        <v>0</v>
      </c>
      <c r="N7" s="73" t="n">
        <v>0</v>
      </c>
      <c r="O7" s="73" t="n"/>
      <c r="R7" t="inlineStr">
        <is>
          <t>OPM %</t>
        </is>
      </c>
      <c r="S7" s="75" t="n">
        <v>0</v>
      </c>
      <c r="T7" s="75" t="n">
        <v>0</v>
      </c>
      <c r="U7" s="75" t="n">
        <v>0</v>
      </c>
      <c r="V7" s="75" t="n">
        <v>0</v>
      </c>
      <c r="W7" s="75" t="n">
        <v>0</v>
      </c>
      <c r="X7" s="75" t="n">
        <v>0</v>
      </c>
      <c r="Y7" s="75" t="n">
        <v>0</v>
      </c>
      <c r="Z7" s="75" t="n">
        <v>0</v>
      </c>
      <c r="AA7" s="75" t="n">
        <v>0</v>
      </c>
      <c r="AB7" s="75" t="n">
        <v>0</v>
      </c>
      <c r="AC7" s="75" t="n">
        <v>0</v>
      </c>
      <c r="AD7" s="75" t="n">
        <v>0</v>
      </c>
      <c r="AE7" s="75" t="n">
        <v>0</v>
      </c>
    </row>
    <row r="8">
      <c r="B8" s="73" t="inlineStr">
        <is>
          <t>Long term Borrowings</t>
        </is>
      </c>
      <c r="C8" s="73" t="n">
        <v>0</v>
      </c>
      <c r="D8" s="73" t="n">
        <v>0</v>
      </c>
      <c r="E8" s="73" t="n">
        <v>0</v>
      </c>
      <c r="F8" s="73" t="n">
        <v>0</v>
      </c>
      <c r="G8" s="73" t="n">
        <v>0</v>
      </c>
      <c r="H8" s="73" t="n">
        <v>0</v>
      </c>
      <c r="I8" s="73" t="n">
        <v>0</v>
      </c>
      <c r="J8" s="73" t="n">
        <v>0</v>
      </c>
      <c r="K8" s="73" t="n">
        <v>0</v>
      </c>
      <c r="L8" s="73" t="n">
        <v>0</v>
      </c>
      <c r="M8" s="73" t="n">
        <v>0</v>
      </c>
      <c r="N8" s="73" t="n">
        <v>0</v>
      </c>
      <c r="R8" t="inlineStr">
        <is>
          <t>Other Income +</t>
        </is>
      </c>
      <c r="S8" s="73" t="n">
        <v>0</v>
      </c>
      <c r="T8" s="73" t="n">
        <v>0</v>
      </c>
      <c r="U8" s="73" t="n">
        <v>0</v>
      </c>
      <c r="V8" s="73" t="n">
        <v>0</v>
      </c>
      <c r="W8" s="73" t="n">
        <v>0</v>
      </c>
      <c r="X8" s="73" t="n">
        <v>0</v>
      </c>
      <c r="Y8" s="73" t="n">
        <v>0</v>
      </c>
      <c r="Z8" s="73" t="n">
        <v>0</v>
      </c>
      <c r="AA8" s="73" t="n">
        <v>0</v>
      </c>
      <c r="AB8" s="73" t="n">
        <v>0</v>
      </c>
      <c r="AC8" s="73" t="n">
        <v>-2</v>
      </c>
      <c r="AD8" s="73" t="n">
        <v>-14</v>
      </c>
      <c r="AE8" s="73" t="n">
        <v>-13</v>
      </c>
    </row>
    <row r="9">
      <c r="B9" t="inlineStr">
        <is>
          <t>Short term Borrowings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s="73" t="n">
        <v>0</v>
      </c>
      <c r="R9" t="inlineStr">
        <is>
          <t>Interest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162</v>
      </c>
      <c r="Y9" t="n">
        <v>1968</v>
      </c>
      <c r="Z9" t="n">
        <v>2157</v>
      </c>
      <c r="AA9" t="n">
        <v>3213</v>
      </c>
      <c r="AB9" t="n">
        <v>4695</v>
      </c>
      <c r="AC9" t="n">
        <v>5981</v>
      </c>
      <c r="AD9" t="n">
        <v>6761</v>
      </c>
      <c r="AE9" t="n">
        <v>7042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s="73" t="n"/>
      <c r="R10" t="inlineStr">
        <is>
          <t>Depreciation</t>
        </is>
      </c>
      <c r="S10" s="73" t="n">
        <v>0</v>
      </c>
      <c r="T10" s="73" t="n">
        <v>0</v>
      </c>
      <c r="U10" s="73" t="n">
        <v>0</v>
      </c>
      <c r="V10" s="73" t="n">
        <v>0</v>
      </c>
      <c r="W10" s="73" t="n">
        <v>0</v>
      </c>
      <c r="X10" s="73" t="n">
        <v>2</v>
      </c>
      <c r="Y10" s="73" t="n">
        <v>22</v>
      </c>
      <c r="Z10" s="73" t="n">
        <v>26</v>
      </c>
      <c r="AA10" s="73" t="n">
        <v>33</v>
      </c>
      <c r="AB10" s="73" t="n">
        <v>40</v>
      </c>
      <c r="AC10" s="73" t="n">
        <v>41</v>
      </c>
      <c r="AD10" s="73" t="n">
        <v>47</v>
      </c>
      <c r="AE10" s="73" t="n">
        <v>49</v>
      </c>
    </row>
    <row r="11">
      <c r="B11" s="73" t="inlineStr">
        <is>
          <t>Other Borrowings</t>
        </is>
      </c>
      <c r="C11" s="73" t="n">
        <v>0</v>
      </c>
      <c r="D11" s="73" t="n">
        <v>0</v>
      </c>
      <c r="E11" s="73" t="n">
        <v>0</v>
      </c>
      <c r="F11" s="73" t="n">
        <v>0</v>
      </c>
      <c r="G11" s="73" t="n">
        <v>0</v>
      </c>
      <c r="H11" s="73" t="n">
        <v>2560</v>
      </c>
      <c r="I11" s="73" t="n">
        <v>31601</v>
      </c>
      <c r="J11" s="73" t="n">
        <v>41492</v>
      </c>
      <c r="K11" s="73" t="n">
        <v>53745</v>
      </c>
      <c r="L11" s="73" t="n">
        <v>69129</v>
      </c>
      <c r="M11" s="73" t="n">
        <v>82072</v>
      </c>
      <c r="N11" s="73" t="n">
        <v>103704</v>
      </c>
      <c r="O11" s="73" t="n"/>
      <c r="R11" t="inlineStr">
        <is>
          <t>Profit before tax</t>
        </is>
      </c>
      <c r="S11" s="73" t="n">
        <v>0</v>
      </c>
      <c r="T11" s="73" t="n">
        <v>0</v>
      </c>
      <c r="U11" s="73" t="n">
        <v>0</v>
      </c>
      <c r="V11" s="73" t="n">
        <v>0</v>
      </c>
      <c r="W11" s="73" t="n">
        <v>0</v>
      </c>
      <c r="X11" s="73" t="n">
        <v>57</v>
      </c>
      <c r="Y11" s="73" t="n">
        <v>613</v>
      </c>
      <c r="Z11" s="73" t="n">
        <v>960</v>
      </c>
      <c r="AA11" s="73" t="n">
        <v>1700</v>
      </c>
      <c r="AB11" s="73" t="n">
        <v>2161</v>
      </c>
      <c r="AC11" s="73" t="n">
        <v>2770</v>
      </c>
      <c r="AD11" s="73" t="n">
        <v>3320</v>
      </c>
      <c r="AE11" s="73" t="n">
        <v>3492</v>
      </c>
    </row>
    <row r="12">
      <c r="B12" s="73" t="inlineStr">
        <is>
          <t>Other Liabilities -</t>
        </is>
      </c>
      <c r="C12" s="73" t="n">
        <v>0</v>
      </c>
      <c r="D12" s="73" t="n">
        <v>0</v>
      </c>
      <c r="E12" s="73" t="n">
        <v>0</v>
      </c>
      <c r="F12" s="73" t="n">
        <v>0</v>
      </c>
      <c r="G12" s="73" t="n">
        <v>0</v>
      </c>
      <c r="H12" s="73" t="n">
        <v>19</v>
      </c>
      <c r="I12" s="73" t="n">
        <v>226</v>
      </c>
      <c r="J12" s="73" t="n">
        <v>293</v>
      </c>
      <c r="K12" s="73" t="n">
        <v>406</v>
      </c>
      <c r="L12" s="73" t="n">
        <v>464</v>
      </c>
      <c r="M12" s="73" t="n">
        <v>790</v>
      </c>
      <c r="N12" s="73" t="n">
        <v>920</v>
      </c>
      <c r="R12" t="inlineStr">
        <is>
          <t>Tax %</t>
        </is>
      </c>
      <c r="S12" s="75" t="n">
        <v>0</v>
      </c>
      <c r="T12" s="75" t="n">
        <v>0</v>
      </c>
      <c r="U12" s="75" t="n">
        <v>0</v>
      </c>
      <c r="V12" s="75" t="n">
        <v>0</v>
      </c>
      <c r="W12" s="75" t="n">
        <v>0</v>
      </c>
      <c r="X12" s="75" t="n">
        <v>26</v>
      </c>
      <c r="Y12" s="75" t="n">
        <v>26</v>
      </c>
      <c r="Z12" s="75" t="n">
        <v>26</v>
      </c>
      <c r="AA12" s="75" t="n">
        <v>26</v>
      </c>
      <c r="AB12" s="75" t="n">
        <v>20</v>
      </c>
      <c r="AC12" s="75" t="n">
        <v>22</v>
      </c>
      <c r="AD12" s="75" t="n">
        <v>23</v>
      </c>
      <c r="AE12" t="n">
        <v>0</v>
      </c>
    </row>
    <row r="13">
      <c r="B13" t="inlineStr">
        <is>
          <t>Non controlling int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s="73" t="n"/>
      <c r="R13" t="inlineStr">
        <is>
          <t>Net Profit +</t>
        </is>
      </c>
      <c r="S13" s="73" t="n">
        <v>0</v>
      </c>
      <c r="T13" s="73" t="n">
        <v>0</v>
      </c>
      <c r="U13" s="73" t="n">
        <v>0</v>
      </c>
      <c r="V13" s="73" t="n">
        <v>0</v>
      </c>
      <c r="W13" s="73" t="n">
        <v>0</v>
      </c>
      <c r="X13" s="73" t="n">
        <v>42</v>
      </c>
      <c r="Y13" s="73" t="n">
        <v>453</v>
      </c>
      <c r="Z13" s="73" t="n">
        <v>710</v>
      </c>
      <c r="AA13" s="73" t="n">
        <v>1258</v>
      </c>
      <c r="AB13" s="73" t="n">
        <v>1731</v>
      </c>
      <c r="AC13" s="73" t="n">
        <v>2163</v>
      </c>
      <c r="AD13" s="73" t="n">
        <v>2560</v>
      </c>
      <c r="AE13" s="73" t="n">
        <v>2692</v>
      </c>
    </row>
    <row r="14">
      <c r="B14" s="73" t="inlineStr">
        <is>
          <t>Trade Payables</t>
        </is>
      </c>
      <c r="C14" s="73" t="n">
        <v>0</v>
      </c>
      <c r="D14" s="73" t="n">
        <v>0</v>
      </c>
      <c r="E14" s="73" t="n">
        <v>0</v>
      </c>
      <c r="F14" s="73" t="n">
        <v>0</v>
      </c>
      <c r="G14" s="73" t="n">
        <v>0</v>
      </c>
      <c r="H14" s="73" t="n">
        <v>3</v>
      </c>
      <c r="I14" s="73" t="n">
        <v>21</v>
      </c>
      <c r="J14" s="73" t="n">
        <v>36</v>
      </c>
      <c r="K14" s="73" t="n">
        <v>46</v>
      </c>
      <c r="L14" s="73" t="n">
        <v>58</v>
      </c>
      <c r="M14" s="73" t="n">
        <v>76</v>
      </c>
      <c r="N14" s="73" t="n">
        <v>126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0.09</v>
      </c>
      <c r="Y14" t="n">
        <v>0.93</v>
      </c>
      <c r="Z14" t="n">
        <v>1.45</v>
      </c>
      <c r="AA14" t="n">
        <v>1.87</v>
      </c>
      <c r="AB14" t="n">
        <v>2.58</v>
      </c>
      <c r="AC14" t="n">
        <v>2.6</v>
      </c>
      <c r="AD14" t="n">
        <v>3.07</v>
      </c>
      <c r="AE14" t="n">
        <v>3.23</v>
      </c>
    </row>
    <row r="15">
      <c r="B15" t="inlineStr">
        <is>
          <t>Advance from Customers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s="73" t="n">
        <v>0</v>
      </c>
      <c r="K15" s="73" t="n">
        <v>0</v>
      </c>
      <c r="L15" t="n">
        <v>0</v>
      </c>
      <c r="M15" s="73" t="n">
        <v>0</v>
      </c>
      <c r="N15" s="73" t="n">
        <v>0</v>
      </c>
      <c r="O15" s="73" t="n"/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B16" s="73" t="inlineStr">
        <is>
          <t>Other liability items</t>
        </is>
      </c>
      <c r="C16" s="73" t="n">
        <v>0</v>
      </c>
      <c r="D16" s="73" t="n">
        <v>0</v>
      </c>
      <c r="E16" s="73" t="n">
        <v>0</v>
      </c>
      <c r="F16" s="73" t="n">
        <v>0</v>
      </c>
      <c r="G16" s="73" t="n">
        <v>0</v>
      </c>
      <c r="H16" s="73" t="n">
        <v>16</v>
      </c>
      <c r="I16" s="73" t="n">
        <v>205</v>
      </c>
      <c r="J16" s="73" t="n">
        <v>257</v>
      </c>
      <c r="K16" s="73" t="n">
        <v>360</v>
      </c>
      <c r="L16" s="73" t="n">
        <v>407</v>
      </c>
      <c r="M16" s="73" t="n">
        <v>714</v>
      </c>
      <c r="N16" s="73" t="n">
        <v>794</v>
      </c>
      <c r="O16" s="73" t="n"/>
    </row>
    <row r="17"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  <c r="O17" s="73" t="n"/>
    </row>
    <row r="18">
      <c r="B18" s="57" t="inlineStr">
        <is>
          <t>Total Liabilities</t>
        </is>
      </c>
      <c r="C18" s="71" t="n">
        <v>0</v>
      </c>
      <c r="D18" s="71" t="n">
        <v>0</v>
      </c>
      <c r="E18" s="71" t="n">
        <v>0</v>
      </c>
      <c r="F18" s="71" t="n">
        <v>0</v>
      </c>
      <c r="G18" s="71" t="n">
        <v>0</v>
      </c>
      <c r="H18" s="71" t="n">
        <v>3137</v>
      </c>
      <c r="I18" s="71" t="n">
        <v>37858</v>
      </c>
      <c r="J18" s="71" t="n">
        <v>48527</v>
      </c>
      <c r="K18" s="71" t="n">
        <v>64654</v>
      </c>
      <c r="L18" s="71" t="n">
        <v>81827</v>
      </c>
      <c r="M18" s="71" t="n">
        <v>102809</v>
      </c>
      <c r="N18" s="71" t="n">
        <v>127147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>
        <v>0</v>
      </c>
      <c r="D19" s="73" t="n">
        <v>0</v>
      </c>
      <c r="E19" s="73" t="n">
        <v>0</v>
      </c>
      <c r="F19" s="73" t="n">
        <v>0</v>
      </c>
      <c r="G19" s="73" t="n">
        <v>0</v>
      </c>
      <c r="H19" s="73" t="n">
        <v>0</v>
      </c>
      <c r="I19" s="73" t="n">
        <v>0</v>
      </c>
      <c r="J19" s="73" t="n">
        <v>0</v>
      </c>
      <c r="K19" s="73" t="n">
        <v>0</v>
      </c>
      <c r="L19" s="73" t="n">
        <v>0</v>
      </c>
      <c r="M19" s="73" t="n">
        <v>0</v>
      </c>
      <c r="N19" s="73" t="n">
        <v>0</v>
      </c>
      <c r="O19" s="73" t="n"/>
      <c r="R19" t="inlineStr">
        <is>
          <t>Cash from Operating Activity -</t>
        </is>
      </c>
      <c r="S19" s="73" t="n">
        <v>0</v>
      </c>
      <c r="T19" s="73" t="n">
        <v>0</v>
      </c>
      <c r="U19" s="73" t="n">
        <v>0</v>
      </c>
      <c r="V19" s="73" t="n">
        <v>0</v>
      </c>
      <c r="W19" s="73" t="n">
        <v>0</v>
      </c>
      <c r="X19" s="73" t="n">
        <v>-1024</v>
      </c>
      <c r="Y19" s="73" t="n">
        <v>-5076</v>
      </c>
      <c r="Z19" s="73" t="n">
        <v>-12481</v>
      </c>
      <c r="AA19" s="73" t="n">
        <v>-14332</v>
      </c>
      <c r="AB19" s="73" t="n">
        <v>-14600</v>
      </c>
      <c r="AC19" s="73" t="n">
        <v>-17075</v>
      </c>
      <c r="AD19" s="73" t="n">
        <v>-19895</v>
      </c>
      <c r="AE19" t="n">
        <v>0</v>
      </c>
    </row>
    <row r="20">
      <c r="C20" s="73" t="n">
        <v>0</v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/>
      <c r="R20" t="inlineStr">
        <is>
          <t>Profit from operations</t>
        </is>
      </c>
      <c r="S20" s="73" t="n">
        <v>0</v>
      </c>
      <c r="T20" s="73" t="n">
        <v>0</v>
      </c>
      <c r="U20" s="73" t="n">
        <v>0</v>
      </c>
      <c r="V20" s="73" t="n">
        <v>0</v>
      </c>
      <c r="W20" s="73" t="n">
        <v>0</v>
      </c>
      <c r="X20" s="73" t="n">
        <v>89</v>
      </c>
      <c r="Y20" s="73" t="n">
        <v>1030</v>
      </c>
      <c r="Z20" s="73" t="n">
        <v>700</v>
      </c>
      <c r="AA20" s="73" t="n">
        <v>1572</v>
      </c>
      <c r="AB20" s="73" t="n">
        <v>2157</v>
      </c>
      <c r="AC20" s="73" t="n">
        <v>2964</v>
      </c>
      <c r="AD20" s="73" t="n">
        <v>3789</v>
      </c>
      <c r="AE20" t="n">
        <v>0</v>
      </c>
    </row>
    <row r="21">
      <c r="B21" s="73" t="inlineStr">
        <is>
          <t>Fixed Assets -</t>
        </is>
      </c>
      <c r="C21" s="73" t="n">
        <v>0</v>
      </c>
      <c r="D21" s="73" t="n">
        <v>0</v>
      </c>
      <c r="E21" s="73" t="n">
        <v>0</v>
      </c>
      <c r="F21" s="73" t="n">
        <v>0</v>
      </c>
      <c r="G21" s="73" t="n">
        <v>0</v>
      </c>
      <c r="H21" s="73" t="n">
        <v>9</v>
      </c>
      <c r="I21" s="73" t="n">
        <v>79</v>
      </c>
      <c r="J21" s="73" t="n">
        <v>97</v>
      </c>
      <c r="K21" s="73" t="n">
        <v>113</v>
      </c>
      <c r="L21" s="73" t="n">
        <v>123</v>
      </c>
      <c r="M21" s="73" t="n">
        <v>141</v>
      </c>
      <c r="N21" s="73" t="n">
        <v>154</v>
      </c>
      <c r="R21" t="inlineStr">
        <is>
          <t>Receivables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s="73" t="n">
        <v>0</v>
      </c>
      <c r="Y21" t="n">
        <v>-2</v>
      </c>
      <c r="Z21" t="n">
        <v>4</v>
      </c>
      <c r="AA21" t="n">
        <v>0</v>
      </c>
      <c r="AB21" t="n">
        <v>-11</v>
      </c>
      <c r="AC21" s="73" t="n">
        <v>-9</v>
      </c>
      <c r="AD21" t="n">
        <v>-6</v>
      </c>
      <c r="AE21" t="n">
        <v>0</v>
      </c>
    </row>
    <row r="22">
      <c r="B22" s="73" t="inlineStr">
        <is>
          <t>Land</t>
        </is>
      </c>
      <c r="C22" s="73" t="n">
        <v>0</v>
      </c>
      <c r="D22" s="73" t="n">
        <v>0</v>
      </c>
      <c r="E22" s="73" t="n">
        <v>0</v>
      </c>
      <c r="F22" s="73" t="n">
        <v>0</v>
      </c>
      <c r="G22" s="73" t="n">
        <v>0</v>
      </c>
      <c r="H22" s="73" t="n">
        <v>0</v>
      </c>
      <c r="I22" s="73" t="n">
        <v>0</v>
      </c>
      <c r="J22" s="73" t="n">
        <v>0</v>
      </c>
      <c r="K22" s="73" t="n">
        <v>0</v>
      </c>
      <c r="L22" s="73" t="n">
        <v>0</v>
      </c>
      <c r="M22" s="73" t="n">
        <v>0</v>
      </c>
      <c r="N22" s="73" t="n">
        <v>0</v>
      </c>
      <c r="O22" s="73" t="n"/>
      <c r="R22" t="inlineStr">
        <is>
          <t>Inventory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s="73" t="n">
        <v>0</v>
      </c>
      <c r="Z22" t="n">
        <v>0</v>
      </c>
      <c r="AA22" s="73" t="n">
        <v>0</v>
      </c>
      <c r="AB22" s="73" t="n">
        <v>0</v>
      </c>
      <c r="AC22" s="73" t="n">
        <v>0</v>
      </c>
      <c r="AD22" s="73" t="n">
        <v>0</v>
      </c>
      <c r="AE22" t="n">
        <v>0</v>
      </c>
    </row>
    <row r="23">
      <c r="B23" s="73" t="inlineStr">
        <is>
          <t>Building</t>
        </is>
      </c>
      <c r="C23" s="73" t="n">
        <v>0</v>
      </c>
      <c r="D23" s="73" t="n">
        <v>0</v>
      </c>
      <c r="E23" s="73" t="n">
        <v>0</v>
      </c>
      <c r="F23" s="73" t="n">
        <v>0</v>
      </c>
      <c r="G23" s="73" t="n">
        <v>0</v>
      </c>
      <c r="H23" s="73" t="n">
        <v>6</v>
      </c>
      <c r="I23" s="73" t="n">
        <v>61</v>
      </c>
      <c r="J23" s="73" t="n">
        <v>80</v>
      </c>
      <c r="K23" s="73" t="n">
        <v>99</v>
      </c>
      <c r="L23" s="73" t="n">
        <v>108</v>
      </c>
      <c r="M23" s="73" t="n">
        <v>133</v>
      </c>
      <c r="N23" s="73" t="n">
        <v>149</v>
      </c>
      <c r="O23" s="73" t="n"/>
      <c r="R23" t="inlineStr">
        <is>
          <t>Payables</t>
        </is>
      </c>
      <c r="S23" t="n">
        <v>0</v>
      </c>
      <c r="T23" t="n">
        <v>0</v>
      </c>
      <c r="U23" t="n">
        <v>0</v>
      </c>
      <c r="V23" s="73" t="n">
        <v>0</v>
      </c>
      <c r="W23" t="n">
        <v>0</v>
      </c>
      <c r="X23" t="n">
        <v>1</v>
      </c>
      <c r="Y23" s="73" t="n">
        <v>-6</v>
      </c>
      <c r="Z23" s="73" t="n">
        <v>32</v>
      </c>
      <c r="AA23" s="73" t="n">
        <v>44</v>
      </c>
      <c r="AB23" t="n">
        <v>21</v>
      </c>
      <c r="AC23" s="73" t="n">
        <v>40</v>
      </c>
      <c r="AD23" t="n">
        <v>101</v>
      </c>
      <c r="AE23" t="n">
        <v>0</v>
      </c>
    </row>
    <row r="24">
      <c r="B24" s="73" t="inlineStr">
        <is>
          <t>Plant Machinery</t>
        </is>
      </c>
      <c r="C24" s="73" t="n">
        <v>0</v>
      </c>
      <c r="D24" s="73" t="n">
        <v>0</v>
      </c>
      <c r="E24" s="73" t="n">
        <v>0</v>
      </c>
      <c r="F24" s="73" t="n">
        <v>0</v>
      </c>
      <c r="G24" s="73" t="n">
        <v>0</v>
      </c>
      <c r="H24" s="73" t="n">
        <v>0</v>
      </c>
      <c r="I24" s="73" t="n">
        <v>0</v>
      </c>
      <c r="J24" s="73" t="n">
        <v>0</v>
      </c>
      <c r="K24" s="73" t="n">
        <v>0</v>
      </c>
      <c r="L24" s="73" t="n">
        <v>0</v>
      </c>
      <c r="M24" s="73" t="n">
        <v>0</v>
      </c>
      <c r="N24" s="73" t="n">
        <v>0</v>
      </c>
      <c r="R24" t="inlineStr">
        <is>
          <t>Working capital changes</t>
        </is>
      </c>
      <c r="S24" t="n">
        <v>0</v>
      </c>
      <c r="T24" t="n">
        <v>0</v>
      </c>
      <c r="U24" t="n">
        <v>0</v>
      </c>
      <c r="V24" s="73" t="n">
        <v>0</v>
      </c>
      <c r="W24" t="n">
        <v>0</v>
      </c>
      <c r="X24" t="n">
        <v>-1100</v>
      </c>
      <c r="Y24" t="n">
        <v>-5926</v>
      </c>
      <c r="Z24" t="n">
        <v>-12938</v>
      </c>
      <c r="AA24" t="n">
        <v>-15505</v>
      </c>
      <c r="AB24" s="73" t="n">
        <v>-16230</v>
      </c>
      <c r="AC24" s="73" t="n">
        <v>-19415</v>
      </c>
      <c r="AD24" s="73" t="n">
        <v>-23004</v>
      </c>
      <c r="AE24" t="n">
        <v>0</v>
      </c>
    </row>
    <row r="25">
      <c r="B25" t="inlineStr">
        <is>
          <t>Equipments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14</v>
      </c>
      <c r="J25" t="n">
        <v>15</v>
      </c>
      <c r="K25" t="n">
        <v>15</v>
      </c>
      <c r="L25" t="n">
        <v>14</v>
      </c>
      <c r="M25" t="n">
        <v>15</v>
      </c>
      <c r="N25" t="n">
        <v>17</v>
      </c>
      <c r="R25" t="inlineStr">
        <is>
          <t>Direct taxes</t>
        </is>
      </c>
      <c r="S25" s="73" t="n">
        <v>0</v>
      </c>
      <c r="T25" s="73" t="n">
        <v>0</v>
      </c>
      <c r="U25" s="73" t="n">
        <v>0</v>
      </c>
      <c r="V25" s="73" t="n">
        <v>0</v>
      </c>
      <c r="W25" s="73" t="n">
        <v>0</v>
      </c>
      <c r="X25" s="73" t="n">
        <v>-13</v>
      </c>
      <c r="Y25" s="73" t="n">
        <v>-180</v>
      </c>
      <c r="Z25" s="73" t="n">
        <v>-242</v>
      </c>
      <c r="AA25" s="73" t="n">
        <v>-399</v>
      </c>
      <c r="AB25" s="73" t="n">
        <v>-526</v>
      </c>
      <c r="AC25" s="73" t="n">
        <v>-624</v>
      </c>
      <c r="AD25" s="73" t="n">
        <v>-680</v>
      </c>
      <c r="AE25" t="n">
        <v>0</v>
      </c>
    </row>
    <row r="26">
      <c r="B26" s="73" t="inlineStr">
        <is>
          <t>Furniture n fittings</t>
        </is>
      </c>
      <c r="C26" s="73" t="n">
        <v>0</v>
      </c>
      <c r="D26" s="73" t="n">
        <v>0</v>
      </c>
      <c r="E26" s="73" t="n">
        <v>0</v>
      </c>
      <c r="F26" s="73" t="n">
        <v>0</v>
      </c>
      <c r="G26" s="73" t="n">
        <v>0</v>
      </c>
      <c r="H26" s="73" t="n">
        <v>1</v>
      </c>
      <c r="I26" s="73" t="n">
        <v>11</v>
      </c>
      <c r="J26" s="73" t="n">
        <v>12</v>
      </c>
      <c r="K26" s="73" t="n">
        <v>13</v>
      </c>
      <c r="L26" s="73" t="n">
        <v>14</v>
      </c>
      <c r="M26" s="73" t="n">
        <v>10</v>
      </c>
      <c r="N26" s="73" t="n">
        <v>12</v>
      </c>
      <c r="R26" t="inlineStr">
        <is>
          <t>Cash from Investing Activity -</t>
        </is>
      </c>
      <c r="S26" s="73" t="n">
        <v>0</v>
      </c>
      <c r="T26" s="73" t="n">
        <v>0</v>
      </c>
      <c r="U26" s="73" t="n">
        <v>0</v>
      </c>
      <c r="V26" s="73" t="n">
        <v>0</v>
      </c>
      <c r="W26" s="73" t="n">
        <v>0</v>
      </c>
      <c r="X26" s="73" t="n">
        <v>-69</v>
      </c>
      <c r="Y26" s="73" t="n">
        <v>-797</v>
      </c>
      <c r="Z26" s="73" t="n">
        <v>2197</v>
      </c>
      <c r="AA26" s="73" t="n">
        <v>-611</v>
      </c>
      <c r="AB26" s="73" t="n">
        <v>-555</v>
      </c>
      <c r="AC26" t="n">
        <v>-798</v>
      </c>
      <c r="AD26" s="73" t="n">
        <v>-1202</v>
      </c>
      <c r="AE26" t="n">
        <v>0</v>
      </c>
    </row>
    <row r="27">
      <c r="B27" s="73" t="inlineStr">
        <is>
          <t>Railway sidings</t>
        </is>
      </c>
      <c r="C27" s="73" t="n">
        <v>0</v>
      </c>
      <c r="D27" s="73" t="n">
        <v>0</v>
      </c>
      <c r="E27" s="73" t="n">
        <v>0</v>
      </c>
      <c r="F27" s="73" t="n">
        <v>0</v>
      </c>
      <c r="G27" s="73" t="n">
        <v>0</v>
      </c>
      <c r="H27" s="73" t="n">
        <v>0</v>
      </c>
      <c r="I27" s="73" t="n">
        <v>0</v>
      </c>
      <c r="J27" s="73" t="n">
        <v>0</v>
      </c>
      <c r="K27" s="73" t="n">
        <v>0</v>
      </c>
      <c r="L27" s="73" t="n">
        <v>0</v>
      </c>
      <c r="M27" s="73" t="n">
        <v>0</v>
      </c>
      <c r="N27" s="73" t="n">
        <v>0</v>
      </c>
      <c r="R27" t="inlineStr">
        <is>
          <t>Fixed assets purchased</t>
        </is>
      </c>
      <c r="S27" s="73" t="n">
        <v>0</v>
      </c>
      <c r="T27" s="73" t="n">
        <v>0</v>
      </c>
      <c r="U27" s="73" t="n">
        <v>0</v>
      </c>
      <c r="V27" s="73" t="n">
        <v>0</v>
      </c>
      <c r="W27" s="73" t="n">
        <v>0</v>
      </c>
      <c r="X27" s="73" t="n">
        <v>-3</v>
      </c>
      <c r="Y27" s="73" t="n">
        <v>-15</v>
      </c>
      <c r="Z27" s="73" t="n">
        <v>-29</v>
      </c>
      <c r="AA27" s="73" t="n">
        <v>-34</v>
      </c>
      <c r="AB27" s="73" t="n">
        <v>-43</v>
      </c>
      <c r="AC27" s="73" t="n">
        <v>-41</v>
      </c>
      <c r="AD27" s="73" t="n">
        <v>-48</v>
      </c>
      <c r="AE27" t="n">
        <v>0</v>
      </c>
    </row>
    <row r="28">
      <c r="B28" t="inlineStr">
        <is>
          <t>Vehicles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8</v>
      </c>
      <c r="J28" t="n">
        <v>11</v>
      </c>
      <c r="K28" t="n">
        <v>19</v>
      </c>
      <c r="L28" t="n">
        <v>29</v>
      </c>
      <c r="M28" t="n">
        <v>35</v>
      </c>
      <c r="N28" t="n">
        <v>40</v>
      </c>
      <c r="O28" s="73" t="n"/>
      <c r="R28" t="inlineStr">
        <is>
          <t>Fixed assets sold</t>
        </is>
      </c>
      <c r="S28" s="73" t="n">
        <v>0</v>
      </c>
      <c r="T28" s="73" t="n">
        <v>0</v>
      </c>
      <c r="U28" s="73" t="n">
        <v>0</v>
      </c>
      <c r="V28" s="73" t="n">
        <v>0</v>
      </c>
      <c r="W28" s="73" t="n">
        <v>0</v>
      </c>
      <c r="X28" s="73" t="n">
        <v>0</v>
      </c>
      <c r="Y28" s="73" t="n">
        <v>2</v>
      </c>
      <c r="Z28" s="73" t="n">
        <v>2</v>
      </c>
      <c r="AA28" s="73" t="n">
        <v>4</v>
      </c>
      <c r="AB28" t="n">
        <v>3</v>
      </c>
      <c r="AC28" s="73" t="n">
        <v>5</v>
      </c>
      <c r="AD28" s="73" t="n">
        <v>5</v>
      </c>
      <c r="AE28" t="n">
        <v>0</v>
      </c>
    </row>
    <row r="29">
      <c r="B29" t="inlineStr">
        <is>
          <t>Intangible Assets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73" t="n">
        <v>0</v>
      </c>
      <c r="J29" s="73" t="n">
        <v>0</v>
      </c>
      <c r="K29" s="73" t="n">
        <v>0</v>
      </c>
      <c r="L29" s="73" t="n">
        <v>0</v>
      </c>
      <c r="M29" s="73" t="n">
        <v>0</v>
      </c>
      <c r="N29" s="73" t="n">
        <v>0</v>
      </c>
      <c r="R29" t="inlineStr">
        <is>
          <t>Investments purchased</t>
        </is>
      </c>
      <c r="S29" s="73" t="n">
        <v>0</v>
      </c>
      <c r="T29" s="73" t="n">
        <v>0</v>
      </c>
      <c r="U29" s="73" t="n">
        <v>0</v>
      </c>
      <c r="V29" s="73" t="n">
        <v>0</v>
      </c>
      <c r="W29" s="73" t="n">
        <v>0</v>
      </c>
      <c r="X29" s="73" t="n">
        <v>-5555</v>
      </c>
      <c r="Y29" s="73" t="n">
        <v>-3475</v>
      </c>
      <c r="Z29" s="73" t="n">
        <v>-38034</v>
      </c>
      <c r="AA29" s="73" t="n">
        <v>-43036</v>
      </c>
      <c r="AB29" s="73" t="n">
        <v>-6655</v>
      </c>
      <c r="AC29" s="73" t="n">
        <v>-17032</v>
      </c>
      <c r="AD29" s="73" t="n">
        <v>-47348</v>
      </c>
      <c r="AE29" t="n">
        <v>0</v>
      </c>
    </row>
    <row r="30">
      <c r="B30" t="inlineStr">
        <is>
          <t>Other fixed assets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19</v>
      </c>
      <c r="J30" t="n">
        <v>28</v>
      </c>
      <c r="K30" t="n">
        <v>43</v>
      </c>
      <c r="L30" t="n">
        <v>60</v>
      </c>
      <c r="M30" t="n">
        <v>77</v>
      </c>
      <c r="N30" s="73" t="n">
        <v>89</v>
      </c>
      <c r="O30" s="73" t="n"/>
      <c r="R30" t="inlineStr">
        <is>
          <t>Investments sold</t>
        </is>
      </c>
      <c r="S30" s="73" t="n">
        <v>0</v>
      </c>
      <c r="T30" s="73" t="n">
        <v>0</v>
      </c>
      <c r="U30" s="73" t="n">
        <v>0</v>
      </c>
      <c r="V30" s="73" t="n">
        <v>0</v>
      </c>
      <c r="W30" s="73" t="n">
        <v>0</v>
      </c>
      <c r="X30" s="73" t="n">
        <v>5487</v>
      </c>
      <c r="Y30" s="73" t="n">
        <v>2975</v>
      </c>
      <c r="Z30" s="73" t="n">
        <v>40232</v>
      </c>
      <c r="AA30" s="73" t="n">
        <v>42408</v>
      </c>
      <c r="AB30" s="73" t="n">
        <v>6140</v>
      </c>
      <c r="AC30" s="73" t="n">
        <v>16270</v>
      </c>
      <c r="AD30" s="73" t="n">
        <v>46189</v>
      </c>
      <c r="AE30" t="n">
        <v>0</v>
      </c>
    </row>
    <row r="31">
      <c r="B31" t="inlineStr">
        <is>
          <t>Gross Block</t>
        </is>
      </c>
      <c r="C31" s="73" t="n">
        <v>0</v>
      </c>
      <c r="D31" s="73" t="n">
        <v>0</v>
      </c>
      <c r="E31" s="73" t="n">
        <v>0</v>
      </c>
      <c r="F31" s="73" t="n">
        <v>0</v>
      </c>
      <c r="G31" s="73" t="n">
        <v>0</v>
      </c>
      <c r="H31" s="73" t="n">
        <v>11</v>
      </c>
      <c r="I31" s="73" t="n">
        <v>128</v>
      </c>
      <c r="J31" s="73" t="n">
        <v>169</v>
      </c>
      <c r="K31" s="73" t="n">
        <v>214</v>
      </c>
      <c r="L31" s="73" t="n">
        <v>256</v>
      </c>
      <c r="M31" s="73" t="n">
        <v>304</v>
      </c>
      <c r="N31" s="73" t="n">
        <v>343</v>
      </c>
      <c r="O31" s="73" t="n"/>
      <c r="R31" t="inlineStr">
        <is>
          <t>Interest received</t>
        </is>
      </c>
      <c r="S31" t="n">
        <v>0</v>
      </c>
      <c r="T31" t="n">
        <v>0</v>
      </c>
      <c r="U31" s="73" t="n">
        <v>0</v>
      </c>
      <c r="V31" s="73" t="n">
        <v>0</v>
      </c>
      <c r="W31" s="73" t="n">
        <v>0</v>
      </c>
      <c r="X31" s="73" t="n">
        <v>1</v>
      </c>
      <c r="Y31" s="73" t="n">
        <v>31</v>
      </c>
      <c r="Z31" s="73" t="n">
        <v>27</v>
      </c>
      <c r="AA31" s="73" t="n">
        <v>46</v>
      </c>
      <c r="AB31" s="73" t="n">
        <v>0</v>
      </c>
      <c r="AC31" s="73" t="n">
        <v>0</v>
      </c>
      <c r="AD31" s="73" t="n">
        <v>0</v>
      </c>
      <c r="AE31" t="n">
        <v>0</v>
      </c>
    </row>
    <row r="32">
      <c r="B32" s="73" t="inlineStr">
        <is>
          <t>Accumulated Depreciation</t>
        </is>
      </c>
      <c r="C32" s="73" t="n">
        <v>0</v>
      </c>
      <c r="D32" s="73" t="n">
        <v>0</v>
      </c>
      <c r="E32" s="73" t="n">
        <v>0</v>
      </c>
      <c r="F32" s="73" t="n">
        <v>0</v>
      </c>
      <c r="G32" s="73" t="n">
        <v>0</v>
      </c>
      <c r="H32" s="73" t="n">
        <v>3</v>
      </c>
      <c r="I32" s="73" t="n">
        <v>49</v>
      </c>
      <c r="J32" s="73" t="n">
        <v>72</v>
      </c>
      <c r="K32" s="73" t="n">
        <v>101</v>
      </c>
      <c r="L32" s="73" t="n">
        <v>133</v>
      </c>
      <c r="M32" s="73" t="n">
        <v>163</v>
      </c>
      <c r="N32" s="73" t="n">
        <v>189</v>
      </c>
      <c r="O32" s="73" t="n"/>
      <c r="R32" t="inlineStr">
        <is>
          <t>Dividends received</t>
        </is>
      </c>
      <c r="S32" t="n">
        <v>0</v>
      </c>
      <c r="T32" t="n">
        <v>0</v>
      </c>
      <c r="U32" s="73" t="n">
        <v>0</v>
      </c>
      <c r="V32" t="n">
        <v>0</v>
      </c>
      <c r="W32" t="n">
        <v>0</v>
      </c>
      <c r="X32" t="n">
        <v>0</v>
      </c>
      <c r="Y32" s="73" t="n">
        <v>0</v>
      </c>
      <c r="Z32" s="73" t="n">
        <v>0</v>
      </c>
      <c r="AA32" s="73" t="n">
        <v>0</v>
      </c>
      <c r="AB32" s="73" t="n">
        <v>0</v>
      </c>
      <c r="AC32" s="73" t="n">
        <v>0</v>
      </c>
      <c r="AD32" s="73" t="n">
        <v>0</v>
      </c>
      <c r="AE32" t="n">
        <v>0</v>
      </c>
    </row>
    <row r="33">
      <c r="B33" t="inlineStr">
        <is>
          <t>Net Block</t>
        </is>
      </c>
      <c r="C33" s="73" t="n">
        <v>0</v>
      </c>
      <c r="D33" s="73" t="n">
        <v>0</v>
      </c>
      <c r="E33" s="73" t="n">
        <v>0</v>
      </c>
      <c r="F33" s="73" t="n">
        <v>0</v>
      </c>
      <c r="G33" s="73" t="n">
        <v>0</v>
      </c>
      <c r="H33" s="73" t="n">
        <v>9</v>
      </c>
      <c r="I33" s="73" t="n">
        <v>79</v>
      </c>
      <c r="J33" s="73" t="n">
        <v>97</v>
      </c>
      <c r="K33" s="73" t="n">
        <v>113</v>
      </c>
      <c r="L33" s="73" t="n">
        <v>123</v>
      </c>
      <c r="M33" s="73" t="n">
        <v>141</v>
      </c>
      <c r="N33" s="73" t="n">
        <v>154</v>
      </c>
      <c r="O33" s="73" t="n"/>
      <c r="R33" t="inlineStr">
        <is>
          <t>Invest in subsidiaries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C34" s="73" t="n">
        <v>0</v>
      </c>
      <c r="D34" t="n">
        <v>0</v>
      </c>
      <c r="E34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0</v>
      </c>
      <c r="Z34" s="73" t="n">
        <v>0</v>
      </c>
      <c r="AA34" s="73" t="n">
        <v>0</v>
      </c>
      <c r="AB34" s="73" t="n">
        <v>0</v>
      </c>
      <c r="AC34" s="73" t="n">
        <v>0</v>
      </c>
      <c r="AD34" s="73" t="n">
        <v>0</v>
      </c>
      <c r="AE34" t="n">
        <v>0</v>
      </c>
    </row>
    <row r="35">
      <c r="B35" t="inlineStr">
        <is>
          <t>CWIP</t>
        </is>
      </c>
      <c r="C35" s="73" t="n">
        <v>0</v>
      </c>
      <c r="D35" s="73" t="n">
        <v>0</v>
      </c>
      <c r="E35" s="73" t="n">
        <v>0</v>
      </c>
      <c r="F35" s="73" t="n">
        <v>0</v>
      </c>
      <c r="G35" s="73" t="n">
        <v>0</v>
      </c>
      <c r="H35" s="73" t="n">
        <v>0</v>
      </c>
      <c r="I35" s="73" t="n">
        <v>0</v>
      </c>
      <c r="J35" s="73" t="n">
        <v>1</v>
      </c>
      <c r="K35" s="73" t="n">
        <v>0</v>
      </c>
      <c r="L35" s="73" t="n">
        <v>1</v>
      </c>
      <c r="M35" s="73" t="n">
        <v>1</v>
      </c>
      <c r="N35" s="73" t="n">
        <v>0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0</v>
      </c>
      <c r="V35" s="73" t="n">
        <v>0</v>
      </c>
      <c r="W35" s="73" t="n">
        <v>0</v>
      </c>
      <c r="X35" s="73" t="n">
        <v>0</v>
      </c>
      <c r="Y35" s="73" t="n">
        <v>0</v>
      </c>
      <c r="Z35" s="73" t="n">
        <v>0</v>
      </c>
      <c r="AA35" s="73" t="n">
        <v>0</v>
      </c>
      <c r="AB35" s="73" t="n">
        <v>0</v>
      </c>
      <c r="AC35" s="73" t="n">
        <v>0</v>
      </c>
      <c r="AD35" s="73" t="n">
        <v>0</v>
      </c>
      <c r="AE35" t="n">
        <v>0</v>
      </c>
    </row>
    <row r="36">
      <c r="B36" t="inlineStr">
        <is>
          <t>Investments</t>
        </is>
      </c>
      <c r="C36" s="73" t="n">
        <v>0</v>
      </c>
      <c r="D36" s="73" t="n">
        <v>0</v>
      </c>
      <c r="E36" s="73" t="n">
        <v>0</v>
      </c>
      <c r="F36" s="73" t="n">
        <v>0</v>
      </c>
      <c r="G36" s="73" t="n">
        <v>0</v>
      </c>
      <c r="H36" s="73" t="n">
        <v>251</v>
      </c>
      <c r="I36" s="73" t="n">
        <v>3266</v>
      </c>
      <c r="J36" s="73" t="n">
        <v>1248</v>
      </c>
      <c r="K36" s="73" t="n">
        <v>2001</v>
      </c>
      <c r="L36" s="73" t="n">
        <v>1939</v>
      </c>
      <c r="M36" s="73" t="n">
        <v>2533</v>
      </c>
      <c r="N36" s="73" t="n">
        <v>2502</v>
      </c>
      <c r="O36" s="73" t="n"/>
      <c r="R36" t="inlineStr">
        <is>
          <t>Other investing items</t>
        </is>
      </c>
      <c r="S36" s="73" t="n">
        <v>0</v>
      </c>
      <c r="T36" s="73" t="n">
        <v>0</v>
      </c>
      <c r="U36" s="73" t="n">
        <v>0</v>
      </c>
      <c r="V36" s="73" t="n">
        <v>0</v>
      </c>
      <c r="W36" s="73" t="n">
        <v>0</v>
      </c>
      <c r="X36" s="73" t="n">
        <v>0</v>
      </c>
      <c r="Y36" s="73" t="n">
        <v>-314</v>
      </c>
      <c r="Z36" s="73" t="n">
        <v>0</v>
      </c>
      <c r="AA36" t="n">
        <v>0</v>
      </c>
      <c r="AB36" s="73" t="n">
        <v>0</v>
      </c>
      <c r="AC36" t="n">
        <v>0</v>
      </c>
      <c r="AD36" s="73" t="n">
        <v>0</v>
      </c>
      <c r="AE36" t="n">
        <v>0</v>
      </c>
    </row>
    <row r="37"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/>
      <c r="R37" t="inlineStr">
        <is>
          <t>Cash from Financing Activity -</t>
        </is>
      </c>
      <c r="S37" s="73" t="n">
        <v>0</v>
      </c>
      <c r="T37" s="73" t="n">
        <v>0</v>
      </c>
      <c r="U37" s="73" t="n">
        <v>0</v>
      </c>
      <c r="V37" s="73" t="n">
        <v>0</v>
      </c>
      <c r="W37" s="73" t="n">
        <v>0</v>
      </c>
      <c r="X37" s="73" t="n">
        <v>1149</v>
      </c>
      <c r="Y37" s="73" t="n">
        <v>5676</v>
      </c>
      <c r="Z37" s="73" t="n">
        <v>10228</v>
      </c>
      <c r="AA37" s="73" t="n">
        <v>14630</v>
      </c>
      <c r="AB37" s="73" t="n">
        <v>15125</v>
      </c>
      <c r="AC37" s="73" t="n">
        <v>17870</v>
      </c>
      <c r="AD37" s="73" t="n">
        <v>21197</v>
      </c>
      <c r="AE37" t="n">
        <v>0</v>
      </c>
    </row>
    <row r="38">
      <c r="B38" t="inlineStr">
        <is>
          <t>Other Assets -</t>
        </is>
      </c>
      <c r="C38" s="73" t="n">
        <v>0</v>
      </c>
      <c r="D38" s="73" t="n">
        <v>0</v>
      </c>
      <c r="E38" s="73" t="n">
        <v>0</v>
      </c>
      <c r="F38" s="73" t="n">
        <v>0</v>
      </c>
      <c r="G38" s="73" t="n">
        <v>0</v>
      </c>
      <c r="H38" s="73" t="n">
        <v>2878</v>
      </c>
      <c r="I38" s="73" t="n">
        <v>34513</v>
      </c>
      <c r="J38" s="73" t="n">
        <v>47180</v>
      </c>
      <c r="K38" s="73" t="n">
        <v>62540</v>
      </c>
      <c r="L38" s="73" t="n">
        <v>79765</v>
      </c>
      <c r="M38" s="73" t="n">
        <v>100134</v>
      </c>
      <c r="N38" s="73" t="n">
        <v>124491</v>
      </c>
      <c r="O38" s="73" t="n"/>
      <c r="R38" t="inlineStr">
        <is>
          <t>Proceeds from shares</t>
        </is>
      </c>
      <c r="S38" t="n">
        <v>0</v>
      </c>
      <c r="T38" t="n">
        <v>0</v>
      </c>
      <c r="U38" s="73" t="n">
        <v>0</v>
      </c>
      <c r="V38" t="n">
        <v>0</v>
      </c>
      <c r="W38" t="n">
        <v>0</v>
      </c>
      <c r="X38" t="n">
        <v>150</v>
      </c>
      <c r="Y38" t="n">
        <v>0</v>
      </c>
      <c r="Z38" t="n">
        <v>0</v>
      </c>
      <c r="AA38" s="73" t="n">
        <v>2500</v>
      </c>
      <c r="AB38" s="73" t="n">
        <v>0</v>
      </c>
      <c r="AC38" t="n">
        <v>5560</v>
      </c>
      <c r="AD38" t="n">
        <v>3</v>
      </c>
      <c r="AE38" t="n">
        <v>0</v>
      </c>
    </row>
    <row r="39">
      <c r="B39" t="inlineStr">
        <is>
          <t>Inventories</t>
        </is>
      </c>
      <c r="C39" s="73" t="n">
        <v>0</v>
      </c>
      <c r="D39" s="73" t="n">
        <v>0</v>
      </c>
      <c r="E39" s="73" t="n">
        <v>0</v>
      </c>
      <c r="F39" s="73" t="n">
        <v>0</v>
      </c>
      <c r="G39" s="73" t="n">
        <v>0</v>
      </c>
      <c r="H39" s="73" t="n">
        <v>863.4</v>
      </c>
      <c r="I39" s="73" t="n">
        <v>10353.9</v>
      </c>
      <c r="J39" s="73" t="n">
        <v>14154</v>
      </c>
      <c r="K39" s="73" t="n">
        <v>18762</v>
      </c>
      <c r="L39" s="73" t="n">
        <v>23929.5</v>
      </c>
      <c r="M39" s="73" t="n">
        <v>30040.2</v>
      </c>
      <c r="N39" s="73" t="n">
        <v>37347.3</v>
      </c>
      <c r="O39" s="73" t="n"/>
      <c r="R39" t="inlineStr">
        <is>
          <t>Proceeds from borrowings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1017</v>
      </c>
      <c r="Y39" t="n">
        <v>8731</v>
      </c>
      <c r="Z39" t="n">
        <v>16652</v>
      </c>
      <c r="AA39" t="n">
        <v>26657</v>
      </c>
      <c r="AB39" t="n">
        <v>26948</v>
      </c>
      <c r="AC39" t="n">
        <v>26680</v>
      </c>
      <c r="AD39" s="73" t="n">
        <v>38991</v>
      </c>
      <c r="AE39" t="n">
        <v>0</v>
      </c>
    </row>
    <row r="40">
      <c r="B40" t="inlineStr">
        <is>
          <t>Trade receivables +</t>
        </is>
      </c>
      <c r="C40" s="73" t="n">
        <v>0</v>
      </c>
      <c r="D40" s="73" t="n">
        <v>0</v>
      </c>
      <c r="E40" s="73" t="n">
        <v>0</v>
      </c>
      <c r="F40" s="73" t="n">
        <v>0</v>
      </c>
      <c r="G40" s="73" t="n">
        <v>0</v>
      </c>
      <c r="H40" s="73" t="n">
        <v>12</v>
      </c>
      <c r="I40" s="73" t="n">
        <v>311</v>
      </c>
      <c r="J40" s="73" t="n">
        <v>2</v>
      </c>
      <c r="K40" s="73" t="n">
        <v>2</v>
      </c>
      <c r="L40" s="73" t="n">
        <v>13</v>
      </c>
      <c r="M40" s="73" t="n">
        <v>22</v>
      </c>
      <c r="N40" s="73" t="n">
        <v>28</v>
      </c>
      <c r="O40" s="73" t="n"/>
      <c r="R40" t="inlineStr">
        <is>
          <t>Repayment of borrowings</t>
        </is>
      </c>
      <c r="S40" t="n">
        <v>0</v>
      </c>
      <c r="T40" t="n">
        <v>0</v>
      </c>
      <c r="U40" t="n">
        <v>0</v>
      </c>
      <c r="V40" s="73" t="n">
        <v>0</v>
      </c>
      <c r="W40" t="n">
        <v>0</v>
      </c>
      <c r="X40" t="n">
        <v>-18</v>
      </c>
      <c r="Y40" s="73" t="n">
        <v>-3027</v>
      </c>
      <c r="Z40" t="n">
        <v>-6923</v>
      </c>
      <c r="AA40" s="73" t="n">
        <v>-14173</v>
      </c>
      <c r="AB40" s="73" t="n">
        <v>-11818</v>
      </c>
      <c r="AC40" s="73" t="n">
        <v>-14164</v>
      </c>
      <c r="AD40" s="73" t="n">
        <v>-17791</v>
      </c>
      <c r="AE40" t="n">
        <v>0</v>
      </c>
    </row>
    <row r="41">
      <c r="B41" t="inlineStr">
        <is>
          <t>Cash Equivalents</t>
        </is>
      </c>
      <c r="C41" s="73" t="n">
        <v>0</v>
      </c>
      <c r="D41" s="73" t="n">
        <v>0</v>
      </c>
      <c r="E41" s="73" t="n">
        <v>0</v>
      </c>
      <c r="F41" s="73" t="n">
        <v>0</v>
      </c>
      <c r="G41" s="73" t="n">
        <v>0</v>
      </c>
      <c r="H41" s="73" t="n">
        <v>66</v>
      </c>
      <c r="I41" s="73" t="n">
        <v>717</v>
      </c>
      <c r="J41" s="73" t="n">
        <v>407</v>
      </c>
      <c r="K41" s="73" t="n">
        <v>109</v>
      </c>
      <c r="L41" s="73" t="n">
        <v>64</v>
      </c>
      <c r="M41" s="73" t="n">
        <v>62</v>
      </c>
      <c r="N41" s="73" t="n">
        <v>166</v>
      </c>
      <c r="O41" s="73" t="n"/>
      <c r="R41" t="inlineStr">
        <is>
          <t>Interest paid fin</t>
        </is>
      </c>
      <c r="S41" s="73" t="n">
        <v>0</v>
      </c>
      <c r="T41" s="73" t="n">
        <v>0</v>
      </c>
      <c r="U41" s="73" t="n">
        <v>0</v>
      </c>
      <c r="V41" s="73" t="n">
        <v>0</v>
      </c>
      <c r="W41" s="73" t="n">
        <v>0</v>
      </c>
      <c r="X41" s="73" t="n">
        <v>0</v>
      </c>
      <c r="Y41" s="73" t="n">
        <v>0</v>
      </c>
      <c r="Z41" s="73" t="n">
        <v>0</v>
      </c>
      <c r="AA41" s="73" t="n">
        <v>0</v>
      </c>
      <c r="AB41" s="73" t="n">
        <v>0</v>
      </c>
      <c r="AC41" s="73" t="n">
        <v>0</v>
      </c>
      <c r="AD41" s="73" t="n">
        <v>0</v>
      </c>
      <c r="AE41" t="n">
        <v>0</v>
      </c>
    </row>
    <row r="42">
      <c r="B42" t="inlineStr">
        <is>
          <t>Loans n Advances</t>
        </is>
      </c>
      <c r="C42" s="73" t="n">
        <v>0</v>
      </c>
      <c r="D42" s="73" t="n">
        <v>0</v>
      </c>
      <c r="E42" s="73" t="n">
        <v>0</v>
      </c>
      <c r="F42" s="73" t="n">
        <v>0</v>
      </c>
      <c r="G42" s="73" t="n">
        <v>0</v>
      </c>
      <c r="H42" s="73" t="n">
        <v>2</v>
      </c>
      <c r="I42" s="73" t="n">
        <v>17</v>
      </c>
      <c r="J42" s="73" t="n">
        <v>19</v>
      </c>
      <c r="K42" s="73" t="n">
        <v>11</v>
      </c>
      <c r="L42" s="73" t="n">
        <v>38</v>
      </c>
      <c r="M42" s="73" t="n">
        <v>85</v>
      </c>
      <c r="N42" s="73" t="n">
        <v>50</v>
      </c>
      <c r="O42" s="73" t="n"/>
      <c r="R42" t="inlineStr">
        <is>
          <t>Dividends paid</t>
        </is>
      </c>
      <c r="S42" s="73" t="n">
        <v>0</v>
      </c>
      <c r="T42" s="73" t="n">
        <v>0</v>
      </c>
      <c r="U42" s="73" t="n">
        <v>0</v>
      </c>
      <c r="V42" s="73" t="n">
        <v>0</v>
      </c>
      <c r="W42" s="73" t="n">
        <v>0</v>
      </c>
      <c r="X42" s="73" t="n">
        <v>0</v>
      </c>
      <c r="Y42" s="73" t="n">
        <v>0</v>
      </c>
      <c r="Z42" s="73" t="n">
        <v>0</v>
      </c>
      <c r="AA42" s="73" t="n">
        <v>0</v>
      </c>
      <c r="AB42" s="73" t="n">
        <v>0</v>
      </c>
      <c r="AC42" s="73" t="n">
        <v>0</v>
      </c>
      <c r="AD42" s="73" t="n">
        <v>0</v>
      </c>
      <c r="AE42" t="n">
        <v>0</v>
      </c>
    </row>
    <row r="43">
      <c r="B43" t="inlineStr">
        <is>
          <t>Other asset items</t>
        </is>
      </c>
      <c r="C43" s="73" t="n">
        <v>0</v>
      </c>
      <c r="D43" s="73" t="n">
        <v>0</v>
      </c>
      <c r="E43" s="73" t="n">
        <v>0</v>
      </c>
      <c r="F43" s="73" t="n">
        <v>0</v>
      </c>
      <c r="G43" s="73" t="n">
        <v>0</v>
      </c>
      <c r="H43" s="73" t="n">
        <v>2798</v>
      </c>
      <c r="I43" s="73" t="n">
        <v>33469</v>
      </c>
      <c r="J43" s="73" t="n">
        <v>46753</v>
      </c>
      <c r="K43" s="73" t="n">
        <v>62418</v>
      </c>
      <c r="L43" s="73" t="n">
        <v>79649</v>
      </c>
      <c r="M43" s="73" t="n">
        <v>99966</v>
      </c>
      <c r="N43" s="73" t="n">
        <v>124247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-1</v>
      </c>
      <c r="Y43" t="n">
        <v>-8</v>
      </c>
      <c r="Z43" t="n">
        <v>-11</v>
      </c>
      <c r="AA43" t="n">
        <v>-14</v>
      </c>
      <c r="AB43" t="n">
        <v>-14</v>
      </c>
      <c r="AC43" t="n">
        <v>-14</v>
      </c>
      <c r="AD43" t="n">
        <v>-16</v>
      </c>
      <c r="AE43" t="n">
        <v>0</v>
      </c>
    </row>
    <row r="44">
      <c r="B44" s="57" t="inlineStr">
        <is>
          <t>Total Assets</t>
        </is>
      </c>
      <c r="C44" s="73" t="n">
        <v>0</v>
      </c>
      <c r="D44" s="73" t="n">
        <v>0</v>
      </c>
      <c r="E44" s="73" t="n">
        <v>0</v>
      </c>
      <c r="F44" s="73" t="n">
        <v>0</v>
      </c>
      <c r="G44" s="73" t="n">
        <v>0</v>
      </c>
      <c r="H44" s="73" t="n">
        <v>3137</v>
      </c>
      <c r="I44" s="73" t="n">
        <v>37858</v>
      </c>
      <c r="J44" s="73" t="n">
        <v>48527</v>
      </c>
      <c r="K44" s="73" t="n">
        <v>64654</v>
      </c>
      <c r="L44" s="73" t="n">
        <v>81827</v>
      </c>
      <c r="M44" s="73" t="n">
        <v>102809</v>
      </c>
      <c r="N44" s="73" t="n">
        <v>127147</v>
      </c>
      <c r="R44" t="inlineStr">
        <is>
          <t>Other financing items</t>
        </is>
      </c>
      <c r="S44" t="n">
        <v>0</v>
      </c>
      <c r="T44" t="n">
        <v>0</v>
      </c>
      <c r="U44" s="73" t="n">
        <v>0</v>
      </c>
      <c r="V44" s="73" t="n">
        <v>0</v>
      </c>
      <c r="W44" s="73" t="n">
        <v>0</v>
      </c>
      <c r="X44" s="73" t="n">
        <v>0</v>
      </c>
      <c r="Y44" t="n">
        <v>-20</v>
      </c>
      <c r="Z44" t="n">
        <v>0</v>
      </c>
      <c r="AA44" t="n">
        <v>-341</v>
      </c>
      <c r="AB44" t="n">
        <v>0</v>
      </c>
      <c r="AC44" t="n">
        <v>-192</v>
      </c>
      <c r="AD44" t="n">
        <v>0</v>
      </c>
      <c r="AE44" t="n">
        <v>0</v>
      </c>
    </row>
    <row r="45">
      <c r="R45" t="inlineStr">
        <is>
          <t>Net Cash Flow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55</v>
      </c>
      <c r="Y45" t="n">
        <v>-197</v>
      </c>
      <c r="Z45" t="n">
        <v>-55</v>
      </c>
      <c r="AA45" t="n">
        <v>-313</v>
      </c>
      <c r="AB45" t="n">
        <v>-30</v>
      </c>
      <c r="AC45" t="n">
        <v>-2</v>
      </c>
      <c r="AD45" t="n">
        <v>100</v>
      </c>
      <c r="AE45" t="n">
        <v>0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>
        <f>'Data Sheet'!B1</f>
        <v/>
      </c>
      <c r="M56">
        <f>'Data Sheet'!B8</f>
        <v/>
      </c>
      <c r="N56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>
        <f>'Data Sheet'!K32</f>
        <v/>
      </c>
      <c r="AW56">
        <f>'Data Sheet'!K30</f>
        <v/>
      </c>
      <c r="AX56" t="n">
        <v>18.87</v>
      </c>
      <c r="AZ56">
        <f>'Data Sheet'!K59</f>
        <v/>
      </c>
      <c r="BA56">
        <f>'Data Sheet'!K69</f>
        <v/>
      </c>
    </row>
    <row r="57">
      <c r="K57" t="n">
        <v>1</v>
      </c>
      <c r="L57" t="inlineStr">
        <is>
          <t>Piramal Finance.</t>
        </is>
      </c>
      <c r="M57" t="n">
        <v>2142.7</v>
      </c>
      <c r="N57" t="n">
        <v>23.663</v>
      </c>
      <c r="AR57" t="n">
        <v>50702.8</v>
      </c>
      <c r="AS57">
        <f>AZ57-BA57</f>
        <v/>
      </c>
      <c r="AT57">
        <f>AR57+AS57</f>
        <v/>
      </c>
      <c r="AU57" t="n">
        <v>13473.1</v>
      </c>
      <c r="AV57" t="n">
        <v>2765.9</v>
      </c>
      <c r="AW57" t="n">
        <v>2535.14</v>
      </c>
      <c r="AX57" t="n">
        <v>15</v>
      </c>
      <c r="AZ57" t="n">
        <v>12675.7</v>
      </c>
      <c r="BA57" t="n">
        <v>2535.1</v>
      </c>
    </row>
    <row r="58">
      <c r="K58" t="n">
        <v>2</v>
      </c>
      <c r="L58" t="inlineStr">
        <is>
          <t>L&amp;T Finance Ltd</t>
        </is>
      </c>
      <c r="M58" t="n">
        <v>284</v>
      </c>
      <c r="N58" t="n">
        <v>250.6352</v>
      </c>
      <c r="AR58" t="n">
        <v>71180.39999999999</v>
      </c>
      <c r="AS58">
        <f>AZ58-BA58</f>
        <v/>
      </c>
      <c r="AT58">
        <f>AR58+AS58</f>
        <v/>
      </c>
      <c r="AU58" t="n">
        <v>20851.7</v>
      </c>
      <c r="AV58" t="n">
        <v>5495.9</v>
      </c>
      <c r="AW58" t="n">
        <v>3559.02</v>
      </c>
      <c r="AX58" t="n">
        <v>15</v>
      </c>
      <c r="AZ58" t="n">
        <v>17795.1</v>
      </c>
      <c r="BA58" t="n">
        <v>3559</v>
      </c>
    </row>
    <row r="59">
      <c r="K59" t="n">
        <v>3</v>
      </c>
      <c r="L59" t="inlineStr">
        <is>
          <t>Sundaram Finance</t>
        </is>
      </c>
      <c r="M59" t="n">
        <v>4508</v>
      </c>
      <c r="N59" t="n">
        <v>11.1104</v>
      </c>
      <c r="AR59" t="n">
        <v>50085.6</v>
      </c>
      <c r="AS59">
        <f>AZ59-BA59</f>
        <v/>
      </c>
      <c r="AT59">
        <f>AR59+AS59</f>
        <v/>
      </c>
      <c r="AU59" t="n">
        <v>10576.5</v>
      </c>
      <c r="AV59" t="n">
        <v>3817.1</v>
      </c>
      <c r="AW59" t="n">
        <v>2504.28</v>
      </c>
      <c r="AX59" t="n">
        <v>15</v>
      </c>
      <c r="AZ59" t="n">
        <v>12521.4</v>
      </c>
      <c r="BA59" t="n">
        <v>2504.3</v>
      </c>
    </row>
    <row r="60">
      <c r="K60" t="n">
        <v>4</v>
      </c>
      <c r="L60" t="inlineStr">
        <is>
          <t>Muthoot Finance</t>
        </is>
      </c>
      <c r="M60" t="n">
        <v>2835</v>
      </c>
      <c r="N60" t="n">
        <v>40.1468</v>
      </c>
      <c r="AR60" t="n">
        <v>113816.3</v>
      </c>
      <c r="AS60">
        <f>AZ60-BA60</f>
        <v/>
      </c>
      <c r="AT60">
        <f>AR60+AS60</f>
        <v/>
      </c>
      <c r="AU60" t="n">
        <v>34686.4</v>
      </c>
      <c r="AV60" t="n">
        <v>16949</v>
      </c>
      <c r="AW60" t="n">
        <v>5690.82</v>
      </c>
      <c r="AX60" t="n">
        <v>15</v>
      </c>
      <c r="AZ60" t="n">
        <v>28454.1</v>
      </c>
      <c r="BA60" t="n">
        <v>5690.8</v>
      </c>
    </row>
    <row r="61">
      <c r="K61" t="n">
        <v>5</v>
      </c>
      <c r="L61" t="inlineStr">
        <is>
          <t>Shriram Finance</t>
        </is>
      </c>
      <c r="M61" t="n">
        <v>994.1</v>
      </c>
      <c r="N61" t="n">
        <v>235.3045</v>
      </c>
      <c r="AR61" t="n">
        <v>233916.2</v>
      </c>
      <c r="AS61">
        <f>AZ61-BA61</f>
        <v/>
      </c>
      <c r="AT61">
        <f>AR61+AS61</f>
        <v/>
      </c>
      <c r="AU61" t="n">
        <v>53601.7</v>
      </c>
      <c r="AV61" t="n">
        <v>20716.6</v>
      </c>
      <c r="AW61" t="n">
        <v>11695.81</v>
      </c>
      <c r="AX61" t="n">
        <v>15</v>
      </c>
      <c r="AZ61" t="n">
        <v>58479.1</v>
      </c>
      <c r="BA61" t="n">
        <v>11695.8</v>
      </c>
    </row>
    <row r="62">
      <c r="K62" t="n">
        <v>6</v>
      </c>
      <c r="L62" t="inlineStr">
        <is>
          <t>Aadhar Hsg. Fin.</t>
        </is>
      </c>
      <c r="M62" t="n">
        <v>444.5</v>
      </c>
      <c r="N62" t="n">
        <v>43.8394</v>
      </c>
      <c r="AR62" t="n">
        <v>19486.6</v>
      </c>
      <c r="AS62">
        <f>AZ62-BA62</f>
        <v/>
      </c>
      <c r="AT62">
        <f>AR62+AS62</f>
        <v/>
      </c>
      <c r="AU62" t="n">
        <v>3971.6</v>
      </c>
      <c r="AV62" t="n">
        <v>1694.2</v>
      </c>
      <c r="AW62" t="n">
        <v>974.33</v>
      </c>
      <c r="AX62" t="n">
        <v>15</v>
      </c>
      <c r="AZ62" t="n">
        <v>4871.6</v>
      </c>
      <c r="BA62" t="n">
        <v>974.3</v>
      </c>
    </row>
    <row r="63">
      <c r="K63" t="n">
        <v>7</v>
      </c>
      <c r="L63" t="inlineStr">
        <is>
          <t>Sammaan Capital</t>
        </is>
      </c>
      <c r="M63" t="n">
        <v>140.61</v>
      </c>
      <c r="N63" t="n">
        <v>116.1546</v>
      </c>
      <c r="AR63" t="n">
        <v>16332.5</v>
      </c>
      <c r="AS63">
        <f>AZ63-BA63</f>
        <v/>
      </c>
      <c r="AT63">
        <f>AR63+AS63</f>
        <v/>
      </c>
      <c r="AU63" t="n">
        <v>6607.7</v>
      </c>
      <c r="AV63" t="n">
        <v>1459.8</v>
      </c>
      <c r="AW63" t="n">
        <v>816.62</v>
      </c>
      <c r="AX63" t="n">
        <v>15</v>
      </c>
      <c r="AZ63" t="n">
        <v>4083.1</v>
      </c>
      <c r="BA63" t="n">
        <v>816.6</v>
      </c>
    </row>
    <row r="64">
      <c r="K64" t="n">
        <v>8</v>
      </c>
      <c r="L64" t="inlineStr">
        <is>
          <t>Bosch</t>
        </is>
      </c>
      <c r="M64" t="n">
        <v>47000</v>
      </c>
      <c r="N64" t="n">
        <v>2.95</v>
      </c>
      <c r="AR64" t="n">
        <v>111886.25</v>
      </c>
      <c r="AS64">
        <f>AZ64-BA64</f>
        <v/>
      </c>
      <c r="AT64">
        <f>AR64+AS64</f>
        <v/>
      </c>
      <c r="AU64" t="n">
        <v>383196</v>
      </c>
      <c r="AV64">
        <f>AT64/AX64</f>
        <v/>
      </c>
      <c r="AW64" t="n">
        <v>3436</v>
      </c>
      <c r="AX64" t="n">
        <v>2.73</v>
      </c>
      <c r="AZ64" t="n">
        <v>27971.56</v>
      </c>
      <c r="BA64" t="n">
        <v>5594.31</v>
      </c>
    </row>
    <row r="65">
      <c r="K65" t="n">
        <v>9</v>
      </c>
      <c r="L65" t="inlineStr">
        <is>
          <t>Tata Motors PVeh</t>
        </is>
      </c>
      <c r="M65" t="n">
        <v>303.8</v>
      </c>
      <c r="N65" t="n">
        <v>368.29</v>
      </c>
      <c r="AR65" t="n">
        <v>105784.63</v>
      </c>
      <c r="AS65">
        <f>AZ65-BA65</f>
        <v/>
      </c>
      <c r="AT65">
        <f>AR65+AS65</f>
        <v/>
      </c>
      <c r="AU65" t="n">
        <v>52505.4</v>
      </c>
      <c r="AV65">
        <f>AT65/AX65</f>
        <v/>
      </c>
      <c r="AW65" t="n">
        <v>5671.72</v>
      </c>
      <c r="AX65" t="n">
        <v>35.22</v>
      </c>
      <c r="AZ65" t="n">
        <v>26446.16</v>
      </c>
      <c r="BA65" t="n">
        <v>5289.23</v>
      </c>
    </row>
    <row r="66">
      <c r="K66" t="n">
        <v>10</v>
      </c>
      <c r="L66" t="inlineStr">
        <is>
          <t>Hero Motocorp</t>
        </is>
      </c>
      <c r="M66" t="n">
        <v>5285.5</v>
      </c>
      <c r="N66" t="n">
        <v>20.01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76" min="2" max="2"/>
    <col width="23.44140625" customWidth="1" style="176" min="3" max="3"/>
    <col width="26.88671875" customWidth="1" style="176" min="4" max="4"/>
    <col width="24" customWidth="1" style="176" min="5" max="5"/>
  </cols>
  <sheetData>
    <row r="1" ht="15" customHeight="1" s="176" thickBot="1"/>
    <row r="2" ht="15" customHeight="1" s="176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76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76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76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76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76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76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76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76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76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76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76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76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76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76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76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76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76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76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76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76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76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76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76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76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76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76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76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76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76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76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76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76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76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76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76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76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76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76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76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76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76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76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76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76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76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76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76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76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76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76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76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76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76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76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76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76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76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76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76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76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76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76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76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76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76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76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76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76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76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76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76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76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76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76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76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76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76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76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76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76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76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76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76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76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76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76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76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76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76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76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76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76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76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76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76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76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76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76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76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76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76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76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76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76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76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76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76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76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76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76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76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76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76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76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76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76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76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76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76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76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76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76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76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76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76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76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76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76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76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76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76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76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76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76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76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76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76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76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76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76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76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76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76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76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76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76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76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76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76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76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76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76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76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76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76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76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76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76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76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76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76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76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76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76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76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76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76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76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76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76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76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76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76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76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76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76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76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76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76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76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76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76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76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76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76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76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76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76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76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76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76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76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76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76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76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76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76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76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76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76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76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76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76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76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76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76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76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76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76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76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76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76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76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76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76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76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76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76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76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76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76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76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76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76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76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76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76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76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76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76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76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76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76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76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76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76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76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76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76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76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76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76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76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76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76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76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76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76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76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76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76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76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76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76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76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76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76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76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76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76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76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76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76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76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76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76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76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76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76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76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76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76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76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76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76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76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76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76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76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76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76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76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76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76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76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76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76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76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76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76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76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76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76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76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76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76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76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76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76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76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76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76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76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76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76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76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76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76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76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76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76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76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76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76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76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76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76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76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76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76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76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76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76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76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76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76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76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76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76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76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76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76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76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76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76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76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76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76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76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76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76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76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76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76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76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76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76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76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76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76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76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76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76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76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76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76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76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76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76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76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76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76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76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76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76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76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76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76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76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76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76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76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76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76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76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76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76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76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76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76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76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76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76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76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76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76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76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76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76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76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76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76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76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76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76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76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76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76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76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76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76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76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76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76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76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76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76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76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76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76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76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76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76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76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76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76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76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76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76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76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76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76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76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76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76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76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76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76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76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76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76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76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76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76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76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76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76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76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76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76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76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76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76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76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76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76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76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76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76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76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76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76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76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76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76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76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76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76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76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76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76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76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76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76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76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76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76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76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76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76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76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76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76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76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76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76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76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76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76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76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76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76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76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76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76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76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76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76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76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76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76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76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76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76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76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76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76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76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76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76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76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76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76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76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76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76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76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76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76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76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76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76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76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76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76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76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76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76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76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76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76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76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76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76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76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76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76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76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76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76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76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76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76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76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76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76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76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76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76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76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76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76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76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76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76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76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76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76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76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76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76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76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76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76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76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76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76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76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76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76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76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76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76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76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76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76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76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76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76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76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76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76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76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76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76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76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76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76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76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76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76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76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76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76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76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76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76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76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76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76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76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76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76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76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76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76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76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76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76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76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76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76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76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76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76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76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76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76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76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76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76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76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76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76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76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76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76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76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76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76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76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76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76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76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76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76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76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76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76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76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76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76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76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76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76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76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76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76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76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76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76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76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76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76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76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76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76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76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76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76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76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76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76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76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76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76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76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76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76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76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76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76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76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76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76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76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76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76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76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76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76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76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76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76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76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76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76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76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76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76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76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76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76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76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76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76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76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76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76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76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76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76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76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76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76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76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76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76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76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76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76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76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76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76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76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76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76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76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76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76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76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76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76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76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76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76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76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76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76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76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76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76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76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76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76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76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76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76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76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76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76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76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76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76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76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76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76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76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76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76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76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76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76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76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76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76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76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76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76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76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76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76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76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76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76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76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76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76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76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76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76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76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76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76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76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76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76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76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76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76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76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76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76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76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76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76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76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76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76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76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76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76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76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76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76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76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76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76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76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76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76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76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76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76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76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76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76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76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76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76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76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76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76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76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76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76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76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76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76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76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76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76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76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76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76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76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76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76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76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76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76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76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76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76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76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76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76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76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76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76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76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76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76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76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76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76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76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76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76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76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76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76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76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76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76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76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76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76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76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76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76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76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76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76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76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76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76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76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76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76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76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76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76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76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76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76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76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76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76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76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76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76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76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76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76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76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76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76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76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76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76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76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76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76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76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76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76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76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76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76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76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76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76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76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76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76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76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76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76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76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76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76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76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76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76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76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76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76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76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76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76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76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76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76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76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76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76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76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76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76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76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76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76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76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76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76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76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76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76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76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76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76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76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76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76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76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76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76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76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76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76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76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76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76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76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76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76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76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76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76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76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76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76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76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76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76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76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76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76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76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76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76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76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76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76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76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76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76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76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76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76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76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76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76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76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76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76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76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76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76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76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76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76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76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76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76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76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76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76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76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76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76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76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76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76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76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76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76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76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76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76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76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76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76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76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76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76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76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76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76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76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76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76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76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76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76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76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76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76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76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76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76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76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76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76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76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76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76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76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76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76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76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76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76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76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76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76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76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76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76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76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76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76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76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76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76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76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76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76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76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76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76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76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76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76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76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76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76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76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76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76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76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76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76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76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76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76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76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76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76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76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76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76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76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76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76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76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76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76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76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76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76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76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76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76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76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76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76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76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76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76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76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76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76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76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76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76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76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76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76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76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76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76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76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76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76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76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76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76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76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76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76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76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76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76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76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76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76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76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76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76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76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76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76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76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76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76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76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76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76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76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76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76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76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76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76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76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76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76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76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76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76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76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76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76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76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76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76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76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76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76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76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76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76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76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76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76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76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76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76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76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76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76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76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76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76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76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76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76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76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76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76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76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76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76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76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76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76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76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76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76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76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76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76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76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76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76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76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76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76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76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76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76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76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76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76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76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76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76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76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76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76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76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76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76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76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76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76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76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76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76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76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76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76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76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76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76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76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76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76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76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76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76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76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76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76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76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76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76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76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76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76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76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76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76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76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76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76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76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76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76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76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76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76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76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76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76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76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76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76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76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76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76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76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76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76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76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76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76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76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76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76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76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76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76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76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76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76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76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76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76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76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76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76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76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76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76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76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76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76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76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76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76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76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76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76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76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76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76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76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76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76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76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76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76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76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76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76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76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76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76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76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76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76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76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76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76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76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76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76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76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76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76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76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76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76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76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76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76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76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76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76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76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76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76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76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76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76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76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76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76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76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76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76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76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76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76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76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76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76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76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76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76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76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76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76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76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76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76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76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76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76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76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76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76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76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76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76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76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76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76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76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76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76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76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76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76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76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76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76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76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76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76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76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76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76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76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76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76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76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76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76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76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76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76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76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76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76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76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76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76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76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76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76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76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76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76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76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76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76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76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76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76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76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76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76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76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76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76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76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76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76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76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76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76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76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76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76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76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76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76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76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76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76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76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76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76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76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76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76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76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76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76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76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76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76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76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76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76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76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76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76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76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76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76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76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76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76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76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76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76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76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76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76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76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76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76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76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76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76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76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76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76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76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76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76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76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76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76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76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76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76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76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76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76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76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76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76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76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76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76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76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76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76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76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76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76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76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76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76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76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76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76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76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76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76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76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76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76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76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76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76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76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76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76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76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76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76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76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76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76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76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76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76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76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76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76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76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76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76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76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76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76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76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76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76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76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76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76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76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76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76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76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76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76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76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76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76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76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76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76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76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76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76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76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76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76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76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76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76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76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76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76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76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76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76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76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76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76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76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76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76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76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76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76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76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76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76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76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76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76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76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76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76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76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76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76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76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76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76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76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76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76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76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76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76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76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76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76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76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76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76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76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76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76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76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76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76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76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76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76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76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76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76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76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76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76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76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76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76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76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76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76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76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76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76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76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76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76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76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76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76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76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76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76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76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76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76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76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76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76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76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76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76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76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76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76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76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76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76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76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76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76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76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76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76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76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76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76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76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76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76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76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76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76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76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76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76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76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76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76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76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76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76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76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76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76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76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76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76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76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76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76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76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76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76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76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76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76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76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76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76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76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76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76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76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76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76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76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76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76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76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76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76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76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76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76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76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76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76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76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76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76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76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76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76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76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76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76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76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76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76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76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76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76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76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76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76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76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76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76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76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76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76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76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76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76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76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76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76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76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76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76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76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76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76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76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76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76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76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76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76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76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76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76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76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76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76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76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76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76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76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76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76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76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76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76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76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76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76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76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76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76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76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76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76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76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76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76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76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76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76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76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76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76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76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76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76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76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76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76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76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76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76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76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76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76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76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76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76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76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76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76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76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76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76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76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76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76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76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76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76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76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76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76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76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76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76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76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76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76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76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76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76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76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76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76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76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76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76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76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76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76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76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76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76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76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76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76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76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76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76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76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76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76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76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76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76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76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76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76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76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76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76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76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76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76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76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76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76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76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76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76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76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76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76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76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76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76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76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76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76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76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76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76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76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76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76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76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76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76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76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76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76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76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76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76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76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76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76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76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76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76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76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76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76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76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76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76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76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76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76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76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76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76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76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76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76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76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76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76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76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76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76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76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76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76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76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76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76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76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76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76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76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76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76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76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76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76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76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76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76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76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76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76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76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76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76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76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76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76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76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76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76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76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76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76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76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76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76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76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76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76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76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76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76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76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76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76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76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76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76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76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76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76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76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76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76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76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76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76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76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76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76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76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76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76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76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76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76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76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76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76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76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76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76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76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76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76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76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76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76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76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76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76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76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76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76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76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76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76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76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76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76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76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76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76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76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76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76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76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76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76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76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76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76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76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76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76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76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76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76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76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76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76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76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76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76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76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76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76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76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76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76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76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76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76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76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76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76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76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76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76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76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76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76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76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76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76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76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76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76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76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76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76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76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76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76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76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76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76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76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76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76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76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76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76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76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76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76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76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76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76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76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76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76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76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76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76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76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76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76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76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76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76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76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76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76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76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76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76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76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76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76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76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76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76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76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76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76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76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76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76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76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76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76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76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76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76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76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76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76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76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76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76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76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76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76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76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76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76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76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76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76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76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76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76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76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76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76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76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76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76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76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76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76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76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76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76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76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76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76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76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76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76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76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76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76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76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76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76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76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76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76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76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76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76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76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76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76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76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76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76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76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76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76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76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76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76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76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76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76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76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76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76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76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76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76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76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76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76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76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76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76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76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76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76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76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76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76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76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76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76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76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76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76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76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76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76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76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76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76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76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76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76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76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76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76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76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76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76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76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76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76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76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76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76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76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76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76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76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76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76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76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76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76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76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76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76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76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76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76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76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76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76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76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76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76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76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76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76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76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76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76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76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76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76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76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76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76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76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76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76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76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76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76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76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76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76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76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76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76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76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76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76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76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76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76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76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76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76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76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76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76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76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76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76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76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76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76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76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76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76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76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76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76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76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76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76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76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76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76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76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76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76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76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76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76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76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76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76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76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76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76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76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76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76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76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76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76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76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76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76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76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76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76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76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76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76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76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76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76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76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76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76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76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76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76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76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76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76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76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76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76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76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76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76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76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76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76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76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76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76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76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76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76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76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76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76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76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76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76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76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76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76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76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76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76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76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76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76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76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76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76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76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76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76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76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76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76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76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76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76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76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76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76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76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76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76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76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76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76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76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76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76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76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76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76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76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76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76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76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76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76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76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76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76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76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76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76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76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76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76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76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76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76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76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76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76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76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76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76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76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76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76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76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76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76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76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76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76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76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76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76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76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76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76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76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76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76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76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76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76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76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76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76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76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76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76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76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76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76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76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76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76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76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76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76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76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76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76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76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76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76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76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76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76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76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76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76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76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76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76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76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76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76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76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76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76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76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76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76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76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76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76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76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76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76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76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76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76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76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76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76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76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76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76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76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76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76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76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76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76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76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76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76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76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76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76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76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76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76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76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76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76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76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76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76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76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76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76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76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76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76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76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76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76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76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76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76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76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76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76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76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76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76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76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76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76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76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76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76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76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76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76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76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76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76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76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76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76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76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76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76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76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76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76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76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76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76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76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76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76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76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76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76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76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76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76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76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76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76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76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76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76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76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76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76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76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76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76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76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76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76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76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76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76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76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76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76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76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76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76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76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76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76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76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76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76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76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76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76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76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76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76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76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76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76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76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76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76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76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76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76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76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76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76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76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76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76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76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76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76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76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76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76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76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76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76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76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76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76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76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76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76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76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76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76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76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76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76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76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76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76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76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76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76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76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76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76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76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76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76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76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76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76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76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76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76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76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76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76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76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76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76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76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76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76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76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76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76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76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76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76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76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76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76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76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76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76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76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76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76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76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76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76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76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76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76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76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76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76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76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76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76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76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76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76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76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76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76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76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76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76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76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76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76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76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76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76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76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76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76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76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76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76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76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76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76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76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76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76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76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76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76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76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76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76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76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76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76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76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76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76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76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76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76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76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76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76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76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76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76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76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76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76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76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76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76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76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76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76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76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76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76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76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76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76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76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76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76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76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76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76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76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76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76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76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76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76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76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76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76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76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76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76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76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76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76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76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76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76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76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76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76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76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76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76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76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76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76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76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76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76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76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76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76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76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76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76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76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76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76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76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76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76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76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76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76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76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76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76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76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76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76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76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76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76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76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76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76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76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76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76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76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76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76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76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76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76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76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76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76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76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76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76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76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76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76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76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76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76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76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76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76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76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76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76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76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76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76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76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76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76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76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76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76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76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76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76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76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76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76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76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76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76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76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76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76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76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76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76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76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76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76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76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76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76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76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76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76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76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76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76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76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76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76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76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76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76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76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76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76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76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76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76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76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76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76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76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76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76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76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76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76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76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76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76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76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76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76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76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76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76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76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76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76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76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76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76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76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76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76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76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76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76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76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76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76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76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76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76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76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76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76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76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76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76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76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76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76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76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76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76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76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76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76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76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76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76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76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76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76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76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76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76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76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76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76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76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76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76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76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76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76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76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76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76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76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76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76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76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76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76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76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76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76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76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76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76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76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76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76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76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76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76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76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76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76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76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76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76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76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76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76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76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76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76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76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76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76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76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76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76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76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76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76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76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76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76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76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76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76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76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76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76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76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76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76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76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76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76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76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76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76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76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76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76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76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76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76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76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76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76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76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76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76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76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76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76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76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76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76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76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76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76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76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76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76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76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76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76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76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76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76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76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76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76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76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76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76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76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76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76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76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76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76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76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76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76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76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76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76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76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76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76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76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76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76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76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76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76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76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76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76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76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76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76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76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76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76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76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76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76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76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76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76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76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76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76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76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76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76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76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76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76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76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76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76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76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76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76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76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76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76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76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76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76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76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76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76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76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76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76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76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76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76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76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76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76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76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76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76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76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76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76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76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76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76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76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76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76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76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76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76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76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76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76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76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76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76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76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76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76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76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76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76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76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76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76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76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76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76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76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76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76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76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76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76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76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76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76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76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76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76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76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76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76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76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76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76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76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76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76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76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76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76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76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76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76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76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76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76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76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76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76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76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76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76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76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76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76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76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76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76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76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76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76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76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76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76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76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76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76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76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76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76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76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76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76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76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76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76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76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76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76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76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76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76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76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76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76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76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76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76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76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76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76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76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76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76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76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76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76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76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76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76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76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76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76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76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76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76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76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76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76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76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76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76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76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76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76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76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76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76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76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76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76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76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76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76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76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76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76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76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76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76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76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76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76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76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76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76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76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76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76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76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76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76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76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76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76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76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76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76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76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76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76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76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76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76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76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76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76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76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76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76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76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76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76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76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76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76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76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76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76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76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76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76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76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76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76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76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76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76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76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76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76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76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76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76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76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76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76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76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76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76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76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76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76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76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76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76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76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76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76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76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76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76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76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76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76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76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76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76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76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76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76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76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76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76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76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76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76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76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76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76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76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76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76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76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76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76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76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76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76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76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76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76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76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76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76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76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76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76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76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76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76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76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76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76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76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76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76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76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76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76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76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76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76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76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76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76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76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76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76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76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76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76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76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76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76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76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76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76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76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76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76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76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76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76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76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76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76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76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76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76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76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76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76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76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76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76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76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76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76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76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76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76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76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76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76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76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76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76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76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76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76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76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76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76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76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76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76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76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76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76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76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76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76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76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76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76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76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76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76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76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76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76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76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76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76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76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76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76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76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76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76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76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76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76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76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76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76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76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76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76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76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76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76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76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76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76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76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76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76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76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76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76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76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76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76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76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76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76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76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76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76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76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76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76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76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76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76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76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76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76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76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76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76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76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76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76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76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76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76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76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76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76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76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76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76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76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76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76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76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76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76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76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76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76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76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76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76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76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76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76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76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76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76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76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76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76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76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76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76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76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76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76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76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76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76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76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76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76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76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76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76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76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76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76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76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76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76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76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76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76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76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76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76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76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76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76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76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76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76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76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76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76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76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76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76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76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76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76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76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76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76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76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76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76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76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76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76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76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76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76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76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76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76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76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76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76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76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76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76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76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76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76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76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76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76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76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76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76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76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76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76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76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76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76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76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76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76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76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76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76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76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76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76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76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76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76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76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76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76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76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76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76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76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76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76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76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76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76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76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76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76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76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76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76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76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76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76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76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76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76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76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76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76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76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76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76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76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76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76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76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76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76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76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76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76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76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76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76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76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76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76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76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76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76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76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76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76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76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76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76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76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76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76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76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76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76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76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76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76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76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76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76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76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76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76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76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76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76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76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76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76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76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76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76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76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76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76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76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76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76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76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76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76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76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76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76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76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76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76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76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76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76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76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76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76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76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76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76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76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76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76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76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76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76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76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76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76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76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76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76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76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76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76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76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76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76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76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76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76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76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76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76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76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76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76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76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76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76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76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76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76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76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76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76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76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76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76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76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76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76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76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76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76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76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76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76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76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76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76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76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76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76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76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76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76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76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76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76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76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76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76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76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76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76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76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76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76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76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76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76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76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76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76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76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76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76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76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76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76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76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76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76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76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76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76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76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76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76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76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76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76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76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76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76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76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76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76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76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76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76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76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76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76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76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76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76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76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76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76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76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76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76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76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76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76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76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76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76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76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76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76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76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76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76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76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76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76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76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76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76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76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76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76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76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76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76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76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76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76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76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76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76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76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76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76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76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76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76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76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76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76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76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76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76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76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76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76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76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76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76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76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76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76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76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76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76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76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76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76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76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76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76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76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76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76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76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76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76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76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76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76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76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76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76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76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76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76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76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76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76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76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76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76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76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76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76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76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76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76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76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76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76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76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76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76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76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76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76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76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76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76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76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76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76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76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76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76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76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76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76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76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76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76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76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76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76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76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76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76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76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76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76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76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76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76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76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76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76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76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76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76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76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76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76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76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76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76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76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76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76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76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76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76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76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76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76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76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76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76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76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76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76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76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76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76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76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76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76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76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76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76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76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76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76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76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76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76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76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76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76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76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76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76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76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76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76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76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76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76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76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76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76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76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76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76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76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76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76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76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76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76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76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76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76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76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76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76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76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76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76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76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76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76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76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76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76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76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76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76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76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76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76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76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76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76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76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76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76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76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76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76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76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76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76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76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76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76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76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76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76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76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76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76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76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76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76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76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76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76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76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76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76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76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76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76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76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76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76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76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76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76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76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76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76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76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76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76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76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76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76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76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76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76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76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76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76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76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76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76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76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76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76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76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76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76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76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76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76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76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76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76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76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76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76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76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76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76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76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76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76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76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76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76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76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76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76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76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76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76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76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76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76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76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76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76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76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76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76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76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76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76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76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76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76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76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76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76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76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76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76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76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76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76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76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76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76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76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76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76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76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76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76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76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76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76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76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76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76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76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76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76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76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76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76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76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76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76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76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76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76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76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76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76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76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76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76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76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76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76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76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76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76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76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76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76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76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76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76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76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76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76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76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76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76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76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76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76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76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76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76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76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76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76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76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76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76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76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76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76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76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76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76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76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76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76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76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76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76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76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76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76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76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76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76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76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76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76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76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76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76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76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76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76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76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76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76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76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76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76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76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76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76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76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76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76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76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76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76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76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76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76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76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76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76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76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76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76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76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76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76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76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76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76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76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76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76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76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76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76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76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76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76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76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76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76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76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76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76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76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76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76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76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76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76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76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76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76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76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76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76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76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76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76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76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76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76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76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76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76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76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76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76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76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76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76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76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76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76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76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76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76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76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76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76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76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76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76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76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76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76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76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76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76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76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76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76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76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76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76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76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76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76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76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76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76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76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76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76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76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76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76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76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76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76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76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76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76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76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76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76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76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76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76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76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76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76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76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76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76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76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76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76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76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76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76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76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76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76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76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76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76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76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76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76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76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76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76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76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76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76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76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76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76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76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76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76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76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76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76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76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76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76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76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76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76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76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76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76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76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76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76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76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76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76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76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76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76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76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76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76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76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76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76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76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76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76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76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76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76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76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76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76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76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76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76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76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76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76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76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76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76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76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76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76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76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76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76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76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76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76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76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76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76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76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76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76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76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76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76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76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76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76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76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76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76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76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76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76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76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76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76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76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76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76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76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76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76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76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76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76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76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76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76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76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76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76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76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76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76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76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76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76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76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76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76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76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76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76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76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76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76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76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76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76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76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76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76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76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76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76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76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76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76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76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76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76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76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76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76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76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76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76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76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76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76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76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76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76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76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76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76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76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76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76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76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76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76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76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76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76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76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76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76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76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76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76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76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76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76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76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76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76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76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76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76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76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76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76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76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76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76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76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76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76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76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76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76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76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76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76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76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76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76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76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76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76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76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76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76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76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76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76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76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76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76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76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76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76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76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76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76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76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76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76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76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76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76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76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76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76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76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76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76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76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76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76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76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76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76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76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76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76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76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76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76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76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76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76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76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76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76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76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76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76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76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76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76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76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76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76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76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76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76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76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76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76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76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76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76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76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76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76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76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76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76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76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76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76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76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76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76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76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76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76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76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76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76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76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76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76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76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76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76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76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76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76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76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76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76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76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76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76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76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76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76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76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76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76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76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76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76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76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76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76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76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76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76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76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76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76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76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76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76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76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76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76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76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76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76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76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76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76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76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76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76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76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76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76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76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76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76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76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76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76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76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76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76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76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76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76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76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76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76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76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76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76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76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76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76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76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76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76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76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76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76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76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76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76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76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76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76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76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76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76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76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76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76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76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76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76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76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76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76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76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76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76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76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76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76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76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76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76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76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76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76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76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76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76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76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76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76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76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76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76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76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76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76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76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76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76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76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76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76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76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76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76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76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76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76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76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76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76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76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76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76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76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76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76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76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76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76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76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76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76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76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76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76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76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76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76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76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76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76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76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76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76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76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76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76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76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76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76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76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76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76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76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76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76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76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76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76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76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76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76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76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76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76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76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76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76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76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76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76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76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76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76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76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76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76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76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76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76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76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76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76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76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76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76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76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76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76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76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76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76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76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76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76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76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76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76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76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76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76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76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76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76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76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76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76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76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76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76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76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76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76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76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76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76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76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76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76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76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76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76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76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76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76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76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76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76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76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76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76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76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76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76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76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76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76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76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76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76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76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76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76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76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76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76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76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76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76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76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76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76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76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76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76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76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76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76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76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76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76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76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76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76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76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76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76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76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76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76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76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76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76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76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76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76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76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76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76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76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76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76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76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76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76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76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76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76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76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76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76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76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76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76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76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76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76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76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76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76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76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76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76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76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76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76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76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76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76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76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76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76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76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76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76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76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76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76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76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76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76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76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76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76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76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76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76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76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76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76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76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76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76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76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76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76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76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76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76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76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76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76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76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76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76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76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76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76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76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76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76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76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76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76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76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76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76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76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76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76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76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76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76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76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76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76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76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76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76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76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76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76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76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76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76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76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76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76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76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76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76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76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76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76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76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76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76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76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76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76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76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76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76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76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76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76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76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76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76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76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76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76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76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76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76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76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76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76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76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76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76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76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76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76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76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76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76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76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76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76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76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76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76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76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76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76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76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76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76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76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76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76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76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76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76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76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76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76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76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76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76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76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76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76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76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76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76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76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76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76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76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76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76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76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76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76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76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76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76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76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76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76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76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76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76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76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76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76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76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76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76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76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76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76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76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76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76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76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76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76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76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76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76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76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76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76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76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76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76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76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76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76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76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76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76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76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76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76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76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76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76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76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76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76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76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76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76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76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76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76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76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76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76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76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76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76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76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76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76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76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76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76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76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76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76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76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76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76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76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76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76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76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76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76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76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76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76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76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76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76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76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76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76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76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76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76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76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76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76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76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76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76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76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76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76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76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76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76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76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76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76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76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76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76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76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76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76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76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76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76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76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76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76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76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76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76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76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76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76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76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76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76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76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76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76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76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76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76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76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76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76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76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76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76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76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76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76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76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76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76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76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76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76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76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76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76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76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76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76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76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76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76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76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76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76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76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76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76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76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76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76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76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76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76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76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76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76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76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76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76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76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76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76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76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76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76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76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76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76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76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76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76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76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76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76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76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76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76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76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76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76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76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76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76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76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76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76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76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76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76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76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76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76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76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76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76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76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76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76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76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76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76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76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76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76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76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76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76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76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76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76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76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76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76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76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76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76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76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76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76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76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76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76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76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76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76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76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76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76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76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76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76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76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76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76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76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76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76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76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76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76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76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76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76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76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76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76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76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76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76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76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76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76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76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76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76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76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76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76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76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76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76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76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76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76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76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76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76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76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76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76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76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76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76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76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76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76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76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76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76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76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76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76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76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76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76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76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76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76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76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76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2026-09-27T12:19:39Z</dcterms:modified>
  <cp:lastModifiedBy>Loveish</cp:lastModifiedBy>
  <cp:lastPrinted>2012-12-06T18:14:13Z</cp:lastPrinted>
</cp:coreProperties>
</file>