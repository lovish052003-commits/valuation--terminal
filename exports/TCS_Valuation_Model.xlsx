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  <numFmt numFmtId="181" formatCode="0.0&quot;x&quot;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3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  <xf numFmtId="181" fontId="0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6"/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TATA CONSULTANCY SERVICES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2156</v>
      </c>
    </row>
    <row r="9">
      <c r="A9" s="193" t="inlineStr">
        <is>
          <t>Market Capitalization</t>
        </is>
      </c>
      <c r="B9" t="n">
        <v>780472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117966</v>
      </c>
      <c r="C17" t="n">
        <v>123104</v>
      </c>
      <c r="D17" t="n">
        <v>146463</v>
      </c>
      <c r="E17" t="n">
        <v>156949</v>
      </c>
      <c r="F17" t="n">
        <v>164177</v>
      </c>
      <c r="G17" t="n">
        <v>191754</v>
      </c>
      <c r="H17" t="n">
        <v>225458</v>
      </c>
      <c r="I17" t="n">
        <v>240893</v>
      </c>
      <c r="J17" t="n">
        <v>255324</v>
      </c>
      <c r="K17" t="n">
        <v>267021</v>
      </c>
    </row>
    <row r="18" customFormat="1" s="188">
      <c r="A18" s="193" t="inlineStr">
        <is>
          <t>Raw Material Cost</t>
        </is>
      </c>
      <c r="B18" t="n">
        <v>94</v>
      </c>
      <c r="C18" t="n">
        <v>86</v>
      </c>
      <c r="D18" t="n">
        <v>40</v>
      </c>
      <c r="E18" t="n">
        <v>18</v>
      </c>
      <c r="F18" t="n">
        <v>14</v>
      </c>
      <c r="G18" t="n">
        <v>29</v>
      </c>
      <c r="H18" t="n">
        <v>37</v>
      </c>
      <c r="I18" t="n">
        <v>42</v>
      </c>
      <c r="J18" t="n">
        <v>49</v>
      </c>
      <c r="K18" t="n">
        <v>43</v>
      </c>
    </row>
    <row r="19" customFormat="1" s="188">
      <c r="A19" s="193" t="inlineStr">
        <is>
          <t>Change in Inventory</t>
        </is>
      </c>
      <c r="B19" t="n">
        <v>1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</row>
    <row r="20" customFormat="1" s="188">
      <c r="A20" s="193" t="inlineStr">
        <is>
          <t>Power and Fuel</t>
        </is>
      </c>
      <c r="B20" t="n">
        <v>235.93</v>
      </c>
      <c r="C20" t="n">
        <v>246.21</v>
      </c>
      <c r="D20" t="n">
        <v>292.93</v>
      </c>
      <c r="E20" t="n">
        <v>156.95</v>
      </c>
      <c r="F20" t="n">
        <v>164.18</v>
      </c>
      <c r="G20" t="n">
        <v>191.75</v>
      </c>
      <c r="H20" t="n">
        <v>225.46</v>
      </c>
      <c r="I20" t="n">
        <v>481.79</v>
      </c>
      <c r="J20" t="n">
        <v>1276.62</v>
      </c>
      <c r="K20" t="n">
        <v>534.04</v>
      </c>
    </row>
    <row r="21" customFormat="1" s="188">
      <c r="A21" s="193" t="inlineStr">
        <is>
          <t>Other Mfr. Exp</t>
        </is>
      </c>
      <c r="B21" t="n">
        <v>2123.39</v>
      </c>
      <c r="C21" t="n">
        <v>2215.87</v>
      </c>
      <c r="D21" t="n">
        <v>2636.33</v>
      </c>
      <c r="E21" t="n">
        <v>1412.54</v>
      </c>
      <c r="F21" t="n">
        <v>1477.59</v>
      </c>
      <c r="G21" t="n">
        <v>1725.79</v>
      </c>
      <c r="H21" t="n">
        <v>2029.12</v>
      </c>
      <c r="I21" t="n">
        <v>4336.07</v>
      </c>
      <c r="J21" t="n">
        <v>11489.58</v>
      </c>
      <c r="K21" t="n">
        <v>4806.38</v>
      </c>
    </row>
    <row r="22" customFormat="1" s="188">
      <c r="A22" s="193" t="inlineStr">
        <is>
          <t>Employee Cost</t>
        </is>
      </c>
      <c r="B22" t="n">
        <v>61342.32</v>
      </c>
      <c r="C22" t="n">
        <v>66476.16</v>
      </c>
      <c r="D22" t="n">
        <v>77625.39</v>
      </c>
      <c r="E22" t="n">
        <v>86321.95</v>
      </c>
      <c r="F22" t="n">
        <v>91939.12</v>
      </c>
      <c r="G22" t="n">
        <v>107382.24</v>
      </c>
      <c r="H22" t="n">
        <v>128511.06</v>
      </c>
      <c r="I22" t="n">
        <v>139717.94</v>
      </c>
      <c r="J22" t="n">
        <v>145534.68</v>
      </c>
      <c r="K22" t="n">
        <v>154872.18</v>
      </c>
    </row>
    <row r="23" customFormat="1" s="188">
      <c r="A23" s="193" t="inlineStr">
        <is>
          <t>Selling and admin</t>
        </is>
      </c>
      <c r="B23" t="n">
        <v>16987.1</v>
      </c>
      <c r="C23" t="n">
        <v>16742.14</v>
      </c>
      <c r="D23" t="n">
        <v>21090.67</v>
      </c>
      <c r="E23" t="n">
        <v>21345.06</v>
      </c>
      <c r="F23" t="n">
        <v>19701.24</v>
      </c>
      <c r="G23" t="n">
        <v>24544.51</v>
      </c>
      <c r="H23" t="n">
        <v>28858.62</v>
      </c>
      <c r="I23" t="n">
        <v>26980.02</v>
      </c>
      <c r="J23" t="n">
        <v>24511.1</v>
      </c>
      <c r="K23" t="n">
        <v>27770.18</v>
      </c>
    </row>
    <row r="24" customFormat="1" s="188">
      <c r="A24" s="193" t="inlineStr">
        <is>
          <t>Other Expenses</t>
        </is>
      </c>
      <c r="B24" t="n">
        <v>4871.26</v>
      </c>
      <c r="C24" t="n">
        <v>4821.62</v>
      </c>
      <c r="D24" t="n">
        <v>5272.67</v>
      </c>
      <c r="E24" t="n">
        <v>5585.5</v>
      </c>
      <c r="F24" t="n">
        <v>4334.87</v>
      </c>
      <c r="G24" t="n">
        <v>4823.71</v>
      </c>
      <c r="H24" t="n">
        <v>6537.74</v>
      </c>
      <c r="I24" t="n">
        <v>5039.18</v>
      </c>
      <c r="J24" t="n">
        <v>5056.02</v>
      </c>
      <c r="K24" t="n">
        <v>6597.22</v>
      </c>
    </row>
    <row r="25" customFormat="1" s="188">
      <c r="A25" s="188" t="inlineStr">
        <is>
          <t>Other Income</t>
        </is>
      </c>
      <c r="B25" t="n">
        <v>4221</v>
      </c>
      <c r="C25" t="n">
        <v>3642</v>
      </c>
      <c r="D25" t="n">
        <v>4311</v>
      </c>
      <c r="E25" t="n">
        <v>4592</v>
      </c>
      <c r="F25" t="n">
        <v>1916</v>
      </c>
      <c r="G25" t="n">
        <v>4018</v>
      </c>
      <c r="H25" t="n">
        <v>3449</v>
      </c>
      <c r="I25" t="n">
        <v>3464</v>
      </c>
      <c r="J25" t="n">
        <v>3962</v>
      </c>
      <c r="K25" t="n">
        <v>-124</v>
      </c>
    </row>
    <row r="26" customFormat="1" s="188">
      <c r="A26" s="188" t="inlineStr">
        <is>
          <t>Depreciation</t>
        </is>
      </c>
      <c r="B26" t="n">
        <v>1987</v>
      </c>
      <c r="C26" t="n">
        <v>2014</v>
      </c>
      <c r="D26" t="n">
        <v>2056</v>
      </c>
      <c r="E26" t="n">
        <v>3529</v>
      </c>
      <c r="F26" t="n">
        <v>4065</v>
      </c>
      <c r="G26" t="n">
        <v>4604</v>
      </c>
      <c r="H26" t="n">
        <v>5022</v>
      </c>
      <c r="I26" t="n">
        <v>4985</v>
      </c>
      <c r="J26" t="n">
        <v>5242</v>
      </c>
      <c r="K26" t="n">
        <v>5560</v>
      </c>
    </row>
    <row r="27" customFormat="1" s="188">
      <c r="A27" s="188" t="inlineStr">
        <is>
          <t>Interest</t>
        </is>
      </c>
      <c r="B27" t="n">
        <v>32</v>
      </c>
      <c r="C27" t="n">
        <v>52</v>
      </c>
      <c r="D27" t="n">
        <v>198</v>
      </c>
      <c r="E27" t="n">
        <v>924</v>
      </c>
      <c r="F27" t="n">
        <v>637</v>
      </c>
      <c r="G27" t="n">
        <v>784</v>
      </c>
      <c r="H27" t="n">
        <v>779</v>
      </c>
      <c r="I27" t="n">
        <v>778</v>
      </c>
      <c r="J27" t="n">
        <v>796</v>
      </c>
      <c r="K27" t="n">
        <v>1227</v>
      </c>
    </row>
    <row r="28" customFormat="1" s="188">
      <c r="A28" s="188" t="inlineStr">
        <is>
          <t>Profit before tax</t>
        </is>
      </c>
      <c r="B28" t="n">
        <v>34513</v>
      </c>
      <c r="C28" t="n">
        <v>34092</v>
      </c>
      <c r="D28" t="n">
        <v>41563</v>
      </c>
      <c r="E28" t="n">
        <v>42248</v>
      </c>
      <c r="F28" t="n">
        <v>43760</v>
      </c>
      <c r="G28" t="n">
        <v>51687</v>
      </c>
      <c r="H28" t="n">
        <v>56907</v>
      </c>
      <c r="I28" t="n">
        <v>61997</v>
      </c>
      <c r="J28" t="n">
        <v>65331</v>
      </c>
      <c r="K28" t="n">
        <v>65487</v>
      </c>
    </row>
    <row r="29" customFormat="1" s="188">
      <c r="A29" s="188" t="inlineStr">
        <is>
          <t>Tax</t>
        </is>
      </c>
      <c r="B29" t="n">
        <v>8156</v>
      </c>
      <c r="C29" t="n">
        <v>8212</v>
      </c>
      <c r="D29" t="n">
        <v>10001</v>
      </c>
      <c r="E29" t="n">
        <v>9801</v>
      </c>
      <c r="F29" t="n">
        <v>11198</v>
      </c>
      <c r="G29" t="n">
        <v>13238</v>
      </c>
      <c r="H29" t="n">
        <v>14604</v>
      </c>
      <c r="I29" t="n">
        <v>15898</v>
      </c>
      <c r="J29" t="n">
        <v>16534</v>
      </c>
      <c r="K29" t="n">
        <v>16033</v>
      </c>
    </row>
    <row r="30" customFormat="1" s="188">
      <c r="A30" s="188" t="inlineStr">
        <is>
          <t>Net profit</t>
        </is>
      </c>
      <c r="B30" t="n">
        <v>26357</v>
      </c>
      <c r="C30" t="n">
        <v>25880</v>
      </c>
      <c r="D30" t="n">
        <v>31562</v>
      </c>
      <c r="E30" t="n">
        <v>32447</v>
      </c>
      <c r="F30" t="n">
        <v>32562</v>
      </c>
      <c r="G30" t="n">
        <v>38449</v>
      </c>
      <c r="H30" t="n">
        <v>42303</v>
      </c>
      <c r="I30" t="n">
        <v>46099</v>
      </c>
      <c r="J30" t="n">
        <v>48797</v>
      </c>
      <c r="K30" t="n">
        <v>49454</v>
      </c>
    </row>
    <row r="31" customFormat="1" s="188">
      <c r="A31" s="188" t="inlineStr">
        <is>
          <t>Dividend Amount</t>
        </is>
      </c>
      <c r="B31" t="n">
        <v>9224.950000000001</v>
      </c>
      <c r="C31" t="n">
        <v>9575.6</v>
      </c>
      <c r="D31" t="n">
        <v>11362.32</v>
      </c>
      <c r="E31" t="n">
        <v>27579.95</v>
      </c>
      <c r="F31" t="n">
        <v>14001.66</v>
      </c>
      <c r="G31" t="n">
        <v>15764.09</v>
      </c>
      <c r="H31" t="n">
        <v>42303</v>
      </c>
      <c r="I31" t="n">
        <v>26737.42</v>
      </c>
      <c r="J31" t="n">
        <v>45869.18</v>
      </c>
      <c r="K31" t="n">
        <v>40057.74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45473</v>
      </c>
      <c r="C41" s="16" t="n">
        <v>45565</v>
      </c>
      <c r="D41" s="16" t="n">
        <v>45657</v>
      </c>
      <c r="E41" s="16" t="n">
        <v>45747</v>
      </c>
      <c r="F41" s="16" t="n">
        <v>45838</v>
      </c>
      <c r="G41" s="16" t="n">
        <v>45930</v>
      </c>
      <c r="H41" s="16" t="n">
        <v>46022</v>
      </c>
      <c r="I41" s="16" t="n">
        <v>46112</v>
      </c>
      <c r="J41" s="16" t="n">
        <v>46203</v>
      </c>
      <c r="K41" s="16" t="n">
        <v>46295</v>
      </c>
    </row>
    <row r="42" customFormat="1" s="188">
      <c r="A42" s="188" t="inlineStr">
        <is>
          <t>Sales</t>
        </is>
      </c>
      <c r="B42" t="n">
        <v>62613</v>
      </c>
      <c r="C42" t="n">
        <v>64259</v>
      </c>
      <c r="D42" t="n">
        <v>63973</v>
      </c>
      <c r="E42" t="n">
        <v>64479</v>
      </c>
      <c r="F42" t="n">
        <v>63437</v>
      </c>
      <c r="G42" t="n">
        <v>65799</v>
      </c>
      <c r="H42" t="n">
        <v>67087</v>
      </c>
      <c r="I42" t="n">
        <v>70698</v>
      </c>
      <c r="J42" t="n">
        <v>72275</v>
      </c>
      <c r="K42" t="n">
        <v>73188</v>
      </c>
    </row>
    <row r="43" customFormat="1" s="188">
      <c r="A43" s="188" t="inlineStr">
        <is>
          <t>Expenses</t>
        </is>
      </c>
      <c r="B43" t="n">
        <v>45951</v>
      </c>
      <c r="C43" t="n">
        <v>47528</v>
      </c>
      <c r="D43" t="n">
        <v>46939</v>
      </c>
      <c r="E43" t="n">
        <v>47499</v>
      </c>
      <c r="F43" t="n">
        <v>46562</v>
      </c>
      <c r="G43" t="n">
        <v>47821</v>
      </c>
      <c r="H43" t="n">
        <v>48818</v>
      </c>
      <c r="I43" t="n">
        <v>51422</v>
      </c>
      <c r="J43" t="n">
        <v>53719</v>
      </c>
      <c r="K43" t="n">
        <v>54373</v>
      </c>
    </row>
    <row r="44" customFormat="1" s="188">
      <c r="A44" s="188" t="inlineStr">
        <is>
          <t>Other Income</t>
        </is>
      </c>
      <c r="B44" t="n">
        <v>962</v>
      </c>
      <c r="C44" t="n">
        <v>729</v>
      </c>
      <c r="D44" t="n">
        <v>1243</v>
      </c>
      <c r="E44" t="n">
        <v>1028</v>
      </c>
      <c r="F44" t="n">
        <v>1660</v>
      </c>
      <c r="G44" t="n">
        <v>-268</v>
      </c>
      <c r="H44" t="n">
        <v>-2273</v>
      </c>
      <c r="I44" t="n">
        <v>757</v>
      </c>
      <c r="J44" t="n">
        <v>900</v>
      </c>
      <c r="K44" t="n">
        <v>1337</v>
      </c>
    </row>
    <row r="45" customFormat="1" s="188">
      <c r="A45" s="188" t="inlineStr">
        <is>
          <t>Depreciation</t>
        </is>
      </c>
      <c r="B45" t="n">
        <v>1220</v>
      </c>
      <c r="C45" t="n">
        <v>1266</v>
      </c>
      <c r="D45" t="n">
        <v>1377</v>
      </c>
      <c r="E45" t="n">
        <v>1379</v>
      </c>
      <c r="F45" t="n">
        <v>1361</v>
      </c>
      <c r="G45" t="n">
        <v>1413</v>
      </c>
      <c r="H45" t="n">
        <v>1380</v>
      </c>
      <c r="I45" t="n">
        <v>1406</v>
      </c>
      <c r="J45" t="n">
        <v>1239</v>
      </c>
      <c r="K45" t="n">
        <v>1262</v>
      </c>
    </row>
    <row r="46" customFormat="1" s="188">
      <c r="A46" s="188" t="inlineStr">
        <is>
          <t>Interest</t>
        </is>
      </c>
      <c r="B46" t="n">
        <v>173</v>
      </c>
      <c r="C46" t="n">
        <v>162</v>
      </c>
      <c r="D46" t="n">
        <v>234</v>
      </c>
      <c r="E46" t="n">
        <v>227</v>
      </c>
      <c r="F46" t="n">
        <v>195</v>
      </c>
      <c r="G46" t="n">
        <v>229</v>
      </c>
      <c r="H46" t="n">
        <v>538</v>
      </c>
      <c r="I46" t="n">
        <v>265</v>
      </c>
      <c r="J46" t="n">
        <v>273</v>
      </c>
      <c r="K46" t="n">
        <v>252</v>
      </c>
    </row>
    <row r="47" customFormat="1" s="188">
      <c r="A47" s="188" t="inlineStr">
        <is>
          <t>Profit before tax</t>
        </is>
      </c>
      <c r="B47" t="n">
        <v>16231</v>
      </c>
      <c r="C47" t="n">
        <v>16032</v>
      </c>
      <c r="D47" t="n">
        <v>16666</v>
      </c>
      <c r="E47" t="n">
        <v>16402</v>
      </c>
      <c r="F47" t="n">
        <v>16979</v>
      </c>
      <c r="G47" t="n">
        <v>16068</v>
      </c>
      <c r="H47" t="n">
        <v>14078</v>
      </c>
      <c r="I47" t="n">
        <v>18362</v>
      </c>
      <c r="J47" t="n">
        <v>17944</v>
      </c>
      <c r="K47" t="n">
        <v>18638</v>
      </c>
    </row>
    <row r="48" customFormat="1" s="188">
      <c r="A48" s="188" t="inlineStr">
        <is>
          <t>Tax</t>
        </is>
      </c>
      <c r="B48" t="n">
        <v>4126</v>
      </c>
      <c r="C48" t="n">
        <v>4077</v>
      </c>
      <c r="D48" t="n">
        <v>4222</v>
      </c>
      <c r="E48" t="n">
        <v>4109</v>
      </c>
      <c r="F48" t="n">
        <v>4160</v>
      </c>
      <c r="G48" t="n">
        <v>3937</v>
      </c>
      <c r="H48" t="n">
        <v>3358</v>
      </c>
      <c r="I48" t="n">
        <v>4578</v>
      </c>
      <c r="J48" t="n">
        <v>4524</v>
      </c>
      <c r="K48" t="n">
        <v>4704</v>
      </c>
    </row>
    <row r="49" customFormat="1" s="188">
      <c r="A49" s="188" t="inlineStr">
        <is>
          <t>Net profit</t>
        </is>
      </c>
      <c r="B49" t="n">
        <v>12105</v>
      </c>
      <c r="C49" t="n">
        <v>11955</v>
      </c>
      <c r="D49" t="n">
        <v>12444</v>
      </c>
      <c r="E49" t="n">
        <v>12293</v>
      </c>
      <c r="F49" t="n">
        <v>12819</v>
      </c>
      <c r="G49" t="n">
        <v>12131</v>
      </c>
      <c r="H49" t="n">
        <v>10720</v>
      </c>
      <c r="I49" t="n">
        <v>13784</v>
      </c>
      <c r="J49" t="n">
        <v>13420</v>
      </c>
      <c r="K49" t="n">
        <v>13934</v>
      </c>
    </row>
    <row r="50">
      <c r="A50" s="188" t="inlineStr">
        <is>
          <t>Operating Profit</t>
        </is>
      </c>
      <c r="B50" t="n">
        <v>16662</v>
      </c>
      <c r="C50" t="n">
        <v>16731</v>
      </c>
      <c r="D50" t="n">
        <v>17034</v>
      </c>
      <c r="E50" t="n">
        <v>16980</v>
      </c>
      <c r="F50" t="n">
        <v>16875</v>
      </c>
      <c r="G50" t="n">
        <v>17978</v>
      </c>
      <c r="H50" t="n">
        <v>18269</v>
      </c>
      <c r="I50" t="n">
        <v>19276</v>
      </c>
      <c r="J50" t="n">
        <v>18556</v>
      </c>
      <c r="K50" t="n">
        <v>18815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43190</v>
      </c>
      <c r="C56" s="16" t="n">
        <v>43555</v>
      </c>
      <c r="D56" s="16" t="n">
        <v>43921</v>
      </c>
      <c r="E56" s="16" t="n">
        <v>44286</v>
      </c>
      <c r="F56" s="16" t="n">
        <v>44651</v>
      </c>
      <c r="G56" s="16" t="n">
        <v>45016</v>
      </c>
      <c r="H56" s="16" t="n">
        <v>45382</v>
      </c>
      <c r="I56" s="16" t="n">
        <v>45747</v>
      </c>
      <c r="J56" s="16" t="n">
        <v>46112</v>
      </c>
      <c r="K56" s="16" t="n">
        <v>46295</v>
      </c>
    </row>
    <row r="57">
      <c r="A57" s="188" t="inlineStr">
        <is>
          <t>Equity Share Capital</t>
        </is>
      </c>
      <c r="B57" t="n">
        <v>191</v>
      </c>
      <c r="C57" t="n">
        <v>375</v>
      </c>
      <c r="D57" t="n">
        <v>375</v>
      </c>
      <c r="E57" t="n">
        <v>370</v>
      </c>
      <c r="F57" t="n">
        <v>366</v>
      </c>
      <c r="G57" t="n">
        <v>366</v>
      </c>
      <c r="H57" t="n">
        <v>362</v>
      </c>
      <c r="I57" t="n">
        <v>362</v>
      </c>
      <c r="J57" t="n">
        <v>362</v>
      </c>
      <c r="K57" t="n">
        <v>362</v>
      </c>
    </row>
    <row r="58">
      <c r="A58" s="188" t="inlineStr">
        <is>
          <t>Reserves</t>
        </is>
      </c>
      <c r="B58" t="n">
        <v>84937</v>
      </c>
      <c r="C58" t="n">
        <v>89071</v>
      </c>
      <c r="D58" t="n">
        <v>83751</v>
      </c>
      <c r="E58" t="n">
        <v>86063</v>
      </c>
      <c r="F58" t="n">
        <v>88773</v>
      </c>
      <c r="G58" t="n">
        <v>90058</v>
      </c>
      <c r="H58" t="n">
        <v>90127</v>
      </c>
      <c r="I58" t="n">
        <v>94394</v>
      </c>
      <c r="J58" t="n">
        <v>106878</v>
      </c>
      <c r="K58" t="n">
        <v>118624</v>
      </c>
    </row>
    <row r="59">
      <c r="A59" s="188" t="inlineStr">
        <is>
          <t>Borrowings</t>
        </is>
      </c>
      <c r="B59" t="n">
        <v>247</v>
      </c>
      <c r="C59" t="n">
        <v>62</v>
      </c>
      <c r="D59" t="n">
        <v>8174</v>
      </c>
      <c r="E59" t="n">
        <v>7795</v>
      </c>
      <c r="F59" t="n">
        <v>7818</v>
      </c>
      <c r="G59" t="n">
        <v>7688</v>
      </c>
      <c r="H59" t="n">
        <v>8021</v>
      </c>
      <c r="I59" t="n">
        <v>9392</v>
      </c>
      <c r="J59" t="n">
        <v>11283</v>
      </c>
      <c r="K59" t="n">
        <v>11808</v>
      </c>
    </row>
    <row r="60">
      <c r="A60" s="188" t="inlineStr">
        <is>
          <t>Other Liabilities</t>
        </is>
      </c>
      <c r="B60" t="n">
        <v>19751</v>
      </c>
      <c r="C60" t="n">
        <v>24393</v>
      </c>
      <c r="D60" t="n">
        <v>27827</v>
      </c>
      <c r="E60" t="n">
        <v>35764</v>
      </c>
      <c r="F60" t="n">
        <v>43967</v>
      </c>
      <c r="G60" t="n">
        <v>44747</v>
      </c>
      <c r="H60" t="n">
        <v>46962</v>
      </c>
      <c r="I60" t="n">
        <v>54501</v>
      </c>
      <c r="J60" t="n">
        <v>62644</v>
      </c>
      <c r="K60" t="n">
        <v>59988</v>
      </c>
    </row>
    <row r="61" customFormat="1" s="187">
      <c r="A61" s="187" t="inlineStr">
        <is>
          <t>Total</t>
        </is>
      </c>
      <c r="B61" t="n">
        <v>105126</v>
      </c>
      <c r="C61" t="n">
        <v>113901</v>
      </c>
      <c r="D61" t="n">
        <v>120127</v>
      </c>
      <c r="E61" t="n">
        <v>129992</v>
      </c>
      <c r="F61" t="n">
        <v>140924</v>
      </c>
      <c r="G61" t="n">
        <v>142859</v>
      </c>
      <c r="H61" t="n">
        <v>145472</v>
      </c>
      <c r="I61" t="n">
        <v>158649</v>
      </c>
      <c r="J61" t="n">
        <v>181167</v>
      </c>
      <c r="K61" t="n">
        <v>190782</v>
      </c>
    </row>
    <row r="62">
      <c r="A62" s="188" t="inlineStr">
        <is>
          <t>Net Block</t>
        </is>
      </c>
      <c r="B62" t="n">
        <v>11973</v>
      </c>
      <c r="C62" t="n">
        <v>12290</v>
      </c>
      <c r="D62" t="n">
        <v>20928</v>
      </c>
      <c r="E62" t="n">
        <v>21021</v>
      </c>
      <c r="F62" t="n">
        <v>21298</v>
      </c>
      <c r="G62" t="n">
        <v>20515</v>
      </c>
      <c r="H62" t="n">
        <v>19604</v>
      </c>
      <c r="I62" t="n">
        <v>23053</v>
      </c>
      <c r="J62" t="n">
        <v>31343</v>
      </c>
      <c r="K62" t="n">
        <v>32872</v>
      </c>
    </row>
    <row r="63">
      <c r="A63" s="188" t="inlineStr">
        <is>
          <t>Capital Work in Progress</t>
        </is>
      </c>
      <c r="B63" t="n">
        <v>1278</v>
      </c>
      <c r="C63" t="n">
        <v>963</v>
      </c>
      <c r="D63" t="n">
        <v>906</v>
      </c>
      <c r="E63" t="n">
        <v>926</v>
      </c>
      <c r="F63" t="n">
        <v>1205</v>
      </c>
      <c r="G63" t="n">
        <v>1234</v>
      </c>
      <c r="H63" t="n">
        <v>1564</v>
      </c>
      <c r="I63" t="n">
        <v>1546</v>
      </c>
      <c r="J63" t="n">
        <v>2665</v>
      </c>
      <c r="K63" t="n">
        <v>2380</v>
      </c>
    </row>
    <row r="64">
      <c r="A64" s="188" t="inlineStr">
        <is>
          <t>Investments</t>
        </is>
      </c>
      <c r="B64" t="n">
        <v>36008</v>
      </c>
      <c r="C64" t="n">
        <v>29330</v>
      </c>
      <c r="D64" t="n">
        <v>26356</v>
      </c>
      <c r="E64" t="n">
        <v>29373</v>
      </c>
      <c r="F64" t="n">
        <v>30485</v>
      </c>
      <c r="G64" t="n">
        <v>37163</v>
      </c>
      <c r="H64" t="n">
        <v>31762</v>
      </c>
      <c r="I64" t="n">
        <v>30964</v>
      </c>
      <c r="J64" t="n">
        <v>33988</v>
      </c>
      <c r="K64" t="n">
        <v>40840</v>
      </c>
    </row>
    <row r="65">
      <c r="A65" s="188" t="inlineStr">
        <is>
          <t>Other Assets</t>
        </is>
      </c>
      <c r="B65" t="n">
        <v>55867</v>
      </c>
      <c r="C65" t="n">
        <v>71318</v>
      </c>
      <c r="D65" t="n">
        <v>71937</v>
      </c>
      <c r="E65" t="n">
        <v>78672</v>
      </c>
      <c r="F65" t="n">
        <v>87936</v>
      </c>
      <c r="G65" t="n">
        <v>83947</v>
      </c>
      <c r="H65" t="n">
        <v>92542</v>
      </c>
      <c r="I65" t="n">
        <v>103086</v>
      </c>
      <c r="J65" t="n">
        <v>113171</v>
      </c>
      <c r="K65" t="n">
        <v>114690</v>
      </c>
    </row>
    <row r="66" customFormat="1" s="187">
      <c r="A66" s="187" t="inlineStr">
        <is>
          <t>Total</t>
        </is>
      </c>
      <c r="B66" t="n">
        <v>105126</v>
      </c>
      <c r="C66" t="n">
        <v>113901</v>
      </c>
      <c r="D66" t="n">
        <v>120127</v>
      </c>
      <c r="E66" t="n">
        <v>129992</v>
      </c>
      <c r="F66" t="n">
        <v>140924</v>
      </c>
      <c r="G66" t="n">
        <v>142859</v>
      </c>
      <c r="H66" t="n">
        <v>145472</v>
      </c>
      <c r="I66" t="n">
        <v>158649</v>
      </c>
      <c r="J66" t="n">
        <v>181167</v>
      </c>
      <c r="K66" t="n">
        <v>190782</v>
      </c>
    </row>
    <row r="67" customFormat="1" s="188">
      <c r="A67" s="188" t="inlineStr">
        <is>
          <t>Receivables</t>
        </is>
      </c>
      <c r="B67" t="n">
        <v>24943</v>
      </c>
      <c r="C67" t="n">
        <v>27346</v>
      </c>
      <c r="D67" t="n">
        <v>30532</v>
      </c>
      <c r="E67" t="n">
        <v>30079</v>
      </c>
      <c r="F67" t="n">
        <v>41810</v>
      </c>
      <c r="G67" t="n">
        <v>49954</v>
      </c>
      <c r="H67" t="n">
        <v>53577</v>
      </c>
      <c r="I67" t="n">
        <v>59046</v>
      </c>
      <c r="J67" t="n">
        <v>67714</v>
      </c>
      <c r="K67" t="n">
        <v>58516</v>
      </c>
    </row>
    <row r="68">
      <c r="A68" s="188" t="inlineStr">
        <is>
          <t>Inventory</t>
        </is>
      </c>
      <c r="B68" t="n">
        <v>26</v>
      </c>
      <c r="C68" t="n">
        <v>10</v>
      </c>
      <c r="D68" t="n">
        <v>5</v>
      </c>
      <c r="E68" t="n">
        <v>8</v>
      </c>
      <c r="F68" t="n">
        <v>20</v>
      </c>
      <c r="G68" t="n">
        <v>28</v>
      </c>
      <c r="H68" t="n">
        <v>28</v>
      </c>
      <c r="I68" t="n">
        <v>21</v>
      </c>
      <c r="J68" t="n">
        <v>29</v>
      </c>
      <c r="K68" t="n">
        <v>28</v>
      </c>
    </row>
    <row r="69">
      <c r="A69" s="193" t="inlineStr">
        <is>
          <t>Cash &amp; Bank</t>
        </is>
      </c>
      <c r="B69" t="n">
        <v>7161</v>
      </c>
      <c r="C69" t="n">
        <v>12848</v>
      </c>
      <c r="D69" t="n">
        <v>9666</v>
      </c>
      <c r="E69" t="n">
        <v>9329</v>
      </c>
      <c r="F69" t="n">
        <v>18221</v>
      </c>
      <c r="G69" t="n">
        <v>11032</v>
      </c>
      <c r="H69" t="n">
        <v>13286</v>
      </c>
      <c r="I69" t="n">
        <v>15463</v>
      </c>
      <c r="J69" t="n">
        <v>12908</v>
      </c>
      <c r="K69" t="n">
        <v>14058</v>
      </c>
    </row>
    <row r="70">
      <c r="A70" s="193" t="inlineStr">
        <is>
          <t>No. of Equity Shares</t>
        </is>
      </c>
      <c r="B70" t="n">
        <v>1910000000</v>
      </c>
      <c r="C70" t="n">
        <v>3750000000</v>
      </c>
      <c r="D70" t="n">
        <v>3750000000</v>
      </c>
      <c r="E70" t="n">
        <v>3700000000</v>
      </c>
      <c r="F70" t="n">
        <v>3660000000</v>
      </c>
      <c r="G70" t="n">
        <v>3660000000</v>
      </c>
      <c r="H70" t="n">
        <v>3620000000</v>
      </c>
      <c r="I70" t="n">
        <v>3620000000</v>
      </c>
      <c r="J70" t="n">
        <v>3620000000</v>
      </c>
      <c r="K70" t="n">
        <v>3620000000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25223</v>
      </c>
      <c r="C82" t="n">
        <v>25067</v>
      </c>
      <c r="D82" t="n">
        <v>28593</v>
      </c>
      <c r="E82" t="n">
        <v>32369</v>
      </c>
      <c r="F82" t="n">
        <v>38802</v>
      </c>
      <c r="G82" t="n">
        <v>39949</v>
      </c>
      <c r="H82" t="n">
        <v>41965</v>
      </c>
      <c r="I82" t="n">
        <v>44338</v>
      </c>
      <c r="J82" t="n">
        <v>48908</v>
      </c>
      <c r="K82" t="n">
        <v>52094</v>
      </c>
    </row>
    <row r="83" customFormat="1" s="188">
      <c r="A83" s="188" t="inlineStr">
        <is>
          <t>Cash from Investing Activity</t>
        </is>
      </c>
      <c r="B83" t="n">
        <v>-16895</v>
      </c>
      <c r="C83" t="n">
        <v>3104</v>
      </c>
      <c r="D83" t="n">
        <v>1645</v>
      </c>
      <c r="E83" t="n">
        <v>8968</v>
      </c>
      <c r="F83" t="n">
        <v>-7956</v>
      </c>
      <c r="G83" t="n">
        <v>-738</v>
      </c>
      <c r="H83" t="n">
        <v>548</v>
      </c>
      <c r="I83" t="n">
        <v>6091</v>
      </c>
      <c r="J83" t="n">
        <v>-2144</v>
      </c>
      <c r="K83" t="n">
        <v>-11886</v>
      </c>
    </row>
    <row r="84" customFormat="1" s="188">
      <c r="A84" s="188" t="inlineStr">
        <is>
          <t>Cash from Financing Activity</t>
        </is>
      </c>
      <c r="B84" t="n">
        <v>-11026</v>
      </c>
      <c r="C84" t="n">
        <v>-26885</v>
      </c>
      <c r="D84" t="n">
        <v>-27897</v>
      </c>
      <c r="E84" t="n">
        <v>-39915</v>
      </c>
      <c r="F84" t="n">
        <v>-32634</v>
      </c>
      <c r="G84" t="n">
        <v>-33581</v>
      </c>
      <c r="H84" t="n">
        <v>-47878</v>
      </c>
      <c r="I84" t="n">
        <v>-48536</v>
      </c>
      <c r="J84" t="n">
        <v>-47438</v>
      </c>
      <c r="K84" t="n">
        <v>-42133</v>
      </c>
    </row>
    <row r="85" customFormat="1" s="187">
      <c r="A85" s="188" t="inlineStr">
        <is>
          <t>Net Cash Flow</t>
        </is>
      </c>
      <c r="B85" t="n">
        <v>-2698</v>
      </c>
      <c r="C85" t="n">
        <v>1286</v>
      </c>
      <c r="D85" t="n">
        <v>2341</v>
      </c>
      <c r="E85" t="n">
        <v>1422</v>
      </c>
      <c r="F85" t="n">
        <v>-1788</v>
      </c>
      <c r="G85" t="n">
        <v>5630</v>
      </c>
      <c r="H85" t="n">
        <v>-5365</v>
      </c>
      <c r="I85" t="n">
        <v>1893</v>
      </c>
      <c r="J85" t="n">
        <v>-674</v>
      </c>
      <c r="K85" t="n">
        <v>-1925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1518.85</v>
      </c>
      <c r="C90" t="n">
        <v>1995.4</v>
      </c>
      <c r="D90" t="n">
        <v>2000.15</v>
      </c>
      <c r="E90" t="n">
        <v>2894.3</v>
      </c>
      <c r="F90" t="n">
        <v>3524.35</v>
      </c>
      <c r="G90" t="n">
        <v>3342.15</v>
      </c>
      <c r="H90" t="n">
        <v>4107.1</v>
      </c>
      <c r="I90" t="n">
        <v>3483.25</v>
      </c>
      <c r="J90" t="n">
        <v>2637.4</v>
      </c>
      <c r="K90" t="n">
        <v>2156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362</v>
      </c>
      <c r="C93" s="198" t="n">
        <v>362</v>
      </c>
      <c r="D93" s="198" t="n">
        <v>362</v>
      </c>
      <c r="E93" s="198" t="n">
        <v>362</v>
      </c>
      <c r="F93" s="198" t="n">
        <v>362</v>
      </c>
      <c r="G93" s="198" t="n">
        <v>362</v>
      </c>
      <c r="H93" s="198" t="n">
        <v>362</v>
      </c>
      <c r="I93" s="198" t="n">
        <v>362</v>
      </c>
      <c r="J93" s="198" t="n">
        <v>362</v>
      </c>
      <c r="K93" s="198" t="n">
        <v>362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TATA CONSULTANCY SERVICES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19369</v>
      </c>
      <c r="D6" s="73" t="n">
        <v>19109</v>
      </c>
      <c r="E6" s="73" t="n">
        <v>25223</v>
      </c>
      <c r="F6" s="73" t="n">
        <v>25067</v>
      </c>
      <c r="G6" s="73" t="n">
        <v>28593</v>
      </c>
      <c r="H6" s="73" t="n">
        <v>32369</v>
      </c>
      <c r="I6" s="73" t="n">
        <v>38802</v>
      </c>
      <c r="J6" s="73" t="n">
        <v>39949</v>
      </c>
      <c r="K6" s="73" t="n">
        <v>41965</v>
      </c>
      <c r="L6" s="73" t="n">
        <v>44338</v>
      </c>
      <c r="M6" s="73" t="n">
        <v>48908</v>
      </c>
      <c r="N6" s="73" t="n">
        <v>52094</v>
      </c>
    </row>
    <row r="7">
      <c r="B7" t="inlineStr">
        <is>
          <t>Profit from operations</t>
        </is>
      </c>
      <c r="C7" s="73" t="n">
        <v>26103</v>
      </c>
      <c r="D7" s="73" t="n">
        <v>31631</v>
      </c>
      <c r="E7" s="73" t="n">
        <v>33800</v>
      </c>
      <c r="F7" s="73" t="n">
        <v>32885</v>
      </c>
      <c r="G7" s="73" t="n">
        <v>40720</v>
      </c>
      <c r="H7" s="73" t="n">
        <v>42882</v>
      </c>
      <c r="I7" s="73" t="n">
        <v>47031</v>
      </c>
      <c r="J7" s="73" t="n">
        <v>54204</v>
      </c>
      <c r="K7" s="73" t="n">
        <v>59148</v>
      </c>
      <c r="L7" s="73" t="n">
        <v>63709</v>
      </c>
      <c r="M7" s="73" t="n">
        <v>67853</v>
      </c>
      <c r="N7" s="73" t="n">
        <v>68688</v>
      </c>
    </row>
    <row r="8">
      <c r="B8" t="inlineStr">
        <is>
          <t>Receivables</t>
        </is>
      </c>
      <c r="C8" t="n">
        <v>-2158</v>
      </c>
      <c r="D8" t="n">
        <v>-2936</v>
      </c>
      <c r="E8" t="n">
        <v>680</v>
      </c>
      <c r="F8" t="n">
        <v>-1833</v>
      </c>
      <c r="G8" t="n">
        <v>-2883</v>
      </c>
      <c r="H8" s="73" t="n">
        <v>-3295</v>
      </c>
      <c r="I8" t="n">
        <v>1059</v>
      </c>
      <c r="J8" t="n">
        <v>-5144</v>
      </c>
      <c r="K8" t="n">
        <v>-7683</v>
      </c>
      <c r="L8" t="n">
        <v>-3332</v>
      </c>
      <c r="M8" s="73" t="n">
        <v>-5228</v>
      </c>
      <c r="N8" t="n">
        <v>-5248</v>
      </c>
    </row>
    <row r="9">
      <c r="B9" t="inlineStr">
        <is>
          <t>Inventory</t>
        </is>
      </c>
      <c r="C9" t="n">
        <v>-1</v>
      </c>
      <c r="D9" t="n">
        <v>0</v>
      </c>
      <c r="E9" t="n">
        <v>0</v>
      </c>
      <c r="F9" t="n">
        <v>-5</v>
      </c>
      <c r="G9" t="n">
        <v>16</v>
      </c>
      <c r="H9" t="n">
        <v>5</v>
      </c>
      <c r="I9" s="73" t="n">
        <v>-3</v>
      </c>
      <c r="J9" t="n">
        <v>-12</v>
      </c>
      <c r="K9" s="73" t="n">
        <v>-8</v>
      </c>
      <c r="L9" s="73" t="n">
        <v>0</v>
      </c>
      <c r="M9" s="73" t="n">
        <v>7</v>
      </c>
      <c r="N9" s="73" t="n">
        <v>-8</v>
      </c>
    </row>
    <row r="10">
      <c r="B10" t="inlineStr">
        <is>
          <t>Payables</t>
        </is>
      </c>
      <c r="C10" t="n">
        <v>0</v>
      </c>
      <c r="D10" t="n">
        <v>-2039</v>
      </c>
      <c r="E10" t="n">
        <v>-201</v>
      </c>
      <c r="F10" s="73" t="n">
        <v>-346</v>
      </c>
      <c r="G10" t="n">
        <v>1496</v>
      </c>
      <c r="H10" t="n">
        <v>446</v>
      </c>
      <c r="I10" s="73" t="n">
        <v>-93</v>
      </c>
      <c r="J10" s="73" t="n">
        <v>186</v>
      </c>
      <c r="K10" s="73" t="n">
        <v>2036</v>
      </c>
      <c r="L10" t="n">
        <v>-632</v>
      </c>
      <c r="M10" s="73" t="n">
        <v>3718</v>
      </c>
      <c r="N10" t="n">
        <v>-1105</v>
      </c>
    </row>
    <row r="11">
      <c r="B11" t="inlineStr">
        <is>
          <t>Working capital changes</t>
        </is>
      </c>
      <c r="C11" t="n">
        <v>747</v>
      </c>
      <c r="D11" t="n">
        <v>-4944</v>
      </c>
      <c r="E11" t="n">
        <v>-631</v>
      </c>
      <c r="F11" s="73" t="n">
        <v>-209</v>
      </c>
      <c r="G11" t="n">
        <v>-2169</v>
      </c>
      <c r="H11" t="n">
        <v>-4667</v>
      </c>
      <c r="I11" t="n">
        <v>863</v>
      </c>
      <c r="J11" t="n">
        <v>-2769</v>
      </c>
      <c r="K11" t="n">
        <v>-4217</v>
      </c>
      <c r="L11" s="73" t="n">
        <v>-6882</v>
      </c>
      <c r="M11" s="73" t="n">
        <v>-3359</v>
      </c>
      <c r="N11" s="73" t="n">
        <v>-2210</v>
      </c>
    </row>
    <row r="12">
      <c r="B12" t="inlineStr">
        <is>
          <t>Direct taxes</t>
        </is>
      </c>
      <c r="C12" s="73" t="n">
        <v>-7482</v>
      </c>
      <c r="D12" s="73" t="n">
        <v>-7578</v>
      </c>
      <c r="E12" s="73" t="n">
        <v>-7946</v>
      </c>
      <c r="F12" s="73" t="n">
        <v>-7609</v>
      </c>
      <c r="G12" s="73" t="n">
        <v>-9958</v>
      </c>
      <c r="H12" s="73" t="n">
        <v>-5846</v>
      </c>
      <c r="I12" s="73" t="n">
        <v>-9092</v>
      </c>
      <c r="J12" s="73" t="n">
        <v>-11486</v>
      </c>
      <c r="K12" s="73" t="n">
        <v>-12966</v>
      </c>
      <c r="L12" s="73" t="n">
        <v>-12489</v>
      </c>
      <c r="M12" s="73" t="n">
        <v>-15586</v>
      </c>
      <c r="N12" s="73" t="n">
        <v>-14384</v>
      </c>
    </row>
    <row r="13">
      <c r="B13" t="inlineStr">
        <is>
          <t>Cash from Investing Activity -</t>
        </is>
      </c>
      <c r="C13" s="73" t="n">
        <v>-1807</v>
      </c>
      <c r="D13" s="73" t="n">
        <v>-5010</v>
      </c>
      <c r="E13" s="73" t="n">
        <v>-16895</v>
      </c>
      <c r="F13" s="73" t="n">
        <v>3104</v>
      </c>
      <c r="G13" s="73" t="n">
        <v>1645</v>
      </c>
      <c r="H13" s="73" t="n">
        <v>8968</v>
      </c>
      <c r="I13" s="73" t="n">
        <v>-7956</v>
      </c>
      <c r="J13" s="73" t="n">
        <v>-738</v>
      </c>
      <c r="K13" s="73" t="n">
        <v>548</v>
      </c>
      <c r="L13" s="73" t="n">
        <v>6091</v>
      </c>
      <c r="M13" t="n">
        <v>-2144</v>
      </c>
      <c r="N13" s="73" t="n">
        <v>-11886</v>
      </c>
    </row>
    <row r="14">
      <c r="B14" t="inlineStr">
        <is>
          <t>Fixed assets purchased</t>
        </is>
      </c>
      <c r="C14" s="73" t="n">
        <v>-2949</v>
      </c>
      <c r="D14" s="73" t="n">
        <v>-1987</v>
      </c>
      <c r="E14" s="73" t="n">
        <v>-1989</v>
      </c>
      <c r="F14" s="73" t="n">
        <v>-1862</v>
      </c>
      <c r="G14" s="73" t="n">
        <v>-2231</v>
      </c>
      <c r="H14" s="73" t="n">
        <v>-3249</v>
      </c>
      <c r="I14" s="73" t="n">
        <v>-3176</v>
      </c>
      <c r="J14" s="73" t="n">
        <v>-2995</v>
      </c>
      <c r="K14" s="73" t="n">
        <v>-3100</v>
      </c>
      <c r="L14" s="73" t="n">
        <v>-2674</v>
      </c>
      <c r="M14" s="73" t="n">
        <v>-3937</v>
      </c>
      <c r="N14" s="73" t="n">
        <v>-4146</v>
      </c>
    </row>
    <row r="15">
      <c r="B15" t="inlineStr">
        <is>
          <t>Fixed assets sold</t>
        </is>
      </c>
      <c r="C15" t="n">
        <v>7</v>
      </c>
      <c r="D15" t="n">
        <v>22</v>
      </c>
      <c r="E15" t="n">
        <v>36</v>
      </c>
      <c r="F15" t="n">
        <v>58</v>
      </c>
      <c r="G15" t="n">
        <v>99</v>
      </c>
      <c r="H15" t="n">
        <v>161</v>
      </c>
      <c r="I15" t="n">
        <v>37</v>
      </c>
      <c r="J15" t="n">
        <v>31</v>
      </c>
      <c r="K15" t="n">
        <v>37</v>
      </c>
      <c r="L15" t="n">
        <v>24</v>
      </c>
      <c r="M15" t="n">
        <v>23</v>
      </c>
      <c r="N15" t="n">
        <v>65</v>
      </c>
    </row>
    <row r="16">
      <c r="B16" t="inlineStr">
        <is>
          <t>Investments purchased</t>
        </is>
      </c>
      <c r="C16" s="73" t="n">
        <v>-67371</v>
      </c>
      <c r="D16" s="73" t="n">
        <v>-116847</v>
      </c>
      <c r="E16" s="73" t="n">
        <v>-121423</v>
      </c>
      <c r="F16" s="73" t="n">
        <v>-97473</v>
      </c>
      <c r="G16" s="73" t="n">
        <v>-96751</v>
      </c>
      <c r="H16" s="73" t="n">
        <v>-80002</v>
      </c>
      <c r="I16" s="73" t="n">
        <v>-54462</v>
      </c>
      <c r="J16" s="73" t="n">
        <v>-75374</v>
      </c>
      <c r="K16" s="73" t="n">
        <v>-129745</v>
      </c>
      <c r="L16" s="73" t="n">
        <v>-141011</v>
      </c>
      <c r="M16" s="73" t="n">
        <v>-145962</v>
      </c>
      <c r="N16" s="73" t="n">
        <v>-152114</v>
      </c>
    </row>
    <row r="17">
      <c r="B17" t="inlineStr">
        <is>
          <t>Investments sold</t>
        </is>
      </c>
      <c r="C17" s="73" t="n">
        <v>69361</v>
      </c>
      <c r="D17" s="73" t="n">
        <v>97154</v>
      </c>
      <c r="E17" s="73" t="n">
        <v>102798</v>
      </c>
      <c r="F17" s="73" t="n">
        <v>103482</v>
      </c>
      <c r="G17" s="73" t="n">
        <v>104133</v>
      </c>
      <c r="H17" s="73" t="n">
        <v>84089</v>
      </c>
      <c r="I17" s="73" t="n">
        <v>51630</v>
      </c>
      <c r="J17" s="73" t="n">
        <v>73852</v>
      </c>
      <c r="K17" s="73" t="n">
        <v>122687</v>
      </c>
      <c r="L17" s="73" t="n">
        <v>147204</v>
      </c>
      <c r="M17" s="73" t="n">
        <v>147695</v>
      </c>
      <c r="N17" s="73" t="n">
        <v>148023</v>
      </c>
    </row>
    <row r="18">
      <c r="B18" t="inlineStr">
        <is>
          <t>Interest received</t>
        </is>
      </c>
      <c r="C18" t="n">
        <v>1994</v>
      </c>
      <c r="D18" t="n">
        <v>1816</v>
      </c>
      <c r="E18" t="n">
        <v>1788</v>
      </c>
      <c r="F18" t="n">
        <v>2623</v>
      </c>
      <c r="G18" s="73" t="n">
        <v>2619</v>
      </c>
      <c r="H18" s="73" t="n">
        <v>3729</v>
      </c>
      <c r="I18" s="73" t="n">
        <v>2730</v>
      </c>
      <c r="J18" s="73" t="n">
        <v>2700</v>
      </c>
      <c r="K18" s="73" t="n">
        <v>3080</v>
      </c>
      <c r="L18" s="73" t="n">
        <v>2990</v>
      </c>
      <c r="M18" s="73" t="n">
        <v>3056</v>
      </c>
      <c r="N18" t="n">
        <v>3008</v>
      </c>
    </row>
    <row r="19">
      <c r="B19" t="inlineStr">
        <is>
          <t>Dividends received</t>
        </is>
      </c>
      <c r="C19" t="n">
        <v>9</v>
      </c>
      <c r="D19" t="n">
        <v>11</v>
      </c>
      <c r="E19" t="n">
        <v>1</v>
      </c>
      <c r="F19" t="n">
        <v>9</v>
      </c>
      <c r="G19" t="n">
        <v>18</v>
      </c>
      <c r="H19" t="n">
        <v>8</v>
      </c>
      <c r="I19" t="n">
        <v>8</v>
      </c>
      <c r="J19" t="n">
        <v>4</v>
      </c>
      <c r="K19" t="n">
        <v>13</v>
      </c>
      <c r="L19" t="n">
        <v>26</v>
      </c>
      <c r="M19" t="n">
        <v>40</v>
      </c>
      <c r="N19" t="n">
        <v>84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-2750</v>
      </c>
      <c r="D23" s="73" t="n">
        <v>16281</v>
      </c>
      <c r="E23" s="73" t="n">
        <v>275</v>
      </c>
      <c r="F23" s="73" t="n">
        <v>-1503</v>
      </c>
      <c r="G23" s="73" t="n">
        <v>-3265</v>
      </c>
      <c r="H23" s="73" t="n">
        <v>4705</v>
      </c>
      <c r="I23" s="73" t="n">
        <v>-1665</v>
      </c>
      <c r="J23" s="73" t="n">
        <v>-3835</v>
      </c>
      <c r="K23" t="n">
        <v>2215</v>
      </c>
      <c r="L23" s="73" t="n">
        <v>-1314</v>
      </c>
      <c r="M23" t="n">
        <v>-3229</v>
      </c>
      <c r="N23" s="73" t="n">
        <v>1462</v>
      </c>
    </row>
    <row r="24">
      <c r="B24" t="inlineStr">
        <is>
          <t>Cash from Financing Activity -</t>
        </is>
      </c>
      <c r="C24" s="73" t="n">
        <v>-17168</v>
      </c>
      <c r="D24" s="73" t="n">
        <v>-9666</v>
      </c>
      <c r="E24" s="73" t="n">
        <v>-11026</v>
      </c>
      <c r="F24" s="73" t="n">
        <v>-26885</v>
      </c>
      <c r="G24" s="73" t="n">
        <v>-27897</v>
      </c>
      <c r="H24" s="73" t="n">
        <v>-39915</v>
      </c>
      <c r="I24" s="73" t="n">
        <v>-32634</v>
      </c>
      <c r="J24" s="73" t="n">
        <v>-33581</v>
      </c>
      <c r="K24" s="73" t="n">
        <v>-47878</v>
      </c>
      <c r="L24" s="73" t="n">
        <v>-48536</v>
      </c>
      <c r="M24" s="73" t="n">
        <v>-47438</v>
      </c>
      <c r="N24" s="73" t="n">
        <v>-42133</v>
      </c>
    </row>
    <row r="25">
      <c r="B25" t="inlineStr">
        <is>
          <t>Proceeds from shares</t>
        </is>
      </c>
      <c r="C25" t="n">
        <v>0</v>
      </c>
      <c r="D25" t="n">
        <v>2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18</v>
      </c>
      <c r="L25" s="73" t="n">
        <v>425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43</v>
      </c>
      <c r="D26" t="n">
        <v>0</v>
      </c>
      <c r="E26" t="n">
        <v>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-0</v>
      </c>
      <c r="D27" t="n">
        <v>-73</v>
      </c>
      <c r="E27" t="n">
        <v>0</v>
      </c>
      <c r="F27" t="n">
        <v>-19</v>
      </c>
      <c r="G27" t="n">
        <v>-181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B28" t="inlineStr">
        <is>
          <t>Interest paid fin</t>
        </is>
      </c>
      <c r="C28" t="n">
        <v>-105</v>
      </c>
      <c r="D28" t="n">
        <v>-20</v>
      </c>
      <c r="E28" t="n">
        <v>-20</v>
      </c>
      <c r="F28" t="n">
        <v>-40</v>
      </c>
      <c r="G28" t="n">
        <v>-186</v>
      </c>
      <c r="H28" t="n">
        <v>-924</v>
      </c>
      <c r="I28" t="n">
        <v>-634</v>
      </c>
      <c r="J28" t="n">
        <v>-698</v>
      </c>
      <c r="K28" t="n">
        <v>-779</v>
      </c>
      <c r="L28" t="n">
        <v>-699</v>
      </c>
      <c r="M28" t="n">
        <v>-840</v>
      </c>
      <c r="N28" t="n">
        <v>-901</v>
      </c>
    </row>
    <row r="29">
      <c r="B29" t="inlineStr">
        <is>
          <t>Dividends paid</t>
        </is>
      </c>
      <c r="C29" s="73" t="n">
        <v>-17106</v>
      </c>
      <c r="D29" s="73" t="n">
        <v>-9515</v>
      </c>
      <c r="E29" s="73" t="n">
        <v>-10973</v>
      </c>
      <c r="F29" s="73" t="n">
        <v>-10760</v>
      </c>
      <c r="G29" s="73" t="n">
        <v>-11472</v>
      </c>
      <c r="H29" s="73" t="n">
        <v>-37702</v>
      </c>
      <c r="I29" s="73" t="n">
        <v>-10907</v>
      </c>
      <c r="J29" s="73" t="n">
        <v>-13375</v>
      </c>
      <c r="K29" s="73" t="n">
        <v>-41410</v>
      </c>
      <c r="L29" s="73" t="n">
        <v>-25218</v>
      </c>
      <c r="M29" s="73" t="n">
        <v>-44962</v>
      </c>
      <c r="N29" s="73" t="n">
        <v>-39571</v>
      </c>
    </row>
    <row r="30">
      <c r="B30" t="inlineStr">
        <is>
          <t>Financial liabilities</t>
        </is>
      </c>
      <c r="C30" t="n">
        <v>0</v>
      </c>
      <c r="D30" t="n">
        <v>-60</v>
      </c>
      <c r="E30" t="n">
        <v>-66</v>
      </c>
      <c r="F30" t="n">
        <v>-24</v>
      </c>
      <c r="G30" t="n">
        <v>-13</v>
      </c>
      <c r="H30" t="n">
        <v>-1062</v>
      </c>
      <c r="I30" t="n">
        <v>-1336</v>
      </c>
      <c r="J30" t="n">
        <v>-1417</v>
      </c>
      <c r="K30" t="n">
        <v>-1515</v>
      </c>
      <c r="L30" t="n">
        <v>-1614</v>
      </c>
      <c r="M30" t="n">
        <v>-1664</v>
      </c>
      <c r="N30" t="n">
        <v>-1861</v>
      </c>
    </row>
    <row r="31">
      <c r="B31" t="inlineStr">
        <is>
          <t>Other financing items</t>
        </is>
      </c>
      <c r="C31" t="n">
        <v>0</v>
      </c>
      <c r="D31" t="n">
        <v>0</v>
      </c>
      <c r="E31" s="73" t="n">
        <v>-54</v>
      </c>
      <c r="F31" s="73" t="n">
        <v>-16042</v>
      </c>
      <c r="G31" s="73" t="n">
        <v>-16045</v>
      </c>
      <c r="H31" s="73" t="n">
        <v>-227</v>
      </c>
      <c r="I31" t="n">
        <v>-19757</v>
      </c>
      <c r="J31" t="n">
        <v>-18091</v>
      </c>
      <c r="K31" t="n">
        <v>-4192</v>
      </c>
      <c r="L31" t="n">
        <v>-21430</v>
      </c>
      <c r="M31" t="n">
        <v>28</v>
      </c>
      <c r="N31" t="n">
        <v>200</v>
      </c>
    </row>
    <row r="32">
      <c r="B32" t="inlineStr">
        <is>
          <t>Net Cash Flow</t>
        </is>
      </c>
      <c r="C32" t="n">
        <v>394</v>
      </c>
      <c r="D32" t="n">
        <v>4433</v>
      </c>
      <c r="E32" t="n">
        <v>-2698</v>
      </c>
      <c r="F32" t="n">
        <v>1286</v>
      </c>
      <c r="G32" t="n">
        <v>2341</v>
      </c>
      <c r="H32" t="n">
        <v>1422</v>
      </c>
      <c r="I32" t="n">
        <v>-1788</v>
      </c>
      <c r="J32" t="n">
        <v>5630</v>
      </c>
      <c r="K32" t="n">
        <v>-5365</v>
      </c>
      <c r="L32" t="n">
        <v>1893</v>
      </c>
      <c r="M32" t="n">
        <v>-674</v>
      </c>
      <c r="N32" t="n">
        <v>-1925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0.88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0.86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1.05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8"/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  <row r="84">
      <c r="B84" t="inlineStr">
        <is>
          <t>Market-implied exit EV/EBIT multiple (Year 10)</t>
        </is>
      </c>
      <c r="D84" s="282">
        <f>IFERROR(($D$45*$D$41+$D$38+$D$39-$D$37-$D$78)/($M$68*(1+$D$20)^(-10)),"n/a")</f>
        <v/>
      </c>
    </row>
    <row r="85">
      <c r="B85" t="inlineStr">
        <is>
          <t>EV / latest EBIT at current price</t>
        </is>
      </c>
      <c r="D85" s="282">
        <f>IFERROR(($D$45*$D$41+$D$38+$D$39-$D$37)/$H$8,"n/a")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2026-10-09</t>
        </is>
      </c>
      <c r="H6" t="n">
        <v>2156</v>
      </c>
      <c r="J6" t="n">
        <v>22231.8</v>
      </c>
    </row>
    <row r="7">
      <c r="B7" t="n">
        <v>2024</v>
      </c>
      <c r="C7" s="46" t="n">
        <v>0.08749999999999999</v>
      </c>
      <c r="G7" s="34" t="inlineStr">
        <is>
          <t>2026-10-08</t>
        </is>
      </c>
      <c r="H7" t="n">
        <v>2076</v>
      </c>
      <c r="J7" t="n">
        <v>22231.8</v>
      </c>
    </row>
    <row r="8">
      <c r="B8" t="n">
        <v>2023</v>
      </c>
      <c r="C8" s="46" t="n">
        <v>0.1942</v>
      </c>
      <c r="G8" s="34" t="inlineStr">
        <is>
          <t>2026-10-07</t>
        </is>
      </c>
      <c r="H8" t="n">
        <v>2080.3</v>
      </c>
      <c r="J8" t="n">
        <v>22603.05</v>
      </c>
    </row>
    <row r="9">
      <c r="B9" t="n">
        <v>2022</v>
      </c>
      <c r="C9" s="46" t="n">
        <v>0.0432</v>
      </c>
      <c r="G9" s="34" t="inlineStr">
        <is>
          <t>2026-10-06</t>
        </is>
      </c>
      <c r="H9" t="n">
        <v>2100</v>
      </c>
      <c r="J9" t="n">
        <v>22776.1</v>
      </c>
    </row>
    <row r="10">
      <c r="B10" t="n">
        <v>2021</v>
      </c>
      <c r="C10" s="46" t="n">
        <v>0.2412</v>
      </c>
      <c r="G10" s="34" t="inlineStr">
        <is>
          <t>2026-10-05</t>
        </is>
      </c>
      <c r="H10" t="n">
        <v>2114.4</v>
      </c>
      <c r="J10" t="n">
        <v>22555.75</v>
      </c>
    </row>
    <row r="11">
      <c r="B11" t="n">
        <v>2020</v>
      </c>
      <c r="C11" s="46" t="n">
        <v>0.149</v>
      </c>
      <c r="G11" s="34" t="inlineStr">
        <is>
          <t>2026-10-01</t>
        </is>
      </c>
      <c r="H11" t="n">
        <v>2075</v>
      </c>
      <c r="J11" t="n">
        <v>22421.95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2026-09-30</t>
        </is>
      </c>
      <c r="H12" t="n">
        <v>2050.6</v>
      </c>
      <c r="J12" t="n">
        <v>22620.45</v>
      </c>
      <c r="N12" t="n">
        <v>1</v>
      </c>
      <c r="O12" t="inlineStr">
        <is>
          <t>Infosys</t>
        </is>
      </c>
      <c r="P12" t="n">
        <v>1023.4</v>
      </c>
      <c r="Q12">
        <f>IF(P12&gt;0, R12/P12, 0)</f>
        <v/>
      </c>
      <c r="R12" t="n">
        <v>415324</v>
      </c>
      <c r="S12" t="n">
        <v>0</v>
      </c>
      <c r="T12" t="n">
        <v>24000</v>
      </c>
      <c r="U12">
        <f>R12+S12-T12</f>
        <v/>
      </c>
      <c r="V12" t="n">
        <v>192844</v>
      </c>
      <c r="W12">
        <f>IF(X12&gt;0, U12/X12, "N/A")</f>
        <v/>
      </c>
      <c r="X12" t="n">
        <v>31180.48</v>
      </c>
    </row>
    <row r="13">
      <c r="B13" t="n">
        <v>2018</v>
      </c>
      <c r="C13" s="46" t="n">
        <v>0.0315</v>
      </c>
      <c r="G13" s="34" t="inlineStr">
        <is>
          <t>2026-09-29</t>
        </is>
      </c>
      <c r="H13" t="n">
        <v>2032.4</v>
      </c>
      <c r="J13" t="n">
        <v>22716.2</v>
      </c>
      <c r="N13" t="n">
        <v>2</v>
      </c>
      <c r="O13" t="inlineStr">
        <is>
          <t>HCL Technologies</t>
        </is>
      </c>
      <c r="P13" t="n">
        <v>1216.7</v>
      </c>
      <c r="Q13">
        <f>IF(P13&gt;0, R13/P13, 0)</f>
        <v/>
      </c>
      <c r="R13" t="n">
        <v>330171.6</v>
      </c>
      <c r="S13" t="n">
        <v>4200</v>
      </c>
      <c r="T13" t="n">
        <v>15000</v>
      </c>
      <c r="U13">
        <f>R13+S13-T13</f>
        <v/>
      </c>
      <c r="V13" t="n">
        <v>138316</v>
      </c>
      <c r="W13">
        <f>IF(X13&gt;0, U13/X13, "N/A")</f>
        <v/>
      </c>
      <c r="X13" t="n">
        <v>18131.34</v>
      </c>
    </row>
    <row r="14">
      <c r="B14" t="n">
        <v>2017</v>
      </c>
      <c r="C14" s="46" t="n">
        <v>0.2865</v>
      </c>
      <c r="G14" s="34" t="inlineStr">
        <is>
          <t>2026-09-28</t>
        </is>
      </c>
      <c r="H14" t="n">
        <v>2070.7</v>
      </c>
      <c r="J14" t="n">
        <v>22780.25</v>
      </c>
      <c r="N14" t="n">
        <v>3</v>
      </c>
      <c r="O14">
        <f>'Data Sheet'!B1</f>
        <v/>
      </c>
      <c r="P14" t="n">
        <v>2156</v>
      </c>
      <c r="Q14">
        <f>IF(P14&gt;0, R14/P14, 0)</f>
        <v/>
      </c>
      <c r="R14" t="n">
        <v>780060</v>
      </c>
      <c r="S14" t="n">
        <v>11808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2026-09-25</t>
        </is>
      </c>
      <c r="H15" t="n">
        <v>2082</v>
      </c>
      <c r="J15" t="n">
        <v>23140.5</v>
      </c>
      <c r="N15" t="n">
        <v>4</v>
      </c>
      <c r="O15" t="inlineStr">
        <is>
          <t>Wipro</t>
        </is>
      </c>
      <c r="P15" t="n">
        <v>162.57</v>
      </c>
      <c r="Q15">
        <f>IF(P15&gt;0, R15/P15, 0)</f>
        <v/>
      </c>
      <c r="R15" t="n">
        <v>161031.2</v>
      </c>
      <c r="S15" t="n">
        <v>15000</v>
      </c>
      <c r="T15" t="n">
        <v>22000</v>
      </c>
      <c r="U15">
        <f>R15+S15-T15</f>
        <v/>
      </c>
      <c r="V15" t="n">
        <v>97914.39999999999</v>
      </c>
      <c r="W15">
        <f>IF(X15&gt;0, U15/X15, "N/A")</f>
        <v/>
      </c>
      <c r="X15" t="n">
        <v>13220.95</v>
      </c>
    </row>
    <row r="16">
      <c r="B16" t="n">
        <v>2015</v>
      </c>
      <c r="C16" s="46" t="n">
        <v>-0.0406</v>
      </c>
      <c r="G16" s="34" t="inlineStr">
        <is>
          <t>2026-09-24</t>
        </is>
      </c>
      <c r="H16" t="n">
        <v>2087</v>
      </c>
      <c r="J16" t="n">
        <v>23063.1</v>
      </c>
      <c r="N16" t="n">
        <v>5</v>
      </c>
      <c r="O16" t="inlineStr">
        <is>
          <t>Tech Mahindra</t>
        </is>
      </c>
      <c r="P16" t="n">
        <v>1514.1</v>
      </c>
      <c r="Q16">
        <f>IF(P16&gt;0, R16/P16, 0)</f>
        <v/>
      </c>
      <c r="R16" t="n">
        <v>148405.9</v>
      </c>
      <c r="S16" t="n">
        <v>2186</v>
      </c>
      <c r="T16" t="n">
        <v>3426</v>
      </c>
      <c r="U16">
        <f>R16+S16-T16</f>
        <v/>
      </c>
      <c r="V16" t="n">
        <v>62847.6</v>
      </c>
      <c r="W16">
        <f>IF(X16&gt;0, U16/X16, "N/A")</f>
        <v/>
      </c>
      <c r="X16" t="n">
        <v>5321.11</v>
      </c>
    </row>
    <row r="17">
      <c r="B17" t="n">
        <v>2014</v>
      </c>
      <c r="C17" s="46" t="n">
        <v>0.3139</v>
      </c>
      <c r="G17" s="34" t="inlineStr">
        <is>
          <t>2026-09-23</t>
        </is>
      </c>
      <c r="H17" t="n">
        <v>2089.6</v>
      </c>
      <c r="J17" t="n">
        <v>23446.8</v>
      </c>
      <c r="N17" t="n">
        <v>6</v>
      </c>
      <c r="O17" t="inlineStr">
        <is>
          <t>Persistent Systems</t>
        </is>
      </c>
      <c r="P17" t="n">
        <v>5770</v>
      </c>
      <c r="Q17">
        <f>IF(P17&gt;0, R17/P17, 0)</f>
        <v/>
      </c>
      <c r="R17" t="n">
        <v>91021.8</v>
      </c>
      <c r="S17" t="n">
        <v>477</v>
      </c>
      <c r="T17" t="n">
        <v>1615</v>
      </c>
      <c r="U17">
        <f>R17+S17-T17</f>
        <v/>
      </c>
      <c r="V17" t="n">
        <v>17212.9</v>
      </c>
      <c r="W17">
        <f>IF(X17&gt;0, U17/X17, "N/A")</f>
        <v/>
      </c>
      <c r="X17" t="n">
        <v>1989.98</v>
      </c>
    </row>
    <row r="18">
      <c r="B18" t="n">
        <v>2013</v>
      </c>
      <c r="C18" s="46" t="n">
        <v>0.06759999999999999</v>
      </c>
      <c r="G18" s="34" t="inlineStr">
        <is>
          <t>2026-09-22</t>
        </is>
      </c>
      <c r="H18" t="n">
        <v>2105</v>
      </c>
      <c r="J18" t="n">
        <v>23329</v>
      </c>
      <c r="N18" t="n">
        <v>7</v>
      </c>
      <c r="O18" t="inlineStr">
        <is>
          <t>Coforge</t>
        </is>
      </c>
      <c r="P18" t="n">
        <v>1867.9</v>
      </c>
      <c r="Q18">
        <f>IF(P18&gt;0, R18/P18, 0)</f>
        <v/>
      </c>
      <c r="R18" t="n">
        <v>82755.2</v>
      </c>
      <c r="S18" t="n">
        <v>728</v>
      </c>
      <c r="T18" t="n">
        <v>0</v>
      </c>
      <c r="U18">
        <f>R18+S18-T18</f>
        <v/>
      </c>
      <c r="V18" t="n">
        <v>22110.8</v>
      </c>
      <c r="W18">
        <f>IF(X18&gt;0, U18/X18, "N/A")</f>
        <v/>
      </c>
      <c r="X18" t="n">
        <v>1917.4</v>
      </c>
    </row>
    <row r="19">
      <c r="B19" t="n">
        <v>2012</v>
      </c>
      <c r="C19" s="46" t="n">
        <v>0.277</v>
      </c>
      <c r="G19" s="34" t="inlineStr">
        <is>
          <t>2026-09-21</t>
        </is>
      </c>
      <c r="H19" t="n">
        <v>2128.7</v>
      </c>
      <c r="J19" t="n">
        <v>23414.3</v>
      </c>
      <c r="N19" t="n">
        <v>8</v>
      </c>
      <c r="O19" t="inlineStr">
        <is>
          <t>Mphasis</t>
        </is>
      </c>
      <c r="P19" t="n">
        <v>2360</v>
      </c>
      <c r="Q19">
        <f>IF(P19&gt;0, R19/P19, 0)</f>
        <v/>
      </c>
      <c r="R19" t="n">
        <v>45064</v>
      </c>
      <c r="S19" t="n">
        <v>2620</v>
      </c>
      <c r="T19" t="n">
        <v>1769</v>
      </c>
      <c r="U19">
        <f>R19+S19-T19</f>
        <v/>
      </c>
      <c r="V19" t="n">
        <v>17536.2</v>
      </c>
      <c r="W19">
        <f>IF(X19&gt;0, U19/X19, "N/A")</f>
        <v/>
      </c>
      <c r="X19" t="n">
        <v>1936.57</v>
      </c>
    </row>
    <row r="20">
      <c r="B20" t="n">
        <v>2011</v>
      </c>
      <c r="C20" s="46" t="n">
        <v>-0.2462</v>
      </c>
      <c r="G20" s="34" t="inlineStr">
        <is>
          <t>2026-09-18</t>
        </is>
      </c>
      <c r="H20" t="n">
        <v>2105</v>
      </c>
      <c r="J20" t="n">
        <v>23346.4</v>
      </c>
      <c r="N20" t="n">
        <v>9</v>
      </c>
      <c r="O20" t="inlineStr">
        <is>
          <t>LTM</t>
        </is>
      </c>
      <c r="P20" t="n">
        <v>4070</v>
      </c>
      <c r="Q20">
        <f>IF(P20&gt;0, R20/P20, 0)</f>
        <v/>
      </c>
      <c r="R20" t="n">
        <v>120724.9</v>
      </c>
      <c r="S20" t="n">
        <v>2310</v>
      </c>
      <c r="T20" t="n">
        <v>12568</v>
      </c>
      <c r="U20">
        <f>R20+S20-T20</f>
        <v/>
      </c>
      <c r="V20" t="n">
        <v>46432</v>
      </c>
      <c r="W20">
        <f>IF(X20&gt;0, U20/X20, "N/A")</f>
        <v/>
      </c>
      <c r="X20" t="n">
        <v>5609.89</v>
      </c>
    </row>
    <row r="21">
      <c r="B21" t="n">
        <v>2010</v>
      </c>
      <c r="C21" s="46" t="n">
        <v>0.1795</v>
      </c>
      <c r="G21" s="34" t="inlineStr">
        <is>
          <t>2026-09-17</t>
        </is>
      </c>
      <c r="H21" t="n">
        <v>2190</v>
      </c>
      <c r="J21" t="n">
        <v>23270.6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2026-09-16</t>
        </is>
      </c>
      <c r="H22" t="n">
        <v>2188.8</v>
      </c>
      <c r="J22" t="n">
        <v>23217.6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2026-09-15</t>
        </is>
      </c>
      <c r="H23" t="n">
        <v>2251</v>
      </c>
      <c r="J23" t="n">
        <v>23118.6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2026-09-11</t>
        </is>
      </c>
      <c r="H24" t="n">
        <v>2200.8</v>
      </c>
      <c r="J24" t="n">
        <v>23398.1</v>
      </c>
      <c r="O24" t="inlineStr">
        <is>
          <t>Infosys</t>
        </is>
      </c>
      <c r="Q24" t="inlineStr">
        <is>
          <t>India</t>
        </is>
      </c>
      <c r="R24" t="n">
        <v>0</v>
      </c>
      <c r="S24" t="n">
        <v>415324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2026-09-10</t>
        </is>
      </c>
      <c r="H25" t="n">
        <v>2204.1</v>
      </c>
      <c r="J25" t="n">
        <v>23477.8</v>
      </c>
      <c r="O25" t="inlineStr">
        <is>
          <t>HCL Technologies</t>
        </is>
      </c>
      <c r="Q25">
        <f>Q24</f>
        <v/>
      </c>
      <c r="R25" t="n">
        <v>4200</v>
      </c>
      <c r="S25" t="n">
        <v>330171.6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2026-09-09</t>
        </is>
      </c>
      <c r="H26" t="n">
        <v>2208</v>
      </c>
      <c r="J26" t="n">
        <v>23431.5</v>
      </c>
      <c r="O26">
        <f>'Data Sheet'!B1</f>
        <v/>
      </c>
      <c r="Q26">
        <f>Q25</f>
        <v/>
      </c>
      <c r="R26" t="n">
        <v>11808</v>
      </c>
      <c r="S26" t="n">
        <v>780060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2026-09-08</t>
        </is>
      </c>
      <c r="H27" t="n">
        <v>2255.5</v>
      </c>
      <c r="J27" t="n">
        <v>23635.1</v>
      </c>
      <c r="O27" t="inlineStr">
        <is>
          <t>Wipro</t>
        </is>
      </c>
      <c r="Q27">
        <f>Q26</f>
        <v/>
      </c>
      <c r="R27" t="n">
        <v>15000</v>
      </c>
      <c r="S27" t="n">
        <v>161031.2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2026-09-07</t>
        </is>
      </c>
      <c r="H28" t="n">
        <v>2270</v>
      </c>
      <c r="J28" t="n">
        <v>23779.15</v>
      </c>
      <c r="O28" t="inlineStr">
        <is>
          <t>Tech Mahindra</t>
        </is>
      </c>
      <c r="Q28">
        <f>Q27</f>
        <v/>
      </c>
      <c r="R28" t="n">
        <v>2186</v>
      </c>
      <c r="S28" t="n">
        <v>148405.9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2026-09-04</t>
        </is>
      </c>
      <c r="H29" t="n">
        <v>2304</v>
      </c>
      <c r="J29" t="n">
        <v>23897.7</v>
      </c>
    </row>
    <row r="30">
      <c r="G30" s="34" t="inlineStr">
        <is>
          <t>2026-09-03</t>
        </is>
      </c>
      <c r="H30" t="n">
        <v>2320.1</v>
      </c>
      <c r="J30" t="n">
        <v>23873.45</v>
      </c>
    </row>
    <row r="31">
      <c r="G31" s="34" t="inlineStr">
        <is>
          <t>2026-09-02</t>
        </is>
      </c>
      <c r="H31" t="n">
        <v>2348</v>
      </c>
      <c r="J31" t="n">
        <v>23914.45</v>
      </c>
    </row>
    <row r="32">
      <c r="G32" s="34" t="inlineStr">
        <is>
          <t>2026-09-01</t>
        </is>
      </c>
      <c r="H32" t="n">
        <v>2369</v>
      </c>
      <c r="J32" t="n">
        <v>24055.8</v>
      </c>
    </row>
    <row r="33">
      <c r="G33" s="34" t="inlineStr">
        <is>
          <t>2026-08-31</t>
        </is>
      </c>
      <c r="H33" t="n">
        <v>2399.3</v>
      </c>
      <c r="J33" t="n">
        <v>24080.4</v>
      </c>
    </row>
    <row r="34">
      <c r="G34" s="34" t="inlineStr">
        <is>
          <t>2026-08-28</t>
        </is>
      </c>
      <c r="H34" t="n">
        <v>2342</v>
      </c>
      <c r="J34" t="n">
        <v>24175.65</v>
      </c>
    </row>
    <row r="35">
      <c r="G35" s="34" t="inlineStr">
        <is>
          <t>2026-08-27</t>
        </is>
      </c>
      <c r="H35" t="n">
        <v>2248.4</v>
      </c>
      <c r="J35" t="n">
        <v>24090.85</v>
      </c>
    </row>
    <row r="36">
      <c r="G36" s="34" t="inlineStr">
        <is>
          <t>2026-08-26</t>
        </is>
      </c>
      <c r="H36" t="n">
        <v>2270</v>
      </c>
      <c r="J36" t="n">
        <v>24207.75</v>
      </c>
    </row>
    <row r="37">
      <c r="G37" s="34" t="inlineStr">
        <is>
          <t>2026-08-25</t>
        </is>
      </c>
      <c r="H37" t="n">
        <v>2296.2</v>
      </c>
      <c r="J37" t="n">
        <v>24334.55</v>
      </c>
    </row>
    <row r="38">
      <c r="G38" s="34" t="inlineStr">
        <is>
          <t>2026-08-24</t>
        </is>
      </c>
      <c r="H38" t="n">
        <v>2284.1</v>
      </c>
      <c r="J38" t="n">
        <v>24219.05</v>
      </c>
    </row>
    <row r="39">
      <c r="G39" s="34" t="inlineStr">
        <is>
          <t>2026-08-21</t>
        </is>
      </c>
      <c r="H39" t="n">
        <v>2302</v>
      </c>
      <c r="J39" t="n">
        <v>24252</v>
      </c>
    </row>
    <row r="40">
      <c r="G40" s="34" t="inlineStr">
        <is>
          <t>2026-08-20</t>
        </is>
      </c>
      <c r="H40" t="n">
        <v>2298</v>
      </c>
      <c r="J40" t="n">
        <v>24231.85</v>
      </c>
    </row>
    <row r="41">
      <c r="G41" s="34" t="inlineStr">
        <is>
          <t>2026-08-19</t>
        </is>
      </c>
      <c r="H41" t="n">
        <v>2289</v>
      </c>
      <c r="J41" t="n">
        <v>24078.3</v>
      </c>
    </row>
    <row r="42">
      <c r="G42" s="34" t="inlineStr">
        <is>
          <t>2026-08-18</t>
        </is>
      </c>
      <c r="H42" t="n">
        <v>2280</v>
      </c>
      <c r="J42" t="n">
        <v>24154.9</v>
      </c>
    </row>
    <row r="43">
      <c r="G43" s="34" t="inlineStr">
        <is>
          <t>2026-08-17</t>
        </is>
      </c>
      <c r="H43" t="n">
        <v>2313.2</v>
      </c>
      <c r="J43" t="n">
        <v>24287.65</v>
      </c>
    </row>
    <row r="44">
      <c r="G44" s="34" t="inlineStr">
        <is>
          <t>2026-08-14</t>
        </is>
      </c>
      <c r="H44" t="n">
        <v>2361</v>
      </c>
      <c r="J44" t="n">
        <v>24366</v>
      </c>
    </row>
    <row r="45">
      <c r="G45" s="34" t="inlineStr">
        <is>
          <t>2026-08-13</t>
        </is>
      </c>
      <c r="H45" t="n">
        <v>2375</v>
      </c>
      <c r="J45" t="n">
        <v>24395.85</v>
      </c>
    </row>
    <row r="46">
      <c r="G46" s="34" t="inlineStr">
        <is>
          <t>2026-08-12</t>
        </is>
      </c>
      <c r="H46" t="n">
        <v>2349.7</v>
      </c>
      <c r="J46" t="n">
        <v>24435.95</v>
      </c>
    </row>
    <row r="47">
      <c r="G47" s="34" t="inlineStr">
        <is>
          <t>2026-08-11</t>
        </is>
      </c>
      <c r="H47" t="n">
        <v>2445.7</v>
      </c>
      <c r="J47" t="n">
        <v>24471.7</v>
      </c>
    </row>
    <row r="48">
      <c r="G48" s="34" t="inlineStr">
        <is>
          <t>2026-08-10</t>
        </is>
      </c>
      <c r="H48" t="n">
        <v>2425.7</v>
      </c>
      <c r="J48" t="n">
        <v>24583.8</v>
      </c>
    </row>
    <row r="49">
      <c r="G49" s="34" t="inlineStr">
        <is>
          <t>2026-08-07</t>
        </is>
      </c>
      <c r="H49" t="n">
        <v>2452.7</v>
      </c>
      <c r="J49" t="n">
        <v>24570.65</v>
      </c>
    </row>
    <row r="50">
      <c r="G50" s="34" t="inlineStr">
        <is>
          <t>2026-08-06</t>
        </is>
      </c>
      <c r="H50" t="n">
        <v>2373</v>
      </c>
      <c r="J50" t="n">
        <v>24636</v>
      </c>
    </row>
    <row r="51">
      <c r="G51" s="34" t="inlineStr">
        <is>
          <t>2026-08-05</t>
        </is>
      </c>
      <c r="H51" t="n">
        <v>2413</v>
      </c>
      <c r="J51" t="n">
        <v>24624.65</v>
      </c>
    </row>
    <row r="52">
      <c r="G52" s="34" t="inlineStr">
        <is>
          <t>2026-08-04</t>
        </is>
      </c>
      <c r="H52" t="n">
        <v>2460</v>
      </c>
      <c r="J52" t="n">
        <v>24614.9</v>
      </c>
    </row>
    <row r="53">
      <c r="G53" s="34" t="inlineStr">
        <is>
          <t>2026-08-03</t>
        </is>
      </c>
      <c r="H53" t="n">
        <v>2473.7</v>
      </c>
      <c r="J53" t="n">
        <v>24774.3</v>
      </c>
    </row>
    <row r="54">
      <c r="G54" s="34" t="inlineStr">
        <is>
          <t>2026-07-31</t>
        </is>
      </c>
      <c r="H54" t="n">
        <v>2365.6</v>
      </c>
      <c r="J54" t="n">
        <v>24383.6</v>
      </c>
    </row>
    <row r="55">
      <c r="G55" s="34" t="inlineStr">
        <is>
          <t>2026-07-30</t>
        </is>
      </c>
      <c r="H55" t="n">
        <v>2431.8</v>
      </c>
      <c r="J55" t="n">
        <v>24317.15</v>
      </c>
    </row>
    <row r="56">
      <c r="G56" s="34" t="inlineStr">
        <is>
          <t>2026-07-29</t>
        </is>
      </c>
      <c r="H56" t="n">
        <v>2446.6</v>
      </c>
      <c r="J56" t="n">
        <v>24250.2</v>
      </c>
    </row>
    <row r="57">
      <c r="G57" s="34" t="inlineStr">
        <is>
          <t>2026-07-28</t>
        </is>
      </c>
      <c r="H57" t="n">
        <v>2398</v>
      </c>
      <c r="J57" t="n">
        <v>23985.35</v>
      </c>
    </row>
    <row r="58">
      <c r="G58" s="34" t="inlineStr">
        <is>
          <t>2026-07-27</t>
        </is>
      </c>
      <c r="H58" t="n">
        <v>2295.6</v>
      </c>
      <c r="J58" t="n">
        <v>23995.95</v>
      </c>
    </row>
    <row r="59">
      <c r="G59" s="34" t="inlineStr">
        <is>
          <t>2026-07-24</t>
        </is>
      </c>
      <c r="H59" t="n">
        <v>2254.3</v>
      </c>
      <c r="J59" t="n">
        <v>23767.45</v>
      </c>
    </row>
    <row r="60">
      <c r="G60" s="34" t="inlineStr">
        <is>
          <t>2026-07-23</t>
        </is>
      </c>
      <c r="H60" t="n">
        <v>2242.9</v>
      </c>
      <c r="J60" t="n">
        <v>23869.6</v>
      </c>
    </row>
    <row r="61">
      <c r="G61" s="34" t="inlineStr">
        <is>
          <t>2026-07-22</t>
        </is>
      </c>
      <c r="H61" t="n">
        <v>2208.3</v>
      </c>
      <c r="J61" t="n">
        <v>23996.25</v>
      </c>
    </row>
    <row r="62">
      <c r="G62" s="34" t="inlineStr">
        <is>
          <t>2026-07-21</t>
        </is>
      </c>
      <c r="H62" t="n">
        <v>2221.1</v>
      </c>
      <c r="J62" t="n">
        <v>24187.7</v>
      </c>
    </row>
    <row r="63">
      <c r="G63" s="34" t="inlineStr">
        <is>
          <t>2026-07-20</t>
        </is>
      </c>
      <c r="H63" t="n">
        <v>2251.1</v>
      </c>
      <c r="J63" t="n">
        <v>24238.5</v>
      </c>
    </row>
    <row r="64">
      <c r="G64" s="34" t="inlineStr">
        <is>
          <t>2026-07-17</t>
        </is>
      </c>
      <c r="H64" t="n">
        <v>2269</v>
      </c>
      <c r="J64" t="n">
        <v>24334.3</v>
      </c>
    </row>
    <row r="65">
      <c r="G65" s="34" t="inlineStr">
        <is>
          <t>2026-07-16</t>
        </is>
      </c>
      <c r="H65" t="n">
        <v>2201</v>
      </c>
      <c r="J65" t="n">
        <v>24072.75</v>
      </c>
    </row>
    <row r="66">
      <c r="G66" s="34" t="inlineStr">
        <is>
          <t>2026-07-15</t>
        </is>
      </c>
      <c r="H66" t="n">
        <v>2189.2</v>
      </c>
      <c r="J66" t="n">
        <v>24078.5</v>
      </c>
    </row>
    <row r="67">
      <c r="G67" s="34" t="inlineStr">
        <is>
          <t>2026-07-14</t>
        </is>
      </c>
      <c r="H67" t="n">
        <v>2200.6</v>
      </c>
      <c r="J67" t="n">
        <v>24052.05</v>
      </c>
    </row>
    <row r="68">
      <c r="G68" s="34" t="inlineStr">
        <is>
          <t>2026-07-13</t>
        </is>
      </c>
      <c r="H68" t="n">
        <v>2181.5</v>
      </c>
      <c r="J68" t="n">
        <v>24211</v>
      </c>
    </row>
    <row r="69">
      <c r="G69" s="34" t="inlineStr">
        <is>
          <t>2026-07-10</t>
        </is>
      </c>
      <c r="H69" t="n">
        <v>2069</v>
      </c>
      <c r="J69" t="n">
        <v>24206.9</v>
      </c>
    </row>
    <row r="70">
      <c r="G70" s="34" t="inlineStr">
        <is>
          <t>2026-07-09</t>
        </is>
      </c>
      <c r="H70" t="n">
        <v>2049.5</v>
      </c>
      <c r="J70" t="n">
        <v>23962.8</v>
      </c>
    </row>
    <row r="71">
      <c r="G71" s="34" t="inlineStr">
        <is>
          <t>2026-07-08</t>
        </is>
      </c>
      <c r="H71" t="n">
        <v>2057.5</v>
      </c>
      <c r="J71" t="n">
        <v>23882.05</v>
      </c>
    </row>
    <row r="72">
      <c r="G72" s="34" t="inlineStr">
        <is>
          <t>2026-07-07</t>
        </is>
      </c>
      <c r="H72" t="n">
        <v>2096.1</v>
      </c>
      <c r="J72" t="n">
        <v>24398.7</v>
      </c>
    </row>
    <row r="73">
      <c r="G73" s="34" t="inlineStr">
        <is>
          <t>2026-07-06</t>
        </is>
      </c>
      <c r="H73" t="n">
        <v>2057.6</v>
      </c>
      <c r="J73" t="n">
        <v>24430.35</v>
      </c>
    </row>
    <row r="74">
      <c r="G74" s="34" t="inlineStr">
        <is>
          <t>2026-07-03</t>
        </is>
      </c>
      <c r="H74" t="n">
        <v>2093.5</v>
      </c>
      <c r="J74" t="n">
        <v>24270.85</v>
      </c>
    </row>
    <row r="75">
      <c r="G75" s="34" t="inlineStr">
        <is>
          <t>2026-07-02</t>
        </is>
      </c>
      <c r="H75" t="n">
        <v>2068.1</v>
      </c>
      <c r="J75" t="n">
        <v>24175.7</v>
      </c>
    </row>
    <row r="76">
      <c r="G76" s="34" t="inlineStr">
        <is>
          <t>2026-07-01</t>
        </is>
      </c>
      <c r="H76" t="n">
        <v>1982.6</v>
      </c>
      <c r="J76" t="n">
        <v>24005.85</v>
      </c>
    </row>
    <row r="77">
      <c r="G77" s="34" t="inlineStr">
        <is>
          <t>2026-06-30</t>
        </is>
      </c>
      <c r="H77" t="n">
        <v>2031.5</v>
      </c>
      <c r="J77" t="n">
        <v>23865.75</v>
      </c>
    </row>
    <row r="78">
      <c r="G78" s="34" t="inlineStr">
        <is>
          <t>2026-06-29</t>
        </is>
      </c>
      <c r="H78" t="n">
        <v>2097.9</v>
      </c>
      <c r="J78" t="n">
        <v>23946.25</v>
      </c>
    </row>
    <row r="79">
      <c r="G79" s="34" t="inlineStr">
        <is>
          <t>2026-06-25</t>
        </is>
      </c>
      <c r="H79" t="n">
        <v>2094.7</v>
      </c>
      <c r="J79" t="n">
        <v>24056</v>
      </c>
    </row>
    <row r="80">
      <c r="G80" s="34" t="inlineStr">
        <is>
          <t>2026-06-24</t>
        </is>
      </c>
      <c r="H80" t="n">
        <v>2109</v>
      </c>
      <c r="J80" t="n">
        <v>24021.65</v>
      </c>
    </row>
    <row r="81">
      <c r="G81" s="34" t="inlineStr">
        <is>
          <t>2026-06-23</t>
        </is>
      </c>
      <c r="H81" t="n">
        <v>2059.6</v>
      </c>
      <c r="J81" t="n">
        <v>23824.1</v>
      </c>
    </row>
    <row r="82">
      <c r="G82" s="34" t="inlineStr">
        <is>
          <t>2026-06-22</t>
        </is>
      </c>
      <c r="H82" t="n">
        <v>2127.8</v>
      </c>
      <c r="J82" t="n">
        <v>24102.9</v>
      </c>
    </row>
    <row r="83">
      <c r="G83" s="34" t="inlineStr">
        <is>
          <t>2026-06-19</t>
        </is>
      </c>
      <c r="H83" t="n">
        <v>2125</v>
      </c>
      <c r="J83" t="n">
        <v>24013.1</v>
      </c>
    </row>
    <row r="84">
      <c r="G84" s="34" t="inlineStr">
        <is>
          <t>2026-06-18</t>
        </is>
      </c>
      <c r="H84" t="n">
        <v>2203.3</v>
      </c>
      <c r="J84" t="n">
        <v>24168</v>
      </c>
    </row>
    <row r="85">
      <c r="G85" s="34" t="inlineStr">
        <is>
          <t>2026-06-17</t>
        </is>
      </c>
      <c r="H85" t="n">
        <v>2223</v>
      </c>
      <c r="J85" t="n">
        <v>24085.7</v>
      </c>
    </row>
    <row r="86">
      <c r="G86" s="34" t="inlineStr">
        <is>
          <t>2026-06-16</t>
        </is>
      </c>
      <c r="H86" t="n">
        <v>2199</v>
      </c>
      <c r="J86" t="n">
        <v>23989.15</v>
      </c>
    </row>
    <row r="87">
      <c r="G87" s="34" t="inlineStr">
        <is>
          <t>2026-06-15</t>
        </is>
      </c>
      <c r="H87" t="n">
        <v>2162</v>
      </c>
      <c r="J87" t="n">
        <v>23853.9</v>
      </c>
    </row>
    <row r="88">
      <c r="G88" s="34" t="inlineStr">
        <is>
          <t>2026-06-12</t>
        </is>
      </c>
      <c r="H88" t="n">
        <v>2161.4</v>
      </c>
      <c r="J88" t="n">
        <v>23622.9</v>
      </c>
    </row>
    <row r="89">
      <c r="G89" s="34" t="inlineStr">
        <is>
          <t>2026-06-11</t>
        </is>
      </c>
      <c r="H89" t="n">
        <v>2135.6</v>
      </c>
      <c r="J89" t="n">
        <v>23161.6</v>
      </c>
    </row>
    <row r="90">
      <c r="G90" s="34" t="inlineStr">
        <is>
          <t>2026-06-10</t>
        </is>
      </c>
      <c r="H90" t="n">
        <v>2153.9</v>
      </c>
      <c r="J90" t="n">
        <v>23214.95</v>
      </c>
    </row>
    <row r="91">
      <c r="G91" s="34" t="inlineStr">
        <is>
          <t>2026-06-09</t>
        </is>
      </c>
      <c r="H91" t="n">
        <v>2151</v>
      </c>
      <c r="J91" t="n">
        <v>23242.1</v>
      </c>
    </row>
    <row r="92">
      <c r="G92" s="34" t="inlineStr">
        <is>
          <t>2026-06-08</t>
        </is>
      </c>
      <c r="H92" t="n">
        <v>2151.4</v>
      </c>
      <c r="J92" t="n">
        <v>23123</v>
      </c>
    </row>
    <row r="93">
      <c r="G93" s="34" t="inlineStr">
        <is>
          <t>2026-06-05</t>
        </is>
      </c>
      <c r="H93" t="n">
        <v>2198.9</v>
      </c>
      <c r="J93" t="n">
        <v>23366.7</v>
      </c>
    </row>
    <row r="94">
      <c r="G94" s="34" t="inlineStr">
        <is>
          <t>2026-06-04</t>
        </is>
      </c>
      <c r="H94" t="n">
        <v>2241</v>
      </c>
      <c r="J94" t="n">
        <v>23416.55</v>
      </c>
    </row>
    <row r="95">
      <c r="G95" s="34" t="inlineStr">
        <is>
          <t>2026-06-03</t>
        </is>
      </c>
      <c r="H95" t="n">
        <v>2241.7</v>
      </c>
      <c r="J95" t="n">
        <v>23405.6</v>
      </c>
    </row>
    <row r="96">
      <c r="G96" s="34" t="inlineStr">
        <is>
          <t>2026-06-02</t>
        </is>
      </c>
      <c r="H96" t="n">
        <v>2446.9</v>
      </c>
      <c r="J96" t="n">
        <v>23483.55</v>
      </c>
    </row>
    <row r="97">
      <c r="G97" s="34" t="inlineStr">
        <is>
          <t>2026-06-01</t>
        </is>
      </c>
      <c r="H97" t="n">
        <v>2297.4</v>
      </c>
      <c r="J97" t="n">
        <v>23382.6</v>
      </c>
    </row>
    <row r="98">
      <c r="G98" s="34" t="inlineStr">
        <is>
          <t>2026-05-29</t>
        </is>
      </c>
      <c r="H98" t="n">
        <v>2258.9</v>
      </c>
      <c r="J98" t="n">
        <v>23547.75</v>
      </c>
    </row>
    <row r="99">
      <c r="G99" s="34" t="inlineStr">
        <is>
          <t>2026-05-27</t>
        </is>
      </c>
      <c r="H99" t="n">
        <v>2284.2</v>
      </c>
      <c r="J99" t="n">
        <v>23907.15</v>
      </c>
    </row>
    <row r="100">
      <c r="G100" s="34" t="inlineStr">
        <is>
          <t>2026-05-26</t>
        </is>
      </c>
      <c r="H100" t="n">
        <v>2276.2</v>
      </c>
      <c r="J100" t="n">
        <v>23913.7</v>
      </c>
    </row>
    <row r="101">
      <c r="G101" s="34" t="inlineStr">
        <is>
          <t>2026-05-25</t>
        </is>
      </c>
      <c r="H101" t="n">
        <v>2308.2</v>
      </c>
      <c r="J101" t="n">
        <v>24031.7</v>
      </c>
    </row>
    <row r="102">
      <c r="G102" s="34" t="inlineStr">
        <is>
          <t>2026-05-22</t>
        </is>
      </c>
      <c r="H102" t="n">
        <v>2317.3</v>
      </c>
      <c r="J102" t="n">
        <v>23719.3</v>
      </c>
    </row>
    <row r="103">
      <c r="G103" s="34" t="inlineStr">
        <is>
          <t>2026-05-21</t>
        </is>
      </c>
      <c r="H103" t="n">
        <v>2327.2</v>
      </c>
      <c r="J103" t="n">
        <v>23654.7</v>
      </c>
    </row>
    <row r="104">
      <c r="G104" s="34" t="inlineStr">
        <is>
          <t>2026-05-20</t>
        </is>
      </c>
      <c r="H104" t="n">
        <v>2327.4</v>
      </c>
      <c r="J104" t="n">
        <v>23659</v>
      </c>
    </row>
    <row r="105">
      <c r="G105" s="34" t="inlineStr">
        <is>
          <t>2026-05-19</t>
        </is>
      </c>
      <c r="H105" t="n">
        <v>2327.1</v>
      </c>
      <c r="J105" t="n">
        <v>23618</v>
      </c>
    </row>
    <row r="106">
      <c r="G106" s="34" t="inlineStr">
        <is>
          <t>2026-05-18</t>
        </is>
      </c>
      <c r="H106" t="n">
        <v>2283.2</v>
      </c>
      <c r="J106" t="n">
        <v>23649.95</v>
      </c>
    </row>
    <row r="107">
      <c r="G107" s="34" t="inlineStr">
        <is>
          <t>2026-05-15</t>
        </is>
      </c>
      <c r="H107" t="n">
        <v>2264</v>
      </c>
      <c r="J107" t="n">
        <v>23643.5</v>
      </c>
    </row>
    <row r="108">
      <c r="G108" s="34" t="inlineStr">
        <is>
          <t>2026-05-14</t>
        </is>
      </c>
      <c r="H108" t="n">
        <v>2246</v>
      </c>
      <c r="J108" t="n">
        <v>23689.6</v>
      </c>
    </row>
    <row r="109">
      <c r="G109" s="34" t="inlineStr">
        <is>
          <t>2026-05-13</t>
        </is>
      </c>
      <c r="H109" t="n">
        <v>2272.8</v>
      </c>
      <c r="J109" t="n">
        <v>23412.6</v>
      </c>
    </row>
    <row r="110">
      <c r="G110" s="34" t="inlineStr">
        <is>
          <t>2026-05-12</t>
        </is>
      </c>
      <c r="H110" t="n">
        <v>2300.3</v>
      </c>
      <c r="J110" t="n">
        <v>23379.55</v>
      </c>
    </row>
    <row r="111">
      <c r="G111" s="34" t="inlineStr">
        <is>
          <t>2026-05-11</t>
        </is>
      </c>
      <c r="H111" t="n">
        <v>2392.9</v>
      </c>
      <c r="J111" t="n">
        <v>23815.85</v>
      </c>
    </row>
    <row r="112">
      <c r="G112" s="34" t="inlineStr">
        <is>
          <t>2026-05-08</t>
        </is>
      </c>
      <c r="H112" t="n">
        <v>2394.4</v>
      </c>
      <c r="J112" t="n">
        <v>24176.15</v>
      </c>
    </row>
    <row r="113">
      <c r="G113" s="34" t="inlineStr">
        <is>
          <t>2026-05-07</t>
        </is>
      </c>
      <c r="H113" t="n">
        <v>2401.4</v>
      </c>
      <c r="J113" t="n">
        <v>24326.65</v>
      </c>
    </row>
    <row r="114">
      <c r="G114" s="34" t="inlineStr">
        <is>
          <t>2026-05-06</t>
        </is>
      </c>
      <c r="H114" t="n">
        <v>2435.4</v>
      </c>
      <c r="J114" t="n">
        <v>24330.95</v>
      </c>
    </row>
    <row r="115">
      <c r="G115" s="34" t="inlineStr">
        <is>
          <t>2026-05-05</t>
        </is>
      </c>
      <c r="H115" t="n">
        <v>2427.3</v>
      </c>
      <c r="J115" t="n">
        <v>24032.8</v>
      </c>
    </row>
    <row r="116">
      <c r="G116" s="34" t="inlineStr">
        <is>
          <t>2026-05-04</t>
        </is>
      </c>
      <c r="H116" t="n">
        <v>2431.3</v>
      </c>
      <c r="J116" t="n">
        <v>24119.3</v>
      </c>
    </row>
    <row r="117">
      <c r="G117" s="34" t="inlineStr">
        <is>
          <t>2026-04-30</t>
        </is>
      </c>
      <c r="H117" t="n">
        <v>2473.9</v>
      </c>
      <c r="J117" t="n">
        <v>23997.55</v>
      </c>
    </row>
    <row r="118">
      <c r="G118" s="34" t="inlineStr">
        <is>
          <t>2026-04-29</t>
        </is>
      </c>
      <c r="H118" t="n">
        <v>2474.7</v>
      </c>
      <c r="J118" t="n">
        <v>24177.65</v>
      </c>
    </row>
    <row r="119">
      <c r="G119" s="34" t="inlineStr">
        <is>
          <t>2026-04-28</t>
        </is>
      </c>
      <c r="H119" t="n">
        <v>2444.7</v>
      </c>
      <c r="J119" t="n">
        <v>23995.7</v>
      </c>
    </row>
    <row r="120">
      <c r="G120" s="34" t="inlineStr">
        <is>
          <t>2026-04-27</t>
        </is>
      </c>
      <c r="H120" t="n">
        <v>2447.6</v>
      </c>
      <c r="J120" t="n">
        <v>24092.7</v>
      </c>
    </row>
    <row r="121">
      <c r="G121" s="34" t="inlineStr">
        <is>
          <t>2026-04-24</t>
        </is>
      </c>
      <c r="H121" t="n">
        <v>2396.9</v>
      </c>
      <c r="J121" t="n">
        <v>23897.95</v>
      </c>
    </row>
    <row r="122">
      <c r="G122" s="34" t="inlineStr">
        <is>
          <t>2026-04-23</t>
        </is>
      </c>
      <c r="H122" t="n">
        <v>2521.8</v>
      </c>
      <c r="J122" t="n">
        <v>24173.05</v>
      </c>
    </row>
    <row r="123">
      <c r="G123" s="34" t="inlineStr">
        <is>
          <t>2026-04-22</t>
        </is>
      </c>
      <c r="H123" t="n">
        <v>2538.5</v>
      </c>
      <c r="J123" t="n">
        <v>24378.1</v>
      </c>
    </row>
    <row r="124">
      <c r="G124" s="34" t="inlineStr">
        <is>
          <t>2026-04-21</t>
        </is>
      </c>
      <c r="H124" t="n">
        <v>2610.5</v>
      </c>
      <c r="J124" t="n">
        <v>24576.6</v>
      </c>
    </row>
    <row r="125">
      <c r="G125" s="34" t="inlineStr">
        <is>
          <t>2026-04-20</t>
        </is>
      </c>
      <c r="H125" t="n">
        <v>2579.6</v>
      </c>
      <c r="J125" t="n">
        <v>24364.85</v>
      </c>
    </row>
    <row r="126">
      <c r="G126" s="34" t="inlineStr">
        <is>
          <t>2026-04-17</t>
        </is>
      </c>
      <c r="H126" t="n">
        <v>2581.5</v>
      </c>
      <c r="J126" t="n">
        <v>24353.55</v>
      </c>
    </row>
    <row r="127">
      <c r="G127" s="34" t="inlineStr">
        <is>
          <t>2026-04-16</t>
        </is>
      </c>
      <c r="H127" t="n">
        <v>2576.9</v>
      </c>
      <c r="J127" t="n">
        <v>24196.75</v>
      </c>
    </row>
    <row r="128">
      <c r="G128" s="34" t="inlineStr">
        <is>
          <t>2026-04-15</t>
        </is>
      </c>
      <c r="H128" t="n">
        <v>2554.9</v>
      </c>
      <c r="J128" t="n">
        <v>24231.3</v>
      </c>
    </row>
    <row r="129">
      <c r="G129" s="34" t="inlineStr">
        <is>
          <t>2026-04-13</t>
        </is>
      </c>
      <c r="H129" t="n">
        <v>2472.6</v>
      </c>
      <c r="J129" t="n">
        <v>23842.65</v>
      </c>
    </row>
    <row r="130">
      <c r="G130" s="34" t="inlineStr">
        <is>
          <t>2026-04-10</t>
        </is>
      </c>
      <c r="H130" t="n">
        <v>2524.3</v>
      </c>
      <c r="J130" t="n">
        <v>24050.6</v>
      </c>
    </row>
    <row r="131">
      <c r="G131" s="34" t="inlineStr">
        <is>
          <t>2026-04-09</t>
        </is>
      </c>
      <c r="H131" t="n">
        <v>2589</v>
      </c>
      <c r="J131" t="n">
        <v>23775.1</v>
      </c>
    </row>
    <row r="132">
      <c r="G132" s="34" t="inlineStr">
        <is>
          <t>2026-04-08</t>
        </is>
      </c>
      <c r="H132" t="n">
        <v>2559.2</v>
      </c>
      <c r="J132" t="n">
        <v>23997.35</v>
      </c>
    </row>
    <row r="133">
      <c r="G133" s="34" t="inlineStr">
        <is>
          <t>2026-04-07</t>
        </is>
      </c>
      <c r="H133" t="n">
        <v>2539.8</v>
      </c>
      <c r="J133" t="n">
        <v>23123.65</v>
      </c>
    </row>
    <row r="134">
      <c r="G134" s="34" t="inlineStr">
        <is>
          <t>2026-04-06</t>
        </is>
      </c>
      <c r="H134" t="n">
        <v>2473.9</v>
      </c>
      <c r="J134" t="n">
        <v>22968.25</v>
      </c>
    </row>
    <row r="135">
      <c r="G135" s="34" t="inlineStr">
        <is>
          <t>2026-04-02</t>
        </is>
      </c>
      <c r="H135" t="n">
        <v>2450.7</v>
      </c>
      <c r="J135" t="n">
        <v>22713.1</v>
      </c>
    </row>
    <row r="136">
      <c r="G136" s="34" t="inlineStr">
        <is>
          <t>2026-04-01</t>
        </is>
      </c>
      <c r="H136" t="n">
        <v>2408.2</v>
      </c>
      <c r="J136" t="n">
        <v>22679.4</v>
      </c>
    </row>
    <row r="137">
      <c r="G137" s="34" t="inlineStr">
        <is>
          <t>2026-03-30</t>
        </is>
      </c>
      <c r="H137" t="n">
        <v>2358.9</v>
      </c>
      <c r="J137" t="n">
        <v>22331.4</v>
      </c>
    </row>
    <row r="138">
      <c r="G138" s="34" t="inlineStr">
        <is>
          <t>2026-03-27</t>
        </is>
      </c>
      <c r="H138" t="n">
        <v>2389.8</v>
      </c>
      <c r="J138" t="n">
        <v>22819.6</v>
      </c>
    </row>
    <row r="139">
      <c r="G139" s="34" t="inlineStr">
        <is>
          <t>2026-03-25</t>
        </is>
      </c>
      <c r="H139" t="n">
        <v>2377.4</v>
      </c>
      <c r="J139" t="n">
        <v>23306.45</v>
      </c>
    </row>
    <row r="140">
      <c r="G140" s="34" t="inlineStr">
        <is>
          <t>2026-03-24</t>
        </is>
      </c>
      <c r="H140" t="n">
        <v>2398.8</v>
      </c>
      <c r="J140" t="n">
        <v>22912.4</v>
      </c>
    </row>
    <row r="141">
      <c r="G141" s="34" t="inlineStr">
        <is>
          <t>2026-03-23</t>
        </is>
      </c>
      <c r="H141" t="n">
        <v>2383.8</v>
      </c>
      <c r="J141" t="n">
        <v>22512.65</v>
      </c>
    </row>
    <row r="142">
      <c r="G142" s="34" t="inlineStr">
        <is>
          <t>2026-03-20</t>
        </is>
      </c>
      <c r="H142" t="n">
        <v>2390.6</v>
      </c>
      <c r="J142" t="n">
        <v>23114.5</v>
      </c>
    </row>
    <row r="143">
      <c r="G143" s="34" t="inlineStr">
        <is>
          <t>2026-03-19</t>
        </is>
      </c>
      <c r="H143" t="n">
        <v>2356</v>
      </c>
      <c r="J143" t="n">
        <v>23002.15</v>
      </c>
    </row>
    <row r="144">
      <c r="G144" s="34" t="inlineStr">
        <is>
          <t>2026-03-18</t>
        </is>
      </c>
      <c r="H144" t="n">
        <v>2440.8</v>
      </c>
      <c r="J144" t="n">
        <v>23777.8</v>
      </c>
    </row>
    <row r="145">
      <c r="G145" s="34" t="inlineStr">
        <is>
          <t>2026-03-17</t>
        </is>
      </c>
      <c r="H145" t="n">
        <v>2391.7</v>
      </c>
      <c r="J145" t="n">
        <v>23581.15</v>
      </c>
    </row>
    <row r="146">
      <c r="G146" s="34" t="inlineStr">
        <is>
          <t>2026-03-16</t>
        </is>
      </c>
      <c r="H146" t="n">
        <v>2409.2</v>
      </c>
      <c r="J146" t="n">
        <v>23408.8</v>
      </c>
    </row>
    <row r="147">
      <c r="G147" s="34" t="inlineStr">
        <is>
          <t>2026-03-13</t>
        </is>
      </c>
      <c r="H147" t="n">
        <v>2410.5</v>
      </c>
      <c r="J147" t="n">
        <v>23151.1</v>
      </c>
    </row>
    <row r="148">
      <c r="G148" s="34" t="inlineStr">
        <is>
          <t>2026-03-12</t>
        </is>
      </c>
      <c r="H148" t="n">
        <v>2442.4</v>
      </c>
      <c r="J148" t="n">
        <v>23639.15</v>
      </c>
    </row>
    <row r="149">
      <c r="G149" s="34" t="inlineStr">
        <is>
          <t>2026-03-11</t>
        </is>
      </c>
      <c r="H149" t="n">
        <v>2464.9</v>
      </c>
      <c r="J149" t="n">
        <v>23866.85</v>
      </c>
    </row>
    <row r="150">
      <c r="G150" s="34" t="inlineStr">
        <is>
          <t>2026-03-10</t>
        </is>
      </c>
      <c r="H150" t="n">
        <v>2513.1</v>
      </c>
      <c r="J150" t="n">
        <v>24261.6</v>
      </c>
    </row>
    <row r="151">
      <c r="G151" s="34" t="inlineStr">
        <is>
          <t>2026-03-09</t>
        </is>
      </c>
      <c r="H151" t="n">
        <v>2527.4</v>
      </c>
      <c r="J151" t="n">
        <v>24028.05</v>
      </c>
    </row>
    <row r="152">
      <c r="G152" s="34" t="inlineStr">
        <is>
          <t>2026-03-06</t>
        </is>
      </c>
      <c r="H152" t="n">
        <v>2557.6</v>
      </c>
      <c r="J152" t="n">
        <v>24450.45</v>
      </c>
    </row>
    <row r="153">
      <c r="G153" s="34" t="inlineStr">
        <is>
          <t>2026-03-05</t>
        </is>
      </c>
      <c r="H153" t="n">
        <v>2578.8</v>
      </c>
      <c r="J153" t="n">
        <v>24765.9</v>
      </c>
    </row>
    <row r="154">
      <c r="G154" s="34" t="inlineStr">
        <is>
          <t>2026-03-04</t>
        </is>
      </c>
      <c r="H154" t="n">
        <v>2587.8</v>
      </c>
      <c r="J154" t="n">
        <v>24480.5</v>
      </c>
    </row>
    <row r="155">
      <c r="G155" s="34" t="inlineStr">
        <is>
          <t>2026-03-02</t>
        </is>
      </c>
      <c r="H155" t="n">
        <v>2613.5</v>
      </c>
      <c r="J155" t="n">
        <v>24865.7</v>
      </c>
    </row>
    <row r="156">
      <c r="G156" s="34" t="inlineStr">
        <is>
          <t>2026-02-27</t>
        </is>
      </c>
      <c r="H156" t="n">
        <v>2637.4</v>
      </c>
      <c r="J156" t="n">
        <v>25178.65</v>
      </c>
    </row>
    <row r="157">
      <c r="G157" s="34" t="inlineStr">
        <is>
          <t>2026-02-26</t>
        </is>
      </c>
      <c r="H157" t="n">
        <v>2647.7</v>
      </c>
      <c r="J157" t="n">
        <v>25496.55</v>
      </c>
    </row>
    <row r="158">
      <c r="G158" s="34" t="inlineStr">
        <is>
          <t>2026-02-25</t>
        </is>
      </c>
      <c r="H158" t="n">
        <v>2629.3</v>
      </c>
      <c r="J158" t="n">
        <v>25482.5</v>
      </c>
    </row>
    <row r="159">
      <c r="G159" s="34" t="inlineStr">
        <is>
          <t>2026-02-24</t>
        </is>
      </c>
      <c r="H159" t="n">
        <v>2573.7</v>
      </c>
      <c r="J159" t="n">
        <v>25424.65</v>
      </c>
    </row>
    <row r="160">
      <c r="G160" s="34" t="inlineStr">
        <is>
          <t>2026-02-23</t>
        </is>
      </c>
      <c r="H160" t="n">
        <v>2676.3</v>
      </c>
      <c r="J160" t="n">
        <v>25713</v>
      </c>
    </row>
    <row r="161">
      <c r="G161" s="34" t="inlineStr">
        <is>
          <t>2026-02-20</t>
        </is>
      </c>
      <c r="H161" t="n">
        <v>2686.2</v>
      </c>
      <c r="J161" t="n">
        <v>25571.25</v>
      </c>
    </row>
    <row r="162">
      <c r="G162" s="34" t="inlineStr">
        <is>
          <t>2026-02-19</t>
        </is>
      </c>
      <c r="H162" t="n">
        <v>2677.9</v>
      </c>
      <c r="J162" t="n">
        <v>25454.35</v>
      </c>
    </row>
    <row r="163">
      <c r="G163" s="34" t="inlineStr">
        <is>
          <t>2026-02-18</t>
        </is>
      </c>
      <c r="H163" t="n">
        <v>2694.9</v>
      </c>
      <c r="J163" t="n">
        <v>25819.35</v>
      </c>
    </row>
    <row r="164">
      <c r="G164" s="34" t="inlineStr">
        <is>
          <t>2026-02-17</t>
        </is>
      </c>
      <c r="H164" t="n">
        <v>2717.4</v>
      </c>
      <c r="J164" t="n">
        <v>25725.4</v>
      </c>
    </row>
    <row r="165">
      <c r="G165" s="34" t="inlineStr">
        <is>
          <t>2026-02-16</t>
        </is>
      </c>
      <c r="H165" t="n">
        <v>2706.6</v>
      </c>
      <c r="J165" t="n">
        <v>25682.75</v>
      </c>
    </row>
    <row r="166">
      <c r="G166" s="34" t="inlineStr">
        <is>
          <t>2026-02-13</t>
        </is>
      </c>
      <c r="H166" t="n">
        <v>2692.2</v>
      </c>
      <c r="J166" t="n">
        <v>25471.1</v>
      </c>
    </row>
    <row r="167">
      <c r="G167" s="34" t="inlineStr">
        <is>
          <t>2026-02-12</t>
        </is>
      </c>
      <c r="H167" t="n">
        <v>2750.1</v>
      </c>
      <c r="J167" t="n">
        <v>25807.2</v>
      </c>
    </row>
    <row r="168">
      <c r="G168" s="34" t="inlineStr">
        <is>
          <t>2026-02-11</t>
        </is>
      </c>
      <c r="H168" t="n">
        <v>2909.8</v>
      </c>
      <c r="J168" t="n">
        <v>25953.85</v>
      </c>
    </row>
    <row r="169">
      <c r="G169" s="34" t="inlineStr">
        <is>
          <t>2026-02-10</t>
        </is>
      </c>
      <c r="H169" t="n">
        <v>2984.6</v>
      </c>
      <c r="J169" t="n">
        <v>25935.15</v>
      </c>
    </row>
    <row r="170">
      <c r="G170" s="34" t="inlineStr">
        <is>
          <t>2026-02-09</t>
        </is>
      </c>
      <c r="H170" t="n">
        <v>2948.2</v>
      </c>
      <c r="J170" t="n">
        <v>25867.3</v>
      </c>
    </row>
    <row r="171">
      <c r="G171" s="34" t="inlineStr">
        <is>
          <t>2026-02-06</t>
        </is>
      </c>
      <c r="H171" t="n">
        <v>2941.6</v>
      </c>
      <c r="J171" t="n">
        <v>25693.7</v>
      </c>
    </row>
    <row r="172">
      <c r="G172" s="34" t="inlineStr">
        <is>
          <t>2026-02-05</t>
        </is>
      </c>
      <c r="H172" t="n">
        <v>2991.5</v>
      </c>
      <c r="J172" t="n">
        <v>25642.8</v>
      </c>
    </row>
    <row r="173">
      <c r="G173" s="34" t="inlineStr">
        <is>
          <t>2026-02-04</t>
        </is>
      </c>
      <c r="H173" t="n">
        <v>2999.1</v>
      </c>
      <c r="J173" t="n">
        <v>25776</v>
      </c>
    </row>
    <row r="174">
      <c r="G174" s="34" t="inlineStr">
        <is>
          <t>2026-02-03</t>
        </is>
      </c>
      <c r="H174" t="n">
        <v>3225.3</v>
      </c>
      <c r="J174" t="n">
        <v>25727.55</v>
      </c>
    </row>
    <row r="175">
      <c r="G175" s="34" t="inlineStr">
        <is>
          <t>2026-02-02</t>
        </is>
      </c>
      <c r="H175" t="n">
        <v>3169.6</v>
      </c>
      <c r="J175" t="n">
        <v>25088.4</v>
      </c>
    </row>
    <row r="176">
      <c r="G176" s="34" t="inlineStr">
        <is>
          <t>2026-02-01</t>
        </is>
      </c>
      <c r="H176" t="n">
        <v>3186.9</v>
      </c>
      <c r="J176" t="n">
        <v>25320.65</v>
      </c>
    </row>
    <row r="177">
      <c r="G177" s="34" t="inlineStr">
        <is>
          <t>2026-01-30</t>
        </is>
      </c>
      <c r="H177" t="n">
        <v>3123.9</v>
      </c>
      <c r="J177" t="n">
        <v>25320.65</v>
      </c>
    </row>
    <row r="178">
      <c r="G178" s="34" t="inlineStr">
        <is>
          <t>2026-01-29</t>
        </is>
      </c>
      <c r="H178" t="n">
        <v>3144.4</v>
      </c>
      <c r="J178" t="n">
        <v>25418.9</v>
      </c>
    </row>
    <row r="179">
      <c r="G179" s="34" t="inlineStr">
        <is>
          <t>2026-01-28</t>
        </is>
      </c>
      <c r="H179" t="n">
        <v>3200.1</v>
      </c>
      <c r="J179" t="n">
        <v>25342.75</v>
      </c>
    </row>
    <row r="180">
      <c r="G180" s="34" t="inlineStr">
        <is>
          <t>2026-01-27</t>
        </is>
      </c>
      <c r="H180" t="n">
        <v>3158</v>
      </c>
      <c r="J180" t="n">
        <v>25175.4</v>
      </c>
    </row>
    <row r="181">
      <c r="G181" s="34" t="inlineStr">
        <is>
          <t>2026-01-23</t>
        </is>
      </c>
      <c r="H181" t="n">
        <v>3162.5</v>
      </c>
      <c r="J181" t="n">
        <v>25048.65</v>
      </c>
    </row>
    <row r="182">
      <c r="G182" s="34" t="inlineStr">
        <is>
          <t>2026-01-22</t>
        </is>
      </c>
      <c r="H182" t="n">
        <v>3150.4</v>
      </c>
      <c r="J182" t="n">
        <v>25289.9</v>
      </c>
    </row>
    <row r="183">
      <c r="G183" s="34" t="inlineStr">
        <is>
          <t>2026-01-21</t>
        </is>
      </c>
      <c r="H183" t="n">
        <v>3122.6</v>
      </c>
      <c r="J183" t="n">
        <v>25157.5</v>
      </c>
    </row>
    <row r="184">
      <c r="G184" s="34" t="inlineStr">
        <is>
          <t>2026-01-20</t>
        </is>
      </c>
      <c r="H184" t="n">
        <v>3102.3</v>
      </c>
      <c r="J184" t="n">
        <v>25232.5</v>
      </c>
    </row>
    <row r="185">
      <c r="G185" s="34" t="inlineStr">
        <is>
          <t>2026-01-19</t>
        </is>
      </c>
      <c r="H185" t="n">
        <v>3163.6</v>
      </c>
      <c r="J185" t="n">
        <v>25585.5</v>
      </c>
    </row>
    <row r="186">
      <c r="G186" s="34" t="inlineStr">
        <is>
          <t>2026-01-16</t>
        </is>
      </c>
      <c r="H186" t="n">
        <v>3206.7</v>
      </c>
      <c r="J186" t="n">
        <v>25694.35</v>
      </c>
    </row>
    <row r="187">
      <c r="G187" s="34" t="inlineStr">
        <is>
          <t>2026-01-14</t>
        </is>
      </c>
      <c r="H187" t="n">
        <v>3192.5</v>
      </c>
      <c r="J187" t="n">
        <v>25665.6</v>
      </c>
    </row>
    <row r="188">
      <c r="G188" s="34" t="inlineStr">
        <is>
          <t>2026-01-13</t>
        </is>
      </c>
      <c r="H188" t="n">
        <v>3268</v>
      </c>
      <c r="J188" t="n">
        <v>25732.3</v>
      </c>
    </row>
    <row r="189">
      <c r="G189" s="34" t="inlineStr">
        <is>
          <t>2026-01-12</t>
        </is>
      </c>
      <c r="H189" t="n">
        <v>3239.6</v>
      </c>
      <c r="J189" t="n">
        <v>25790.25</v>
      </c>
    </row>
    <row r="190">
      <c r="G190" s="34" t="inlineStr">
        <is>
          <t>2026-01-09</t>
        </is>
      </c>
      <c r="H190" t="n">
        <v>3207.8</v>
      </c>
      <c r="J190" t="n">
        <v>25683.3</v>
      </c>
    </row>
    <row r="191">
      <c r="G191" s="34" t="inlineStr">
        <is>
          <t>2026-01-08</t>
        </is>
      </c>
      <c r="H191" t="n">
        <v>3203.9</v>
      </c>
      <c r="J191" t="n">
        <v>25876.85</v>
      </c>
    </row>
    <row r="192">
      <c r="G192" s="34" t="inlineStr">
        <is>
          <t>2026-01-07</t>
        </is>
      </c>
      <c r="H192" t="n">
        <v>3295.6</v>
      </c>
      <c r="J192" t="n">
        <v>26140.75</v>
      </c>
    </row>
    <row r="193">
      <c r="G193" s="34" t="inlineStr">
        <is>
          <t>2026-01-06</t>
        </is>
      </c>
      <c r="H193" t="n">
        <v>3255.8</v>
      </c>
      <c r="J193" t="n">
        <v>26178.7</v>
      </c>
    </row>
    <row r="194">
      <c r="G194" s="34" t="inlineStr">
        <is>
          <t>2026-01-05</t>
        </is>
      </c>
      <c r="H194" t="n">
        <v>3216.1</v>
      </c>
      <c r="J194" t="n">
        <v>26250.3</v>
      </c>
    </row>
    <row r="195">
      <c r="G195" s="34" t="inlineStr">
        <is>
          <t>2026-01-02</t>
        </is>
      </c>
      <c r="H195" t="n">
        <v>3250.7</v>
      </c>
      <c r="J195" t="n">
        <v>26328.55</v>
      </c>
    </row>
    <row r="196">
      <c r="G196" s="34" t="inlineStr">
        <is>
          <t>2026-01-01</t>
        </is>
      </c>
      <c r="H196" t="n">
        <v>3227.4</v>
      </c>
      <c r="J196" t="n">
        <v>26146.55</v>
      </c>
    </row>
    <row r="197">
      <c r="G197" s="34" t="inlineStr">
        <is>
          <t>2025-12-31</t>
        </is>
      </c>
      <c r="H197" t="n">
        <v>3206.2</v>
      </c>
      <c r="J197" t="n">
        <v>26129.6</v>
      </c>
    </row>
    <row r="198">
      <c r="G198" s="34" t="inlineStr">
        <is>
          <t>2025-12-30</t>
        </is>
      </c>
      <c r="H198" t="n">
        <v>3246.8</v>
      </c>
      <c r="J198" t="n">
        <v>25938.85</v>
      </c>
    </row>
    <row r="199">
      <c r="G199" s="34" t="inlineStr">
        <is>
          <t>2025-12-29</t>
        </is>
      </c>
      <c r="H199" t="n">
        <v>3251.5</v>
      </c>
      <c r="J199" t="n">
        <v>25942.1</v>
      </c>
    </row>
    <row r="200">
      <c r="G200" s="34" t="inlineStr">
        <is>
          <t>2025-12-26</t>
        </is>
      </c>
      <c r="H200" t="n">
        <v>3280</v>
      </c>
      <c r="J200" t="n">
        <v>26042.3</v>
      </c>
    </row>
    <row r="201">
      <c r="G201" s="34" t="inlineStr">
        <is>
          <t>2025-12-24</t>
        </is>
      </c>
      <c r="H201" t="n">
        <v>3319</v>
      </c>
      <c r="J201" t="n">
        <v>26142.1</v>
      </c>
    </row>
    <row r="202">
      <c r="G202" s="34" t="inlineStr">
        <is>
          <t>2025-12-23</t>
        </is>
      </c>
      <c r="H202" t="n">
        <v>3310</v>
      </c>
      <c r="J202" t="n">
        <v>26177.15</v>
      </c>
    </row>
    <row r="203">
      <c r="G203" s="34" t="inlineStr">
        <is>
          <t>2025-12-22</t>
        </is>
      </c>
      <c r="H203" t="n">
        <v>3324.9</v>
      </c>
      <c r="J203" t="n">
        <v>26172.4</v>
      </c>
    </row>
    <row r="204">
      <c r="G204" s="34" t="inlineStr">
        <is>
          <t>2025-12-19</t>
        </is>
      </c>
      <c r="H204" t="n">
        <v>3282</v>
      </c>
      <c r="J204" t="n">
        <v>25966.4</v>
      </c>
    </row>
    <row r="205">
      <c r="G205" s="34" t="inlineStr">
        <is>
          <t>2025-12-18</t>
        </is>
      </c>
      <c r="H205" t="n">
        <v>3280.8</v>
      </c>
      <c r="J205" t="n">
        <v>25815.55</v>
      </c>
    </row>
    <row r="206">
      <c r="G206" s="34" t="inlineStr">
        <is>
          <t>2025-12-17</t>
        </is>
      </c>
      <c r="H206" t="n">
        <v>3217.8</v>
      </c>
      <c r="J206" t="n">
        <v>25818.55</v>
      </c>
    </row>
    <row r="207">
      <c r="G207" s="34" t="inlineStr">
        <is>
          <t>2025-12-16</t>
        </is>
      </c>
      <c r="H207" t="n">
        <v>3205.1</v>
      </c>
      <c r="J207" t="n">
        <v>25860.1</v>
      </c>
    </row>
    <row r="208">
      <c r="G208" s="34" t="inlineStr">
        <is>
          <t>2025-12-15</t>
        </is>
      </c>
      <c r="H208" t="n">
        <v>3230.2</v>
      </c>
      <c r="J208" t="n">
        <v>26027.3</v>
      </c>
    </row>
    <row r="209">
      <c r="G209" s="34" t="inlineStr">
        <is>
          <t>2025-12-12</t>
        </is>
      </c>
      <c r="H209" t="n">
        <v>3220.5</v>
      </c>
      <c r="J209" t="n">
        <v>26046.95</v>
      </c>
    </row>
    <row r="210">
      <c r="G210" s="34" t="inlineStr">
        <is>
          <t>2025-12-11</t>
        </is>
      </c>
      <c r="H210" t="n">
        <v>3191.9</v>
      </c>
      <c r="J210" t="n">
        <v>25898.55</v>
      </c>
    </row>
    <row r="211">
      <c r="G211" s="34" t="inlineStr">
        <is>
          <t>2025-12-10</t>
        </is>
      </c>
      <c r="H211" t="n">
        <v>3189.2</v>
      </c>
      <c r="J211" t="n">
        <v>25758</v>
      </c>
    </row>
    <row r="212">
      <c r="G212" s="34" t="inlineStr">
        <is>
          <t>2025-12-09</t>
        </is>
      </c>
      <c r="H212" t="n">
        <v>3208.3</v>
      </c>
      <c r="J212" t="n">
        <v>25839.65</v>
      </c>
    </row>
    <row r="213">
      <c r="G213" s="34" t="inlineStr">
        <is>
          <t>2025-12-08</t>
        </is>
      </c>
      <c r="H213" t="n">
        <v>3236.5</v>
      </c>
      <c r="J213" t="n">
        <v>25960.55</v>
      </c>
    </row>
    <row r="214">
      <c r="G214" s="34" t="inlineStr">
        <is>
          <t>2025-12-05</t>
        </is>
      </c>
      <c r="H214" t="n">
        <v>3238.2</v>
      </c>
      <c r="J214" t="n">
        <v>26186.45</v>
      </c>
    </row>
    <row r="215">
      <c r="G215" s="34" t="inlineStr">
        <is>
          <t>2025-12-04</t>
        </is>
      </c>
      <c r="H215" t="n">
        <v>3229.2</v>
      </c>
      <c r="J215" t="n">
        <v>26033.75</v>
      </c>
    </row>
    <row r="216">
      <c r="G216" s="34" t="inlineStr">
        <is>
          <t>2025-12-03</t>
        </is>
      </c>
      <c r="H216" t="n">
        <v>3180</v>
      </c>
      <c r="J216" t="n">
        <v>25986</v>
      </c>
    </row>
    <row r="217">
      <c r="G217" s="34" t="inlineStr">
        <is>
          <t>2025-12-02</t>
        </is>
      </c>
      <c r="H217" t="n">
        <v>3135.7</v>
      </c>
      <c r="J217" t="n">
        <v>26032.2</v>
      </c>
    </row>
    <row r="218">
      <c r="G218" s="34" t="inlineStr">
        <is>
          <t>2025-12-01</t>
        </is>
      </c>
      <c r="H218" t="n">
        <v>3133.4</v>
      </c>
      <c r="J218" t="n">
        <v>26175.75</v>
      </c>
    </row>
    <row r="219">
      <c r="G219" s="34" t="inlineStr">
        <is>
          <t>2025-11-28</t>
        </is>
      </c>
      <c r="H219" t="n">
        <v>3137.5</v>
      </c>
      <c r="J219" t="n">
        <v>26202.95</v>
      </c>
    </row>
    <row r="220">
      <c r="G220" s="34" t="inlineStr">
        <is>
          <t>2025-11-27</t>
        </is>
      </c>
      <c r="H220" t="n">
        <v>3136.6</v>
      </c>
      <c r="J220" t="n">
        <v>26215.55</v>
      </c>
    </row>
    <row r="221">
      <c r="G221" s="34" t="inlineStr">
        <is>
          <t>2025-11-26</t>
        </is>
      </c>
      <c r="H221" t="n">
        <v>3162.9</v>
      </c>
      <c r="J221" t="n">
        <v>26205.3</v>
      </c>
    </row>
    <row r="222">
      <c r="G222" s="34" t="inlineStr">
        <is>
          <t>2025-11-25</t>
        </is>
      </c>
      <c r="H222" t="n">
        <v>3119.2</v>
      </c>
      <c r="J222" t="n">
        <v>25884.8</v>
      </c>
    </row>
    <row r="223">
      <c r="G223" s="34" t="inlineStr">
        <is>
          <t>2025-11-24</t>
        </is>
      </c>
      <c r="H223" t="n">
        <v>3141.2</v>
      </c>
      <c r="J223" t="n">
        <v>25959.5</v>
      </c>
    </row>
    <row r="224">
      <c r="G224" s="34" t="inlineStr">
        <is>
          <t>2025-11-21</t>
        </is>
      </c>
      <c r="H224" t="n">
        <v>3150.6</v>
      </c>
      <c r="J224" t="n">
        <v>26068.15</v>
      </c>
    </row>
    <row r="225">
      <c r="G225" s="34" t="inlineStr">
        <is>
          <t>2025-11-20</t>
        </is>
      </c>
      <c r="H225" t="n">
        <v>3144.8</v>
      </c>
      <c r="J225" t="n">
        <v>26192.15</v>
      </c>
    </row>
    <row r="226">
      <c r="G226" s="34" t="inlineStr">
        <is>
          <t>2025-11-19</t>
        </is>
      </c>
      <c r="H226" t="n">
        <v>3147.7</v>
      </c>
      <c r="J226" t="n">
        <v>26052.65</v>
      </c>
    </row>
    <row r="227">
      <c r="G227" s="34" t="inlineStr">
        <is>
          <t>2025-11-18</t>
        </is>
      </c>
      <c r="H227" t="n">
        <v>3087.1</v>
      </c>
      <c r="J227" t="n">
        <v>25910.05</v>
      </c>
    </row>
    <row r="228">
      <c r="G228" s="34" t="inlineStr">
        <is>
          <t>2025-11-17</t>
        </is>
      </c>
      <c r="H228" t="n">
        <v>3102.2</v>
      </c>
      <c r="J228" t="n">
        <v>26013.45</v>
      </c>
    </row>
    <row r="229">
      <c r="G229" s="34" t="inlineStr">
        <is>
          <t>2025-11-14</t>
        </is>
      </c>
      <c r="H229" t="n">
        <v>3106</v>
      </c>
      <c r="J229" t="n">
        <v>25910.05</v>
      </c>
    </row>
    <row r="230">
      <c r="G230" s="34" t="inlineStr">
        <is>
          <t>2025-11-13</t>
        </is>
      </c>
      <c r="H230" t="n">
        <v>3105.7</v>
      </c>
      <c r="J230" t="n">
        <v>25879.15</v>
      </c>
    </row>
    <row r="231">
      <c r="G231" s="34" t="inlineStr">
        <is>
          <t>2025-11-12</t>
        </is>
      </c>
      <c r="H231" t="n">
        <v>3131.8</v>
      </c>
      <c r="J231" t="n">
        <v>25875.8</v>
      </c>
    </row>
    <row r="232">
      <c r="G232" s="34" t="inlineStr">
        <is>
          <t>2025-11-11</t>
        </is>
      </c>
      <c r="H232" t="n">
        <v>3047</v>
      </c>
      <c r="J232" t="n">
        <v>25694.95</v>
      </c>
    </row>
    <row r="233">
      <c r="G233" s="34" t="inlineStr">
        <is>
          <t>2025-11-10</t>
        </is>
      </c>
      <c r="H233" t="n">
        <v>3025.2</v>
      </c>
      <c r="J233" t="n">
        <v>25574.35</v>
      </c>
    </row>
    <row r="234">
      <c r="G234" s="34" t="inlineStr">
        <is>
          <t>2025-11-07</t>
        </is>
      </c>
      <c r="H234" t="n">
        <v>2991.8</v>
      </c>
      <c r="J234" t="n">
        <v>25492.3</v>
      </c>
    </row>
    <row r="235">
      <c r="G235" s="34" t="inlineStr">
        <is>
          <t>2025-11-06</t>
        </is>
      </c>
      <c r="H235" t="n">
        <v>3010.9</v>
      </c>
      <c r="J235" t="n">
        <v>25509.7</v>
      </c>
    </row>
    <row r="236">
      <c r="G236" s="34" t="inlineStr">
        <is>
          <t>2025-11-04</t>
        </is>
      </c>
      <c r="H236" t="n">
        <v>2990.2</v>
      </c>
      <c r="J236" t="n">
        <v>25597.65</v>
      </c>
    </row>
    <row r="237">
      <c r="G237" s="34" t="inlineStr">
        <is>
          <t>2025-11-03</t>
        </is>
      </c>
      <c r="H237" t="n">
        <v>3016.8</v>
      </c>
      <c r="J237" t="n">
        <v>25763.35</v>
      </c>
    </row>
    <row r="238">
      <c r="G238" s="34" t="inlineStr">
        <is>
          <t>2025-10-31</t>
        </is>
      </c>
      <c r="H238" t="n">
        <v>3058</v>
      </c>
      <c r="J238" t="n">
        <v>25722.1</v>
      </c>
    </row>
    <row r="239">
      <c r="G239" s="34" t="inlineStr">
        <is>
          <t>2025-10-30</t>
        </is>
      </c>
      <c r="H239" t="n">
        <v>3035.3</v>
      </c>
      <c r="J239" t="n">
        <v>25877.85</v>
      </c>
    </row>
    <row r="240">
      <c r="G240" s="34" t="inlineStr">
        <is>
          <t>2025-10-29</t>
        </is>
      </c>
      <c r="H240" t="n">
        <v>3057.6</v>
      </c>
      <c r="J240" t="n">
        <v>26053.9</v>
      </c>
    </row>
    <row r="241">
      <c r="G241" s="34" t="inlineStr">
        <is>
          <t>2025-10-28</t>
        </is>
      </c>
      <c r="H241" t="n">
        <v>3057.9</v>
      </c>
      <c r="J241" t="n">
        <v>25936.2</v>
      </c>
    </row>
    <row r="242">
      <c r="G242" s="34" t="inlineStr">
        <is>
          <t>2025-10-27</t>
        </is>
      </c>
      <c r="H242" t="n">
        <v>3084.9</v>
      </c>
      <c r="J242" t="n">
        <v>25966.05</v>
      </c>
    </row>
    <row r="243">
      <c r="G243" s="34" t="inlineStr">
        <is>
          <t>2025-10-24</t>
        </is>
      </c>
      <c r="H243" t="n">
        <v>3063.2</v>
      </c>
      <c r="J243" t="n">
        <v>25795.15</v>
      </c>
    </row>
    <row r="244">
      <c r="G244" s="34" t="inlineStr">
        <is>
          <t>2025-10-23</t>
        </is>
      </c>
      <c r="H244" t="n">
        <v>3073.2</v>
      </c>
      <c r="J244" t="n">
        <v>25891.4</v>
      </c>
    </row>
    <row r="245">
      <c r="G245" s="34" t="inlineStr">
        <is>
          <t>2025-10-21</t>
        </is>
      </c>
      <c r="H245" t="n">
        <v>3006.7</v>
      </c>
      <c r="J245" t="n">
        <v>25868.6</v>
      </c>
    </row>
    <row r="246">
      <c r="G246" s="34" t="inlineStr">
        <is>
          <t>2025-10-20</t>
        </is>
      </c>
      <c r="H246" t="n">
        <v>3015.2</v>
      </c>
      <c r="J246" t="n">
        <v>25843.15</v>
      </c>
    </row>
    <row r="247">
      <c r="G247" s="34" t="inlineStr">
        <is>
          <t>2025-10-17</t>
        </is>
      </c>
      <c r="H247" t="n">
        <v>2962.2</v>
      </c>
      <c r="J247" t="n">
        <v>25709.85</v>
      </c>
    </row>
    <row r="248">
      <c r="G248" s="34" t="inlineStr">
        <is>
          <t>2025-10-16</t>
        </is>
      </c>
      <c r="H248" t="n">
        <v>2970.7</v>
      </c>
      <c r="J248" t="n">
        <v>25585.3</v>
      </c>
    </row>
    <row r="249">
      <c r="G249" s="161" t="inlineStr">
        <is>
          <t>2025-10-15</t>
        </is>
      </c>
      <c r="H249" t="n">
        <v>2969.8</v>
      </c>
      <c r="J249" t="n">
        <v>25323.55</v>
      </c>
    </row>
    <row r="250">
      <c r="G250" s="161" t="inlineStr">
        <is>
          <t>2025-10-14</t>
        </is>
      </c>
      <c r="H250" t="n">
        <v>2960.3</v>
      </c>
      <c r="J250" t="n">
        <v>25145.5</v>
      </c>
    </row>
    <row r="251">
      <c r="G251" s="161" t="inlineStr">
        <is>
          <t>2025-10-13</t>
        </is>
      </c>
      <c r="H251" t="n">
        <v>3007.2</v>
      </c>
      <c r="J251" t="n">
        <v>25227.35</v>
      </c>
    </row>
    <row r="252">
      <c r="G252" s="161" t="inlineStr">
        <is>
          <t>2025-10-10</t>
        </is>
      </c>
      <c r="H252" t="n">
        <v>3028.3</v>
      </c>
      <c r="J252" t="n">
        <v>25285.35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INFY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HCLTECH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WIPRO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TECHM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PERSISTENT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COFORGE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MPHASIS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LTM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Tata Consultancy Services Limited (TCS) is an Indian multinational technology company specialising in information technology services and consulting. Headquartered in Mumbai, it is a part of the Tata Group and operates in 150 locations across 46 countries. As of 2024, Tata Sons owned 71.74% of TCS, and close to 80% of Tata Sons' dividend income came from TCS.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TCS, Microsoft respond to US PERM suspension, reaffirm commitment to American workforce</t>
        </is>
      </c>
    </row>
    <row r="38"/>
    <row r="39">
      <c r="A39" t="inlineStr">
        <is>
          <t>•</t>
        </is>
      </c>
      <c r="B39" s="184" t="inlineStr">
        <is>
          <t>TCS shares jump 4% after Q2 results. What are Goldman Sachs, Nomura, others saying?</t>
        </is>
      </c>
    </row>
    <row r="40"/>
    <row r="41">
      <c r="A41" t="inlineStr">
        <is>
          <t>•</t>
        </is>
      </c>
      <c r="B41" s="184" t="inlineStr">
        <is>
          <t>Stocks in news: TCS, ITC, Infosys, Cochin Shipyard and RIL</t>
        </is>
      </c>
    </row>
    <row r="42"/>
    <row r="43">
      <c r="A43" t="inlineStr">
        <is>
          <t>•</t>
        </is>
      </c>
      <c r="B43" s="184" t="inlineStr">
        <is>
          <t>TCS Q2 results: Ready for the big move? Here's how to trade the IT stock on results day</t>
        </is>
      </c>
    </row>
    <row r="44"/>
    <row r="45">
      <c r="A45" t="inlineStr">
        <is>
          <t>•</t>
        </is>
      </c>
      <c r="B45" s="184" t="inlineStr">
        <is>
          <t>Infosys, Wipro ADRs fall nearly 3% after TCS earnings, US crackdown on H-1B-linked green card programme</t>
        </is>
      </c>
    </row>
    <row r="46"/>
    <row r="47">
      <c r="A47" t="inlineStr">
        <is>
          <t>•</t>
        </is>
      </c>
      <c r="B47" s="184" t="inlineStr">
        <is>
          <t>TATA CONSULTANCY SERVICES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Tata Consultancy Services Limited (TCS) is an Indian multinational technology company specialising in information technology services and consulting. Headquartered in Mumbai, it is a part of the Tata Group and operates in 150 locations across 46 countries. As of 2024, Tata Sons owned 71.74% of TCS, and close to 80% of Tata Sons' dividend income came from TCS.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TCS, Microsoft respond to US PERM suspension, reaffirm commitment to American workforce</t>
        </is>
      </c>
    </row>
    <row r="37"/>
    <row r="38" ht="14.4" customHeight="1" s="176">
      <c r="A38" t="inlineStr">
        <is>
          <t>•</t>
        </is>
      </c>
      <c r="B38" s="184" t="inlineStr">
        <is>
          <t>TCS shares jump 4% after Q2 results. What are Goldman Sachs, Nomura, others saying?</t>
        </is>
      </c>
    </row>
    <row r="39"/>
    <row r="40" ht="20.4" customHeight="1" s="176">
      <c r="A40" t="inlineStr">
        <is>
          <t>•</t>
        </is>
      </c>
      <c r="B40" s="184" t="inlineStr">
        <is>
          <t>Stocks in news: TCS, ITC, Infosys, Cochin Shipyard and RIL</t>
        </is>
      </c>
    </row>
    <row r="41"/>
    <row r="42">
      <c r="A42" t="inlineStr">
        <is>
          <t>•</t>
        </is>
      </c>
      <c r="B42" s="184" t="inlineStr">
        <is>
          <t>TCS Q2 results: Ready for the big move? Here's how to trade the IT stock on results day</t>
        </is>
      </c>
    </row>
    <row r="43"/>
    <row r="44">
      <c r="A44" t="inlineStr">
        <is>
          <t>•</t>
        </is>
      </c>
      <c r="B44" s="184" t="inlineStr">
        <is>
          <t>Infosys, Wipro ADRs fall nearly 3% after TCS earnings, US crackdown on H-1B-linked green card programme</t>
        </is>
      </c>
    </row>
    <row r="45"/>
    <row r="46">
      <c r="A46" t="inlineStr">
        <is>
          <t>•</t>
        </is>
      </c>
      <c r="B46" s="184" t="inlineStr">
        <is>
          <t>TATA CONSULTANCY SERVICES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2016</t>
        </is>
      </c>
      <c r="D3" s="40" t="inlineStr">
        <is>
          <t>Mar 2017</t>
        </is>
      </c>
      <c r="E3" s="40" t="inlineStr">
        <is>
          <t>Mar 2018</t>
        </is>
      </c>
      <c r="F3" s="40" t="inlineStr">
        <is>
          <t>Mar 2019</t>
        </is>
      </c>
      <c r="G3" s="40" t="inlineStr">
        <is>
          <t>Mar 2020</t>
        </is>
      </c>
      <c r="H3" s="40" t="inlineStr">
        <is>
          <t>Mar 2021</t>
        </is>
      </c>
      <c r="I3" s="40" t="inlineStr">
        <is>
          <t>Mar 2022</t>
        </is>
      </c>
      <c r="J3" s="40" t="inlineStr">
        <is>
          <t>Mar 2023</t>
        </is>
      </c>
      <c r="K3" s="40" t="inlineStr">
        <is>
          <t>Mar 2024</t>
        </is>
      </c>
      <c r="L3" s="40" t="inlineStr">
        <is>
          <t>Mar 2025</t>
        </is>
      </c>
      <c r="M3" s="40" t="inlineStr">
        <is>
          <t>Mar 2026</t>
        </is>
      </c>
      <c r="N3" s="40" t="inlineStr">
        <is>
          <t>Sep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94648</v>
      </c>
      <c r="T4" s="73" t="n">
        <v>108646</v>
      </c>
      <c r="U4" s="73" t="n">
        <v>117966</v>
      </c>
      <c r="V4" s="73" t="n">
        <v>123104</v>
      </c>
      <c r="W4" s="73" t="n">
        <v>146463</v>
      </c>
      <c r="X4" s="73" t="n">
        <v>156949</v>
      </c>
      <c r="Y4" s="73" t="n">
        <v>164177</v>
      </c>
      <c r="Z4" s="73" t="n">
        <v>191754</v>
      </c>
      <c r="AA4" s="73" t="n">
        <v>225458</v>
      </c>
      <c r="AB4" s="73" t="n">
        <v>240893</v>
      </c>
      <c r="AC4" s="73" t="n">
        <v>255324</v>
      </c>
      <c r="AD4" s="73" t="n">
        <v>267021</v>
      </c>
      <c r="AE4" s="73" t="n">
        <v>283248</v>
      </c>
    </row>
    <row r="5">
      <c r="B5" s="35" t="inlineStr">
        <is>
          <t>Equity Capital</t>
        </is>
      </c>
      <c r="C5" t="n">
        <v>197</v>
      </c>
      <c r="D5" s="47" t="n">
        <v>197</v>
      </c>
      <c r="E5" s="47" t="n">
        <v>191</v>
      </c>
      <c r="F5" s="47" t="n">
        <v>375</v>
      </c>
      <c r="G5" s="47" t="n">
        <v>375</v>
      </c>
      <c r="H5" s="47" t="n">
        <v>370</v>
      </c>
      <c r="I5" s="47" t="n">
        <v>366</v>
      </c>
      <c r="J5" s="47" t="n">
        <v>366</v>
      </c>
      <c r="K5" s="47" t="n">
        <v>362</v>
      </c>
      <c r="L5" s="47" t="n">
        <v>362</v>
      </c>
      <c r="M5" s="47" t="n">
        <v>362</v>
      </c>
      <c r="N5" s="47" t="n">
        <v>362</v>
      </c>
      <c r="R5" t="inlineStr">
        <is>
          <t>Expenses +</t>
        </is>
      </c>
      <c r="S5" s="73" t="n">
        <v>70167</v>
      </c>
      <c r="T5" s="73" t="n">
        <v>77969</v>
      </c>
      <c r="U5" s="73" t="n">
        <v>85655</v>
      </c>
      <c r="V5" s="73" t="n">
        <v>90588</v>
      </c>
      <c r="W5" s="73" t="n">
        <v>106957</v>
      </c>
      <c r="X5" s="73" t="n">
        <v>114840</v>
      </c>
      <c r="Y5" s="73" t="n">
        <v>117631</v>
      </c>
      <c r="Z5" s="73" t="n">
        <v>138697</v>
      </c>
      <c r="AA5" s="73" t="n">
        <v>166199</v>
      </c>
      <c r="AB5" s="73" t="n">
        <v>176597</v>
      </c>
      <c r="AC5" s="73" t="n">
        <v>187917</v>
      </c>
      <c r="AD5" s="73" t="n">
        <v>194623</v>
      </c>
      <c r="AE5" s="73" t="n">
        <v>208332</v>
      </c>
    </row>
    <row r="6">
      <c r="B6" t="inlineStr">
        <is>
          <t>Reserves</t>
        </is>
      </c>
      <c r="C6" s="73" t="n">
        <v>70875</v>
      </c>
      <c r="D6" s="73" t="n">
        <v>86017</v>
      </c>
      <c r="E6" s="73" t="n">
        <v>84937</v>
      </c>
      <c r="F6" s="73" t="n">
        <v>89071</v>
      </c>
      <c r="G6" s="73" t="n">
        <v>83751</v>
      </c>
      <c r="H6" s="73" t="n">
        <v>86063</v>
      </c>
      <c r="I6" s="73" t="n">
        <v>88773</v>
      </c>
      <c r="J6" s="73" t="n">
        <v>90058</v>
      </c>
      <c r="K6" s="73" t="n">
        <v>90127</v>
      </c>
      <c r="L6" s="73" t="n">
        <v>94394</v>
      </c>
      <c r="M6" s="73" t="n">
        <v>106878</v>
      </c>
      <c r="N6" s="73" t="n">
        <v>118624</v>
      </c>
      <c r="O6" s="73" t="n"/>
      <c r="R6" t="inlineStr">
        <is>
          <t>Operating Profit</t>
        </is>
      </c>
      <c r="S6" s="73" t="n">
        <v>24482</v>
      </c>
      <c r="T6" s="73" t="n">
        <v>30677</v>
      </c>
      <c r="U6" s="73" t="n">
        <v>32311</v>
      </c>
      <c r="V6" s="73" t="n">
        <v>32516</v>
      </c>
      <c r="W6" s="73" t="n">
        <v>39506</v>
      </c>
      <c r="X6" s="73" t="n">
        <v>42109</v>
      </c>
      <c r="Y6" s="73" t="n">
        <v>46546</v>
      </c>
      <c r="Z6" s="73" t="n">
        <v>53057</v>
      </c>
      <c r="AA6" s="73" t="n">
        <v>59259</v>
      </c>
      <c r="AB6" s="73" t="n">
        <v>64296</v>
      </c>
      <c r="AC6" s="73" t="n">
        <v>67407</v>
      </c>
      <c r="AD6" s="73" t="n">
        <v>72398</v>
      </c>
      <c r="AE6" s="73" t="n">
        <v>74916</v>
      </c>
    </row>
    <row r="7">
      <c r="B7" s="73" t="inlineStr">
        <is>
          <t>Borrowings -</t>
        </is>
      </c>
      <c r="C7" s="73" t="n">
        <v>245</v>
      </c>
      <c r="D7" s="73" t="n">
        <v>289</v>
      </c>
      <c r="E7" s="73" t="n">
        <v>247</v>
      </c>
      <c r="F7" s="73" t="n">
        <v>62</v>
      </c>
      <c r="G7" s="73" t="n">
        <v>8174</v>
      </c>
      <c r="H7" s="73" t="n">
        <v>7795</v>
      </c>
      <c r="I7" s="73" t="n">
        <v>7818</v>
      </c>
      <c r="J7" s="73" t="n">
        <v>7688</v>
      </c>
      <c r="K7" s="73" t="n">
        <v>8021</v>
      </c>
      <c r="L7" s="73" t="n">
        <v>9392</v>
      </c>
      <c r="M7" s="73" t="n">
        <v>11283</v>
      </c>
      <c r="N7" s="73" t="n">
        <v>11808</v>
      </c>
      <c r="O7" s="73" t="n"/>
      <c r="R7" t="inlineStr">
        <is>
          <t>OPM %</t>
        </is>
      </c>
      <c r="S7" s="75" t="n">
        <v>26</v>
      </c>
      <c r="T7" s="75" t="n">
        <v>28</v>
      </c>
      <c r="U7" s="75" t="n">
        <v>27</v>
      </c>
      <c r="V7" s="75" t="n">
        <v>26</v>
      </c>
      <c r="W7" s="75" t="n">
        <v>27</v>
      </c>
      <c r="X7" s="75" t="n">
        <v>27</v>
      </c>
      <c r="Y7" s="75" t="n">
        <v>28</v>
      </c>
      <c r="Z7" s="75" t="n">
        <v>28</v>
      </c>
      <c r="AA7" s="75" t="n">
        <v>26</v>
      </c>
      <c r="AB7" s="75" t="n">
        <v>27</v>
      </c>
      <c r="AC7" s="75" t="n">
        <v>26</v>
      </c>
      <c r="AD7" s="75" t="n">
        <v>27</v>
      </c>
      <c r="AE7" s="75" t="n">
        <v>26</v>
      </c>
    </row>
    <row r="8">
      <c r="B8" s="73" t="inlineStr">
        <is>
          <t>Long term Borrowings</t>
        </is>
      </c>
      <c r="C8" s="73" t="n">
        <v>83</v>
      </c>
      <c r="D8" s="73" t="n">
        <v>71</v>
      </c>
      <c r="E8" s="73" t="n">
        <v>54</v>
      </c>
      <c r="F8" s="73" t="n">
        <v>44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3720</v>
      </c>
      <c r="T8" s="73" t="n">
        <v>3084</v>
      </c>
      <c r="U8" s="73" t="n">
        <v>4221</v>
      </c>
      <c r="V8" s="73" t="n">
        <v>3642</v>
      </c>
      <c r="W8" s="73" t="n">
        <v>4311</v>
      </c>
      <c r="X8" s="73" t="n">
        <v>4592</v>
      </c>
      <c r="Y8" s="73" t="n">
        <v>1916</v>
      </c>
      <c r="Z8" s="73" t="n">
        <v>4018</v>
      </c>
      <c r="AA8" s="73" t="n">
        <v>3449</v>
      </c>
      <c r="AB8" s="73" t="n">
        <v>3464</v>
      </c>
      <c r="AC8" s="73" t="n">
        <v>3962</v>
      </c>
      <c r="AD8" s="73" t="n">
        <v>-124</v>
      </c>
      <c r="AE8" s="73" t="n">
        <v>721</v>
      </c>
    </row>
    <row r="9">
      <c r="B9" t="inlineStr">
        <is>
          <t>Short term Borrowings</t>
        </is>
      </c>
      <c r="C9" t="n">
        <v>113</v>
      </c>
      <c r="D9" t="n">
        <v>200</v>
      </c>
      <c r="E9" t="n">
        <v>181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104</v>
      </c>
      <c r="T9" t="n">
        <v>33</v>
      </c>
      <c r="U9" t="n">
        <v>32</v>
      </c>
      <c r="V9" t="n">
        <v>52</v>
      </c>
      <c r="W9" t="n">
        <v>198</v>
      </c>
      <c r="X9" t="n">
        <v>924</v>
      </c>
      <c r="Y9" t="n">
        <v>637</v>
      </c>
      <c r="Z9" t="n">
        <v>784</v>
      </c>
      <c r="AA9" t="n">
        <v>779</v>
      </c>
      <c r="AB9" t="n">
        <v>778</v>
      </c>
      <c r="AC9" t="n">
        <v>796</v>
      </c>
      <c r="AD9" t="n">
        <v>1227</v>
      </c>
      <c r="AE9" t="n">
        <v>1328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44</v>
      </c>
      <c r="G10" t="n">
        <v>8174</v>
      </c>
      <c r="H10" t="n">
        <v>7795</v>
      </c>
      <c r="I10" t="n">
        <v>7818</v>
      </c>
      <c r="J10" t="n">
        <v>7688</v>
      </c>
      <c r="K10" t="n">
        <v>8021</v>
      </c>
      <c r="L10" t="n">
        <v>9392</v>
      </c>
      <c r="M10" t="n">
        <v>11283</v>
      </c>
      <c r="N10" t="n">
        <v>11808</v>
      </c>
      <c r="O10" s="73" t="n"/>
      <c r="R10" t="inlineStr">
        <is>
          <t>Depreciation</t>
        </is>
      </c>
      <c r="S10" s="73" t="n">
        <v>1799</v>
      </c>
      <c r="T10" s="73" t="n">
        <v>1888</v>
      </c>
      <c r="U10" s="73" t="n">
        <v>1987</v>
      </c>
      <c r="V10" s="73" t="n">
        <v>2014</v>
      </c>
      <c r="W10" s="73" t="n">
        <v>2056</v>
      </c>
      <c r="X10" s="73" t="n">
        <v>3529</v>
      </c>
      <c r="Y10" s="73" t="n">
        <v>4065</v>
      </c>
      <c r="Z10" s="73" t="n">
        <v>4604</v>
      </c>
      <c r="AA10" s="73" t="n">
        <v>5022</v>
      </c>
      <c r="AB10" s="73" t="n">
        <v>4985</v>
      </c>
      <c r="AC10" s="73" t="n">
        <v>5242</v>
      </c>
      <c r="AD10" s="73" t="n">
        <v>5560</v>
      </c>
      <c r="AE10" s="73" t="n">
        <v>5287</v>
      </c>
    </row>
    <row r="11">
      <c r="B11" s="73" t="inlineStr">
        <is>
          <t>Other Borrowings</t>
        </is>
      </c>
      <c r="C11" s="73" t="n">
        <v>49</v>
      </c>
      <c r="D11" s="73" t="n">
        <v>18</v>
      </c>
      <c r="E11" s="73" t="n">
        <v>12</v>
      </c>
      <c r="F11" s="73" t="n">
        <v>-26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26298</v>
      </c>
      <c r="T11" s="73" t="n">
        <v>31840</v>
      </c>
      <c r="U11" s="73" t="n">
        <v>34513</v>
      </c>
      <c r="V11" s="73" t="n">
        <v>34092</v>
      </c>
      <c r="W11" s="73" t="n">
        <v>41563</v>
      </c>
      <c r="X11" s="73" t="n">
        <v>42248</v>
      </c>
      <c r="Y11" s="73" t="n">
        <v>43760</v>
      </c>
      <c r="Z11" s="73" t="n">
        <v>51687</v>
      </c>
      <c r="AA11" s="73" t="n">
        <v>56907</v>
      </c>
      <c r="AB11" s="73" t="n">
        <v>61997</v>
      </c>
      <c r="AC11" s="73" t="n">
        <v>65331</v>
      </c>
      <c r="AD11" s="73" t="n">
        <v>65487</v>
      </c>
      <c r="AE11" s="73" t="n">
        <v>69022</v>
      </c>
    </row>
    <row r="12">
      <c r="B12" s="73" t="inlineStr">
        <is>
          <t>Other Liabilities -</t>
        </is>
      </c>
      <c r="C12" s="73" t="n">
        <v>16974</v>
      </c>
      <c r="D12" s="73" t="n">
        <v>15830</v>
      </c>
      <c r="E12" s="73" t="n">
        <v>19751</v>
      </c>
      <c r="F12" s="73" t="n">
        <v>24393</v>
      </c>
      <c r="G12" s="73" t="n">
        <v>27827</v>
      </c>
      <c r="H12" s="73" t="n">
        <v>35764</v>
      </c>
      <c r="I12" s="73" t="n">
        <v>43967</v>
      </c>
      <c r="J12" s="73" t="n">
        <v>44747</v>
      </c>
      <c r="K12" s="73" t="n">
        <v>46962</v>
      </c>
      <c r="L12" s="73" t="n">
        <v>54501</v>
      </c>
      <c r="M12" s="73" t="n">
        <v>62644</v>
      </c>
      <c r="N12" s="73" t="n">
        <v>59988</v>
      </c>
      <c r="R12" t="inlineStr">
        <is>
          <t>Tax %</t>
        </is>
      </c>
      <c r="S12" s="75" t="n">
        <v>24</v>
      </c>
      <c r="T12" s="75" t="n">
        <v>24</v>
      </c>
      <c r="U12" s="75" t="n">
        <v>24</v>
      </c>
      <c r="V12" s="75" t="n">
        <v>24</v>
      </c>
      <c r="W12" s="75" t="n">
        <v>24</v>
      </c>
      <c r="X12" s="75" t="n">
        <v>23</v>
      </c>
      <c r="Y12" s="75" t="n">
        <v>26</v>
      </c>
      <c r="Z12" s="75" t="n">
        <v>26</v>
      </c>
      <c r="AA12" s="75" t="n">
        <v>26</v>
      </c>
      <c r="AB12" s="75" t="n">
        <v>26</v>
      </c>
      <c r="AC12" s="75" t="n">
        <v>25</v>
      </c>
      <c r="AD12" s="75" t="n">
        <v>24</v>
      </c>
      <c r="AE12" t="n">
        <v>0</v>
      </c>
    </row>
    <row r="13">
      <c r="B13" t="inlineStr">
        <is>
          <t>Non controlling int</t>
        </is>
      </c>
      <c r="C13" t="n">
        <v>355</v>
      </c>
      <c r="D13" t="n">
        <v>366</v>
      </c>
      <c r="E13" t="n">
        <v>402</v>
      </c>
      <c r="F13" t="n">
        <v>453</v>
      </c>
      <c r="G13" t="n">
        <v>623</v>
      </c>
      <c r="H13" t="n">
        <v>675</v>
      </c>
      <c r="I13" t="n">
        <v>707</v>
      </c>
      <c r="J13" t="n">
        <v>782</v>
      </c>
      <c r="K13" t="n">
        <v>830</v>
      </c>
      <c r="L13" t="n">
        <v>1015</v>
      </c>
      <c r="M13" t="n">
        <v>1238</v>
      </c>
      <c r="N13" t="n">
        <v>1008</v>
      </c>
      <c r="O13" s="73" t="n"/>
      <c r="R13" t="inlineStr">
        <is>
          <t>Net Profit +</t>
        </is>
      </c>
      <c r="S13" s="73" t="n">
        <v>20060</v>
      </c>
      <c r="T13" s="73" t="n">
        <v>24338</v>
      </c>
      <c r="U13" s="73" t="n">
        <v>26357</v>
      </c>
      <c r="V13" s="73" t="n">
        <v>25880</v>
      </c>
      <c r="W13" s="73" t="n">
        <v>31562</v>
      </c>
      <c r="X13" s="73" t="n">
        <v>32447</v>
      </c>
      <c r="Y13" s="73" t="n">
        <v>32562</v>
      </c>
      <c r="Z13" s="73" t="n">
        <v>38449</v>
      </c>
      <c r="AA13" s="73" t="n">
        <v>42303</v>
      </c>
      <c r="AB13" s="73" t="n">
        <v>46099</v>
      </c>
      <c r="AC13" s="73" t="n">
        <v>48797</v>
      </c>
      <c r="AD13" s="73" t="n">
        <v>49454</v>
      </c>
      <c r="AE13" s="73" t="n">
        <v>51858</v>
      </c>
    </row>
    <row r="14">
      <c r="B14" s="73" t="inlineStr">
        <is>
          <t>Trade Payables</t>
        </is>
      </c>
      <c r="C14" s="73" t="n">
        <v>7541</v>
      </c>
      <c r="D14" s="73" t="n">
        <v>4905</v>
      </c>
      <c r="E14" s="73" t="n">
        <v>5094</v>
      </c>
      <c r="F14" s="73" t="n">
        <v>6292</v>
      </c>
      <c r="G14" s="73" t="n">
        <v>6740</v>
      </c>
      <c r="H14" s="73" t="n">
        <v>7860</v>
      </c>
      <c r="I14" s="73" t="n">
        <v>8045</v>
      </c>
      <c r="J14" s="73" t="n">
        <v>10515</v>
      </c>
      <c r="K14" s="73" t="n">
        <v>9981</v>
      </c>
      <c r="L14" s="73" t="n">
        <v>13909</v>
      </c>
      <c r="M14" s="73" t="n">
        <v>14808</v>
      </c>
      <c r="N14" s="73" t="n">
        <v>15206</v>
      </c>
      <c r="S14" t="n">
        <v>50.68</v>
      </c>
      <c r="T14" t="n">
        <v>61.58</v>
      </c>
      <c r="U14" t="n">
        <v>66.70999999999999</v>
      </c>
      <c r="V14" t="n">
        <v>67.45999999999999</v>
      </c>
      <c r="W14" t="n">
        <v>83.87</v>
      </c>
      <c r="X14" t="n">
        <v>86.19</v>
      </c>
      <c r="Y14" t="n">
        <v>87.67</v>
      </c>
      <c r="Z14" t="n">
        <v>104.75</v>
      </c>
      <c r="AA14" t="n">
        <v>115.19</v>
      </c>
      <c r="AB14" t="n">
        <v>126.88</v>
      </c>
      <c r="AC14" t="n">
        <v>134.2</v>
      </c>
      <c r="AD14" t="n">
        <v>136.01</v>
      </c>
      <c r="AE14" t="n">
        <v>142.64</v>
      </c>
    </row>
    <row r="15">
      <c r="B15" t="inlineStr">
        <is>
          <t>Advance from Customers</t>
        </is>
      </c>
      <c r="C15" t="n">
        <v>164</v>
      </c>
      <c r="D15" t="n">
        <v>330</v>
      </c>
      <c r="E15" t="n">
        <v>796</v>
      </c>
      <c r="F15" t="n">
        <v>575</v>
      </c>
      <c r="G15" t="n">
        <v>345</v>
      </c>
      <c r="H15" t="n">
        <v>312</v>
      </c>
      <c r="I15" t="n">
        <v>468</v>
      </c>
      <c r="J15" s="73" t="n">
        <v>543</v>
      </c>
      <c r="K15" s="73" t="n">
        <v>1841</v>
      </c>
      <c r="L15" t="n">
        <v>1896</v>
      </c>
      <c r="M15" s="73" t="n">
        <v>694</v>
      </c>
      <c r="N15" s="73" t="n">
        <v>0</v>
      </c>
      <c r="O15" s="73" t="n"/>
      <c r="S15" t="n">
        <v>78</v>
      </c>
      <c r="T15" t="n">
        <v>35</v>
      </c>
      <c r="U15" t="n">
        <v>35</v>
      </c>
      <c r="V15" t="n">
        <v>37</v>
      </c>
      <c r="W15" t="n">
        <v>36</v>
      </c>
      <c r="X15" t="n">
        <v>85</v>
      </c>
      <c r="Y15" t="n">
        <v>43</v>
      </c>
      <c r="Z15" t="n">
        <v>41</v>
      </c>
      <c r="AA15" t="n">
        <v>100</v>
      </c>
      <c r="AB15" t="n">
        <v>58</v>
      </c>
      <c r="AC15" t="n">
        <v>94</v>
      </c>
      <c r="AD15" t="n">
        <v>81</v>
      </c>
      <c r="AE15" t="n">
        <v>0</v>
      </c>
    </row>
    <row r="16">
      <c r="B16" s="73" t="inlineStr">
        <is>
          <t>Other liability items</t>
        </is>
      </c>
      <c r="C16" s="73" t="n">
        <v>8914</v>
      </c>
      <c r="D16" s="73" t="n">
        <v>10229</v>
      </c>
      <c r="E16" s="73" t="n">
        <v>13459</v>
      </c>
      <c r="F16" s="73" t="n">
        <v>17073</v>
      </c>
      <c r="G16" s="73" t="n">
        <v>20119</v>
      </c>
      <c r="H16" s="73" t="n">
        <v>26917</v>
      </c>
      <c r="I16" s="73" t="n">
        <v>34747</v>
      </c>
      <c r="J16" s="73" t="n">
        <v>32907</v>
      </c>
      <c r="K16" s="73" t="n">
        <v>34310</v>
      </c>
      <c r="L16" s="73" t="n">
        <v>37681</v>
      </c>
      <c r="M16" s="73" t="n">
        <v>45904</v>
      </c>
      <c r="N16" s="73" t="n">
        <v>43774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88291</v>
      </c>
      <c r="D18" s="71" t="n">
        <v>102333</v>
      </c>
      <c r="E18" s="71" t="n">
        <v>105126</v>
      </c>
      <c r="F18" s="71" t="n">
        <v>113901</v>
      </c>
      <c r="G18" s="71" t="n">
        <v>120127</v>
      </c>
      <c r="H18" s="71" t="n">
        <v>129992</v>
      </c>
      <c r="I18" s="71" t="n">
        <v>140924</v>
      </c>
      <c r="J18" s="71" t="n">
        <v>142859</v>
      </c>
      <c r="K18" s="71" t="n">
        <v>145472</v>
      </c>
      <c r="L18" s="71" t="n">
        <v>158649</v>
      </c>
      <c r="M18" s="71" t="n">
        <v>181167</v>
      </c>
      <c r="N18" s="71" t="n">
        <v>190782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19369</v>
      </c>
      <c r="T19" s="73" t="n">
        <v>19109</v>
      </c>
      <c r="U19" s="73" t="n">
        <v>25223</v>
      </c>
      <c r="V19" s="73" t="n">
        <v>25067</v>
      </c>
      <c r="W19" s="73" t="n">
        <v>28593</v>
      </c>
      <c r="X19" s="73" t="n">
        <v>32369</v>
      </c>
      <c r="Y19" s="73" t="n">
        <v>38802</v>
      </c>
      <c r="Z19" s="73" t="n">
        <v>39949</v>
      </c>
      <c r="AA19" s="73" t="n">
        <v>41965</v>
      </c>
      <c r="AB19" s="73" t="n">
        <v>44338</v>
      </c>
      <c r="AC19" s="73" t="n">
        <v>48908</v>
      </c>
      <c r="AD19" s="73" t="n">
        <v>52094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26103</v>
      </c>
      <c r="T20" s="73" t="n">
        <v>31631</v>
      </c>
      <c r="U20" s="73" t="n">
        <v>33800</v>
      </c>
      <c r="V20" s="73" t="n">
        <v>32885</v>
      </c>
      <c r="W20" s="73" t="n">
        <v>40720</v>
      </c>
      <c r="X20" s="73" t="n">
        <v>42882</v>
      </c>
      <c r="Y20" s="73" t="n">
        <v>47031</v>
      </c>
      <c r="Z20" s="73" t="n">
        <v>54204</v>
      </c>
      <c r="AA20" s="73" t="n">
        <v>59148</v>
      </c>
      <c r="AB20" s="73" t="n">
        <v>63709</v>
      </c>
      <c r="AC20" s="73" t="n">
        <v>67853</v>
      </c>
      <c r="AD20" s="73" t="n">
        <v>68688</v>
      </c>
      <c r="AE20" t="n">
        <v>0</v>
      </c>
    </row>
    <row r="21">
      <c r="B21" s="73" t="inlineStr">
        <is>
          <t>Fixed Assets -</t>
        </is>
      </c>
      <c r="C21" s="73" t="n">
        <v>11774</v>
      </c>
      <c r="D21" s="73" t="n">
        <v>11701</v>
      </c>
      <c r="E21" s="73" t="n">
        <v>11973</v>
      </c>
      <c r="F21" s="73" t="n">
        <v>12290</v>
      </c>
      <c r="G21" s="73" t="n">
        <v>20928</v>
      </c>
      <c r="H21" s="73" t="n">
        <v>21021</v>
      </c>
      <c r="I21" s="73" t="n">
        <v>21298</v>
      </c>
      <c r="J21" s="73" t="n">
        <v>20515</v>
      </c>
      <c r="K21" s="73" t="n">
        <v>19604</v>
      </c>
      <c r="L21" s="73" t="n">
        <v>23053</v>
      </c>
      <c r="M21" s="73" t="n">
        <v>31343</v>
      </c>
      <c r="N21" s="73" t="n">
        <v>32872</v>
      </c>
      <c r="R21" t="inlineStr">
        <is>
          <t>Receivables</t>
        </is>
      </c>
      <c r="S21" t="n">
        <v>-2158</v>
      </c>
      <c r="T21" t="n">
        <v>-2936</v>
      </c>
      <c r="U21" t="n">
        <v>680</v>
      </c>
      <c r="V21" t="n">
        <v>-1833</v>
      </c>
      <c r="W21" t="n">
        <v>-2883</v>
      </c>
      <c r="X21" s="73" t="n">
        <v>-3295</v>
      </c>
      <c r="Y21" t="n">
        <v>1059</v>
      </c>
      <c r="Z21" t="n">
        <v>-5144</v>
      </c>
      <c r="AA21" t="n">
        <v>-7683</v>
      </c>
      <c r="AB21" t="n">
        <v>-3332</v>
      </c>
      <c r="AC21" s="73" t="n">
        <v>-5228</v>
      </c>
      <c r="AD21" t="n">
        <v>-5248</v>
      </c>
      <c r="AE21" t="n">
        <v>0</v>
      </c>
    </row>
    <row r="22">
      <c r="B22" s="73" t="inlineStr">
        <is>
          <t>Land</t>
        </is>
      </c>
      <c r="C22" s="73" t="n">
        <v>348</v>
      </c>
      <c r="D22" s="73" t="n">
        <v>348</v>
      </c>
      <c r="E22" s="73" t="n">
        <v>348</v>
      </c>
      <c r="F22" s="73" t="n">
        <v>345</v>
      </c>
      <c r="G22" s="73" t="n">
        <v>1041</v>
      </c>
      <c r="H22" s="73" t="n">
        <v>1041</v>
      </c>
      <c r="I22" s="73" t="n">
        <v>1126</v>
      </c>
      <c r="J22" s="73" t="n">
        <v>1304</v>
      </c>
      <c r="K22" s="73" t="n">
        <v>1294</v>
      </c>
      <c r="L22" s="73" t="n">
        <v>2873</v>
      </c>
      <c r="M22" s="73" t="n">
        <v>2873</v>
      </c>
      <c r="N22" s="73" t="n">
        <v>0</v>
      </c>
      <c r="O22" s="73" t="n"/>
      <c r="R22" t="inlineStr">
        <is>
          <t>Inventory</t>
        </is>
      </c>
      <c r="S22" t="n">
        <v>-1</v>
      </c>
      <c r="T22" t="n">
        <v>0</v>
      </c>
      <c r="U22" t="n">
        <v>0</v>
      </c>
      <c r="V22" t="n">
        <v>-5</v>
      </c>
      <c r="W22" t="n">
        <v>16</v>
      </c>
      <c r="X22" t="n">
        <v>5</v>
      </c>
      <c r="Y22" s="73" t="n">
        <v>-3</v>
      </c>
      <c r="Z22" t="n">
        <v>-12</v>
      </c>
      <c r="AA22" s="73" t="n">
        <v>-8</v>
      </c>
      <c r="AB22" s="73" t="n">
        <v>0</v>
      </c>
      <c r="AC22" s="73" t="n">
        <v>7</v>
      </c>
      <c r="AD22" s="73" t="n">
        <v>-8</v>
      </c>
      <c r="AE22" t="n">
        <v>0</v>
      </c>
    </row>
    <row r="23">
      <c r="B23" s="73" t="inlineStr">
        <is>
          <t>Building</t>
        </is>
      </c>
      <c r="C23" s="73" t="n">
        <v>7959</v>
      </c>
      <c r="D23" s="73" t="n">
        <v>8681</v>
      </c>
      <c r="E23" s="73" t="n">
        <v>9359</v>
      </c>
      <c r="F23" s="73" t="n">
        <v>9832</v>
      </c>
      <c r="G23" s="73" t="n">
        <v>18645</v>
      </c>
      <c r="H23" s="73" t="n">
        <v>18524</v>
      </c>
      <c r="I23" s="73" t="n">
        <v>17007</v>
      </c>
      <c r="J23" s="73" t="n">
        <v>18635</v>
      </c>
      <c r="K23" s="73" t="n">
        <v>19314</v>
      </c>
      <c r="L23" s="73" t="n">
        <v>19681</v>
      </c>
      <c r="M23" s="73" t="n">
        <v>21834</v>
      </c>
      <c r="N23" s="73" t="n">
        <v>0</v>
      </c>
      <c r="O23" s="73" t="n"/>
      <c r="R23" t="inlineStr">
        <is>
          <t>Payables</t>
        </is>
      </c>
      <c r="S23" t="n">
        <v>0</v>
      </c>
      <c r="T23" t="n">
        <v>-2039</v>
      </c>
      <c r="U23" t="n">
        <v>-201</v>
      </c>
      <c r="V23" s="73" t="n">
        <v>-346</v>
      </c>
      <c r="W23" t="n">
        <v>1496</v>
      </c>
      <c r="X23" t="n">
        <v>446</v>
      </c>
      <c r="Y23" s="73" t="n">
        <v>-93</v>
      </c>
      <c r="Z23" s="73" t="n">
        <v>186</v>
      </c>
      <c r="AA23" s="73" t="n">
        <v>2036</v>
      </c>
      <c r="AB23" t="n">
        <v>-632</v>
      </c>
      <c r="AC23" s="73" t="n">
        <v>3718</v>
      </c>
      <c r="AD23" t="n">
        <v>-1105</v>
      </c>
      <c r="AE23" t="n">
        <v>0</v>
      </c>
    </row>
    <row r="24">
      <c r="B24" s="73" t="inlineStr">
        <is>
          <t>Plant Machinery</t>
        </is>
      </c>
      <c r="C24" s="73" t="n">
        <v>322</v>
      </c>
      <c r="D24" s="73" t="n">
        <v>395</v>
      </c>
      <c r="E24" s="73" t="n">
        <v>501</v>
      </c>
      <c r="F24" s="73" t="n">
        <v>552</v>
      </c>
      <c r="G24" s="73" t="n">
        <v>681</v>
      </c>
      <c r="H24" s="73" t="n">
        <v>737</v>
      </c>
      <c r="I24" s="73" t="n">
        <v>770</v>
      </c>
      <c r="J24" s="73" t="n">
        <v>828</v>
      </c>
      <c r="K24" s="73" t="n">
        <v>878</v>
      </c>
      <c r="L24" s="73" t="n">
        <v>993</v>
      </c>
      <c r="M24" s="73" t="n">
        <v>1039</v>
      </c>
      <c r="N24" s="73" t="n">
        <v>0</v>
      </c>
      <c r="R24" t="inlineStr">
        <is>
          <t>Working capital changes</t>
        </is>
      </c>
      <c r="S24" t="n">
        <v>747</v>
      </c>
      <c r="T24" t="n">
        <v>-4944</v>
      </c>
      <c r="U24" t="n">
        <v>-631</v>
      </c>
      <c r="V24" s="73" t="n">
        <v>-209</v>
      </c>
      <c r="W24" t="n">
        <v>-2169</v>
      </c>
      <c r="X24" t="n">
        <v>-4667</v>
      </c>
      <c r="Y24" t="n">
        <v>863</v>
      </c>
      <c r="Z24" t="n">
        <v>-2769</v>
      </c>
      <c r="AA24" t="n">
        <v>-4217</v>
      </c>
      <c r="AB24" s="73" t="n">
        <v>-6882</v>
      </c>
      <c r="AC24" s="73" t="n">
        <v>-3359</v>
      </c>
      <c r="AD24" s="73" t="n">
        <v>-2210</v>
      </c>
      <c r="AE24" t="n">
        <v>0</v>
      </c>
    </row>
    <row r="25">
      <c r="B25" t="inlineStr">
        <is>
          <t>Equipments</t>
        </is>
      </c>
      <c r="C25" t="n">
        <v>2004</v>
      </c>
      <c r="D25" t="n">
        <v>2112</v>
      </c>
      <c r="E25" t="n">
        <v>2221</v>
      </c>
      <c r="F25" t="n">
        <v>2377</v>
      </c>
      <c r="G25" t="n">
        <v>2522</v>
      </c>
      <c r="H25" t="n">
        <v>2587</v>
      </c>
      <c r="I25" t="n">
        <v>2693</v>
      </c>
      <c r="J25" t="n">
        <v>2823</v>
      </c>
      <c r="K25" t="n">
        <v>2982</v>
      </c>
      <c r="L25" t="n">
        <v>3166</v>
      </c>
      <c r="M25" t="n">
        <v>3390</v>
      </c>
      <c r="N25" t="n">
        <v>0</v>
      </c>
      <c r="R25" t="inlineStr">
        <is>
          <t>Direct taxes</t>
        </is>
      </c>
      <c r="S25" s="73" t="n">
        <v>-7482</v>
      </c>
      <c r="T25" s="73" t="n">
        <v>-7578</v>
      </c>
      <c r="U25" s="73" t="n">
        <v>-7946</v>
      </c>
      <c r="V25" s="73" t="n">
        <v>-7609</v>
      </c>
      <c r="W25" s="73" t="n">
        <v>-9958</v>
      </c>
      <c r="X25" s="73" t="n">
        <v>-5846</v>
      </c>
      <c r="Y25" s="73" t="n">
        <v>-9092</v>
      </c>
      <c r="Z25" s="73" t="n">
        <v>-11486</v>
      </c>
      <c r="AA25" s="73" t="n">
        <v>-12966</v>
      </c>
      <c r="AB25" s="73" t="n">
        <v>-12489</v>
      </c>
      <c r="AC25" s="73" t="n">
        <v>-15586</v>
      </c>
      <c r="AD25" s="73" t="n">
        <v>-14384</v>
      </c>
      <c r="AE25" t="n">
        <v>0</v>
      </c>
    </row>
    <row r="26">
      <c r="B26" s="73" t="inlineStr">
        <is>
          <t>Furniture n fittings</t>
        </is>
      </c>
      <c r="C26" s="73" t="n">
        <v>3052</v>
      </c>
      <c r="D26" s="73" t="n">
        <v>3241</v>
      </c>
      <c r="E26" s="73" t="n">
        <v>3471</v>
      </c>
      <c r="F26" s="73" t="n">
        <v>3690</v>
      </c>
      <c r="G26" s="73" t="n">
        <v>3925</v>
      </c>
      <c r="H26" s="73" t="n">
        <v>3943</v>
      </c>
      <c r="I26" s="73" t="n">
        <v>3968</v>
      </c>
      <c r="J26" s="73" t="n">
        <v>4130</v>
      </c>
      <c r="K26" s="73" t="n">
        <v>4346</v>
      </c>
      <c r="L26" s="73" t="n">
        <v>4628</v>
      </c>
      <c r="M26" s="73" t="n">
        <v>4840</v>
      </c>
      <c r="N26" s="73" t="n">
        <v>0</v>
      </c>
      <c r="R26" t="inlineStr">
        <is>
          <t>Cash from Investing Activity -</t>
        </is>
      </c>
      <c r="S26" s="73" t="n">
        <v>-1807</v>
      </c>
      <c r="T26" s="73" t="n">
        <v>-5010</v>
      </c>
      <c r="U26" s="73" t="n">
        <v>-16895</v>
      </c>
      <c r="V26" s="73" t="n">
        <v>3104</v>
      </c>
      <c r="W26" s="73" t="n">
        <v>1645</v>
      </c>
      <c r="X26" s="73" t="n">
        <v>8968</v>
      </c>
      <c r="Y26" s="73" t="n">
        <v>-7956</v>
      </c>
      <c r="Z26" s="73" t="n">
        <v>-738</v>
      </c>
      <c r="AA26" s="73" t="n">
        <v>548</v>
      </c>
      <c r="AB26" s="73" t="n">
        <v>6091</v>
      </c>
      <c r="AC26" t="n">
        <v>-2144</v>
      </c>
      <c r="AD26" s="73" t="n">
        <v>-11886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-2949</v>
      </c>
      <c r="T27" s="73" t="n">
        <v>-1987</v>
      </c>
      <c r="U27" s="73" t="n">
        <v>-1989</v>
      </c>
      <c r="V27" s="73" t="n">
        <v>-1862</v>
      </c>
      <c r="W27" s="73" t="n">
        <v>-2231</v>
      </c>
      <c r="X27" s="73" t="n">
        <v>-3249</v>
      </c>
      <c r="Y27" s="73" t="n">
        <v>-3176</v>
      </c>
      <c r="Z27" s="73" t="n">
        <v>-2995</v>
      </c>
      <c r="AA27" s="73" t="n">
        <v>-3100</v>
      </c>
      <c r="AB27" s="73" t="n">
        <v>-2674</v>
      </c>
      <c r="AC27" s="73" t="n">
        <v>-3937</v>
      </c>
      <c r="AD27" s="73" t="n">
        <v>-4146</v>
      </c>
      <c r="AE27" t="n">
        <v>0</v>
      </c>
    </row>
    <row r="28">
      <c r="B28" t="inlineStr">
        <is>
          <t>Vehicles</t>
        </is>
      </c>
      <c r="C28" t="n">
        <v>32</v>
      </c>
      <c r="D28" t="n">
        <v>32</v>
      </c>
      <c r="E28" t="n">
        <v>34</v>
      </c>
      <c r="F28" t="n">
        <v>39</v>
      </c>
      <c r="G28" t="n">
        <v>68</v>
      </c>
      <c r="H28" t="n">
        <v>86</v>
      </c>
      <c r="I28" t="n">
        <v>71</v>
      </c>
      <c r="J28" t="n">
        <v>93</v>
      </c>
      <c r="K28" t="n">
        <v>97</v>
      </c>
      <c r="L28" t="n">
        <v>88</v>
      </c>
      <c r="M28" t="n">
        <v>100</v>
      </c>
      <c r="N28" t="n">
        <v>0</v>
      </c>
      <c r="O28" s="73" t="n"/>
      <c r="R28" t="inlineStr">
        <is>
          <t>Fixed assets sold</t>
        </is>
      </c>
      <c r="S28" s="73" t="n">
        <v>7</v>
      </c>
      <c r="T28" s="73" t="n">
        <v>22</v>
      </c>
      <c r="U28" s="73" t="n">
        <v>36</v>
      </c>
      <c r="V28" s="73" t="n">
        <v>58</v>
      </c>
      <c r="W28" s="73" t="n">
        <v>99</v>
      </c>
      <c r="X28" s="73" t="n">
        <v>161</v>
      </c>
      <c r="Y28" s="73" t="n">
        <v>37</v>
      </c>
      <c r="Z28" s="73" t="n">
        <v>31</v>
      </c>
      <c r="AA28" s="73" t="n">
        <v>37</v>
      </c>
      <c r="AB28" t="n">
        <v>24</v>
      </c>
      <c r="AC28" s="73" t="n">
        <v>23</v>
      </c>
      <c r="AD28" s="73" t="n">
        <v>65</v>
      </c>
      <c r="AE28" t="n">
        <v>0</v>
      </c>
    </row>
    <row r="29">
      <c r="B29" t="inlineStr">
        <is>
          <t>Intangible Assets</t>
        </is>
      </c>
      <c r="C29" t="n">
        <v>2192</v>
      </c>
      <c r="D29" t="n">
        <v>2016</v>
      </c>
      <c r="E29" t="n">
        <v>2194</v>
      </c>
      <c r="F29" t="n">
        <v>1956</v>
      </c>
      <c r="G29" t="n">
        <v>2158</v>
      </c>
      <c r="H29" t="n">
        <v>2538</v>
      </c>
      <c r="I29" s="73" t="n">
        <v>3484</v>
      </c>
      <c r="J29" s="73" t="n">
        <v>3750</v>
      </c>
      <c r="K29" s="73" t="n">
        <v>3836</v>
      </c>
      <c r="L29" s="73" t="n">
        <v>4865</v>
      </c>
      <c r="M29" s="73" t="n">
        <v>10284</v>
      </c>
      <c r="N29" s="73" t="n">
        <v>9287</v>
      </c>
      <c r="R29" t="inlineStr">
        <is>
          <t>Investments purchased</t>
        </is>
      </c>
      <c r="S29" s="73" t="n">
        <v>-67371</v>
      </c>
      <c r="T29" s="73" t="n">
        <v>-116847</v>
      </c>
      <c r="U29" s="73" t="n">
        <v>-121423</v>
      </c>
      <c r="V29" s="73" t="n">
        <v>-97473</v>
      </c>
      <c r="W29" s="73" t="n">
        <v>-96751</v>
      </c>
      <c r="X29" s="73" t="n">
        <v>-80002</v>
      </c>
      <c r="Y29" s="73" t="n">
        <v>-54462</v>
      </c>
      <c r="Z29" s="73" t="n">
        <v>-75374</v>
      </c>
      <c r="AA29" s="73" t="n">
        <v>-129745</v>
      </c>
      <c r="AB29" s="73" t="n">
        <v>-141011</v>
      </c>
      <c r="AC29" s="73" t="n">
        <v>-145962</v>
      </c>
      <c r="AD29" s="73" t="n">
        <v>-152114</v>
      </c>
      <c r="AE29" t="n">
        <v>0</v>
      </c>
    </row>
    <row r="30">
      <c r="B30" t="inlineStr">
        <is>
          <t>Other fixed assets</t>
        </is>
      </c>
      <c r="C30" t="n">
        <v>86</v>
      </c>
      <c r="D30" t="n">
        <v>81</v>
      </c>
      <c r="E30" t="n">
        <v>89</v>
      </c>
      <c r="F30" t="n">
        <v>115</v>
      </c>
      <c r="G30" t="n">
        <v>120</v>
      </c>
      <c r="H30" t="n">
        <v>122</v>
      </c>
      <c r="I30" t="n">
        <v>121</v>
      </c>
      <c r="J30" t="n">
        <v>126</v>
      </c>
      <c r="K30" t="n">
        <v>127</v>
      </c>
      <c r="L30" t="n">
        <v>129</v>
      </c>
      <c r="M30" t="n">
        <v>228</v>
      </c>
      <c r="N30" s="73" t="n">
        <v>0</v>
      </c>
      <c r="O30" s="73" t="n"/>
      <c r="R30" t="inlineStr">
        <is>
          <t>Investments sold</t>
        </is>
      </c>
      <c r="S30" s="73" t="n">
        <v>69361</v>
      </c>
      <c r="T30" s="73" t="n">
        <v>97154</v>
      </c>
      <c r="U30" s="73" t="n">
        <v>102798</v>
      </c>
      <c r="V30" s="73" t="n">
        <v>103482</v>
      </c>
      <c r="W30" s="73" t="n">
        <v>104133</v>
      </c>
      <c r="X30" s="73" t="n">
        <v>84089</v>
      </c>
      <c r="Y30" s="73" t="n">
        <v>51630</v>
      </c>
      <c r="Z30" s="73" t="n">
        <v>73852</v>
      </c>
      <c r="AA30" s="73" t="n">
        <v>122687</v>
      </c>
      <c r="AB30" s="73" t="n">
        <v>147204</v>
      </c>
      <c r="AC30" s="73" t="n">
        <v>147695</v>
      </c>
      <c r="AD30" s="73" t="n">
        <v>148023</v>
      </c>
      <c r="AE30" t="n">
        <v>0</v>
      </c>
    </row>
    <row r="31">
      <c r="B31" t="inlineStr">
        <is>
          <t>Gross Block</t>
        </is>
      </c>
      <c r="C31" s="73" t="n">
        <v>21586</v>
      </c>
      <c r="D31" s="73" t="n">
        <v>22988</v>
      </c>
      <c r="E31" s="73" t="n">
        <v>25003</v>
      </c>
      <c r="F31" s="73" t="n">
        <v>26593</v>
      </c>
      <c r="G31" s="73" t="n">
        <v>37984</v>
      </c>
      <c r="H31" s="73" t="n">
        <v>40451</v>
      </c>
      <c r="I31" s="73" t="n">
        <v>41541</v>
      </c>
      <c r="J31" s="73" t="n">
        <v>45414</v>
      </c>
      <c r="K31" s="73" t="n">
        <v>47418</v>
      </c>
      <c r="L31" s="73" t="n">
        <v>51546</v>
      </c>
      <c r="M31" s="73" t="n">
        <v>60747</v>
      </c>
      <c r="N31" s="73" t="n">
        <v>0</v>
      </c>
      <c r="O31" s="73" t="n"/>
      <c r="R31" t="inlineStr">
        <is>
          <t>Interest received</t>
        </is>
      </c>
      <c r="S31" t="n">
        <v>1994</v>
      </c>
      <c r="T31" t="n">
        <v>1816</v>
      </c>
      <c r="U31" s="73" t="n">
        <v>1788</v>
      </c>
      <c r="V31" s="73" t="n">
        <v>2623</v>
      </c>
      <c r="W31" s="73" t="n">
        <v>2619</v>
      </c>
      <c r="X31" s="73" t="n">
        <v>3729</v>
      </c>
      <c r="Y31" s="73" t="n">
        <v>2730</v>
      </c>
      <c r="Z31" s="73" t="n">
        <v>2700</v>
      </c>
      <c r="AA31" s="73" t="n">
        <v>3080</v>
      </c>
      <c r="AB31" s="73" t="n">
        <v>2990</v>
      </c>
      <c r="AC31" s="73" t="n">
        <v>3056</v>
      </c>
      <c r="AD31" s="73" t="n">
        <v>3008</v>
      </c>
      <c r="AE31" t="n">
        <v>0</v>
      </c>
    </row>
    <row r="32">
      <c r="B32" s="73" t="inlineStr">
        <is>
          <t>Accumulated Depreciation</t>
        </is>
      </c>
      <c r="C32" s="73" t="n">
        <v>9812</v>
      </c>
      <c r="D32" s="73" t="n">
        <v>11287</v>
      </c>
      <c r="E32" s="73" t="n">
        <v>13030</v>
      </c>
      <c r="F32" s="73" t="n">
        <v>14303</v>
      </c>
      <c r="G32" s="73" t="n">
        <v>17056</v>
      </c>
      <c r="H32" s="73" t="n">
        <v>19430</v>
      </c>
      <c r="I32" s="73" t="n">
        <v>20243</v>
      </c>
      <c r="J32" s="73" t="n">
        <v>24899</v>
      </c>
      <c r="K32" s="73" t="n">
        <v>27814</v>
      </c>
      <c r="L32" s="73" t="n">
        <v>28493</v>
      </c>
      <c r="M32" s="73" t="n">
        <v>29404</v>
      </c>
      <c r="N32" s="73" t="n">
        <v>0</v>
      </c>
      <c r="O32" s="73" t="n"/>
      <c r="R32" t="inlineStr">
        <is>
          <t>Dividends received</t>
        </is>
      </c>
      <c r="S32" t="n">
        <v>9</v>
      </c>
      <c r="T32" t="n">
        <v>11</v>
      </c>
      <c r="U32" s="73" t="n">
        <v>1</v>
      </c>
      <c r="V32" t="n">
        <v>9</v>
      </c>
      <c r="W32" t="n">
        <v>18</v>
      </c>
      <c r="X32" t="n">
        <v>8</v>
      </c>
      <c r="Y32" s="73" t="n">
        <v>8</v>
      </c>
      <c r="Z32" s="73" t="n">
        <v>4</v>
      </c>
      <c r="AA32" s="73" t="n">
        <v>13</v>
      </c>
      <c r="AB32" s="73" t="n">
        <v>26</v>
      </c>
      <c r="AC32" s="73" t="n">
        <v>40</v>
      </c>
      <c r="AD32" s="73" t="n">
        <v>84</v>
      </c>
      <c r="AE32" t="n">
        <v>0</v>
      </c>
    </row>
    <row r="33">
      <c r="B33" t="inlineStr">
        <is>
          <t>Net Block</t>
        </is>
      </c>
      <c r="C33" s="73" t="n">
        <v>11774</v>
      </c>
      <c r="D33" s="73" t="n">
        <v>11701</v>
      </c>
      <c r="E33" s="73" t="n">
        <v>11973</v>
      </c>
      <c r="F33" s="73" t="n">
        <v>12290</v>
      </c>
      <c r="G33" s="73" t="n">
        <v>20928</v>
      </c>
      <c r="H33" s="73" t="n">
        <v>21021</v>
      </c>
      <c r="I33" s="73" t="n">
        <v>21298</v>
      </c>
      <c r="J33" s="73" t="n">
        <v>20515</v>
      </c>
      <c r="K33" s="73" t="n">
        <v>19604</v>
      </c>
      <c r="L33" s="73" t="n">
        <v>23053</v>
      </c>
      <c r="M33" s="73" t="n">
        <v>31343</v>
      </c>
      <c r="N33" s="73" t="n">
        <v>32872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1670</v>
      </c>
      <c r="D35" s="73" t="n">
        <v>1541</v>
      </c>
      <c r="E35" s="73" t="n">
        <v>1278</v>
      </c>
      <c r="F35" s="73" t="n">
        <v>963</v>
      </c>
      <c r="G35" s="73" t="n">
        <v>906</v>
      </c>
      <c r="H35" s="73" t="n">
        <v>926</v>
      </c>
      <c r="I35" s="73" t="n">
        <v>1205</v>
      </c>
      <c r="J35" s="73" t="n">
        <v>1234</v>
      </c>
      <c r="K35" s="73" t="n">
        <v>1564</v>
      </c>
      <c r="L35" s="73" t="n">
        <v>1546</v>
      </c>
      <c r="M35" s="73" t="n">
        <v>2665</v>
      </c>
      <c r="N35" s="73" t="n">
        <v>2380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22822</v>
      </c>
      <c r="D36" s="73" t="n">
        <v>41980</v>
      </c>
      <c r="E36" s="73" t="n">
        <v>36008</v>
      </c>
      <c r="F36" s="73" t="n">
        <v>29330</v>
      </c>
      <c r="G36" s="73" t="n">
        <v>26356</v>
      </c>
      <c r="H36" s="73" t="n">
        <v>29373</v>
      </c>
      <c r="I36" s="73" t="n">
        <v>30485</v>
      </c>
      <c r="J36" s="73" t="n">
        <v>37163</v>
      </c>
      <c r="K36" s="73" t="n">
        <v>31762</v>
      </c>
      <c r="L36" s="73" t="n">
        <v>30964</v>
      </c>
      <c r="M36" s="73" t="n">
        <v>33988</v>
      </c>
      <c r="N36" s="73" t="n">
        <v>40840</v>
      </c>
      <c r="O36" s="73" t="n"/>
      <c r="R36" t="inlineStr">
        <is>
          <t>Other investing items</t>
        </is>
      </c>
      <c r="S36" s="73" t="n">
        <v>-2750</v>
      </c>
      <c r="T36" s="73" t="n">
        <v>16281</v>
      </c>
      <c r="U36" s="73" t="n">
        <v>275</v>
      </c>
      <c r="V36" s="73" t="n">
        <v>-1503</v>
      </c>
      <c r="W36" s="73" t="n">
        <v>-3265</v>
      </c>
      <c r="X36" s="73" t="n">
        <v>4705</v>
      </c>
      <c r="Y36" s="73" t="n">
        <v>-1665</v>
      </c>
      <c r="Z36" s="73" t="n">
        <v>-3835</v>
      </c>
      <c r="AA36" t="n">
        <v>2215</v>
      </c>
      <c r="AB36" s="73" t="n">
        <v>-1314</v>
      </c>
      <c r="AC36" t="n">
        <v>-3229</v>
      </c>
      <c r="AD36" s="73" t="n">
        <v>1462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-17168</v>
      </c>
      <c r="T37" s="73" t="n">
        <v>-9666</v>
      </c>
      <c r="U37" s="73" t="n">
        <v>-11026</v>
      </c>
      <c r="V37" s="73" t="n">
        <v>-26885</v>
      </c>
      <c r="W37" s="73" t="n">
        <v>-27897</v>
      </c>
      <c r="X37" s="73" t="n">
        <v>-39915</v>
      </c>
      <c r="Y37" s="73" t="n">
        <v>-32634</v>
      </c>
      <c r="Z37" s="73" t="n">
        <v>-33581</v>
      </c>
      <c r="AA37" s="73" t="n">
        <v>-47878</v>
      </c>
      <c r="AB37" s="73" t="n">
        <v>-48536</v>
      </c>
      <c r="AC37" s="73" t="n">
        <v>-47438</v>
      </c>
      <c r="AD37" s="73" t="n">
        <v>-42133</v>
      </c>
      <c r="AE37" t="n">
        <v>0</v>
      </c>
    </row>
    <row r="38">
      <c r="B38" t="inlineStr">
        <is>
          <t>Other Assets -</t>
        </is>
      </c>
      <c r="C38" s="73" t="n">
        <v>52025</v>
      </c>
      <c r="D38" s="73" t="n">
        <v>47111</v>
      </c>
      <c r="E38" s="73" t="n">
        <v>55867</v>
      </c>
      <c r="F38" s="73" t="n">
        <v>71318</v>
      </c>
      <c r="G38" s="73" t="n">
        <v>71937</v>
      </c>
      <c r="H38" s="73" t="n">
        <v>78672</v>
      </c>
      <c r="I38" s="73" t="n">
        <v>87936</v>
      </c>
      <c r="J38" s="73" t="n">
        <v>83947</v>
      </c>
      <c r="K38" s="73" t="n">
        <v>92542</v>
      </c>
      <c r="L38" s="73" t="n">
        <v>103086</v>
      </c>
      <c r="M38" s="73" t="n">
        <v>113171</v>
      </c>
      <c r="N38" s="73" t="n">
        <v>114690</v>
      </c>
      <c r="O38" s="73" t="n"/>
      <c r="R38" t="inlineStr">
        <is>
          <t>Proceeds from shares</t>
        </is>
      </c>
      <c r="S38" t="n">
        <v>0</v>
      </c>
      <c r="T38" t="n">
        <v>2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18</v>
      </c>
      <c r="AB38" s="73" t="n">
        <v>425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16</v>
      </c>
      <c r="D39" s="73" t="n">
        <v>21</v>
      </c>
      <c r="E39" s="73" t="n">
        <v>26</v>
      </c>
      <c r="F39" s="73" t="n">
        <v>10</v>
      </c>
      <c r="G39" s="73" t="n">
        <v>5</v>
      </c>
      <c r="H39" s="73" t="n">
        <v>8</v>
      </c>
      <c r="I39" s="73" t="n">
        <v>20</v>
      </c>
      <c r="J39" s="73" t="n">
        <v>28</v>
      </c>
      <c r="K39" s="73" t="n">
        <v>28</v>
      </c>
      <c r="L39" s="73" t="n">
        <v>21</v>
      </c>
      <c r="M39" s="73" t="n">
        <v>29</v>
      </c>
      <c r="N39" s="73" t="n">
        <v>28</v>
      </c>
      <c r="O39" s="73" t="n"/>
      <c r="R39" t="inlineStr">
        <is>
          <t>Proceeds from borrowings</t>
        </is>
      </c>
      <c r="S39" t="n">
        <v>43</v>
      </c>
      <c r="T39" t="n">
        <v>0</v>
      </c>
      <c r="U39" t="n">
        <v>87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24073</v>
      </c>
      <c r="D40" s="73" t="n">
        <v>22617</v>
      </c>
      <c r="E40" s="73" t="n">
        <v>24943</v>
      </c>
      <c r="F40" s="73" t="n">
        <v>27346</v>
      </c>
      <c r="G40" s="73" t="n">
        <v>30532</v>
      </c>
      <c r="H40" s="73" t="n">
        <v>30079</v>
      </c>
      <c r="I40" s="73" t="n">
        <v>41810</v>
      </c>
      <c r="J40" s="73" t="n">
        <v>49954</v>
      </c>
      <c r="K40" s="73" t="n">
        <v>53577</v>
      </c>
      <c r="L40" s="73" t="n">
        <v>59046</v>
      </c>
      <c r="M40" s="73" t="n">
        <v>67714</v>
      </c>
      <c r="N40" s="73" t="n">
        <v>58516</v>
      </c>
      <c r="O40" s="73" t="n"/>
      <c r="R40" t="inlineStr">
        <is>
          <t>Repayment of borrowings</t>
        </is>
      </c>
      <c r="S40" t="n">
        <v>-0</v>
      </c>
      <c r="T40" t="n">
        <v>-73</v>
      </c>
      <c r="U40" t="n">
        <v>0</v>
      </c>
      <c r="V40" s="73" t="n">
        <v>-19</v>
      </c>
      <c r="W40" t="n">
        <v>-181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t="n">
        <v>0</v>
      </c>
    </row>
    <row r="41">
      <c r="B41" t="inlineStr">
        <is>
          <t>Cash Equivalents</t>
        </is>
      </c>
      <c r="C41" s="73" t="n">
        <v>6788</v>
      </c>
      <c r="D41" s="73" t="n">
        <v>4149</v>
      </c>
      <c r="E41" s="73" t="n">
        <v>7161</v>
      </c>
      <c r="F41" s="73" t="n">
        <v>12848</v>
      </c>
      <c r="G41" s="73" t="n">
        <v>9666</v>
      </c>
      <c r="H41" s="73" t="n">
        <v>9329</v>
      </c>
      <c r="I41" s="73" t="n">
        <v>18221</v>
      </c>
      <c r="J41" s="73" t="n">
        <v>11032</v>
      </c>
      <c r="K41" s="73" t="n">
        <v>13286</v>
      </c>
      <c r="L41" s="73" t="n">
        <v>15463</v>
      </c>
      <c r="M41" s="73" t="n">
        <v>12908</v>
      </c>
      <c r="N41" s="73" t="n">
        <v>14058</v>
      </c>
      <c r="O41" s="73" t="n"/>
      <c r="R41" t="inlineStr">
        <is>
          <t>Interest paid fin</t>
        </is>
      </c>
      <c r="S41" s="73" t="n">
        <v>-105</v>
      </c>
      <c r="T41" s="73" t="n">
        <v>-20</v>
      </c>
      <c r="U41" s="73" t="n">
        <v>-20</v>
      </c>
      <c r="V41" s="73" t="n">
        <v>-40</v>
      </c>
      <c r="W41" s="73" t="n">
        <v>-186</v>
      </c>
      <c r="X41" s="73" t="n">
        <v>-924</v>
      </c>
      <c r="Y41" s="73" t="n">
        <v>-634</v>
      </c>
      <c r="Z41" s="73" t="n">
        <v>-698</v>
      </c>
      <c r="AA41" s="73" t="n">
        <v>-779</v>
      </c>
      <c r="AB41" s="73" t="n">
        <v>-699</v>
      </c>
      <c r="AC41" s="73" t="n">
        <v>-840</v>
      </c>
      <c r="AD41" s="73" t="n">
        <v>-901</v>
      </c>
      <c r="AE41" t="n">
        <v>0</v>
      </c>
    </row>
    <row r="42">
      <c r="B42" t="inlineStr">
        <is>
          <t>Loans n Advances</t>
        </is>
      </c>
      <c r="C42" s="73" t="n">
        <v>3010</v>
      </c>
      <c r="D42" s="73" t="n">
        <v>2063</v>
      </c>
      <c r="E42" s="73" t="n">
        <v>1696</v>
      </c>
      <c r="F42" s="73" t="n">
        <v>3012</v>
      </c>
      <c r="G42" s="73" t="n">
        <v>1967</v>
      </c>
      <c r="H42" s="73" t="n">
        <v>5107</v>
      </c>
      <c r="I42" s="73" t="n">
        <v>3600</v>
      </c>
      <c r="J42" s="73" t="n">
        <v>2097</v>
      </c>
      <c r="K42" s="73" t="n">
        <v>3989</v>
      </c>
      <c r="L42" s="73" t="n">
        <v>4612</v>
      </c>
      <c r="M42" s="73" t="n">
        <v>6433</v>
      </c>
      <c r="N42" s="73" t="n">
        <v>4695</v>
      </c>
      <c r="O42" s="73" t="n"/>
      <c r="R42" t="inlineStr">
        <is>
          <t>Dividends paid</t>
        </is>
      </c>
      <c r="S42" s="73" t="n">
        <v>-17106</v>
      </c>
      <c r="T42" s="73" t="n">
        <v>-9515</v>
      </c>
      <c r="U42" s="73" t="n">
        <v>-10973</v>
      </c>
      <c r="V42" s="73" t="n">
        <v>-10760</v>
      </c>
      <c r="W42" s="73" t="n">
        <v>-11472</v>
      </c>
      <c r="X42" s="73" t="n">
        <v>-37702</v>
      </c>
      <c r="Y42" s="73" t="n">
        <v>-10907</v>
      </c>
      <c r="Z42" s="73" t="n">
        <v>-13375</v>
      </c>
      <c r="AA42" s="73" t="n">
        <v>-41410</v>
      </c>
      <c r="AB42" s="73" t="n">
        <v>-25218</v>
      </c>
      <c r="AC42" s="73" t="n">
        <v>-44962</v>
      </c>
      <c r="AD42" s="73" t="n">
        <v>-39571</v>
      </c>
      <c r="AE42" t="n">
        <v>0</v>
      </c>
    </row>
    <row r="43">
      <c r="B43" t="inlineStr">
        <is>
          <t>Other asset items</t>
        </is>
      </c>
      <c r="C43" s="73" t="n">
        <v>18138</v>
      </c>
      <c r="D43" s="73" t="n">
        <v>18261</v>
      </c>
      <c r="E43" s="73" t="n">
        <v>22041</v>
      </c>
      <c r="F43" s="73" t="n">
        <v>28102</v>
      </c>
      <c r="G43" s="73" t="n">
        <v>29767</v>
      </c>
      <c r="H43" s="73" t="n">
        <v>34149</v>
      </c>
      <c r="I43" s="73" t="n">
        <v>24285</v>
      </c>
      <c r="J43" s="73" t="n">
        <v>20836</v>
      </c>
      <c r="K43" s="73" t="n">
        <v>21662</v>
      </c>
      <c r="L43" s="73" t="n">
        <v>23944</v>
      </c>
      <c r="M43" s="73" t="n">
        <v>26087</v>
      </c>
      <c r="N43" s="73" t="n">
        <v>37393</v>
      </c>
      <c r="O43" s="73" t="n"/>
      <c r="R43" t="inlineStr">
        <is>
          <t>Financial liabilities</t>
        </is>
      </c>
      <c r="S43" t="n">
        <v>0</v>
      </c>
      <c r="T43" t="n">
        <v>-60</v>
      </c>
      <c r="U43" t="n">
        <v>-66</v>
      </c>
      <c r="V43" t="n">
        <v>-24</v>
      </c>
      <c r="W43" t="n">
        <v>-13</v>
      </c>
      <c r="X43" t="n">
        <v>-1062</v>
      </c>
      <c r="Y43" t="n">
        <v>-1336</v>
      </c>
      <c r="Z43" t="n">
        <v>-1417</v>
      </c>
      <c r="AA43" t="n">
        <v>-1515</v>
      </c>
      <c r="AB43" t="n">
        <v>-1614</v>
      </c>
      <c r="AC43" t="n">
        <v>-1664</v>
      </c>
      <c r="AD43" t="n">
        <v>-1861</v>
      </c>
      <c r="AE43" t="n">
        <v>0</v>
      </c>
    </row>
    <row r="44">
      <c r="B44" s="57" t="inlineStr">
        <is>
          <t>Total Assets</t>
        </is>
      </c>
      <c r="C44" s="73" t="n">
        <v>88291</v>
      </c>
      <c r="D44" s="73" t="n">
        <v>102333</v>
      </c>
      <c r="E44" s="73" t="n">
        <v>105126</v>
      </c>
      <c r="F44" s="73" t="n">
        <v>113901</v>
      </c>
      <c r="G44" s="73" t="n">
        <v>120127</v>
      </c>
      <c r="H44" s="73" t="n">
        <v>129992</v>
      </c>
      <c r="I44" s="73" t="n">
        <v>140924</v>
      </c>
      <c r="J44" s="73" t="n">
        <v>142859</v>
      </c>
      <c r="K44" s="73" t="n">
        <v>145472</v>
      </c>
      <c r="L44" s="73" t="n">
        <v>158649</v>
      </c>
      <c r="M44" s="73" t="n">
        <v>181167</v>
      </c>
      <c r="N44" s="73" t="n">
        <v>190782</v>
      </c>
      <c r="R44" t="inlineStr">
        <is>
          <t>Other financing items</t>
        </is>
      </c>
      <c r="S44" t="n">
        <v>0</v>
      </c>
      <c r="T44" t="n">
        <v>0</v>
      </c>
      <c r="U44" s="73" t="n">
        <v>-54</v>
      </c>
      <c r="V44" s="73" t="n">
        <v>-16042</v>
      </c>
      <c r="W44" s="73" t="n">
        <v>-16045</v>
      </c>
      <c r="X44" s="73" t="n">
        <v>-227</v>
      </c>
      <c r="Y44" t="n">
        <v>-19757</v>
      </c>
      <c r="Z44" t="n">
        <v>-18091</v>
      </c>
      <c r="AA44" t="n">
        <v>-4192</v>
      </c>
      <c r="AB44" t="n">
        <v>-21430</v>
      </c>
      <c r="AC44" t="n">
        <v>28</v>
      </c>
      <c r="AD44" t="n">
        <v>200</v>
      </c>
      <c r="AE44" t="n">
        <v>0</v>
      </c>
    </row>
    <row r="45">
      <c r="R45" t="inlineStr">
        <is>
          <t>Net Cash Flow</t>
        </is>
      </c>
      <c r="S45" t="n">
        <v>394</v>
      </c>
      <c r="T45" t="n">
        <v>4433</v>
      </c>
      <c r="U45" t="n">
        <v>-2698</v>
      </c>
      <c r="V45" t="n">
        <v>1286</v>
      </c>
      <c r="W45" t="n">
        <v>2341</v>
      </c>
      <c r="X45" t="n">
        <v>1422</v>
      </c>
      <c r="Y45" t="n">
        <v>-1788</v>
      </c>
      <c r="Z45" t="n">
        <v>5630</v>
      </c>
      <c r="AA45" t="n">
        <v>-5365</v>
      </c>
      <c r="AB45" t="n">
        <v>1893</v>
      </c>
      <c r="AC45" t="n">
        <v>-674</v>
      </c>
      <c r="AD45" t="n">
        <v>-1925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Infosys</t>
        </is>
      </c>
      <c r="M57" t="n">
        <v>1023.4</v>
      </c>
      <c r="N57" t="n">
        <v>405.8276</v>
      </c>
      <c r="AR57" t="n">
        <v>415324</v>
      </c>
      <c r="AS57">
        <f>AZ57-BA57</f>
        <v/>
      </c>
      <c r="AT57">
        <f>AR57+AS57</f>
        <v/>
      </c>
      <c r="AU57" t="n">
        <v>192844</v>
      </c>
      <c r="AV57" t="n">
        <v>46650</v>
      </c>
      <c r="AW57" t="n">
        <v>31180.48</v>
      </c>
      <c r="AX57" t="n">
        <v>15</v>
      </c>
      <c r="AZ57" t="n">
        <v>0</v>
      </c>
      <c r="BA57" t="n">
        <v>24000</v>
      </c>
    </row>
    <row r="58">
      <c r="K58" t="n">
        <v>2</v>
      </c>
      <c r="L58" t="inlineStr">
        <is>
          <t>HCL Technologies</t>
        </is>
      </c>
      <c r="M58" t="n">
        <v>1216.7</v>
      </c>
      <c r="N58" t="n">
        <v>271.3665</v>
      </c>
      <c r="AR58" t="n">
        <v>330171.6</v>
      </c>
      <c r="AS58">
        <f>AZ58-BA58</f>
        <v/>
      </c>
      <c r="AT58">
        <f>AR58+AS58</f>
        <v/>
      </c>
      <c r="AU58" t="n">
        <v>138316</v>
      </c>
      <c r="AV58" t="n">
        <v>27756</v>
      </c>
      <c r="AW58" t="n">
        <v>18131.34</v>
      </c>
      <c r="AX58" t="n">
        <v>15</v>
      </c>
      <c r="AZ58" t="n">
        <v>4200</v>
      </c>
      <c r="BA58" t="n">
        <v>15000</v>
      </c>
    </row>
    <row r="59">
      <c r="K59" t="n">
        <v>3</v>
      </c>
      <c r="L59" t="inlineStr">
        <is>
          <t>Wipro</t>
        </is>
      </c>
      <c r="M59" t="n">
        <v>162.57</v>
      </c>
      <c r="N59" t="n">
        <v>990.5345</v>
      </c>
      <c r="AR59" t="n">
        <v>161031.2</v>
      </c>
      <c r="AS59">
        <f>AZ59-BA59</f>
        <v/>
      </c>
      <c r="AT59">
        <f>AR59+AS59</f>
        <v/>
      </c>
      <c r="AU59" t="n">
        <v>97914.39999999999</v>
      </c>
      <c r="AV59" t="n">
        <v>20137.8</v>
      </c>
      <c r="AW59" t="n">
        <v>13220.95</v>
      </c>
      <c r="AX59" t="n">
        <v>15</v>
      </c>
      <c r="AZ59" t="n">
        <v>15000</v>
      </c>
      <c r="BA59" t="n">
        <v>22000</v>
      </c>
    </row>
    <row r="60">
      <c r="K60" t="n">
        <v>4</v>
      </c>
      <c r="L60" t="inlineStr">
        <is>
          <t>Tech Mahindra</t>
        </is>
      </c>
      <c r="M60" t="n">
        <v>1514.1</v>
      </c>
      <c r="N60" t="n">
        <v>98.0159</v>
      </c>
      <c r="AR60" t="n">
        <v>148405.9</v>
      </c>
      <c r="AS60">
        <f>AZ60-BA60</f>
        <v/>
      </c>
      <c r="AT60">
        <f>AR60+AS60</f>
        <v/>
      </c>
      <c r="AU60" t="n">
        <v>62847.6</v>
      </c>
      <c r="AV60" t="n">
        <v>8917.799999999999</v>
      </c>
      <c r="AW60" t="n">
        <v>5321.11</v>
      </c>
      <c r="AX60" t="n">
        <v>15</v>
      </c>
      <c r="AZ60" t="n">
        <v>2186</v>
      </c>
      <c r="BA60" t="n">
        <v>3426</v>
      </c>
    </row>
    <row r="61">
      <c r="K61" t="n">
        <v>5</v>
      </c>
      <c r="L61" t="inlineStr">
        <is>
          <t>Persistent Systems</t>
        </is>
      </c>
      <c r="M61" t="n">
        <v>5770</v>
      </c>
      <c r="N61" t="n">
        <v>15.775</v>
      </c>
      <c r="AR61" t="n">
        <v>91021.8</v>
      </c>
      <c r="AS61">
        <f>AZ61-BA61</f>
        <v/>
      </c>
      <c r="AT61">
        <f>AR61+AS61</f>
        <v/>
      </c>
      <c r="AU61" t="n">
        <v>17212.9</v>
      </c>
      <c r="AV61" t="n">
        <v>2898.2</v>
      </c>
      <c r="AW61" t="n">
        <v>1989.98</v>
      </c>
      <c r="AX61" t="n">
        <v>15</v>
      </c>
      <c r="AZ61" t="n">
        <v>477</v>
      </c>
      <c r="BA61" t="n">
        <v>1615</v>
      </c>
    </row>
    <row r="62">
      <c r="K62" t="n">
        <v>6</v>
      </c>
      <c r="L62" t="inlineStr">
        <is>
          <t>Coforge</t>
        </is>
      </c>
      <c r="M62" t="n">
        <v>1867.9</v>
      </c>
      <c r="N62" t="n">
        <v>44.3039</v>
      </c>
      <c r="AR62" t="n">
        <v>82755.2</v>
      </c>
      <c r="AS62">
        <f>AZ62-BA62</f>
        <v/>
      </c>
      <c r="AT62">
        <f>AR62+AS62</f>
        <v/>
      </c>
      <c r="AU62" t="n">
        <v>22110.8</v>
      </c>
      <c r="AV62" t="n">
        <v>3190.2</v>
      </c>
      <c r="AW62" t="n">
        <v>1917.4</v>
      </c>
      <c r="AX62" t="n">
        <v>15</v>
      </c>
      <c r="AZ62" t="n">
        <v>728</v>
      </c>
      <c r="BA62" t="n">
        <v>0</v>
      </c>
    </row>
    <row r="63">
      <c r="K63" t="n">
        <v>7</v>
      </c>
      <c r="L63" t="inlineStr">
        <is>
          <t>Mphasis</t>
        </is>
      </c>
      <c r="M63" t="n">
        <v>2360</v>
      </c>
      <c r="N63" t="n">
        <v>19.0949</v>
      </c>
      <c r="AR63" t="n">
        <v>45064</v>
      </c>
      <c r="AS63">
        <f>AZ63-BA63</f>
        <v/>
      </c>
      <c r="AT63">
        <f>AR63+AS63</f>
        <v/>
      </c>
      <c r="AU63" t="n">
        <v>17536.2</v>
      </c>
      <c r="AV63" t="n">
        <v>2937.1</v>
      </c>
      <c r="AW63" t="n">
        <v>1936.57</v>
      </c>
      <c r="AX63" t="n">
        <v>15</v>
      </c>
      <c r="AZ63" t="n">
        <v>2620</v>
      </c>
      <c r="BA63" t="n">
        <v>1769</v>
      </c>
    </row>
    <row r="64">
      <c r="K64" t="n">
        <v>8</v>
      </c>
      <c r="L64" t="inlineStr">
        <is>
          <t>LTM</t>
        </is>
      </c>
      <c r="M64" t="n">
        <v>4070</v>
      </c>
      <c r="N64" t="n">
        <v>29.6621</v>
      </c>
      <c r="AR64" t="n">
        <v>120724.9</v>
      </c>
      <c r="AS64">
        <f>AZ64-BA64</f>
        <v/>
      </c>
      <c r="AT64">
        <f>AR64+AS64</f>
        <v/>
      </c>
      <c r="AU64" t="n">
        <v>46432</v>
      </c>
      <c r="AV64" t="n">
        <v>8811.6</v>
      </c>
      <c r="AW64" t="n">
        <v>5609.89</v>
      </c>
      <c r="AX64" t="n">
        <v>15</v>
      </c>
      <c r="AZ64" t="n">
        <v>2310</v>
      </c>
      <c r="BA64" t="n">
        <v>12568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2026-10-10T06:20:53Z</dcterms:modified>
  <cp:lastModifiedBy>Loveish</cp:lastModifiedBy>
  <cp:lastPrinted>2012-12-06T18:14:13Z</cp:lastPrinted>
</cp:coreProperties>
</file>