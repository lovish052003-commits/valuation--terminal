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2FFE149A-B538-4346-A41D-A986F0468B15}" xr6:coauthVersionLast="47" xr6:coauthVersionMax="47" xr10:uidLastSave="{00000000-0000-0000-0000-000000000000}"/>
  <bookViews>
    <workbookView xWindow="19272" yWindow="6180" windowWidth="3768" windowHeight="6060"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<sst xmlns="http://schemas.openxmlformats.org/spreadsheetml/2006/main" count="17026" uniqueCount="8679">
  <si>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</si>
  <si>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</si>
  <si>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</si>
  <si>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</si>
  <si>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</si>
  <si>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</si>
  <si>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</si>
  <si>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</si>
  <si>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</si>
  <si>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</si>
  <si>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</si>
  <si>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</si>
  <si>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</si>
  <si>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</si>
  <si>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</si>
  <si>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</si>
  <si>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</si>
  <si>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</si>
  <si>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</si>
  <si>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</si>
  <si>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</si>
  <si>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</si>
  <si>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</si>
  <si>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</si>
  <si>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</si>
  <si>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</si>
  <si>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</si>
  <si>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</si>
  <si>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</si>
  <si>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</si>
  <si>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</si>
  <si>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</si>
  <si>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</si>
  <si>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</si>
  <si>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</si>
  <si>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</si>
  <si>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</si>
  <si>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</si>
  <si>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</si>
  <si>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</si>
  <si>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</si>
  <si>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</si>
  <si>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</si>
  <si>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</si>
  <si>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</si>
  <si>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</si>
  <si>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</si>
  <si>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</si>
  <si>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</si>
  <si>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</si>
  <si>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</si>
  <si>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</si>
  <si>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</si>
  <si>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</si>
  <si>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</si>
  <si>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</si>
  <si>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</si>
  <si>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</si>
  <si>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</si>
  <si>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</si>
  <si>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</si>
  <si>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</si>
  <si>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</si>
  <si>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</si>
  <si>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</si>
  <si>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</si>
  <si>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</si>
  <si>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</si>
  <si>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</si>
  <si>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</si>
  <si>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</si>
  <si>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</si>
  <si>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</si>
  <si>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</si>
  <si>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</si>
  <si>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</si>
  <si>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</si>
  <si>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</si>
  <si>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</si>
  <si>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</si>
  <si>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</si>
  <si>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</si>
  <si>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</si>
  <si>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</si>
  <si>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</si>
  <si>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</si>
  <si>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</si>
  <si>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</si>
  <si>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</si>
  <si>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</si>
  <si>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</si>
  <si>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</si>
  <si>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</si>
  <si>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</si>
  <si>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</si>
  <si>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</si>
  <si>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</si>
  <si>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</si>
  <si>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</si>
  <si>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</si>
  <si>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</si>
  <si>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</si>
  <si>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</si>
  <si>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</si>
  <si>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</si>
  <si>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</si>
  <si>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</si>
  <si>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</si>
  <si>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</si>
  <si>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</si>
  <si>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</si>
  <si>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</si>
  <si>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</si>
  <si>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</si>
  <si>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</si>
  <si>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</si>
  <si>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</si>
  <si>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</si>
  <si>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</si>
  <si>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</si>
  <si>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</si>
  <si>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</si>
  <si>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</si>
  <si>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</si>
  <si>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</si>
  <si>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</si>
  <si>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</si>
  <si>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</si>
  <si>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</si>
  <si>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</si>
  <si>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</si>
  <si>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</si>
  <si>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</si>
  <si>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</si>
  <si>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</si>
  <si>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</si>
  <si>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</si>
  <si>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</si>
  <si>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</si>
  <si>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</si>
  <si>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</si>
  <si>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</si>
  <si>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</si>
  <si>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</si>
  <si>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</si>
  <si>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</si>
  <si>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</si>
  <si>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</si>
  <si>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</si>
  <si>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</si>
  <si>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</si>
  <si>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</si>
  <si>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</si>
  <si>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</si>
  <si>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</si>
  <si>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</si>
  <si>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</si>
  <si>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</si>
  <si>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</si>
  <si>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</si>
  <si>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</si>
  <si>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</si>
  <si>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</si>
  <si>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</si>
  <si>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</si>
  <si>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</si>
  <si>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</si>
  <si>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</si>
  <si>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</si>
  <si>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</si>
  <si>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</si>
  <si>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</si>
  <si>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</si>
  <si>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</si>
  <si>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</si>
  <si>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</si>
  <si>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</si>
  <si>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</si>
  <si>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</si>
  <si>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</si>
  <si>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</si>
  <si>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</si>
  <si>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</si>
  <si>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</si>
  <si>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</si>
  <si>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</si>
  <si>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</si>
  <si>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</si>
  <si>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</si>
  <si>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</si>
  <si>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</si>
  <si>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</si>
  <si>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</si>
  <si>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</si>
  <si>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</si>
  <si>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</si>
  <si>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</si>
  <si>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</si>
  <si>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</si>
  <si>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</si>
  <si>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</si>
  <si>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</si>
  <si>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</si>
  <si>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</si>
  <si>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</si>
  <si>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</si>
  <si>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</si>
  <si>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</si>
  <si>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</si>
  <si>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</si>
  <si>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</si>
  <si>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</si>
  <si>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</si>
  <si>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</si>
  <si>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</si>
  <si>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</si>
  <si>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</si>
  <si>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</si>
  <si>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</si>
  <si>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</si>
  <si>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</si>
  <si>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</si>
  <si>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</si>
  <si>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</si>
  <si>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</si>
  <si>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</si>
  <si>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</si>
  <si>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</si>
  <si>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</si>
  <si>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</si>
  <si>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</si>
  <si>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</si>
  <si>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</si>
  <si>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</si>
  <si>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</si>
  <si>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</si>
  <si>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</si>
  <si>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</si>
  <si>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</si>
  <si>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</si>
  <si>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</si>
  <si>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</si>
  <si>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</si>
  <si>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</si>
  <si>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</si>
  <si>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</si>
  <si>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</si>
  <si>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</si>
  <si>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</si>
  <si>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</si>
  <si>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</si>
  <si>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</si>
  <si>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</si>
  <si>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</si>
  <si>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</si>
  <si>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</si>
  <si>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</si>
  <si>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</si>
  <si>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</si>
  <si>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</si>
  <si>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</si>
  <si>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</si>
  <si>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</si>
  <si>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</si>
  <si>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</si>
  <si>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</si>
  <si>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</si>
  <si>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</si>
  <si>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</si>
  <si>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</si>
  <si>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</si>
  <si>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</si>
  <si>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</si>
  <si>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</si>
  <si>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</si>
  <si>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</si>
  <si>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</si>
  <si>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</si>
  <si>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</si>
  <si>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</si>
  <si>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</si>
  <si>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</si>
  <si>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</si>
  <si>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</si>
  <si>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</si>
  <si>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</si>
  <si>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</si>
  <si>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</si>
  <si>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</si>
  <si>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</si>
  <si>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</si>
  <si>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</si>
  <si>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</si>
  <si>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</si>
  <si>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</si>
  <si>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</si>
  <si>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</si>
  <si>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</si>
  <si>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</si>
  <si>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</si>
  <si>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</si>
  <si>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</si>
  <si>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</si>
  <si>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</si>
  <si>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</si>
  <si>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</si>
  <si>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</si>
  <si>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</si>
  <si>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</si>
  <si>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</si>
  <si>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</si>
  <si>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</si>
  <si>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</si>
  <si>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</si>
  <si>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</si>
  <si>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</si>
  <si>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</si>
  <si>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</si>
  <si>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</si>
  <si>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</si>
  <si>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</si>
  <si>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</si>
  <si>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</si>
  <si>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</si>
  <si>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</si>
  <si>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</si>
  <si>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</si>
  <si>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</si>
  <si>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</si>
  <si>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</si>
  <si>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</si>
  <si>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</si>
  <si>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</si>
  <si>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</si>
  <si>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</si>
  <si>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</si>
  <si>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Nestle India</t>
  </si>
  <si>
    <t>Varun Beverages</t>
  </si>
  <si>
    <t>Marico</t>
  </si>
  <si>
    <t>Godrej Consumer</t>
  </si>
  <si>
    <t>Dabur India</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</si>
  <si>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</si>
  <si>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</si>
  <si>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</si>
  <si>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</si>
  <si>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</si>
  <si>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</si>
  <si>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</si>
  <si>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</si>
  <si>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</si>
  <si>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</si>
  <si>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</si>
  <si>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</si>
  <si>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</si>
  <si>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</si>
  <si>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</si>
  <si>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</si>
  <si>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</si>
  <si>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</si>
  <si>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</si>
  <si>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</si>
  <si>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</si>
  <si>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</si>
  <si>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</si>
  <si>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</si>
  <si>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</si>
  <si>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</si>
  <si>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</si>
  <si>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</si>
  <si>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</si>
  <si>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</si>
  <si>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</si>
  <si>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</si>
  <si>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</si>
  <si>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</si>
  <si>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</si>
  <si>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</si>
  <si>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</si>
  <si>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</si>
  <si>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</si>
  <si>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</si>
  <si>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</si>
  <si>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</si>
  <si>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</si>
  <si>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</si>
  <si>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</si>
  <si>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</si>
  <si>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</si>
  <si>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</si>
  <si>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</si>
  <si>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</si>
  <si>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</si>
  <si>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</si>
  <si>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</si>
  <si>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</si>
  <si>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</si>
  <si>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</si>
  <si>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</si>
  <si>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</si>
  <si>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</si>
  <si>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</si>
  <si>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</si>
  <si>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</si>
  <si>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</si>
  <si>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</si>
  <si>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</si>
  <si>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</si>
  <si>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</si>
  <si>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</si>
  <si>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</si>
  <si>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</si>
  <si>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</si>
  <si>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</si>
  <si>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</si>
  <si>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</si>
  <si>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</si>
  <si>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</si>
  <si>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</si>
  <si>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</si>
  <si>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</si>
  <si>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</si>
  <si>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</si>
  <si>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</si>
  <si>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</si>
  <si>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</si>
  <si>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</si>
  <si>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</si>
  <si>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</si>
  <si>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</si>
  <si>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</si>
  <si>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</si>
  <si>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</si>
  <si>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</si>
  <si>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</si>
  <si>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</si>
  <si>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</si>
  <si>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</si>
  <si>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</si>
  <si>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</si>
  <si>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</si>
  <si>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</si>
  <si>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</si>
  <si>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</si>
  <si>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</si>
  <si>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</si>
  <si>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</si>
  <si>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</si>
  <si>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</si>
  <si>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</si>
  <si>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</si>
  <si>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</si>
  <si>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</si>
  <si>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</si>
  <si>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</si>
  <si>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</si>
  <si>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</si>
  <si>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</si>
  <si>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</si>
  <si>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</si>
  <si>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</si>
  <si>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</si>
  <si>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</si>
  <si>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</si>
  <si>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</si>
  <si>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</si>
  <si>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</si>
  <si>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</si>
  <si>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</si>
  <si>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</si>
  <si>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</si>
  <si>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</si>
  <si>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</si>
  <si>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</si>
  <si>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</si>
  <si>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</si>
  <si>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</si>
  <si>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</si>
  <si>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</si>
  <si>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</si>
  <si>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</si>
  <si>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</si>
  <si>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</si>
  <si>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</si>
  <si>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</si>
  <si>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</si>
  <si>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</si>
  <si>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</si>
  <si>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</si>
  <si>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</si>
  <si>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</si>
  <si>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</si>
  <si>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</si>
  <si>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</si>
  <si>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</si>
  <si>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</si>
  <si>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</si>
  <si>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</si>
  <si>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</si>
  <si>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</si>
  <si>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</si>
  <si>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</si>
  <si>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</si>
  <si>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</si>
  <si>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</si>
  <si>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</si>
  <si>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</si>
  <si>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</si>
  <si>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</si>
  <si>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</si>
  <si>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</si>
  <si>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</si>
  <si>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</si>
  <si>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</si>
  <si>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</si>
  <si>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</si>
  <si>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</si>
  <si>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</si>
  <si>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</si>
  <si>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</si>
  <si>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</si>
  <si>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</si>
  <si>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</si>
  <si>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</si>
  <si>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</si>
  <si>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</si>
  <si>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</si>
  <si>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</si>
  <si>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</si>
  <si>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</si>
  <si>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</si>
  <si>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</si>
  <si>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</si>
  <si>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</si>
  <si>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</si>
  <si>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</si>
  <si>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</si>
  <si>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</si>
  <si>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</si>
  <si>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</si>
  <si>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</si>
  <si>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</si>
  <si>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</si>
  <si>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</si>
  <si>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</si>
  <si>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</si>
  <si>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</si>
  <si>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</si>
  <si>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</si>
  <si>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</si>
  <si>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</si>
  <si>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</si>
  <si>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</si>
  <si>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</si>
  <si>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</si>
  <si>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</si>
  <si>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</si>
  <si>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</si>
  <si>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</si>
  <si>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</si>
  <si>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</si>
  <si>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</si>
  <si>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</si>
  <si>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</si>
  <si>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</si>
  <si>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</si>
  <si>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</si>
  <si>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</si>
  <si>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</si>
  <si>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</si>
  <si>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</si>
  <si>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</si>
  <si>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</si>
  <si>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</si>
  <si>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</si>
  <si>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</si>
  <si>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</si>
  <si>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</si>
  <si>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</si>
  <si>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</si>
  <si>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</si>
  <si>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</si>
  <si>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</si>
  <si>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</si>
  <si>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</si>
  <si>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</si>
  <si>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</si>
  <si>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</si>
  <si>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</si>
  <si>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</si>
  <si>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</si>
  <si>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</si>
  <si>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</si>
  <si>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</si>
  <si>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</si>
  <si>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</si>
  <si>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</si>
  <si>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</si>
  <si>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</si>
  <si>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</si>
  <si>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</si>
  <si>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</si>
  <si>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</si>
  <si>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</si>
  <si>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</si>
  <si>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</si>
  <si>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</si>
  <si>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</si>
  <si>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</si>
  <si>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</si>
  <si>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</si>
  <si>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</si>
  <si>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</si>
  <si>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</si>
  <si>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</si>
  <si>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</si>
  <si>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</si>
  <si>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</si>
  <si>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</si>
  <si>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</si>
  <si>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</si>
  <si>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</si>
  <si>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</si>
  <si>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</si>
  <si>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</si>
  <si>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</si>
  <si>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</si>
  <si>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</si>
  <si>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</si>
  <si>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</si>
  <si>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</si>
  <si>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</si>
  <si>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</si>
  <si>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</si>
  <si>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</si>
  <si>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</si>
  <si>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</si>
  <si>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</si>
  <si>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</si>
  <si>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</si>
  <si>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</si>
  <si>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</si>
  <si>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</si>
  <si>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</si>
  <si>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</si>
  <si>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</si>
  <si>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</si>
  <si>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</si>
  <si>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</si>
  <si>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</si>
  <si>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</si>
  <si>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</si>
  <si>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</si>
  <si>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</si>
  <si>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</si>
  <si>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</si>
  <si>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</si>
  <si>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</si>
  <si>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</si>
  <si>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</si>
  <si>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</si>
  <si>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</si>
  <si>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</si>
  <si>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</si>
  <si>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</si>
  <si>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</si>
  <si>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</si>
  <si>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</si>
  <si>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</si>
  <si>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</si>
  <si>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</si>
  <si>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</si>
  <si>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</si>
  <si>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</si>
  <si>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</si>
  <si>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</si>
  <si>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</si>
  <si>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</si>
  <si>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</si>
  <si>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</si>
  <si>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</si>
  <si>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</si>
  <si>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</si>
  <si>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</si>
  <si>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</si>
  <si>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</si>
  <si>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</si>
  <si>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</si>
  <si>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</si>
  <si>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</si>
  <si>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</si>
  <si>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</si>
  <si>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</si>
  <si>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</si>
  <si>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</si>
  <si>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</si>
  <si>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</si>
  <si>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</si>
  <si>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</si>
  <si>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</si>
  <si>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</si>
  <si>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</si>
  <si>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</si>
  <si>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</si>
  <si>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</si>
  <si>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</si>
  <si>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</si>
  <si>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</si>
  <si>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</si>
  <si>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</si>
  <si>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</si>
  <si>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</si>
  <si>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</si>
  <si>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</si>
  <si>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</si>
  <si>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</si>
  <si>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</si>
  <si>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</si>
  <si>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</si>
  <si>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</si>
  <si>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</si>
  <si>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</si>
  <si>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</si>
  <si>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</si>
  <si>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</si>
  <si>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</si>
  <si>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</si>
  <si>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</si>
  <si>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</si>
  <si>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</si>
  <si>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</si>
  <si>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</si>
  <si>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</si>
  <si>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</si>
  <si>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</si>
  <si>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</si>
  <si>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</si>
  <si>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</si>
  <si>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</si>
  <si>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</si>
  <si>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</si>
  <si>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</si>
  <si>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</si>
  <si>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</si>
  <si>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</si>
  <si>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</si>
  <si>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</si>
  <si>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</si>
  <si>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</si>
  <si>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</si>
  <si>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</si>
  <si>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</si>
  <si>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</si>
  <si>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</si>
  <si>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</si>
  <si>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</si>
  <si>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</si>
  <si>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</si>
  <si>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</si>
  <si>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</si>
  <si>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</si>
  <si>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</si>
  <si>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</si>
  <si>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</si>
  <si>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</si>
  <si>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</si>
  <si>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</si>
  <si>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</si>
  <si>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</si>
  <si>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</si>
  <si>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</si>
  <si>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</si>
  <si>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</si>
  <si>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</si>
  <si>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</si>
  <si>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</si>
  <si>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</si>
  <si>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</si>
  <si>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</si>
  <si>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</si>
  <si>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</si>
  <si>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</si>
  <si>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</si>
  <si>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</si>
  <si>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</si>
  <si>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</si>
  <si>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</si>
  <si>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</si>
  <si>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</si>
  <si>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</si>
  <si>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</si>
  <si>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</si>
  <si>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</si>
  <si>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</si>
  <si>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</si>
  <si>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</si>
  <si>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</si>
  <si>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</si>
  <si>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</si>
  <si>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</si>
  <si>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</si>
  <si>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</si>
  <si>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</si>
  <si>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</si>
  <si>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</si>
  <si>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</si>
  <si>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</si>
  <si>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</si>
  <si>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</si>
  <si>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</si>
  <si>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</si>
  <si>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</si>
  <si>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</si>
  <si>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</si>
  <si>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</si>
  <si>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</si>
  <si>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</si>
  <si>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</si>
  <si>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</si>
  <si>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</si>
  <si>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</si>
  <si>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</si>
  <si>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</si>
  <si>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</si>
  <si>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</si>
  <si>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</si>
  <si>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</si>
  <si>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</si>
  <si>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</si>
  <si>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</si>
  <si>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</si>
  <si>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</si>
  <si>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</si>
  <si>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</si>
  <si>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</si>
  <si>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</si>
  <si>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</si>
  <si>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</si>
  <si>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</si>
  <si>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</si>
  <si>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</si>
  <si>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</si>
  <si>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</si>
  <si>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</si>
  <si>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</si>
  <si>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</si>
  <si>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</si>
  <si>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</si>
  <si>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</si>
  <si>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</si>
  <si>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</si>
  <si>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</si>
  <si>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</si>
  <si>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</si>
  <si>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</si>
  <si>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</si>
  <si>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</si>
  <si>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</si>
  <si>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</si>
  <si>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</si>
  <si>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</si>
  <si>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</si>
  <si>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</si>
  <si>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</si>
  <si>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</si>
  <si>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</si>
  <si>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</si>
  <si>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</si>
  <si>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</si>
  <si>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</si>
  <si>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</si>
  <si>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</si>
  <si>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</si>
  <si>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</si>
  <si>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</si>
  <si>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</si>
  <si>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</si>
  <si>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</si>
  <si>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</si>
  <si>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</si>
  <si>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</si>
  <si>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</si>
  <si>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</si>
  <si>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</si>
  <si>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</si>
  <si>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</si>
  <si>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</si>
  <si>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</si>
  <si>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</si>
  <si>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</si>
  <si>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</si>
  <si>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</si>
  <si>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</si>
  <si>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</si>
  <si>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</si>
  <si>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</si>
  <si>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</si>
  <si>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</si>
  <si>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</si>
  <si>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</si>
  <si>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</si>
  <si>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</si>
  <si>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</si>
  <si>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</si>
  <si>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</si>
  <si>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</si>
  <si>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</si>
  <si>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</si>
  <si>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</si>
  <si>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</si>
  <si>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</si>
  <si>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</si>
  <si>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</si>
  <si>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</si>
  <si>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</si>
  <si>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</si>
  <si>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</si>
  <si>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</si>
  <si>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</si>
  <si>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</si>
  <si>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</si>
  <si>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</si>
  <si>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</si>
  <si>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</si>
  <si>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</si>
  <si>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</si>
  <si>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</si>
  <si>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</si>
  <si>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</si>
  <si>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</si>
  <si>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</si>
  <si>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</si>
  <si>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</si>
  <si>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</si>
  <si>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</si>
  <si>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</si>
  <si>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</si>
  <si>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</si>
  <si>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</si>
  <si>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</si>
  <si>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</si>
  <si>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</si>
  <si>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</si>
  <si>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</si>
  <si>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</si>
  <si>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</si>
  <si>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</si>
  <si>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</si>
  <si>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</si>
  <si>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</si>
  <si>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</si>
  <si>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</si>
  <si>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</si>
  <si>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</si>
  <si>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</si>
  <si>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</si>
  <si>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</si>
  <si>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</si>
  <si>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</si>
  <si>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</si>
  <si>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</si>
  <si>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</si>
  <si>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</si>
  <si>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</si>
  <si>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</si>
  <si>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</si>
  <si>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</si>
  <si>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</si>
  <si>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</si>
  <si>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</si>
  <si>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</si>
  <si>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</si>
  <si>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</si>
  <si>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</si>
  <si>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</si>
  <si>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</si>
  <si>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</si>
  <si>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</si>
  <si>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</si>
  <si>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</si>
  <si>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</si>
  <si>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</si>
  <si>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</si>
  <si>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</si>
  <si>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</si>
  <si>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</si>
  <si>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</si>
  <si>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</si>
  <si>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</si>
  <si>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</si>
  <si>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</si>
  <si>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</si>
  <si>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</si>
  <si>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</si>
  <si>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</si>
  <si>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</si>
  <si>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</si>
  <si>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</si>
  <si>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</si>
  <si>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</si>
  <si>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</si>
  <si>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</si>
  <si>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</si>
  <si>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</si>
  <si>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</si>
  <si>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</si>
  <si>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</si>
  <si>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</si>
  <si>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</si>
  <si>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</si>
  <si>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</si>
  <si>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</si>
  <si>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</si>
  <si>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</si>
  <si>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</si>
  <si>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</si>
  <si>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</si>
  <si>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</si>
  <si>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</si>
  <si>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</si>
  <si>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</si>
  <si>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</si>
  <si>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</si>
  <si>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</si>
  <si>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</si>
  <si>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</si>
  <si>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</si>
  <si>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</si>
  <si>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</si>
  <si>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</si>
  <si>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</si>
  <si>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</si>
  <si>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</si>
  <si>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</si>
  <si>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</si>
  <si>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</si>
  <si>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</si>
  <si>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</si>
  <si>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</si>
  <si>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</si>
  <si>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</si>
  <si>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</si>
  <si>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</si>
  <si>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</si>
  <si>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</si>
  <si>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</si>
  <si>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</si>
  <si>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</si>
  <si>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</si>
  <si>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</si>
  <si>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</si>
  <si>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</si>
  <si>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</si>
  <si>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</si>
  <si>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</si>
  <si>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</si>
  <si>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</si>
  <si>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</si>
  <si>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</si>
  <si>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</si>
  <si>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</si>
  <si>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</si>
  <si>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</si>
  <si>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</si>
  <si>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</si>
  <si>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</si>
  <si>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</si>
  <si>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</si>
  <si>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</si>
  <si>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</si>
  <si>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</si>
  <si>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</si>
  <si>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</si>
  <si>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</si>
  <si>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</si>
  <si>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</si>
  <si>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</si>
  <si>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</si>
  <si>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</si>
  <si>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</si>
  <si>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</si>
  <si>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</si>
  <si>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</si>
  <si>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</si>
  <si>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</si>
  <si>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</si>
  <si>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</si>
  <si>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</si>
  <si>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</si>
  <si>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</si>
  <si>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</si>
  <si>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</si>
  <si>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</si>
  <si>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</si>
  <si>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</si>
  <si>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</si>
  <si>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</si>
  <si>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</si>
  <si>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</si>
  <si>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</si>
  <si>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</si>
  <si>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</si>
  <si>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</si>
  <si>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</si>
  <si>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</si>
  <si>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</si>
  <si>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</si>
  <si>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</si>
  <si>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</si>
  <si>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</si>
  <si>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</si>
  <si>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</si>
  <si>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</si>
  <si>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</si>
  <si>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</si>
  <si>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</si>
  <si>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</si>
  <si>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</si>
  <si>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</si>
  <si>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</si>
  <si>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</si>
  <si>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</si>
  <si>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</si>
  <si>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</si>
  <si>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</si>
  <si>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</si>
  <si>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</si>
  <si>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</si>
  <si>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</si>
  <si>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</si>
  <si>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</si>
  <si>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</si>
  <si>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</si>
  <si>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</si>
  <si>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</si>
  <si>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</si>
  <si>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</si>
  <si>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</si>
  <si>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</si>
  <si>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</si>
  <si>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</si>
  <si>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</si>
  <si>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</si>
  <si>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</si>
  <si>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</si>
  <si>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</si>
  <si>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</si>
  <si>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</si>
  <si>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</si>
  <si>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</si>
  <si>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</si>
  <si>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</si>
  <si>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</si>
  <si>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</si>
  <si>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</si>
  <si>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</si>
  <si>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</si>
  <si>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</si>
  <si>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</si>
  <si>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</si>
  <si>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</si>
  <si>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</si>
  <si>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</si>
  <si>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</si>
  <si>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</si>
  <si>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</si>
  <si>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</si>
  <si>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</si>
  <si>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</si>
  <si>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</si>
  <si>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</si>
  <si>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</si>
  <si>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</si>
  <si>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</si>
  <si>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</si>
  <si>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</si>
  <si>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</si>
  <si>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</si>
  <si>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</si>
  <si>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</si>
  <si>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</si>
  <si>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</si>
  <si>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</si>
  <si>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</si>
  <si>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</si>
  <si>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</si>
  <si>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</si>
  <si>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</si>
  <si>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</si>
  <si>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</si>
  <si>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</si>
  <si>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</si>
  <si>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</si>
  <si>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</si>
  <si>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</si>
  <si>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</si>
  <si>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</si>
  <si>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</si>
  <si>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</si>
  <si>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</si>
  <si>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</si>
  <si>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</si>
  <si>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</si>
  <si>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</si>
  <si>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</si>
  <si>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</si>
  <si>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</si>
  <si>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</si>
  <si>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</si>
  <si>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</si>
  <si>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</si>
  <si>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</si>
  <si>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</si>
  <si>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</si>
  <si>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</si>
  <si>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</si>
  <si>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</si>
  <si>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</si>
  <si>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</si>
  <si>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</si>
  <si>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</si>
  <si>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</si>
  <si>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</si>
  <si>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</si>
  <si>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</si>
  <si>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</si>
  <si>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</si>
  <si>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</si>
  <si>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</si>
  <si>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</si>
  <si>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</si>
  <si>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</si>
  <si>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</si>
  <si>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</si>
  <si>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</si>
  <si>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</si>
  <si>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</si>
  <si>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</si>
  <si>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</si>
  <si>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</si>
  <si>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</si>
  <si>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</si>
  <si>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</si>
  <si>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</si>
  <si>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</si>
  <si>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</si>
  <si>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</si>
  <si>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</si>
  <si>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</si>
  <si>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</si>
  <si>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</si>
  <si>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</si>
  <si>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</si>
  <si>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</si>
  <si>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</si>
  <si>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</si>
  <si>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</si>
  <si>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</si>
  <si>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</si>
  <si>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</si>
  <si>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</si>
  <si>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</si>
  <si>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</si>
  <si>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</si>
  <si>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</si>
  <si>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</si>
  <si>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</si>
  <si>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</si>
  <si>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</si>
  <si>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</si>
  <si>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</si>
  <si>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</si>
  <si>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</si>
  <si>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</si>
  <si>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</si>
  <si>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</si>
  <si>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</si>
  <si>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</si>
  <si>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</si>
  <si>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</si>
  <si>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</si>
  <si>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</si>
  <si>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</si>
  <si>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</si>
  <si>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</si>
  <si>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</si>
  <si>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</si>
  <si>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</si>
  <si>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</si>
  <si>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</si>
  <si>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</si>
  <si>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</si>
  <si>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</si>
  <si>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</si>
  <si>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</si>
  <si>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</si>
  <si>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</si>
  <si>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</si>
  <si>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</si>
  <si>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</si>
  <si>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</si>
  <si>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</si>
  <si>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</si>
  <si>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</si>
  <si>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</si>
  <si>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</si>
  <si>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</si>
  <si>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</si>
  <si>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</si>
  <si>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</si>
  <si>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</si>
  <si>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</si>
  <si>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</si>
  <si>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</si>
  <si>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</si>
  <si>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</si>
  <si>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</si>
  <si>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</si>
  <si>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</si>
  <si>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</si>
  <si>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</si>
  <si>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</si>
  <si>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</si>
  <si>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</si>
  <si>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</si>
  <si>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</si>
  <si>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</si>
  <si>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</si>
  <si>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</si>
  <si>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</si>
  <si>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</si>
  <si>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</si>
  <si>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</si>
  <si>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</si>
  <si>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</si>
  <si>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</si>
  <si>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</si>
  <si>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</si>
  <si>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</si>
  <si>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</si>
  <si>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</si>
  <si>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</si>
  <si>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</si>
  <si>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</si>
  <si>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</si>
  <si>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</si>
  <si>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</si>
  <si>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</si>
  <si>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</si>
  <si>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</si>
  <si>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</si>
  <si>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</si>
  <si>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</si>
  <si>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</si>
  <si>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</si>
  <si>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</si>
  <si>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</si>
  <si>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</si>
  <si>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</si>
  <si>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</si>
  <si>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</si>
  <si>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</si>
  <si>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</si>
  <si>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</si>
  <si>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</si>
  <si>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</si>
  <si>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</si>
  <si>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</si>
  <si>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</si>
  <si>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</si>
  <si>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</si>
  <si>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</si>
  <si>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</si>
  <si>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</si>
  <si>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</si>
  <si>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</si>
  <si>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</si>
  <si>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</si>
  <si>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</si>
  <si>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</si>
  <si>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</si>
  <si>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</si>
  <si>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</si>
  <si>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</si>
  <si>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</si>
  <si>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</si>
  <si>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</si>
  <si>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</si>
  <si>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</si>
  <si>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</si>
  <si>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</si>
  <si>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</si>
  <si>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</si>
  <si>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</si>
  <si>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</si>
  <si>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</si>
  <si>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</si>
  <si>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</si>
  <si>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</si>
  <si>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</si>
  <si>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</si>
  <si>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</si>
  <si>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</si>
  <si>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</si>
  <si>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</si>
  <si>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</si>
  <si>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</si>
  <si>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</si>
  <si>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</si>
  <si>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</si>
  <si>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</si>
  <si>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</si>
  <si>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</si>
  <si>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</si>
  <si>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</si>
  <si>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</si>
  <si>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</si>
  <si>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</si>
  <si>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</si>
  <si>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</si>
  <si>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</si>
  <si>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</si>
  <si>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</si>
  <si>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</si>
  <si>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</si>
  <si>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</si>
  <si>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</si>
  <si>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</si>
  <si>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</si>
  <si>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</si>
  <si>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</si>
  <si>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</si>
  <si>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</si>
  <si>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</si>
  <si>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</si>
  <si>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</si>
  <si>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</si>
  <si>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</si>
  <si>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</si>
  <si>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</si>
  <si>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</si>
  <si>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</si>
  <si>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</si>
  <si>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</si>
  <si>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</si>
  <si>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</si>
  <si>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</si>
  <si>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</si>
  <si>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</si>
  <si>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</si>
  <si>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</si>
  <si>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</si>
  <si>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</si>
  <si>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</si>
  <si>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</si>
  <si>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</si>
  <si>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</si>
  <si>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</si>
  <si>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</si>
  <si>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</si>
  <si>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</si>
  <si>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</si>
  <si>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</si>
  <si>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</si>
  <si>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</si>
  <si>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</si>
  <si>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</si>
  <si>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</si>
  <si>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</si>
  <si>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</si>
  <si>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</si>
  <si>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</si>
  <si>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</si>
  <si>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</si>
  <si>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</si>
  <si>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</si>
  <si>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</si>
  <si>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</si>
  <si>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</si>
  <si>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</si>
  <si>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</si>
  <si>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</si>
  <si>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</si>
  <si>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</si>
  <si>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</si>
  <si>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</si>
  <si>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</si>
  <si>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</si>
  <si>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</si>
  <si>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</si>
  <si>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</si>
  <si>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</si>
  <si>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</si>
  <si>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</si>
  <si>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</si>
  <si>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</si>
  <si>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</si>
  <si>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</si>
  <si>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</si>
  <si>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</si>
  <si>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</si>
  <si>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</si>
  <si>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</si>
  <si>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</si>
  <si>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</si>
  <si>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</si>
  <si>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</si>
  <si>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</si>
  <si>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</si>
  <si>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</si>
  <si>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</si>
  <si>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</si>
  <si>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</si>
  <si>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</si>
  <si>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</si>
  <si>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</si>
  <si>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</si>
  <si>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</si>
  <si>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</si>
  <si>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</si>
  <si>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</si>
  <si>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</si>
  <si>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</si>
  <si>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</si>
  <si>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</si>
  <si>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</si>
  <si>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</si>
  <si>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</si>
  <si>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</si>
  <si>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</si>
  <si>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</si>
  <si>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</si>
  <si>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</si>
  <si>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</si>
  <si>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</si>
  <si>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</si>
  <si>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</si>
  <si>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</si>
  <si>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</si>
  <si>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</si>
  <si>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</si>
  <si>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</si>
  <si>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</si>
  <si>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</si>
  <si>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</si>
  <si>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</si>
  <si>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</si>
  <si>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</si>
  <si>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</si>
  <si>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</si>
  <si>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</si>
  <si>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</si>
  <si>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</si>
  <si>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</si>
  <si>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</si>
  <si>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</si>
  <si>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</si>
  <si>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</si>
  <si>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</si>
  <si>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</si>
  <si>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</si>
  <si>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</si>
  <si>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</si>
  <si>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</si>
  <si>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</si>
  <si>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</si>
  <si>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</si>
  <si>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</si>
  <si>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</si>
  <si>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</si>
  <si>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</si>
  <si>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</si>
  <si>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</si>
  <si>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</si>
  <si>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</si>
  <si>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</si>
  <si>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</si>
  <si>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</si>
  <si>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</si>
  <si>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</si>
  <si>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</si>
  <si>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</si>
  <si>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</si>
  <si>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</si>
  <si>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</si>
  <si>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</si>
  <si>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</si>
  <si>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</si>
  <si>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</si>
  <si>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</si>
  <si>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</si>
  <si>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</si>
  <si>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</si>
  <si>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</si>
  <si>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</si>
  <si>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</si>
  <si>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</si>
  <si>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</si>
  <si>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</si>
  <si>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</si>
  <si>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</si>
  <si>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</si>
  <si>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</si>
  <si>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</si>
  <si>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</si>
  <si>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</si>
  <si>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</si>
  <si>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</si>
  <si>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</si>
  <si>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</si>
  <si>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</si>
  <si>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</si>
  <si>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</si>
  <si>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</si>
  <si>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</si>
  <si>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</si>
  <si>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</si>
  <si>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</si>
  <si>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</si>
  <si>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</si>
  <si>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</si>
  <si>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</si>
  <si>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</si>
  <si>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</si>
  <si>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</si>
  <si>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</si>
  <si>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</si>
  <si>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</si>
  <si>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</si>
  <si>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</si>
  <si>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</si>
  <si>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</si>
  <si>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</si>
  <si>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</si>
  <si>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</si>
  <si>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</si>
  <si>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</si>
  <si>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</si>
  <si>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</si>
  <si>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</si>
  <si>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</si>
  <si>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</si>
  <si>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</si>
  <si>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</si>
  <si>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</si>
  <si>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</si>
  <si>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</si>
  <si>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</si>
  <si>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</si>
  <si>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</si>
  <si>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</si>
  <si>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</si>
  <si>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</si>
  <si>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</si>
  <si>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</si>
  <si>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</si>
  <si>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</si>
  <si>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</si>
  <si>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</si>
  <si>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</si>
  <si>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</si>
  <si>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</si>
  <si>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</si>
  <si>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</si>
  <si>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</si>
  <si>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</si>
  <si>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</si>
  <si>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</si>
  <si>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</si>
  <si>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</si>
  <si>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</si>
  <si>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</si>
  <si>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</si>
  <si>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</si>
  <si>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</si>
  <si>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</si>
  <si>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</si>
  <si>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</si>
  <si>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</si>
  <si>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</si>
  <si>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</si>
  <si>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</si>
  <si>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</si>
  <si>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</si>
  <si>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</si>
  <si>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</si>
  <si>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</si>
  <si>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</si>
  <si>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</si>
  <si>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</si>
  <si>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</si>
  <si>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</si>
  <si>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</si>
  <si>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</si>
  <si>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</si>
  <si>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</si>
  <si>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</si>
  <si>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</si>
  <si>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</si>
  <si>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</si>
  <si>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</si>
  <si>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</si>
  <si>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</si>
  <si>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</si>
  <si>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</si>
  <si>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</si>
  <si>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</si>
  <si>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</si>
  <si>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</si>
  <si>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</si>
  <si>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</si>
  <si>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</si>
  <si>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</si>
  <si>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</si>
  <si>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</si>
  <si>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</si>
  <si>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</si>
  <si>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</si>
  <si>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</si>
  <si>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</si>
  <si>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</si>
  <si>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</si>
  <si>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</si>
  <si>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</si>
  <si>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</si>
  <si>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</si>
  <si>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</si>
  <si>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</si>
  <si>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</si>
  <si>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</si>
  <si>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</si>
  <si>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</si>
  <si>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</si>
  <si>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</si>
  <si>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</si>
  <si>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</si>
  <si>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</si>
  <si>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</si>
  <si>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</si>
  <si>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</si>
  <si>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</si>
  <si>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</si>
  <si>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</si>
  <si>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</si>
  <si>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</si>
  <si>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</si>
  <si>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</si>
  <si>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</si>
  <si>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</si>
  <si>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</si>
  <si>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</si>
  <si>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</si>
  <si>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</si>
  <si>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</si>
  <si>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</si>
  <si>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</si>
  <si>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</si>
  <si>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</si>
  <si>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</si>
  <si>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</si>
  <si>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</si>
  <si>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</si>
  <si>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</si>
  <si>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</si>
  <si>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</si>
  <si>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</si>
  <si>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</si>
  <si>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</si>
  <si>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</si>
  <si>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</si>
  <si>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</si>
  <si>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</si>
  <si>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</si>
  <si>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</si>
  <si>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</si>
  <si>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</si>
  <si>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</si>
  <si>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</si>
  <si>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</si>
  <si>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</si>
  <si>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</si>
  <si>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</si>
  <si>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</si>
  <si>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</si>
  <si>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</si>
  <si>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</si>
  <si>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</si>
  <si>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</si>
  <si>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</si>
  <si>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</si>
  <si>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</si>
  <si>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</si>
  <si>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</si>
  <si>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</si>
  <si>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</si>
  <si>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</si>
  <si>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</si>
  <si>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</si>
  <si>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</si>
  <si>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</si>
  <si>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</si>
  <si>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</si>
  <si>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</si>
  <si>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</si>
  <si>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</si>
  <si>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</si>
  <si>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</si>
  <si>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</si>
  <si>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</si>
  <si>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</si>
  <si>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</si>
  <si>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</si>
  <si>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</si>
  <si>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</si>
  <si>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</si>
  <si>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</si>
  <si>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</si>
  <si>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</si>
  <si>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</si>
  <si>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</si>
  <si>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</si>
  <si>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</si>
  <si>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</si>
  <si>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</si>
  <si>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</si>
  <si>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</si>
  <si>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</si>
  <si>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</si>
  <si>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</si>
  <si>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</si>
  <si>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</si>
  <si>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</si>
  <si>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</si>
  <si>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</si>
  <si>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</si>
  <si>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</si>
  <si>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</si>
  <si>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</si>
  <si>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</si>
  <si>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</si>
  <si>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</si>
  <si>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</si>
  <si>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</si>
  <si>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</si>
  <si>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</si>
  <si>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</si>
  <si>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</si>
  <si>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</si>
  <si>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</si>
  <si>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</si>
  <si>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</si>
  <si>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</si>
  <si>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</si>
  <si>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</si>
  <si>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</si>
  <si>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</si>
  <si>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</si>
  <si>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</si>
  <si>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</si>
  <si>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</si>
  <si>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</si>
  <si>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</si>
  <si>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</si>
  <si>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</si>
  <si>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</si>
  <si>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</si>
  <si>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</si>
  <si>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</si>
  <si>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</si>
  <si>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</si>
  <si>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</si>
  <si>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</si>
  <si>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</si>
  <si>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</si>
  <si>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</si>
  <si>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</si>
  <si>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</si>
  <si>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</si>
  <si>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</si>
  <si>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</si>
  <si>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</si>
  <si>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</si>
  <si>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</si>
  <si>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</si>
  <si>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</si>
  <si>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</si>
  <si>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</si>
  <si>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</si>
  <si>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</si>
  <si>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</si>
  <si>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</si>
  <si>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</si>
  <si>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</si>
  <si>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</si>
  <si>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</si>
  <si>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</si>
  <si>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</si>
  <si>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</si>
  <si>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</si>
  <si>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</si>
  <si>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</si>
  <si>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</si>
  <si>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</si>
  <si>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</si>
  <si>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</si>
  <si>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</si>
  <si>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</si>
  <si>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</si>
  <si>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</si>
  <si>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</si>
  <si>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</si>
  <si>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</si>
  <si>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</si>
  <si>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</si>
  <si>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</si>
  <si>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</si>
  <si>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</si>
  <si>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</si>
  <si>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</si>
  <si>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</si>
  <si>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</si>
  <si>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</si>
  <si>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</si>
  <si>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</si>
  <si>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</si>
  <si>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</si>
  <si>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</si>
  <si>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</si>
  <si>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</si>
  <si>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</si>
  <si>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</si>
  <si>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</si>
  <si>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</si>
  <si>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</si>
  <si>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</si>
  <si>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</si>
  <si>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</si>
  <si>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</si>
  <si>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</si>
  <si>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</si>
  <si>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</si>
  <si>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</si>
  <si>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</si>
  <si>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</si>
  <si>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</si>
  <si>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</si>
  <si>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</si>
  <si>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</si>
  <si>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</si>
  <si>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</si>
  <si>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</si>
  <si>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</si>
  <si>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</si>
  <si>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</si>
  <si>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</si>
  <si>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</si>
  <si>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</si>
  <si>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</si>
  <si>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</si>
  <si>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</si>
  <si>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</si>
  <si>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</si>
  <si>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</si>
  <si>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</si>
  <si>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</si>
  <si>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</si>
  <si>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</si>
  <si>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</si>
  <si>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</si>
  <si>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</si>
  <si>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</si>
  <si>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</si>
  <si>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</si>
  <si>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</si>
  <si>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</si>
  <si>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</si>
  <si>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</si>
  <si>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</si>
  <si>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</si>
  <si>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</si>
  <si>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</si>
  <si>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</si>
  <si>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</si>
  <si>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</si>
  <si>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</si>
  <si>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</si>
  <si>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</si>
  <si>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</si>
  <si>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</si>
  <si>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</si>
  <si>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</si>
  <si>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</si>
  <si>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</si>
  <si>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</si>
  <si>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</si>
  <si>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</si>
  <si>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</si>
  <si>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</si>
  <si>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</si>
  <si>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</si>
  <si>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</si>
  <si>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</si>
  <si>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</si>
  <si>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</si>
  <si>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</si>
  <si>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</si>
  <si>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</si>
  <si>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</si>
  <si>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</si>
  <si>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</si>
  <si>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</si>
  <si>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</si>
  <si>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</si>
  <si>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</si>
  <si>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</si>
  <si>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</si>
  <si>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</si>
  <si>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</si>
  <si>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</si>
  <si>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</si>
  <si>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</si>
  <si>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</si>
  <si>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</si>
  <si>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</si>
  <si>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</si>
  <si>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</si>
  <si>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</si>
  <si>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</si>
  <si>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</si>
  <si>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</si>
  <si>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</si>
  <si>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</si>
  <si>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</si>
  <si>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</si>
  <si>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</si>
  <si>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</si>
  <si>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</si>
  <si>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</si>
  <si>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</si>
  <si>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</si>
  <si>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</si>
  <si>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</si>
  <si>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</si>
  <si>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</si>
  <si>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</si>
  <si>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</si>
  <si>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</si>
  <si>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</si>
  <si>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</si>
  <si>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</si>
  <si>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</si>
  <si>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</si>
  <si>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</si>
  <si>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</si>
  <si>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</si>
  <si>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</si>
  <si>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</si>
  <si>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</si>
  <si>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</si>
  <si>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</si>
  <si>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</si>
  <si>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</si>
  <si>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</si>
  <si>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</si>
  <si>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</si>
  <si>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</si>
  <si>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</si>
  <si>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</si>
  <si>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</si>
  <si>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</si>
  <si>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</si>
  <si>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</si>
  <si>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</si>
  <si>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</si>
  <si>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</si>
  <si>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</si>
  <si>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</si>
  <si>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</si>
  <si>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</si>
  <si>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</si>
  <si>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</si>
  <si>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</si>
  <si>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</si>
  <si>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</si>
  <si>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</si>
  <si>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</si>
  <si>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</si>
  <si>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</si>
  <si>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</si>
  <si>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</si>
  <si>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</si>
  <si>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</si>
  <si>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</si>
  <si>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</si>
  <si>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</si>
  <si>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</si>
  <si>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</si>
  <si>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</si>
  <si>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</si>
  <si>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</si>
  <si>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</si>
  <si>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</si>
  <si>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</si>
  <si>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</si>
  <si>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</si>
  <si>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</si>
  <si>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</si>
  <si>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</si>
  <si>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</si>
  <si>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</si>
  <si>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</si>
  <si>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</si>
  <si>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</si>
  <si>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</si>
  <si>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</si>
  <si>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</si>
  <si>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</si>
  <si>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</si>
  <si>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</si>
  <si>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</si>
  <si>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</si>
  <si>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</si>
  <si>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</si>
  <si>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</si>
  <si>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</si>
  <si>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</si>
  <si>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</si>
  <si>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</si>
  <si>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</si>
  <si>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</si>
  <si>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</si>
  <si>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</si>
  <si>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</si>
  <si>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</si>
  <si>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</si>
  <si>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</si>
  <si>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</si>
  <si>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</si>
  <si>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</si>
  <si>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</si>
  <si>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</si>
  <si>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</si>
  <si>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</si>
  <si>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</si>
  <si>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</si>
  <si>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</si>
  <si>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</si>
  <si>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</si>
  <si>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</si>
  <si>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</si>
  <si>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</si>
  <si>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</si>
  <si>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</si>
  <si>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</si>
  <si>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</si>
  <si>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</si>
  <si>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</si>
  <si>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</si>
  <si>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</si>
  <si>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</si>
  <si>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</si>
  <si>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</si>
  <si>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</si>
  <si>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</si>
  <si>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</si>
  <si>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</si>
  <si>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</si>
  <si>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</si>
  <si>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</si>
  <si>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</si>
  <si>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</si>
  <si>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</si>
  <si>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</si>
  <si>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</si>
  <si>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</si>
  <si>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</si>
  <si>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</si>
  <si>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</si>
  <si>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</si>
  <si>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</si>
  <si>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</si>
  <si>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</si>
  <si>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</si>
  <si>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</si>
  <si>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</si>
  <si>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</si>
  <si>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</si>
  <si>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</si>
  <si>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</si>
  <si>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</si>
  <si>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</si>
  <si>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</si>
  <si>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</si>
  <si>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</si>
  <si>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</si>
  <si>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</si>
  <si>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</si>
  <si>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</si>
  <si>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</si>
  <si>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</si>
  <si>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</si>
  <si>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</si>
  <si>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</si>
  <si>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</si>
  <si>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</si>
  <si>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</si>
  <si>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</si>
  <si>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</si>
  <si>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</si>
  <si>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</si>
  <si>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</si>
  <si>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</si>
  <si>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</si>
  <si>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</si>
  <si>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</si>
  <si>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</si>
  <si>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</si>
  <si>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</si>
  <si>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</si>
  <si>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</si>
  <si>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</si>
  <si>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</si>
  <si>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</si>
  <si>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</si>
  <si>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</si>
  <si>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</si>
  <si>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</si>
  <si>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</si>
  <si>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</si>
  <si>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</si>
  <si>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</si>
  <si>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</si>
  <si>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</si>
  <si>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</si>
  <si>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</si>
  <si>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</si>
  <si>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</si>
  <si>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</si>
  <si>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</si>
  <si>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</si>
  <si>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</si>
  <si>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</si>
  <si>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</si>
  <si>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</si>
  <si>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</si>
  <si>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</si>
  <si>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</si>
  <si>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</si>
  <si>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</si>
  <si>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</si>
  <si>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</si>
  <si>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</si>
  <si>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</si>
  <si>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</si>
  <si>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</si>
  <si>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</si>
  <si>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</si>
  <si>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</si>
  <si>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</si>
  <si>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</si>
  <si>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</si>
  <si>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</si>
  <si>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</si>
  <si>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</si>
  <si>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</si>
  <si>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</si>
  <si>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</si>
  <si>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</si>
  <si>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</si>
  <si>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</si>
  <si>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</si>
  <si>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</si>
  <si>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</si>
  <si>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</si>
  <si>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</si>
  <si>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</si>
  <si>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</si>
  <si>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</si>
  <si>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</si>
  <si>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</si>
  <si>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</si>
  <si>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</si>
  <si>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</si>
  <si>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</si>
  <si>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</si>
  <si>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</si>
  <si>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</si>
  <si>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</si>
  <si>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</si>
  <si>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</si>
  <si>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</si>
  <si>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</si>
  <si>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</si>
  <si>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</si>
  <si>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</si>
  <si>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</si>
  <si>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</si>
  <si>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</si>
  <si>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</si>
  <si>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</si>
  <si>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</si>
  <si>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</si>
  <si>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</si>
  <si>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</si>
  <si>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</si>
  <si>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</si>
  <si>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</si>
  <si>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</si>
  <si>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</si>
  <si>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</si>
  <si>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</si>
  <si>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</si>
  <si>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</si>
  <si>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</si>
  <si>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</si>
  <si>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</si>
  <si>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</si>
  <si>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</si>
  <si>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</si>
  <si>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</si>
  <si>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</si>
  <si>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</si>
  <si>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</si>
  <si>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</si>
  <si>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</si>
  <si>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</si>
  <si>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</si>
  <si>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</si>
  <si>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</si>
  <si>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</si>
  <si>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</si>
  <si>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</si>
  <si>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</si>
  <si>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</si>
  <si>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</si>
  <si>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</si>
  <si>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</si>
  <si>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</si>
  <si>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</si>
  <si>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</si>
  <si>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</si>
  <si>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</si>
  <si>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</si>
  <si>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</si>
  <si>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</si>
  <si>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</si>
  <si>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</si>
  <si>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</si>
  <si>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</si>
  <si>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</si>
  <si>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</si>
  <si>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</si>
  <si>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</si>
  <si>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</si>
  <si>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</si>
  <si>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</si>
  <si>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</si>
  <si>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</si>
  <si>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</si>
  <si>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</si>
  <si>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</si>
  <si>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</si>
  <si>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</si>
  <si>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</si>
  <si>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</si>
  <si>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</si>
  <si>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</si>
  <si>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</si>
  <si>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</si>
  <si>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</si>
  <si>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</si>
  <si>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</si>
  <si>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</si>
  <si>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</si>
  <si>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</si>
  <si>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</si>
  <si>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</si>
  <si>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</si>
  <si>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</si>
  <si>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</si>
  <si>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</si>
  <si>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</si>
  <si>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</si>
  <si>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</si>
  <si>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</si>
  <si>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</si>
  <si>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</si>
  <si>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</si>
  <si>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</si>
  <si>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</si>
  <si>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</si>
  <si>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</si>
  <si>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</si>
  <si>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</si>
  <si>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</si>
  <si>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</si>
  <si>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</si>
  <si>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</si>
  <si>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</si>
  <si>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</si>
  <si>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</si>
  <si>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</si>
  <si>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</si>
  <si>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</si>
  <si>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</si>
  <si>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</si>
  <si>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</si>
  <si>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</si>
  <si>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</si>
  <si>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</si>
  <si>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</si>
  <si>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</si>
  <si>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</si>
  <si>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</si>
  <si>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</si>
  <si>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</si>
  <si>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</si>
  <si>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</si>
  <si>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</si>
  <si>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</si>
  <si>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</si>
  <si>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</si>
  <si>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</si>
  <si>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</si>
  <si>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</si>
  <si>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</si>
  <si>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</si>
  <si>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</si>
  <si>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</si>
  <si>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</si>
  <si>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</si>
  <si>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</si>
  <si>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</si>
  <si>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</si>
  <si>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</si>
  <si>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</si>
  <si>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</si>
  <si>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</si>
  <si>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</si>
  <si>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</si>
  <si>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</si>
  <si>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</si>
  <si>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</si>
  <si>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</si>
  <si>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</si>
  <si>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</si>
  <si>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</si>
  <si>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</si>
  <si>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</si>
  <si>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</si>
  <si>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</si>
  <si>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</si>
  <si>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</si>
  <si>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</si>
  <si>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</si>
  <si>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</si>
  <si>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</si>
  <si>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</si>
  <si>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</si>
  <si>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</si>
  <si>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</si>
  <si>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</si>
  <si>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</si>
  <si>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</si>
  <si>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</si>
  <si>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</si>
  <si>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</si>
  <si>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</si>
  <si>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</si>
  <si>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</si>
  <si>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</si>
  <si>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</si>
  <si>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</si>
  <si>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</si>
  <si>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</si>
  <si>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</si>
  <si>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</si>
  <si>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</si>
  <si>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</si>
  <si>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</si>
  <si>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</si>
  <si>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</si>
  <si>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</si>
  <si>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</si>
  <si>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</si>
  <si>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</si>
  <si>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</si>
  <si>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</si>
  <si>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</si>
  <si>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</si>
  <si>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</si>
  <si>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</si>
  <si>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</si>
  <si>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</si>
  <si>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</si>
  <si>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</si>
  <si>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</si>
  <si>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</si>
  <si>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</si>
  <si>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</si>
  <si>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</si>
  <si>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</si>
  <si>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</si>
  <si>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</si>
  <si>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</si>
  <si>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</si>
  <si>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</si>
  <si>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</si>
  <si>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</si>
  <si>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</si>
  <si>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</si>
  <si>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</si>
  <si>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</si>
  <si>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</si>
  <si>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</si>
  <si>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</si>
  <si>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</si>
  <si>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</si>
  <si>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</si>
  <si>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</si>
  <si>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</si>
  <si>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</si>
  <si>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</si>
  <si>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</si>
  <si>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</si>
  <si>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</si>
  <si>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</si>
  <si>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</si>
  <si>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</si>
  <si>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</si>
  <si>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</si>
  <si>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</si>
  <si>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</si>
  <si>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</si>
  <si>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</si>
  <si>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</si>
  <si>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</si>
  <si>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</si>
  <si>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</si>
  <si>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</si>
  <si>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</si>
  <si>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</si>
  <si>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</si>
  <si>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</si>
  <si>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</si>
  <si>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</si>
  <si>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</si>
  <si>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</si>
  <si>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</si>
  <si>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</si>
  <si>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</si>
  <si>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</si>
  <si>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</si>
  <si>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</si>
  <si>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</si>
  <si>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</si>
  <si>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</si>
  <si>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</si>
  <si>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</si>
  <si>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</si>
  <si>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</si>
  <si>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</si>
  <si>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</si>
  <si>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</si>
  <si>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</si>
  <si>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</si>
  <si>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</si>
  <si>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</si>
  <si>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</si>
  <si>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</si>
  <si>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</si>
  <si>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</si>
  <si>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</si>
  <si>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</si>
  <si>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</si>
  <si>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</si>
  <si>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</si>
  <si>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</si>
  <si>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</si>
  <si>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</si>
  <si>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</si>
  <si>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</si>
  <si>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</si>
  <si>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</si>
  <si>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</si>
  <si>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</si>
  <si>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</si>
  <si>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</si>
  <si>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</si>
  <si>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</si>
  <si>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</si>
  <si>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</si>
  <si>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</si>
  <si>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</si>
  <si>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</si>
  <si>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</si>
  <si>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</si>
  <si>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</si>
  <si>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</si>
  <si>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</si>
  <si>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</si>
  <si>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</si>
  <si>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</si>
  <si>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</si>
  <si>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</si>
  <si>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</si>
  <si>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</si>
  <si>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</si>
  <si>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</si>
  <si>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</si>
  <si>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</si>
  <si>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</si>
  <si>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</si>
  <si>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</si>
  <si>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</si>
  <si>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</si>
  <si>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</si>
  <si>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</si>
  <si>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</si>
  <si>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</si>
  <si>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</si>
  <si>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</si>
  <si>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</si>
  <si>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</si>
  <si>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</si>
  <si>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</si>
  <si>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</si>
  <si>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</si>
  <si>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</si>
  <si>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</si>
  <si>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</si>
  <si>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</si>
  <si>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</si>
  <si>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</si>
  <si>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</si>
  <si>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</si>
  <si>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</si>
  <si>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</si>
  <si>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</si>
  <si>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</si>
  <si>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</si>
  <si>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</si>
  <si>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</si>
  <si>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</si>
  <si>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</si>
  <si>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</si>
  <si>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</si>
  <si>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</si>
  <si>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</si>
  <si>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</si>
  <si>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</si>
  <si>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</si>
  <si>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</si>
  <si>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</si>
  <si>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</si>
  <si>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</si>
  <si>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</si>
  <si>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</si>
  <si>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</si>
  <si>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</si>
  <si>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</si>
  <si>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</si>
  <si>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</si>
  <si>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</si>
  <si>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</si>
  <si>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</si>
  <si>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</si>
  <si>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</si>
  <si>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</si>
  <si>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</si>
  <si>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</si>
  <si>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</si>
  <si>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</si>
  <si>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</si>
  <si>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</si>
  <si>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</si>
  <si>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</si>
  <si>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</si>
  <si>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</si>
  <si>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</si>
  <si>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</si>
  <si>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</si>
  <si>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</si>
  <si>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</si>
  <si>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</si>
  <si>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</si>
  <si>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</si>
  <si>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</si>
  <si>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</si>
  <si>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</si>
  <si>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</si>
  <si>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</si>
  <si>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</si>
  <si>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</si>
  <si>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</si>
  <si>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</si>
  <si>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</si>
  <si>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</si>
  <si>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</si>
  <si>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</si>
  <si>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</si>
  <si>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</si>
  <si>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</si>
  <si>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</si>
  <si>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</si>
  <si>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</si>
  <si>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</si>
  <si>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</si>
  <si>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</si>
  <si>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</si>
  <si>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</si>
  <si>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</si>
  <si>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</si>
  <si>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</si>
  <si>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</si>
  <si>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</si>
  <si>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</si>
  <si>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</si>
  <si>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</si>
  <si>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</si>
  <si>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</si>
  <si>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</si>
  <si>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</si>
  <si>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</si>
  <si>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</si>
  <si>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</si>
  <si>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</si>
  <si>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</si>
  <si>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</si>
  <si>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</si>
  <si>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</si>
  <si>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</si>
  <si>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</si>
  <si>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</si>
  <si>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</si>
  <si>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</si>
  <si>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</si>
  <si>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</si>
  <si>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</si>
  <si>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</si>
  <si>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</si>
  <si>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</si>
  <si>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</si>
  <si>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</si>
  <si>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</si>
  <si>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</si>
  <si>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</si>
  <si>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</si>
  <si>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</si>
  <si>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</si>
  <si>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</si>
  <si>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</si>
  <si>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</si>
  <si>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</si>
  <si>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</si>
  <si>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</si>
  <si>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</si>
  <si>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</si>
  <si>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</si>
  <si>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</si>
  <si>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</si>
  <si>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</si>
  <si>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</si>
  <si>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</si>
  <si>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</si>
  <si>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</si>
  <si>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</si>
  <si>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</si>
  <si>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</si>
  <si>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</si>
  <si>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</si>
  <si>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</si>
  <si>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</si>
  <si>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</si>
  <si>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</si>
  <si>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</si>
  <si>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</si>
  <si>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</si>
  <si>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</si>
  <si>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</si>
  <si>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</si>
  <si>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</si>
  <si>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</si>
  <si>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</si>
  <si>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</si>
  <si>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</si>
  <si>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</si>
  <si>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</si>
  <si>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</si>
  <si>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</si>
  <si>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</si>
  <si>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</si>
  <si>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</si>
  <si>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</si>
  <si>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</si>
  <si>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</si>
  <si>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</si>
  <si>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</si>
  <si>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</si>
  <si>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</si>
  <si>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</si>
  <si>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</si>
  <si>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</si>
  <si>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</si>
  <si>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</si>
  <si>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</si>
  <si>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</si>
  <si>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</si>
  <si>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</si>
  <si>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</si>
  <si>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</si>
  <si>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</si>
  <si>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</si>
  <si>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</si>
  <si>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</si>
  <si>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</si>
  <si>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</si>
  <si>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</si>
  <si>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</si>
  <si>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</si>
  <si>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</si>
  <si>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</si>
  <si>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</si>
  <si>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</si>
  <si>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</si>
  <si>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</si>
  <si>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</si>
  <si>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</si>
  <si>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</si>
  <si>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</si>
  <si>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</si>
  <si>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</si>
  <si>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</si>
  <si>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</si>
  <si>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</si>
  <si>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</si>
  <si>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</si>
  <si>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</si>
  <si>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</si>
  <si>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</si>
  <si>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</si>
  <si>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</si>
  <si>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</si>
  <si>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</si>
  <si>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</si>
  <si>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</si>
  <si>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</si>
  <si>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</si>
  <si>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</si>
  <si>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</si>
  <si>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</si>
  <si>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</si>
  <si>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</si>
  <si>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</si>
  <si>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</si>
  <si>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</si>
  <si>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</si>
  <si>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</si>
  <si>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</si>
  <si>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</si>
  <si>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</si>
  <si>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</si>
  <si>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</si>
  <si>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</si>
  <si>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</si>
  <si>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</si>
  <si>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</si>
  <si>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</si>
  <si>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</si>
  <si>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</si>
  <si>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</si>
  <si>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</si>
  <si>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</si>
  <si>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</si>
  <si>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</si>
  <si>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</si>
  <si>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</si>
  <si>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</si>
  <si>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</si>
  <si>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</si>
  <si>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</si>
  <si>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</si>
  <si>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</si>
  <si>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</si>
  <si>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</si>
  <si>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</si>
  <si>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</si>
  <si>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</si>
  <si>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</si>
  <si>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</si>
  <si>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</si>
  <si>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</si>
  <si>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</si>
  <si>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</si>
  <si>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</si>
  <si>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</si>
  <si>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</si>
  <si>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</si>
  <si>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</si>
  <si>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</si>
  <si>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</si>
  <si>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</si>
  <si>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</si>
  <si>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</si>
  <si>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</si>
  <si>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</si>
  <si>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</si>
  <si>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</si>
  <si>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</si>
  <si>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</si>
  <si>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</si>
  <si>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</si>
  <si>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</si>
  <si>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</si>
  <si>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</si>
  <si>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</si>
  <si>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</si>
  <si>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</si>
  <si>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</si>
  <si>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</si>
  <si>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</si>
  <si>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</si>
  <si>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</si>
  <si>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</si>
  <si>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</si>
  <si>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</si>
  <si>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</si>
  <si>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</si>
  <si>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</si>
  <si>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</si>
  <si>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</si>
  <si>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</si>
  <si>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</si>
  <si>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</si>
  <si>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</si>
  <si>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</si>
  <si>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</si>
  <si>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</si>
  <si>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</si>
  <si>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</si>
  <si>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</si>
  <si>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</si>
  <si>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</si>
  <si>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</si>
  <si>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</si>
  <si>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</si>
  <si>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</si>
  <si>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</si>
  <si>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</si>
  <si>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</si>
  <si>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</si>
  <si>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</si>
  <si>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</si>
  <si>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</si>
  <si>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</si>
  <si>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</si>
  <si>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</si>
  <si>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</si>
  <si>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</si>
  <si>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</si>
  <si>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</si>
  <si>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</si>
  <si>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</si>
  <si>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</si>
  <si>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</si>
  <si>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</si>
  <si>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</si>
  <si>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</si>
  <si>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</si>
  <si>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</si>
  <si>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</si>
  <si>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</si>
  <si>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</si>
  <si>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</si>
  <si>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</si>
  <si>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</si>
  <si>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</si>
  <si>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</si>
  <si>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</si>
  <si>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</si>
  <si>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</si>
  <si>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</si>
  <si>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</si>
  <si>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</si>
  <si>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</si>
  <si>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</si>
  <si>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</si>
  <si>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</si>
  <si>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</si>
  <si>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</si>
  <si>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</si>
  <si>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</si>
  <si>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</si>
  <si>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</si>
  <si>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</si>
  <si>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</si>
  <si>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</si>
  <si>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</si>
  <si>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</si>
  <si>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</si>
  <si>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</si>
  <si>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</si>
  <si>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</si>
  <si>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</si>
  <si>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</si>
  <si>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</si>
  <si>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</si>
  <si>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</si>
  <si>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</si>
  <si>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</si>
  <si>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</si>
  <si>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</si>
  <si>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</si>
  <si>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</si>
  <si>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</si>
  <si>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</si>
  <si>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</si>
  <si>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</si>
  <si>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</si>
  <si>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</si>
  <si>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</si>
  <si>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</si>
  <si>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</si>
  <si>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</si>
  <si>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</si>
  <si>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</si>
  <si>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</si>
  <si>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</si>
  <si>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</si>
  <si>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</si>
  <si>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</si>
  <si>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</si>
  <si>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</si>
  <si>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</si>
  <si>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</si>
  <si>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</si>
  <si>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</si>
  <si>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</si>
  <si>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</si>
  <si>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</si>
  <si>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</si>
  <si>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</si>
  <si>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</si>
  <si>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</si>
  <si>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</si>
  <si>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</si>
  <si>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</si>
  <si>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</si>
  <si>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</si>
  <si>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</si>
  <si>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</si>
  <si>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</si>
  <si>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</si>
  <si>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</si>
  <si>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</si>
  <si>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</si>
  <si>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</si>
  <si>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</si>
  <si>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</si>
  <si>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</si>
  <si>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</si>
  <si>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</si>
  <si>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</si>
  <si>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</si>
  <si>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</si>
  <si>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</si>
  <si>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</si>
  <si>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</si>
  <si>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</si>
  <si>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</si>
  <si>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</si>
  <si>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</si>
  <si>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</si>
  <si>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</si>
  <si>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</si>
  <si>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</si>
  <si>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</si>
  <si>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</si>
  <si>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</si>
  <si>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</si>
  <si>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</si>
  <si>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</si>
  <si>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</si>
  <si>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</si>
  <si>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</si>
  <si>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</si>
  <si>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</si>
  <si>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</si>
  <si>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</si>
  <si>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</si>
  <si>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</si>
  <si>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</si>
  <si>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</si>
  <si>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</si>
  <si>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</si>
  <si>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</si>
  <si>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</si>
  <si>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</si>
  <si>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</si>
  <si>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</si>
  <si>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</si>
  <si>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</si>
  <si>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</si>
  <si>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</si>
  <si>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</si>
  <si>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</si>
  <si>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</si>
  <si>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</si>
  <si>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</si>
  <si>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</si>
  <si>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</si>
  <si>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</si>
  <si>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</si>
  <si>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</si>
  <si>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</si>
  <si>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</si>
  <si>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</si>
  <si>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</si>
  <si>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</si>
  <si>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</si>
  <si>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</si>
  <si>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</si>
  <si>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</si>
  <si>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</si>
  <si>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</si>
  <si>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</si>
  <si>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</si>
  <si>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</si>
  <si>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</si>
  <si>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</si>
  <si>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</si>
  <si>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</si>
  <si>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</si>
  <si>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</si>
  <si>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</si>
  <si>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</si>
  <si>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</si>
  <si>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</si>
  <si>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</si>
  <si>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</si>
  <si>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</si>
  <si>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</si>
  <si>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</si>
  <si>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</si>
  <si>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</si>
  <si>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</si>
  <si>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</si>
  <si>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</si>
  <si>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</si>
  <si>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</si>
  <si>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</si>
  <si>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</si>
  <si>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</si>
  <si>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</si>
  <si>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</si>
  <si>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</si>
  <si>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</si>
  <si>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</si>
  <si>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</si>
  <si>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</si>
  <si>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</si>
  <si>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</si>
  <si>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</si>
  <si>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</si>
  <si>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</si>
  <si>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</si>
  <si>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</si>
  <si>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</si>
  <si>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</si>
  <si>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</si>
  <si>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</si>
  <si>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</si>
  <si>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</si>
  <si>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</si>
  <si>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</si>
  <si>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</si>
  <si>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</si>
  <si>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</si>
  <si>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</si>
  <si>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</si>
  <si>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</si>
  <si>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</si>
  <si>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</si>
  <si>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</si>
  <si>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</si>
  <si>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</si>
  <si>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</si>
  <si>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</si>
  <si>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</si>
  <si>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</si>
  <si>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</si>
  <si>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</si>
  <si>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</si>
  <si>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</si>
  <si>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</si>
  <si>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</si>
  <si>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</si>
  <si>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</si>
  <si>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</si>
  <si>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</si>
  <si>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</si>
  <si>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</si>
  <si>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</si>
  <si>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</si>
  <si>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</si>
  <si>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</si>
  <si>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</si>
  <si>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</si>
  <si>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</si>
  <si>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</si>
  <si>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</si>
  <si>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</si>
  <si>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</si>
  <si>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</si>
  <si>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</si>
  <si>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</si>
  <si>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</si>
  <si>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</si>
  <si>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</si>
  <si>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</si>
  <si>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</si>
  <si>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</si>
  <si>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</si>
  <si>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</si>
  <si>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</si>
  <si>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</si>
  <si>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</si>
  <si>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</si>
  <si>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</si>
  <si>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</si>
  <si>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</si>
  <si>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</si>
  <si>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</si>
  <si>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</si>
  <si>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</si>
  <si>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</si>
  <si>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</si>
  <si>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</si>
  <si>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</si>
  <si>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</si>
  <si>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</si>
  <si>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</si>
  <si>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</si>
  <si>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</si>
  <si>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</si>
  <si>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</si>
  <si>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</si>
  <si>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</si>
  <si>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</si>
  <si>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</si>
  <si>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</si>
  <si>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</si>
  <si>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</si>
  <si>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</si>
  <si>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</si>
  <si>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</si>
  <si>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</si>
  <si>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</si>
  <si>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</si>
  <si>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</si>
  <si>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</si>
  <si>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</si>
  <si>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</si>
  <si>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</si>
  <si>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</si>
  <si>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</si>
  <si>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</si>
  <si>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</si>
  <si>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</si>
  <si>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</si>
  <si>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</si>
  <si>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</si>
  <si>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</si>
  <si>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</si>
  <si>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</si>
  <si>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</si>
  <si>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</si>
  <si>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</si>
  <si>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</si>
  <si>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</si>
  <si>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</si>
  <si>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</si>
  <si>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</si>
  <si>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</si>
  <si>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</si>
  <si>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</si>
  <si>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</si>
  <si>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</si>
  <si>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</si>
  <si>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</si>
  <si>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</si>
  <si>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</si>
  <si>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</si>
  <si>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</si>
  <si>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</si>
  <si>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</si>
  <si>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</si>
  <si>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</si>
  <si>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</si>
  <si>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</si>
  <si>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</si>
  <si>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</si>
  <si>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</si>
  <si>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</si>
  <si>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</si>
  <si>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</si>
  <si>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</si>
  <si>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</si>
  <si>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</si>
  <si>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</si>
  <si>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</si>
  <si>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</si>
  <si>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</si>
  <si>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</si>
  <si>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</si>
  <si>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</si>
  <si>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</si>
  <si>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</si>
  <si>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</si>
  <si>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</si>
  <si>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</si>
  <si>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</si>
  <si>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</si>
  <si>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</si>
  <si>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</si>
  <si>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</si>
  <si>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</si>
  <si>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</si>
  <si>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</si>
  <si>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</si>
  <si>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</si>
  <si>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</si>
  <si>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</si>
  <si>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</si>
  <si>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</si>
  <si>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</si>
  <si>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</si>
  <si>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</si>
  <si>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</si>
  <si>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</si>
  <si>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</si>
  <si>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</si>
  <si>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</si>
  <si>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</si>
  <si>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</si>
  <si>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</si>
  <si>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</si>
  <si>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</si>
  <si>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</si>
  <si>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</si>
  <si>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</si>
  <si>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</si>
  <si>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</si>
  <si>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</si>
  <si>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</si>
  <si>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</si>
  <si>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</si>
  <si>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</si>
  <si>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</si>
  <si>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</si>
  <si>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</si>
  <si>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</si>
  <si>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</si>
  <si>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</si>
  <si>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</si>
  <si>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</si>
  <si>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</si>
  <si>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</si>
  <si>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</si>
  <si>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</si>
  <si>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</si>
  <si>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</si>
  <si>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</si>
  <si>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</si>
  <si>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</si>
  <si>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</si>
  <si>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</si>
  <si>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</si>
  <si>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</si>
  <si>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</si>
  <si>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</si>
  <si>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</si>
  <si>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</si>
  <si>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</si>
  <si>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</si>
  <si>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</si>
  <si>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</si>
  <si>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</si>
  <si>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</si>
  <si>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</si>
  <si>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</si>
  <si>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</si>
  <si>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</si>
  <si>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</si>
  <si>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</si>
  <si>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</si>
  <si>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</si>
  <si>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</si>
  <si>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</si>
  <si>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</si>
  <si>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</si>
  <si>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</si>
  <si>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</si>
  <si>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</si>
  <si>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</si>
  <si>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</si>
  <si>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</si>
  <si>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</si>
  <si>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</si>
  <si>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</si>
  <si>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</si>
  <si>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</si>
  <si>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</si>
  <si>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</si>
  <si>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</si>
  <si>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</si>
  <si>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</si>
  <si>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</si>
  <si>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</si>
  <si>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</si>
  <si>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</si>
  <si>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</si>
  <si>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</si>
  <si>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</si>
  <si>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</si>
  <si>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</si>
  <si>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</si>
  <si>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</si>
  <si>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</si>
  <si>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</si>
  <si>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</si>
  <si>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</si>
  <si>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</si>
  <si>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</si>
  <si>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</si>
  <si>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</si>
  <si>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</si>
  <si>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</si>
  <si>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</si>
  <si>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</si>
  <si>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</si>
  <si>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</si>
  <si>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</si>
  <si>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</si>
  <si>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</si>
  <si>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</si>
  <si>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</si>
  <si>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</si>
  <si>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</si>
  <si>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</si>
  <si>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</si>
  <si>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</si>
  <si>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</si>
  <si>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</si>
  <si>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</si>
  <si>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</si>
  <si>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</si>
  <si>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</si>
  <si>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</si>
  <si>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</si>
  <si>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</si>
  <si>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</si>
  <si>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</si>
  <si>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</si>
  <si>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</si>
  <si>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</si>
  <si>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</si>
  <si>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</si>
  <si>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</si>
  <si>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</si>
  <si>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</si>
  <si>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</si>
  <si>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</si>
  <si>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</si>
  <si>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</si>
  <si>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</si>
  <si>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</si>
  <si>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</si>
  <si>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</si>
  <si>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</si>
  <si>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</si>
  <si>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</si>
  <si>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</si>
  <si>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</si>
  <si>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</si>
  <si>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</si>
  <si>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</si>
  <si>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</si>
  <si>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</si>
  <si>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</si>
  <si>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</si>
  <si>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</si>
  <si>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</si>
  <si>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</si>
  <si>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</si>
  <si>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</si>
  <si>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</si>
  <si>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</si>
  <si>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</si>
  <si>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</si>
  <si>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</si>
  <si>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</si>
  <si>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</si>
  <si>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</si>
  <si>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</si>
  <si>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</si>
  <si>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</si>
  <si>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</si>
  <si>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</si>
  <si>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</si>
  <si>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</si>
  <si>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</si>
  <si>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</si>
  <si>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</si>
  <si>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</si>
  <si>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</si>
  <si>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</si>
  <si>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</si>
  <si>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</si>
  <si>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</si>
  <si>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</si>
  <si>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</si>
  <si>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</si>
  <si>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</si>
  <si>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</si>
  <si>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</si>
  <si>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</si>
  <si>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</si>
  <si>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</si>
  <si>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</si>
  <si>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</si>
  <si>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</si>
  <si>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</si>
  <si>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</si>
  <si>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</si>
  <si>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</si>
  <si>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</si>
  <si>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</si>
  <si>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</si>
  <si>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</si>
  <si>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</si>
  <si>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</si>
  <si>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</si>
  <si>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</si>
  <si>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</si>
  <si>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</si>
  <si>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</si>
  <si>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</si>
  <si>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</si>
  <si>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</si>
  <si>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</si>
  <si>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</si>
  <si>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</si>
  <si>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</si>
  <si>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</si>
  <si>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</si>
  <si>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</si>
  <si>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</si>
  <si>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</si>
  <si>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</si>
  <si>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</si>
  <si>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</si>
  <si>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</si>
  <si>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</si>
  <si>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</si>
  <si>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</si>
  <si>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</si>
  <si>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</si>
  <si>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</si>
  <si>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</si>
  <si>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</si>
  <si>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</si>
  <si>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</si>
  <si>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</si>
  <si>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</si>
  <si>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</si>
  <si>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</si>
  <si>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</si>
  <si>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</si>
  <si>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</si>
  <si>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</si>
  <si>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</si>
  <si>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</si>
  <si>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</si>
  <si>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</si>
  <si>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</si>
  <si>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</si>
  <si>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</si>
  <si>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</si>
  <si>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</si>
  <si>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</si>
  <si>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</si>
  <si>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</si>
  <si>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</si>
  <si>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</si>
  <si>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</si>
  <si>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</si>
  <si>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</si>
  <si>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</si>
  <si>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</si>
  <si>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</si>
  <si>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</si>
  <si>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</si>
  <si>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</si>
  <si>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</si>
  <si>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</si>
  <si>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</si>
  <si>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</si>
  <si>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</si>
  <si>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</si>
  <si>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</si>
  <si>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</si>
  <si>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</si>
  <si>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</si>
  <si>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</si>
  <si>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</si>
  <si>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</si>
  <si>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</si>
  <si>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</si>
  <si>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</si>
  <si>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</si>
  <si>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</si>
  <si>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</si>
  <si>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</si>
  <si>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</si>
  <si>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</si>
  <si>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</si>
  <si>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</si>
  <si>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</si>
  <si>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</si>
  <si>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</si>
  <si>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</si>
  <si>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</si>
  <si>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</si>
  <si>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</si>
  <si>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</si>
  <si>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</si>
  <si>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</si>
  <si>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</si>
  <si>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</si>
  <si>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</si>
  <si>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</si>
  <si>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</si>
  <si>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</si>
  <si>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</si>
  <si>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</si>
  <si>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</si>
  <si>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</si>
  <si>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</si>
  <si>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</si>
  <si>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</si>
  <si>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</si>
  <si>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</si>
  <si>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</si>
  <si>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</si>
  <si>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</si>
  <si>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</si>
  <si>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</si>
  <si>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</si>
  <si>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</si>
  <si>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</si>
  <si>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</si>
  <si>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</si>
  <si>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</si>
  <si>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</si>
  <si>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</si>
  <si>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</si>
  <si>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</si>
  <si>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</si>
  <si>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</si>
  <si>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</si>
  <si>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</si>
  <si>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</si>
  <si>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</si>
  <si>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</si>
  <si>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</si>
  <si>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</si>
  <si>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</si>
  <si>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</si>
  <si>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</si>
  <si>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</si>
  <si>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</si>
  <si>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</si>
  <si>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</si>
  <si>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</si>
  <si>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</si>
  <si>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</si>
  <si>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</si>
  <si>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</si>
  <si>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</si>
  <si>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</si>
  <si>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</si>
  <si>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</si>
  <si>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</si>
  <si>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</si>
  <si>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</si>
  <si>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</si>
  <si>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</si>
  <si>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</si>
  <si>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</si>
  <si>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</si>
  <si>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</si>
  <si>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</si>
  <si>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</si>
  <si>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</si>
  <si>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</si>
  <si>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</si>
  <si>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</si>
  <si>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</si>
  <si>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</si>
  <si>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</si>
  <si>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</si>
  <si>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</si>
  <si>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</si>
  <si>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</si>
  <si>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</si>
  <si>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</si>
  <si>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</si>
  <si>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</si>
  <si>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</si>
  <si>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</si>
  <si>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</si>
  <si>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</si>
  <si>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</si>
  <si>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</si>
  <si>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</si>
  <si>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</si>
  <si>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</si>
  <si>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</si>
  <si>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</si>
  <si>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</si>
  <si>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</si>
  <si>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</si>
  <si>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</si>
  <si>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</si>
  <si>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</si>
  <si>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</si>
  <si>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</si>
  <si>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</si>
  <si>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</si>
  <si>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</si>
  <si>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</si>
  <si>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</si>
  <si>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</si>
  <si>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</si>
  <si>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</si>
  <si>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</si>
  <si>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</si>
  <si>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</si>
  <si>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</si>
  <si>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</si>
  <si>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</si>
  <si>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</si>
  <si>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</si>
  <si>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</si>
  <si>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</si>
  <si>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</si>
  <si>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</si>
  <si>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</si>
  <si>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</si>
  <si>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</si>
  <si>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</si>
  <si>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</si>
  <si>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</si>
  <si>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</si>
  <si>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</si>
  <si>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</si>
  <si>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</si>
  <si>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</si>
  <si>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</si>
  <si>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</si>
  <si>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</si>
  <si>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</si>
  <si>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</si>
  <si>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</si>
  <si>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</si>
  <si>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</si>
  <si>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</si>
  <si>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</si>
  <si>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</si>
  <si>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</si>
  <si>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</si>
  <si>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</si>
  <si>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</si>
  <si>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</si>
  <si>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</si>
  <si>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</si>
  <si>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</si>
  <si>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</si>
  <si>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</si>
  <si>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</si>
  <si>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</si>
  <si>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</si>
  <si>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</si>
  <si>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</si>
  <si>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</si>
  <si>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</si>
  <si>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</si>
  <si>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</si>
  <si>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</si>
  <si>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</si>
  <si>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</si>
  <si>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</si>
  <si>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</si>
  <si>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</si>
  <si>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</si>
  <si>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</si>
  <si>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</si>
  <si>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</si>
  <si>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</si>
  <si>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</si>
  <si>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</si>
  <si>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</si>
  <si>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</si>
  <si>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</si>
  <si>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</si>
  <si>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</si>
  <si>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</si>
  <si>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</si>
  <si>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</si>
  <si>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</si>
  <si>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</si>
  <si>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</si>
  <si>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</si>
  <si>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</si>
  <si>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</si>
  <si>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</si>
  <si>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</si>
  <si>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</si>
  <si>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</si>
  <si>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</si>
  <si>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</si>
  <si>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</si>
  <si>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</si>
  <si>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</si>
  <si>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</si>
  <si>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</si>
  <si>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</si>
  <si>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</si>
  <si>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</si>
  <si>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</si>
  <si>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</si>
  <si>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</si>
  <si>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</si>
  <si>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</si>
  <si>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</si>
  <si>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</si>
  <si>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</si>
  <si>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</si>
  <si>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</si>
  <si>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</si>
  <si>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</si>
  <si>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</si>
  <si>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</si>
  <si>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</si>
  <si>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</si>
  <si>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</si>
  <si>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</si>
  <si>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</si>
  <si>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</si>
  <si>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</si>
  <si>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</si>
  <si>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</si>
  <si>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</si>
  <si>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</si>
  <si>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</si>
  <si>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</si>
  <si>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</si>
  <si>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</si>
  <si>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</si>
  <si>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</si>
  <si>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</si>
  <si>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</si>
  <si>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</si>
  <si>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</si>
  <si>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</si>
  <si>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</si>
  <si>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</si>
  <si>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</si>
  <si>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</si>
  <si>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</si>
  <si>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</si>
  <si>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</si>
  <si>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</si>
  <si>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</si>
  <si>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</si>
  <si>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</si>
  <si>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</si>
  <si>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</si>
  <si>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</si>
  <si>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</si>
  <si>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</si>
  <si>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</si>
  <si>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</si>
  <si>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</si>
  <si>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</si>
  <si>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</si>
  <si>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</si>
  <si>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</si>
  <si>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</si>
  <si>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</si>
  <si>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</si>
  <si>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</si>
  <si>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</si>
  <si>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</si>
  <si>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</si>
  <si>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</si>
  <si>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</si>
  <si>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</si>
  <si>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</si>
  <si>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</si>
  <si>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</si>
  <si>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</si>
  <si>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</si>
  <si>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</si>
  <si>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</si>
  <si>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</si>
  <si>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</si>
  <si>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</si>
  <si>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</si>
  <si>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</si>
  <si>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</si>
  <si>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</si>
  <si>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</si>
  <si>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</si>
  <si>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</si>
  <si>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</si>
  <si>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</si>
  <si>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</si>
  <si>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</si>
  <si>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</si>
  <si>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</si>
  <si>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</si>
  <si>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</si>
  <si>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</si>
  <si>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</si>
  <si>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</si>
  <si>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</si>
  <si>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</si>
  <si>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</si>
  <si>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</si>
  <si>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</si>
  <si>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</si>
  <si>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</si>
  <si>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</si>
  <si>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</si>
  <si>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</si>
  <si>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</si>
  <si>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</si>
  <si>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</si>
  <si>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</si>
  <si>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</si>
  <si>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</si>
  <si>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</si>
  <si>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</si>
  <si>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</si>
  <si>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</si>
  <si>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</si>
  <si>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</si>
  <si>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</si>
  <si>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</si>
  <si>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</si>
  <si>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</si>
  <si>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</si>
  <si>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</si>
  <si>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</si>
  <si>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</si>
  <si>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</si>
  <si>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</si>
  <si>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</si>
  <si>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</si>
  <si>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</si>
  <si>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</si>
  <si>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</si>
  <si>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</si>
  <si>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</si>
  <si>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</si>
  <si>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</si>
  <si>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</si>
  <si>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</si>
  <si>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</si>
  <si>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</si>
  <si>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</si>
  <si>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</si>
  <si>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</si>
  <si>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</si>
  <si>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</si>
  <si>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</si>
  <si>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</si>
  <si>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</si>
  <si>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</si>
  <si>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</si>
  <si>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</si>
  <si>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</si>
  <si>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</si>
  <si>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</si>
  <si>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</si>
  <si>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</si>
  <si>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</si>
  <si>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</si>
  <si>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</si>
  <si>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</si>
  <si>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</si>
  <si>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</si>
  <si>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</si>
  <si>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</si>
  <si>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</si>
  <si>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</si>
  <si>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</si>
  <si>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</si>
  <si>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</si>
  <si>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</si>
  <si>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</si>
  <si>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</si>
  <si>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</si>
  <si>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</si>
  <si>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</si>
  <si>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</si>
  <si>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</si>
  <si>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</si>
  <si>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</si>
  <si>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</si>
  <si>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</si>
  <si>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</si>
  <si>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</si>
  <si>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</si>
  <si>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</si>
  <si>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</si>
  <si>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</si>
  <si>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</si>
  <si>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</si>
  <si>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</si>
  <si>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</si>
  <si>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</si>
  <si>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</si>
  <si>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</si>
  <si>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</si>
  <si>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</si>
  <si>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</si>
  <si>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</si>
  <si>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</si>
  <si>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</si>
  <si>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</si>
  <si>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</si>
  <si>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</si>
  <si>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</si>
  <si>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</si>
  <si>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</si>
  <si>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</si>
  <si>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</si>
  <si>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</si>
  <si>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</si>
  <si>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</si>
  <si>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</si>
  <si>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</si>
  <si>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</si>
  <si>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</si>
  <si>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</si>
  <si>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</si>
  <si>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</si>
  <si>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</si>
  <si>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</si>
  <si>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</si>
  <si>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</si>
  <si>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</si>
  <si>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</si>
  <si>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</si>
  <si>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</si>
  <si>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</si>
  <si>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</si>
  <si>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</si>
  <si>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</si>
  <si>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</si>
  <si>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</si>
  <si>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</si>
  <si>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</si>
  <si>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</si>
  <si>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</si>
  <si>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</si>
  <si>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</si>
  <si>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</si>
  <si>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</si>
  <si>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</si>
  <si>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</si>
  <si>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</si>
  <si>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</si>
  <si>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</si>
  <si>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</si>
  <si>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</si>
  <si>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</si>
  <si>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</si>
  <si>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</si>
  <si>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</si>
  <si>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</si>
  <si>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</si>
  <si>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</si>
  <si>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</si>
  <si>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</si>
  <si>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</si>
  <si>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</si>
  <si>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</si>
  <si>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</si>
  <si>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</si>
  <si>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</si>
  <si>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</si>
  <si>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</si>
  <si>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</si>
  <si>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</si>
  <si>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</si>
  <si>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</si>
  <si>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</si>
  <si>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</si>
  <si>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</si>
  <si>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</si>
  <si>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</si>
  <si>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</si>
  <si>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</si>
  <si>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</si>
  <si>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</si>
  <si>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</si>
  <si>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</si>
  <si>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</si>
  <si>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</si>
  <si>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</si>
  <si>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</si>
  <si>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</si>
  <si>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</si>
  <si>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</si>
  <si>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</si>
  <si>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</si>
  <si>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</si>
  <si>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</si>
  <si>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</si>
  <si>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</si>
  <si>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</si>
  <si>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</si>
  <si>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</si>
  <si>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</si>
  <si>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</si>
  <si>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</si>
  <si>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</si>
  <si>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</si>
  <si>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</si>
  <si>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</si>
  <si>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</si>
  <si>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</si>
  <si>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</si>
  <si>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</si>
  <si>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</si>
  <si>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</si>
  <si>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</si>
  <si>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</si>
  <si>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</si>
  <si>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</si>
  <si>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</si>
  <si>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</si>
  <si>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</si>
  <si>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</si>
  <si>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</si>
  <si>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</si>
  <si>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</si>
  <si>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</si>
  <si>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</si>
  <si>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</si>
  <si>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</si>
  <si>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</si>
  <si>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</si>
  <si>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</si>
  <si>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</si>
  <si>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</si>
  <si>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</si>
  <si>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</si>
  <si>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</si>
  <si>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</si>
  <si>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</si>
  <si>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</si>
  <si>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</si>
  <si>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</si>
  <si>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</si>
  <si>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</si>
  <si>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</si>
  <si>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</si>
  <si>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</si>
  <si>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</si>
  <si>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</si>
  <si>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</si>
  <si>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</si>
  <si>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</si>
  <si>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</si>
  <si>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</si>
  <si>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</si>
  <si>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</si>
  <si>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</si>
  <si>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</si>
  <si>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</si>
  <si>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</si>
  <si>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</si>
  <si>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</si>
  <si>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</si>
  <si>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</si>
  <si>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</si>
  <si>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</si>
  <si>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</si>
  <si>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</si>
  <si>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</si>
  <si>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</si>
  <si>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</si>
  <si>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</si>
  <si>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</si>
  <si>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</si>
  <si>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</si>
  <si>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</si>
  <si>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</si>
  <si>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</si>
  <si>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</si>
  <si>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</si>
  <si>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</si>
  <si>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</si>
  <si>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</si>
  <si>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</si>
  <si>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</si>
  <si>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</si>
  <si>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</si>
  <si>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</si>
  <si>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</si>
  <si>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</si>
  <si>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</si>
  <si>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</si>
  <si>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</si>
  <si>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</si>
  <si>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</si>
  <si>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</si>
  <si>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</si>
  <si>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</si>
  <si>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</si>
  <si>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</si>
  <si>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</si>
  <si>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</si>
  <si>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</si>
  <si>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</si>
  <si>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</si>
  <si>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</si>
  <si>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</si>
  <si>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</si>
  <si>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</si>
  <si>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</si>
  <si>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</si>
  <si>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</si>
  <si>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</si>
  <si>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</si>
  <si>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</si>
  <si>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</si>
  <si>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</si>
  <si>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</si>
  <si>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</si>
  <si>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</si>
  <si>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</si>
  <si>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</si>
  <si>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</si>
  <si>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</si>
  <si>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</si>
  <si>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</si>
  <si>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</si>
  <si>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</si>
  <si>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</si>
  <si>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</si>
  <si>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</si>
  <si>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</si>
  <si>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</si>
  <si>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</si>
  <si>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</si>
  <si>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</si>
  <si>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</si>
  <si>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</si>
  <si>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</si>
  <si>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</si>
  <si>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</si>
  <si>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</si>
  <si>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</si>
  <si>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</si>
  <si>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</si>
  <si>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</si>
  <si>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</si>
  <si>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</si>
  <si>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</si>
  <si>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</si>
  <si>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</si>
  <si>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</si>
  <si>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</si>
  <si>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</si>
  <si>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</si>
  <si>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</si>
  <si>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</si>
  <si>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</si>
  <si>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</si>
  <si>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</si>
  <si>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</si>
  <si>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</si>
  <si>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</si>
  <si>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</si>
  <si>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</si>
  <si>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</si>
  <si>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</si>
  <si>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</si>
  <si>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</si>
  <si>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</si>
  <si>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</si>
  <si>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</si>
  <si>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</si>
  <si>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</si>
  <si>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</si>
  <si>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</si>
  <si>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</si>
  <si>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</si>
  <si>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</si>
  <si>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</si>
  <si>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</si>
  <si>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</si>
  <si>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</si>
  <si>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</si>
  <si>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</si>
  <si>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</si>
  <si>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</si>
  <si>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</si>
  <si>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</si>
  <si>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</si>
  <si>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</si>
  <si>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</si>
  <si>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</si>
  <si>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</si>
  <si>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</si>
  <si>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</si>
  <si>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</si>
  <si>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</si>
  <si>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</si>
  <si>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</si>
  <si>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</si>
  <si>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</si>
  <si>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</si>
  <si>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</si>
  <si>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</si>
  <si>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</si>
  <si>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</si>
  <si>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</si>
  <si>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</si>
  <si>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</si>
  <si>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</si>
  <si>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</si>
  <si>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</si>
  <si>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</si>
  <si>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</si>
  <si>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</si>
  <si>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</si>
  <si>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</si>
  <si>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</si>
  <si>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</si>
  <si>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</si>
  <si>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</si>
  <si>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</si>
  <si>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</si>
  <si>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</si>
  <si>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</si>
  <si>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</si>
  <si>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</si>
  <si>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</si>
  <si>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</si>
  <si>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</si>
  <si>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</si>
  <si>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</si>
  <si>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</si>
  <si>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</si>
  <si>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</si>
  <si>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</si>
  <si>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</si>
  <si>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</si>
  <si>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</si>
  <si>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</si>
  <si>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</si>
  <si>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</si>
  <si>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</si>
  <si>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</si>
  <si>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</si>
  <si>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</si>
  <si>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</si>
  <si>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</si>
  <si>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</si>
  <si>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</si>
  <si>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</si>
  <si>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</si>
  <si>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</si>
  <si>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</si>
  <si>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</si>
  <si>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</si>
  <si>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</si>
  <si>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</si>
  <si>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</si>
  <si>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</si>
  <si>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</si>
  <si>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</si>
  <si>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</si>
  <si>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</si>
  <si>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</si>
  <si>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</si>
  <si>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</si>
  <si>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</si>
  <si>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</si>
  <si>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</si>
  <si>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</si>
  <si>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</si>
  <si>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</si>
  <si>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</si>
  <si>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</si>
  <si>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</si>
  <si>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</si>
  <si>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</si>
  <si>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</si>
  <si>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</si>
  <si>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</si>
  <si>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</si>
  <si>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</si>
  <si>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</si>
  <si>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</si>
  <si>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</si>
  <si>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</si>
  <si>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</si>
  <si>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</si>
  <si>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</si>
  <si>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</si>
  <si>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</si>
  <si>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</si>
  <si>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</si>
  <si>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</si>
  <si>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</si>
  <si>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</si>
  <si>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</si>
  <si>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</si>
  <si>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</si>
  <si>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</si>
  <si>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</si>
  <si>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</si>
  <si>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</si>
  <si>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</si>
  <si>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</si>
  <si>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</si>
  <si>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</si>
  <si>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</si>
  <si>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</si>
  <si>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</si>
  <si>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</si>
  <si>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</si>
  <si>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</si>
  <si>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</si>
  <si>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</si>
  <si>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</si>
  <si>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</si>
  <si>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</si>
  <si>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</si>
  <si>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</si>
  <si>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</si>
  <si>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</si>
  <si>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</si>
  <si>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</si>
  <si>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</si>
  <si>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</si>
  <si>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</si>
  <si>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</si>
  <si>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</si>
  <si>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</si>
  <si>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</si>
  <si>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</si>
  <si>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</si>
  <si>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</si>
  <si>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</si>
  <si>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</si>
  <si>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</si>
  <si>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</si>
  <si>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</si>
  <si>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</si>
  <si>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</si>
  <si>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</si>
  <si>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</si>
  <si>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</si>
  <si>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</si>
  <si>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</si>
  <si>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</si>
  <si>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</si>
  <si>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</si>
  <si>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</si>
  <si>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</si>
  <si>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</si>
  <si>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</si>
  <si>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</si>
  <si>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</si>
  <si>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</si>
  <si>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</si>
  <si>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</si>
  <si>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</si>
  <si>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</si>
  <si>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</si>
  <si>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</si>
  <si>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</si>
  <si>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</si>
  <si>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</si>
  <si>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</si>
  <si>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</si>
  <si>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</si>
  <si>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</si>
  <si>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</si>
  <si>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</si>
  <si>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</si>
  <si>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</si>
  <si>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</si>
  <si>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</si>
  <si>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</si>
  <si>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</si>
  <si>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</si>
  <si>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</si>
  <si>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</si>
  <si>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</si>
  <si>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</si>
  <si>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</si>
  <si>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</si>
  <si>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</si>
  <si>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</si>
  <si>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</si>
  <si>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</si>
  <si>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</si>
  <si>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</si>
  <si>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</si>
  <si>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</si>
  <si>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</si>
  <si>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</si>
  <si>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</si>
  <si>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</si>
  <si>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</si>
  <si>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</si>
  <si>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</si>
  <si>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</si>
  <si>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</si>
  <si>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</si>
  <si>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</si>
  <si>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</si>
  <si>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</si>
  <si>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</si>
  <si>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</si>
  <si>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</si>
  <si>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</si>
  <si>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</si>
  <si>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</si>
  <si>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</si>
  <si>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</si>
  <si>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</si>
  <si>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</si>
  <si>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</si>
  <si>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</si>
  <si>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</si>
  <si>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</si>
  <si>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</si>
  <si>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</si>
  <si>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</si>
  <si>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</si>
  <si>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</si>
  <si>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</si>
  <si>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</si>
  <si>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</si>
  <si>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</si>
  <si>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</si>
  <si>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</si>
  <si>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</si>
  <si>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</si>
  <si>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</si>
  <si>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</si>
  <si>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</si>
  <si>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</si>
  <si>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</si>
  <si>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</si>
  <si>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</si>
  <si>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</si>
  <si>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</si>
  <si>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</si>
  <si>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</si>
  <si>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</si>
  <si>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</si>
  <si>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</si>
  <si>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</si>
  <si>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</si>
  <si>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</si>
  <si>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</si>
  <si>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</si>
  <si>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</si>
  <si>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</si>
  <si>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</si>
  <si>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</si>
  <si>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</si>
  <si>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</si>
  <si>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</si>
  <si>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</si>
  <si>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</si>
  <si>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</si>
  <si>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</si>
  <si>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</si>
  <si>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</si>
  <si>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</si>
  <si>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</si>
  <si>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</si>
  <si>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</si>
  <si>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</si>
  <si>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</si>
  <si>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</si>
  <si>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</si>
  <si>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</si>
  <si>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</si>
  <si>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</si>
  <si>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</si>
  <si>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</si>
  <si>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</si>
  <si>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</si>
  <si>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</si>
  <si>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</si>
  <si>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</si>
  <si>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</si>
  <si>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</si>
  <si>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</si>
  <si>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</si>
  <si>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</si>
  <si>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</si>
  <si>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</si>
  <si>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</si>
  <si>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</si>
  <si>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</si>
  <si>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</si>
  <si>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</si>
  <si>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</si>
  <si>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</si>
  <si>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</si>
  <si>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</si>
  <si>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</si>
  <si>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</si>
  <si>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</si>
  <si>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</si>
  <si>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</si>
  <si>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</si>
  <si>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</si>
  <si>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</si>
  <si>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</si>
  <si>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</si>
  <si>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</si>
  <si>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</si>
  <si>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</si>
  <si>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</si>
  <si>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</si>
  <si>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</si>
  <si>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</si>
  <si>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</si>
  <si>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</si>
  <si>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</si>
  <si>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</si>
  <si>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</si>
  <si>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</si>
  <si>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</si>
  <si>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</si>
  <si>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</si>
  <si>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</si>
  <si>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</si>
  <si>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</si>
  <si>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</si>
  <si>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</si>
  <si>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</si>
  <si>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</si>
  <si>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</si>
  <si>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</si>
  <si>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</si>
  <si>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</si>
  <si>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</si>
  <si>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</si>
  <si>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</si>
  <si>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</si>
  <si>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</si>
  <si>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</si>
  <si>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</si>
  <si>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</si>
  <si>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</si>
  <si>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</si>
  <si>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</si>
  <si>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</si>
  <si>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</si>
  <si>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</si>
  <si>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</si>
  <si>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</si>
  <si>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</si>
  <si>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</si>
  <si>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</si>
  <si>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</si>
  <si>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</si>
  <si>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</si>
  <si>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</si>
  <si>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</si>
  <si>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</si>
  <si>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</si>
  <si>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</si>
  <si>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</si>
  <si>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</si>
  <si>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</si>
  <si>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</si>
  <si>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</si>
  <si>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</si>
  <si>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</si>
  <si>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</si>
  <si>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</si>
  <si>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</si>
  <si>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</si>
  <si>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</si>
  <si>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</si>
  <si>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</si>
  <si>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</si>
  <si>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</si>
  <si>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</si>
  <si>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</si>
  <si>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</si>
  <si>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</si>
  <si>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</si>
  <si>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</si>
  <si>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</si>
  <si>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</si>
  <si>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</si>
  <si>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</si>
  <si>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</si>
  <si>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</si>
  <si>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</si>
  <si>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</si>
  <si>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</si>
  <si>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</si>
  <si>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</si>
  <si>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</si>
  <si>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</si>
  <si>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</si>
  <si>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</si>
  <si>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</si>
  <si>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</si>
  <si>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</si>
  <si>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</si>
  <si>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</si>
  <si>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</si>
  <si>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</si>
  <si>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</si>
  <si>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</si>
  <si>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</si>
  <si>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</si>
  <si>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</si>
  <si>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</si>
  <si>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</si>
  <si>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</si>
  <si>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</si>
  <si>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</si>
  <si>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</si>
  <si>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</si>
  <si>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</si>
  <si>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</si>
  <si>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</si>
  <si>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</si>
  <si>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</si>
  <si>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</si>
  <si>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</si>
  <si>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</si>
  <si>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</si>
  <si>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</si>
  <si>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</si>
  <si>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</si>
  <si>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</si>
  <si>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</si>
  <si>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</si>
  <si>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</si>
  <si>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</si>
  <si>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</si>
  <si>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</si>
  <si>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</si>
  <si>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</si>
  <si>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</si>
  <si>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</si>
  <si>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</si>
  <si>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</si>
  <si>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</si>
  <si>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</si>
  <si>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</si>
  <si>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</si>
  <si>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</si>
  <si>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</si>
  <si>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</si>
  <si>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</si>
  <si>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</si>
  <si>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</si>
  <si>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</si>
  <si>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</si>
  <si>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</si>
  <si>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</si>
  <si>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</si>
  <si>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</si>
  <si>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</si>
  <si>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</si>
  <si>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</si>
  <si>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</si>
  <si>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</si>
  <si>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</si>
  <si>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</si>
  <si>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</si>
  <si>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</si>
  <si>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</si>
  <si>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</si>
  <si>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</si>
  <si>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</si>
  <si>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</si>
  <si>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</si>
  <si>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</si>
  <si>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</si>
  <si>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</si>
  <si>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</si>
  <si>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</si>
  <si>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</si>
  <si>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</si>
  <si>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</si>
  <si>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</si>
  <si>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</si>
  <si>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</si>
  <si>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</si>
  <si>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</si>
  <si>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</si>
  <si>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</si>
  <si>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</si>
  <si>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</si>
  <si>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</si>
  <si>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</si>
  <si>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</si>
  <si>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</si>
  <si>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</si>
  <si>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</si>
  <si>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</si>
  <si>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</si>
  <si>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</si>
  <si>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</si>
  <si>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</si>
  <si>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</si>
  <si>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</si>
  <si>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</si>
  <si>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</si>
  <si>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</si>
  <si>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</si>
  <si>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</si>
  <si>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</si>
  <si>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</si>
  <si>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</si>
  <si>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</si>
  <si>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</si>
  <si>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</si>
  <si>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</si>
  <si>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</si>
  <si>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</si>
  <si>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</si>
  <si>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</si>
  <si>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</si>
  <si>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</si>
  <si>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</si>
  <si>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</si>
  <si>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</si>
  <si>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</si>
  <si>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</si>
  <si>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</si>
  <si>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</si>
  <si>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</si>
  <si>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</si>
  <si>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</si>
  <si>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</si>
  <si>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</si>
  <si>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</si>
  <si>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</si>
  <si>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</si>
  <si>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</si>
  <si>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</si>
  <si>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</si>
  <si>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</si>
  <si>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</si>
  <si>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</si>
  <si>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</si>
  <si>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</si>
  <si>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</si>
  <si>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</si>
  <si>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</si>
  <si>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</si>
  <si>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</si>
  <si>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</si>
  <si>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</si>
  <si>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</si>
  <si>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</si>
  <si>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</si>
  <si>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</si>
  <si>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</si>
  <si>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</si>
  <si>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</si>
  <si>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</si>
  <si>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</si>
  <si>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</si>
  <si>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</si>
  <si>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</si>
  <si>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</si>
  <si>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</si>
  <si>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</si>
  <si>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</si>
  <si>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</si>
  <si>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</si>
  <si>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</si>
  <si>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</si>
  <si>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</si>
  <si>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</si>
  <si>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</si>
  <si>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</si>
  <si>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</si>
  <si>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</si>
  <si>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</si>
  <si>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</si>
  <si>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</si>
  <si>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</si>
  <si>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</si>
  <si>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</si>
  <si>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</si>
  <si>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</si>
  <si>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</si>
  <si>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</si>
  <si>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</si>
  <si>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</si>
  <si>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</si>
  <si>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</si>
  <si>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</si>
  <si>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</si>
  <si>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</si>
  <si>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</si>
  <si>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</si>
  <si>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</si>
  <si>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</si>
  <si>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</si>
  <si>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</si>
  <si>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</si>
  <si>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</si>
  <si>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</si>
  <si>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</si>
  <si>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</si>
  <si>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</si>
  <si>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</si>
  <si>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</si>
  <si>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</si>
  <si>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</si>
  <si>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</si>
  <si>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</si>
  <si>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</si>
  <si>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</si>
  <si>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</si>
  <si>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</si>
  <si>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</si>
  <si>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</si>
  <si>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</si>
  <si>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</si>
  <si>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</si>
  <si>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</si>
  <si>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</si>
  <si>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</si>
  <si>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</si>
  <si>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</si>
  <si>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</si>
  <si>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</si>
  <si>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</si>
  <si>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</si>
  <si>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</si>
  <si>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</si>
  <si>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</si>
  <si>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</si>
  <si>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</si>
  <si>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</si>
  <si>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</si>
  <si>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</si>
  <si>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</si>
  <si>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</si>
  <si>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</si>
  <si>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</si>
  <si>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</si>
  <si>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</si>
  <si>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</si>
  <si>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</si>
  <si>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</si>
  <si>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</si>
  <si>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</si>
  <si>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</si>
  <si>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</si>
  <si>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</si>
  <si>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</si>
  <si>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</si>
  <si>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</si>
  <si>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</si>
  <si>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</si>
  <si>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</si>
  <si>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</si>
  <si>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</si>
  <si>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</si>
  <si>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</si>
  <si>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</si>
  <si>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</si>
  <si>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</si>
  <si>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</si>
  <si>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</si>
  <si>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</si>
  <si>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</si>
  <si>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</si>
  <si>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</si>
  <si>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</si>
  <si>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</si>
  <si>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</si>
  <si>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</si>
  <si>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</si>
  <si>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</si>
  <si>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</si>
  <si>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</si>
  <si>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</si>
  <si>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</si>
  <si>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</si>
  <si>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</si>
  <si>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</si>
  <si>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</si>
  <si>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</si>
  <si>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</si>
  <si>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</si>
  <si>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</si>
  <si>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</si>
  <si>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</si>
  <si>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</si>
  <si>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</si>
  <si>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</si>
  <si>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</si>
  <si>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</si>
  <si>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</si>
  <si>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</si>
  <si>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</si>
  <si>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</si>
  <si>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</si>
  <si>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</si>
  <si>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</si>
  <si>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</si>
  <si>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</si>
  <si>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</si>
  <si>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</si>
  <si>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</si>
  <si>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</si>
  <si>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</si>
  <si>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</si>
  <si>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</si>
  <si>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</si>
  <si>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</si>
  <si>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</si>
  <si>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</si>
  <si>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</si>
  <si>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</si>
  <si>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</si>
  <si>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</si>
  <si>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</si>
  <si>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</si>
  <si>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</si>
  <si>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</si>
  <si>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</si>
  <si>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</si>
  <si>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</si>
  <si>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</si>
  <si>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</si>
  <si>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</si>
  <si>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</si>
  <si>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</si>
  <si>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</si>
  <si>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</si>
  <si>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</si>
  <si>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</si>
  <si>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</si>
  <si>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</si>
  <si>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</si>
  <si>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</si>
  <si>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</si>
  <si>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</si>
  <si>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</si>
  <si>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</si>
  <si>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</si>
  <si>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</si>
  <si>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</si>
  <si>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</si>
  <si>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</si>
  <si>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</si>
  <si>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</si>
  <si>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</si>
  <si>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</si>
  <si>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</si>
  <si>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</si>
  <si>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</si>
  <si>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</si>
  <si>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</si>
  <si>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</si>
  <si>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</si>
  <si>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</si>
  <si>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</si>
  <si>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</si>
  <si>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</si>
  <si>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</si>
  <si>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</si>
  <si>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</si>
  <si>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</si>
  <si>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</si>
  <si>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</si>
  <si>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</si>
  <si>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</si>
  <si>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</si>
  <si>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</si>
  <si>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</si>
  <si>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</si>
  <si>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</si>
  <si>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</si>
  <si>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</si>
  <si>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</si>
  <si>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</si>
  <si>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</si>
  <si>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</si>
  <si>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</si>
  <si>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</si>
  <si>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</si>
  <si>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</si>
  <si>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</si>
  <si>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</si>
  <si>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</si>
  <si>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</si>
  <si>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</si>
  <si>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</si>
  <si>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</si>
  <si>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</si>
  <si>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</si>
  <si>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</si>
  <si>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</si>
  <si>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</si>
  <si>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</si>
  <si>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</si>
  <si>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</si>
  <si>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</si>
  <si>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</si>
  <si>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</si>
  <si>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</si>
  <si>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</si>
  <si>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</si>
  <si>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</si>
  <si>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</si>
  <si>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</si>
  <si>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</si>
  <si>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</si>
  <si>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</si>
  <si>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</si>
  <si>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</si>
  <si>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</si>
  <si>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</si>
  <si>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</si>
  <si>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</si>
  <si>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</si>
  <si>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</si>
  <si>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</si>
  <si>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</si>
  <si>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</si>
  <si>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</si>
  <si>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</si>
  <si>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</si>
  <si>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</si>
  <si>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</si>
  <si>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</si>
  <si>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</si>
  <si>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</si>
  <si>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</si>
  <si>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</si>
  <si>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</si>
  <si>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</si>
  <si>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</si>
  <si>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</si>
  <si>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</si>
  <si>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</si>
  <si>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</si>
  <si>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</si>
  <si>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</si>
  <si>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</si>
  <si>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</si>
  <si>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</si>
  <si>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</si>
  <si>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</si>
  <si>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</si>
  <si>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</si>
  <si>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</si>
  <si>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</si>
  <si>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</si>
  <si>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</si>
  <si>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</si>
  <si>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</si>
  <si>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</si>
  <si>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</si>
  <si>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</si>
  <si>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</si>
  <si>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</si>
  <si>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</si>
  <si>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</si>
  <si>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</si>
  <si>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</si>
  <si>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</si>
  <si>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</si>
  <si>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</si>
  <si>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</si>
  <si>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</si>
  <si>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</si>
  <si>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</si>
  <si>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</si>
  <si>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</si>
  <si>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</si>
  <si>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</si>
  <si>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</si>
  <si>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</si>
  <si>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</si>
  <si>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</si>
  <si>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</si>
  <si>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</si>
  <si>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</si>
  <si>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</si>
  <si>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</si>
  <si>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</si>
  <si>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</si>
  <si>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</si>
  <si>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</si>
  <si>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</si>
  <si>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</si>
  <si>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</si>
  <si>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</si>
  <si>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</si>
  <si>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</si>
  <si>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</si>
  <si>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</si>
  <si>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</si>
  <si>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</si>
  <si>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</si>
  <si>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</si>
  <si>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</si>
  <si>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</si>
  <si>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</si>
  <si>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</si>
  <si>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</si>
  <si>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</si>
  <si>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</si>
  <si>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</si>
  <si>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</si>
  <si>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</si>
  <si>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</si>
  <si>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</si>
  <si>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</si>
  <si>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</si>
  <si>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</si>
  <si>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</si>
  <si>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</si>
  <si>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</si>
  <si>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</si>
  <si>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</si>
  <si>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</si>
  <si>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</si>
  <si>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</si>
  <si>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</si>
  <si>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</si>
  <si>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</si>
  <si>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</si>
  <si>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</si>
  <si>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</si>
  <si>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</si>
  <si>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</si>
  <si>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</si>
  <si>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</si>
  <si>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</si>
  <si>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</si>
  <si>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</si>
  <si>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</si>
  <si>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</si>
  <si>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</si>
  <si>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</si>
  <si>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</si>
  <si>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</si>
  <si>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</si>
  <si>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</si>
  <si>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</si>
  <si>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</si>
  <si>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</si>
  <si>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</si>
  <si>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</si>
  <si>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</si>
  <si>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</si>
  <si>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</si>
  <si>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</si>
  <si>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</si>
  <si>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</si>
  <si>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</si>
  <si>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</si>
  <si>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</si>
  <si>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</si>
  <si>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</si>
  <si>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</si>
  <si>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</si>
  <si>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</si>
  <si>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</si>
  <si>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</si>
  <si>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</si>
  <si>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</si>
  <si>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</si>
  <si>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</si>
  <si>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</si>
  <si>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</si>
  <si>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</si>
  <si>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</si>
  <si>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</si>
  <si>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</si>
  <si>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</si>
  <si>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</si>
  <si>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</si>
  <si>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</si>
  <si>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</si>
  <si>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</si>
  <si>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</si>
  <si>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</si>
  <si>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</si>
  <si>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</si>
  <si>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</si>
  <si>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</si>
  <si>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</si>
  <si>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</si>
  <si>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</si>
  <si>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</si>
  <si>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</si>
  <si>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</si>
  <si>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</si>
  <si>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</si>
  <si>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</si>
  <si>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</si>
  <si>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</si>
  <si>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</si>
  <si>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</si>
  <si>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</si>
  <si>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</si>
  <si>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</si>
  <si>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</si>
  <si>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</si>
  <si>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</si>
  <si>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</si>
  <si>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</si>
  <si>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</si>
  <si>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</si>
  <si>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</si>
  <si>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</si>
  <si>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</si>
  <si>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</si>
  <si>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</si>
  <si>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</si>
  <si>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</si>
  <si>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</si>
  <si>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</si>
  <si>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</si>
  <si>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</si>
  <si>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</si>
  <si>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</si>
  <si>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</si>
  <si>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</si>
  <si>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</si>
  <si>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</si>
  <si>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</si>
  <si>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</si>
  <si>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</si>
  <si>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</si>
  <si>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</si>
  <si>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</si>
  <si>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</si>
  <si>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</si>
  <si>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</si>
  <si>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</si>
  <si>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</si>
  <si>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</si>
  <si>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</si>
  <si>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</si>
  <si>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</si>
  <si>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</si>
  <si>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</si>
  <si>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</si>
  <si>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</si>
  <si>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</si>
  <si>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</si>
  <si>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</si>
  <si>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</si>
  <si>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</si>
  <si>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</si>
  <si>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</si>
  <si>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</si>
  <si>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</si>
  <si>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</si>
  <si>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</si>
  <si>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</si>
  <si>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</si>
  <si>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</si>
  <si>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</si>
  <si>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</si>
  <si>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</si>
  <si>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</si>
  <si>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</si>
  <si>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</si>
  <si>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</si>
  <si>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</si>
  <si>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</si>
  <si>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</si>
  <si>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</si>
  <si>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</si>
  <si>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</si>
  <si>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</si>
  <si>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</si>
  <si>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</si>
  <si>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</si>
  <si>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</si>
  <si>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</si>
  <si>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</si>
  <si>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</si>
  <si>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</si>
  <si>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</si>
  <si>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</si>
  <si>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</si>
  <si>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</si>
  <si>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</si>
  <si>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</si>
  <si>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</si>
  <si>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</si>
  <si>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</si>
  <si>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</si>
  <si>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</si>
  <si>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</si>
  <si>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</si>
  <si>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</si>
  <si>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</si>
  <si>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</si>
  <si>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</si>
  <si>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</si>
  <si>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</si>
  <si>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</si>
  <si>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</si>
  <si>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</si>
  <si>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</si>
  <si>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</si>
  <si>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</si>
  <si>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</si>
  <si>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</si>
  <si>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</si>
  <si>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</si>
  <si>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</si>
  <si>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</si>
  <si>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</si>
  <si>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</si>
  <si>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</si>
  <si>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</si>
  <si>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</si>
  <si>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</si>
  <si>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</si>
  <si>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</si>
  <si>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</si>
  <si>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</si>
  <si>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</si>
  <si>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</si>
  <si>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</si>
  <si>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</si>
  <si>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</si>
  <si>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</si>
  <si>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</si>
  <si>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</si>
  <si>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</si>
  <si>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</si>
  <si>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</si>
  <si>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</si>
  <si>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</si>
  <si>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</si>
  <si>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</si>
  <si>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</si>
  <si>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</si>
  <si>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</si>
  <si>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</si>
  <si>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</si>
  <si>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</si>
  <si>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</si>
  <si>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</si>
  <si>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</si>
  <si>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</si>
  <si>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</si>
  <si>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</si>
  <si>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</si>
  <si>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</si>
  <si>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</si>
  <si>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</si>
  <si>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</si>
  <si>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</si>
  <si>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</si>
  <si>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</si>
  <si>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</si>
  <si>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</si>
  <si>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</si>
  <si>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</si>
  <si>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</si>
  <si>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</si>
  <si>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</si>
  <si>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</si>
  <si>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</si>
  <si>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</si>
  <si>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</si>
  <si>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</si>
  <si>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</si>
  <si>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</si>
  <si>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</si>
  <si>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</si>
  <si>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</si>
  <si>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</si>
  <si>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</si>
  <si>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</si>
  <si>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</si>
  <si>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</si>
  <si>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</si>
  <si>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</si>
  <si>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</si>
  <si>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</si>
  <si>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</si>
  <si>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</si>
  <si>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</si>
  <si>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</si>
  <si>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</si>
  <si>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</si>
  <si>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</si>
  <si>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</si>
  <si>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</si>
  <si>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</si>
  <si>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</si>
  <si>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</si>
  <si>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</si>
  <si>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</si>
  <si>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</si>
  <si>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</si>
  <si>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</si>
  <si>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</si>
  <si>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</si>
  <si>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</si>
  <si>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</si>
  <si>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</si>
  <si>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</si>
  <si>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</si>
  <si>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</si>
  <si>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</si>
  <si>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</si>
  <si>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</si>
  <si>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</si>
  <si>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</si>
  <si>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</si>
  <si>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</si>
  <si>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</si>
  <si>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</si>
  <si>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</si>
  <si>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</si>
  <si>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</si>
  <si>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</si>
  <si>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</si>
  <si>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</si>
  <si>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</si>
  <si>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</si>
  <si>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</si>
  <si>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</si>
  <si>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</si>
  <si>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</si>
  <si>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</si>
  <si>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</si>
  <si>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</si>
  <si>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</si>
  <si>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</si>
  <si>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</si>
  <si>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</si>
  <si>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</si>
  <si>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</si>
  <si>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</si>
  <si>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</si>
  <si>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</si>
  <si>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</si>
  <si>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</si>
  <si>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</si>
  <si>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</si>
  <si>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</si>
  <si>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</si>
  <si>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</si>
  <si>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</si>
  <si>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</si>
  <si>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</si>
  <si>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</si>
  <si>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</si>
  <si>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</si>
  <si>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</si>
  <si>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</si>
  <si>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</si>
  <si>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</si>
  <si>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</si>
  <si>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</si>
  <si>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</si>
  <si>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</si>
  <si>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</si>
  <si>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</si>
  <si>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</si>
  <si>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</si>
  <si>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</si>
  <si>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</si>
  <si>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</si>
  <si>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</si>
  <si>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</si>
  <si>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</si>
  <si>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</si>
  <si>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</si>
  <si>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</si>
  <si>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</si>
  <si>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</si>
  <si>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</si>
  <si>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</si>
  <si>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</si>
  <si>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</si>
  <si>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</si>
  <si>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</si>
  <si>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</si>
  <si>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</si>
  <si>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</si>
  <si>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</si>
  <si>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</si>
  <si>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</si>
  <si>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</si>
  <si>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</si>
  <si>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</si>
  <si>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</si>
  <si>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</si>
  <si>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</si>
  <si>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</si>
  <si>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</si>
  <si>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</si>
  <si>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</si>
  <si>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</si>
  <si>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</si>
  <si>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</si>
  <si>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</si>
  <si>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</si>
  <si>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</si>
  <si>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</si>
  <si>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</si>
  <si>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</si>
  <si>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</si>
  <si>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</si>
  <si>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</si>
  <si>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</si>
  <si>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</si>
  <si>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</si>
  <si>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</si>
  <si>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</si>
  <si>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</si>
  <si>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</si>
  <si>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</si>
  <si>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</si>
  <si>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</si>
  <si>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</si>
  <si>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</si>
  <si>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</si>
  <si>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</si>
  <si>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</si>
  <si>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</si>
  <si>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</si>
  <si>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</si>
  <si>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</si>
  <si>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</si>
  <si>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</si>
  <si>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</si>
  <si>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</si>
  <si>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</si>
  <si>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</si>
  <si>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</si>
  <si>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</si>
  <si>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</si>
  <si>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</si>
  <si>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</si>
  <si>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</si>
  <si>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</si>
  <si>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</si>
  <si>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</si>
  <si>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</si>
  <si>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</si>
  <si>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</si>
  <si>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</si>
  <si>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</si>
  <si>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</si>
  <si>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</si>
  <si>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</si>
  <si>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</si>
  <si>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</si>
  <si>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</si>
  <si>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</si>
  <si>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</si>
  <si>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</si>
  <si>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</si>
  <si>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</si>
  <si>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</si>
  <si>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</si>
  <si>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</si>
  <si>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</si>
  <si>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</si>
  <si>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</si>
  <si>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</si>
  <si>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</si>
  <si>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</si>
  <si>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</si>
  <si>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</si>
  <si>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</si>
  <si>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</si>
  <si>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</si>
  <si>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</si>
  <si>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</si>
  <si>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</si>
  <si>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</si>
  <si>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</si>
  <si>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</si>
  <si>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</si>
  <si>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</si>
  <si>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</si>
  <si>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</si>
  <si>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</si>
  <si>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</si>
  <si>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</si>
  <si>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</si>
  <si>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</si>
  <si>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</si>
  <si>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</si>
  <si>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</si>
  <si>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</si>
  <si>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</si>
  <si>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</si>
  <si>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</si>
  <si>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</si>
  <si>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</si>
  <si>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</si>
  <si>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</si>
  <si>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</si>
  <si>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</si>
  <si>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</si>
  <si>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</si>
  <si>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</si>
  <si>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</si>
  <si>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</si>
  <si>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</si>
  <si>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</si>
  <si>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</si>
  <si>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</si>
  <si>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</si>
  <si>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</si>
  <si>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</si>
  <si>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</si>
  <si>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</si>
  <si>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</si>
  <si>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</si>
  <si>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</si>
  <si>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</si>
  <si>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</si>
  <si>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</si>
  <si>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</si>
  <si>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</si>
  <si>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</si>
  <si>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</si>
  <si>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</si>
  <si>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</si>
  <si>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</si>
  <si>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</si>
  <si>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</si>
  <si>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</si>
  <si>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</si>
  <si>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</si>
  <si>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</si>
  <si>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</si>
  <si>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</si>
  <si>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</si>
  <si>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</si>
  <si>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</si>
  <si>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</si>
  <si>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</si>
  <si>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</si>
  <si>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</si>
  <si>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</si>
  <si>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</si>
  <si>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</si>
  <si>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</si>
  <si>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</si>
  <si>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</si>
  <si>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</si>
  <si>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</si>
  <si>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</si>
  <si>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</si>
  <si>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</si>
  <si>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</si>
  <si>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</si>
  <si>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</si>
  <si>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</si>
  <si>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</si>
  <si>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</si>
  <si>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</si>
  <si>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</si>
  <si>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</si>
  <si>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</si>
  <si>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</si>
  <si>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</si>
  <si>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</si>
  <si>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</si>
  <si>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</si>
  <si>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</si>
  <si>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</si>
  <si>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</si>
  <si>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</si>
  <si>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</si>
  <si>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</si>
  <si>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</si>
  <si>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</si>
  <si>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</si>
  <si>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</si>
  <si>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</si>
  <si>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</si>
  <si>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</si>
  <si>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</si>
  <si>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</si>
  <si>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</si>
  <si>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</si>
  <si>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</si>
  <si>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</si>
  <si>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</si>
  <si>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</si>
  <si>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</si>
  <si>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</si>
  <si>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</si>
  <si>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</si>
  <si>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</si>
  <si>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</si>
  <si>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</si>
  <si>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</si>
  <si>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</si>
  <si>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</si>
  <si>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</si>
  <si>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</si>
  <si>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</si>
  <si>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</si>
  <si>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</si>
  <si>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</si>
  <si>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</si>
  <si>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</si>
  <si>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</si>
  <si>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</si>
  <si>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</si>
  <si>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</si>
  <si>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</si>
  <si>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</si>
  <si>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</si>
  <si>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</si>
  <si>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</si>
  <si>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</si>
  <si>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</si>
  <si>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</si>
  <si>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</si>
  <si>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</si>
  <si>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</si>
  <si>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</si>
  <si>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</si>
  <si>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</si>
  <si>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</si>
  <si>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</si>
  <si>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</si>
  <si>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</si>
  <si>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</si>
  <si>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</si>
  <si>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</si>
  <si>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</si>
  <si>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</si>
  <si>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</si>
  <si>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</si>
  <si>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</si>
  <si>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</si>
  <si>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</si>
  <si>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</si>
  <si>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</si>
  <si>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</si>
  <si>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</si>
  <si>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</si>
  <si>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</si>
  <si>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</si>
  <si>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</si>
  <si>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</si>
  <si>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</si>
  <si>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</si>
  <si>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</si>
  <si>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</si>
  <si>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</si>
  <si>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</si>
  <si>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</si>
  <si>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</si>
  <si>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</si>
  <si>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</si>
  <si>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</si>
  <si>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</si>
  <si>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</si>
  <si>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</si>
  <si>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</si>
  <si>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</si>
  <si>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</si>
  <si>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</si>
  <si>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</si>
  <si>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</si>
  <si>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</si>
  <si>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</si>
  <si>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</si>
  <si>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</si>
  <si>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</si>
  <si>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</si>
  <si>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</si>
  <si>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</si>
  <si>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</si>
  <si>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</si>
  <si>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</si>
  <si>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</si>
  <si>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</si>
  <si>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</si>
  <si>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</si>
  <si>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</si>
  <si>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</si>
  <si>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</si>
  <si>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</si>
  <si>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</si>
  <si>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</si>
  <si>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</si>
  <si>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</si>
  <si>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</si>
  <si>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</si>
  <si>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</si>
  <si>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</si>
  <si>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</si>
  <si>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</si>
  <si>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</si>
  <si>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</si>
  <si>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</si>
  <si>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</si>
  <si>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</si>
  <si>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</si>
  <si>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</si>
  <si>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</si>
  <si>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</si>
  <si>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</si>
  <si>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</si>
  <si>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</si>
  <si>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</si>
  <si>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</si>
  <si>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</si>
  <si>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</si>
  <si>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</si>
  <si>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</si>
  <si>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</si>
  <si>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</si>
  <si>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</si>
  <si>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</si>
  <si>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</si>
  <si>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</si>
  <si>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</si>
  <si>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</si>
  <si>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</si>
  <si>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</si>
  <si>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</si>
  <si>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</si>
  <si>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</si>
  <si>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</si>
  <si>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</si>
  <si>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</si>
  <si>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</si>
  <si>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</si>
  <si>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</si>
  <si>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</si>
  <si>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</si>
  <si>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</si>
  <si>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</si>
  <si>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</si>
  <si>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</si>
  <si>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</si>
  <si>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</si>
  <si>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</si>
  <si>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</si>
  <si>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</si>
  <si>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</si>
  <si>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</si>
  <si>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</si>
  <si>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</si>
  <si>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</si>
  <si>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</si>
  <si>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</si>
  <si>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</si>
  <si>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</si>
  <si>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</si>
  <si>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</si>
  <si>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</si>
  <si>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</si>
  <si>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</si>
  <si>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</si>
  <si>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</si>
  <si>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</si>
  <si>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</si>
  <si>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</si>
  <si>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</si>
  <si>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</si>
  <si>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</si>
  <si>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</si>
  <si>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</si>
  <si>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</si>
  <si>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</si>
  <si>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</si>
  <si>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</si>
  <si>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</si>
  <si>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</si>
  <si>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</si>
  <si>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</si>
  <si>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</si>
  <si>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</si>
  <si>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</si>
  <si>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</si>
  <si>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</si>
  <si>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</si>
  <si>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</si>
  <si>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</si>
  <si>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</si>
  <si>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</si>
  <si>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</si>
  <si>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</si>
  <si>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</si>
  <si>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</si>
  <si>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</si>
  <si>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</si>
  <si>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</si>
  <si>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</si>
  <si>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</si>
  <si>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</si>
  <si>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</si>
  <si>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</si>
  <si>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</si>
  <si>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</si>
  <si>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</si>
  <si>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</si>
  <si>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</si>
  <si>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</si>
  <si>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</si>
  <si>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</si>
  <si>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</si>
  <si>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</si>
  <si>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</si>
  <si>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</si>
  <si>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</si>
  <si>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</si>
  <si>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</si>
  <si>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</si>
  <si>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</si>
  <si>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</si>
  <si>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</si>
  <si>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</si>
  <si>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</si>
  <si>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</si>
  <si>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</si>
  <si>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</si>
  <si>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</si>
  <si>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</si>
  <si>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</si>
  <si>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</si>
  <si>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</si>
  <si>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</si>
  <si>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</si>
  <si>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</si>
  <si>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</si>
  <si>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</si>
  <si>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</si>
  <si>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</si>
  <si>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</si>
  <si>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</si>
  <si>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</si>
  <si>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</si>
  <si>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</si>
  <si>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</si>
  <si>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</si>
  <si>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</si>
  <si>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</si>
  <si>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</si>
  <si>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</si>
  <si>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</si>
  <si>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</si>
  <si>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</si>
  <si>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</si>
  <si>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</si>
  <si>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</si>
  <si>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</si>
  <si>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</si>
  <si>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</si>
  <si>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</si>
  <si>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</si>
  <si>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</si>
  <si>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</si>
  <si>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</si>
  <si>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</si>
  <si>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</si>
  <si>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</si>
  <si>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</si>
  <si>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</si>
  <si>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</si>
  <si>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</si>
  <si>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</si>
  <si>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</si>
  <si>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</si>
  <si>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</si>
  <si>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</si>
  <si>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</si>
  <si>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</si>
  <si>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</si>
  <si>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</si>
  <si>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</si>
  <si>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</si>
  <si>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</si>
  <si>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</si>
  <si>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</si>
  <si>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</si>
  <si>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</si>
  <si>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</si>
  <si>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</si>
  <si>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</si>
  <si>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</si>
  <si>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</si>
  <si>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</si>
  <si>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</si>
  <si>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</si>
  <si>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</si>
  <si>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</si>
  <si>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</si>
  <si>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</si>
  <si>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</si>
  <si>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</si>
  <si>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</si>
  <si>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</si>
  <si>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</si>
  <si>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</si>
  <si>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</si>
  <si>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</si>
  <si>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</si>
  <si>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</si>
  <si>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</si>
  <si>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</si>
  <si>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</si>
  <si>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</si>
  <si>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</si>
  <si>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</si>
  <si>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</si>
  <si>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</si>
  <si>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</si>
  <si>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</si>
  <si>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</si>
  <si>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</si>
  <si>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</si>
  <si>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</si>
  <si>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</si>
  <si>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</si>
  <si>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</si>
  <si>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</si>
  <si>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</si>
  <si>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</si>
  <si>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</si>
  <si>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</si>
  <si>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</si>
  <si>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</si>
  <si>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</si>
  <si>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</si>
  <si>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</si>
  <si>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</si>
  <si>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</si>
  <si>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</si>
  <si>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</si>
  <si>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</si>
  <si>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</si>
  <si>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</si>
  <si>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</si>
  <si>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</si>
  <si>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</si>
  <si>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</si>
  <si>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</si>
  <si>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</si>
  <si>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</si>
  <si>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</si>
  <si>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</si>
  <si>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</si>
  <si>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</si>
  <si>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</si>
  <si>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</si>
  <si>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</si>
  <si>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</si>
  <si>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</si>
  <si>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</si>
  <si>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</si>
  <si>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</si>
  <si>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</si>
  <si>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</si>
  <si>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</si>
  <si>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</si>
  <si>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</si>
  <si>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</si>
  <si>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</si>
  <si>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</si>
  <si>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</si>
  <si>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</si>
  <si>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</si>
  <si>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</si>
  <si>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</si>
  <si>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</si>
  <si>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</si>
  <si>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</si>
  <si>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</si>
  <si>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</si>
  <si>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</si>
  <si>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</si>
  <si>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</si>
  <si>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</si>
  <si>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</si>
  <si>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</si>
  <si>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</si>
  <si>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</si>
  <si>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</si>
  <si>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</si>
  <si>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</si>
  <si>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</si>
  <si>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</si>
  <si>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</si>
  <si>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</si>
  <si>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</si>
  <si>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</si>
  <si>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</si>
  <si>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</si>
  <si>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</si>
  <si>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</si>
  <si>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</si>
  <si>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</si>
  <si>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</si>
  <si>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</si>
  <si>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</si>
  <si>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</si>
  <si>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</si>
  <si>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</si>
  <si>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</si>
  <si>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</si>
  <si>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</si>
  <si>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</si>
  <si>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</si>
  <si>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</si>
  <si>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</si>
  <si>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</si>
  <si>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</si>
  <si>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</si>
  <si>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</si>
  <si>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</si>
  <si>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</si>
  <si>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</si>
  <si>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</si>
  <si>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</si>
  <si>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</si>
  <si>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</si>
  <si>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</si>
  <si>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</si>
  <si>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</si>
  <si>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</si>
  <si>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</si>
  <si>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</si>
  <si>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</si>
  <si>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</si>
  <si>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</si>
  <si>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</si>
  <si>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</si>
  <si>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</si>
  <si>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</si>
  <si>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</si>
  <si>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</si>
  <si>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</si>
  <si>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</si>
  <si>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</si>
  <si>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</si>
  <si>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</si>
  <si>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</si>
  <si>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</si>
  <si>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</si>
  <si>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</si>
  <si>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</si>
  <si>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</si>
  <si>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</si>
  <si>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</si>
  <si>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</si>
  <si>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</si>
  <si>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</si>
  <si>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</si>
  <si>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</si>
  <si>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</si>
  <si>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</si>
  <si>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</si>
  <si>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</si>
  <si>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</si>
  <si>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</si>
  <si>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</si>
  <si>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</si>
  <si>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</si>
  <si>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</si>
  <si>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</si>
  <si>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</si>
  <si>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</si>
  <si>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</si>
  <si>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</si>
  <si>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</si>
  <si>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</si>
  <si>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</si>
  <si>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</si>
  <si>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</si>
  <si>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</si>
  <si>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</si>
  <si>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</si>
  <si>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</si>
  <si>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</si>
  <si>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</si>
  <si>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</si>
  <si>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</si>
  <si>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</si>
  <si>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</si>
  <si>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</si>
  <si>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</si>
  <si>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</si>
  <si>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</si>
  <si>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</si>
  <si>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</si>
  <si>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</si>
  <si>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</si>
  <si>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</si>
  <si>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</si>
  <si>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</si>
  <si>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</si>
  <si>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</si>
  <si>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</si>
  <si>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</si>
  <si>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</si>
  <si>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</si>
  <si>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</si>
  <si>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</si>
  <si>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</si>
  <si>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</si>
  <si>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</si>
  <si>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</si>
  <si>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</si>
  <si>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</si>
  <si>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</si>
  <si>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</si>
  <si>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</si>
  <si>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</si>
  <si>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</si>
  <si>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</si>
  <si>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</si>
  <si>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</si>
  <si>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</si>
  <si>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</si>
  <si>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</si>
  <si>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</si>
  <si>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</si>
  <si>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</si>
  <si>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</si>
  <si>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</si>
  <si>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</si>
  <si>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</si>
  <si>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</si>
  <si>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</si>
  <si>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</si>
  <si>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</si>
  <si>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</si>
  <si>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</si>
  <si>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</si>
  <si>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</si>
  <si>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</si>
  <si>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</si>
  <si>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</si>
  <si>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</si>
  <si>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</si>
  <si>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</si>
  <si>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</si>
  <si>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</si>
  <si>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</si>
  <si>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</si>
  <si>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</si>
  <si>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</si>
  <si>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</si>
  <si>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</si>
  <si>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</si>
  <si>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</si>
  <si>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</si>
  <si>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</si>
  <si>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</si>
  <si>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</si>
  <si>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</si>
  <si>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</si>
  <si>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</si>
  <si>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</si>
  <si>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</si>
  <si>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</si>
  <si>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</si>
  <si>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</si>
  <si>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</si>
  <si>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</si>
  <si>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</si>
  <si>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</si>
  <si>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</si>
  <si>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</si>
  <si>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</si>
  <si>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</si>
  <si>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</si>
  <si>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</si>
  <si>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</si>
  <si>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</si>
  <si>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</si>
  <si>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</si>
  <si>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</si>
  <si>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</si>
  <si>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</si>
  <si>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</si>
  <si>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</si>
  <si>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</si>
  <si>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</si>
  <si>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</si>
  <si>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</si>
  <si>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</si>
  <si>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</si>
  <si>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</si>
  <si>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</si>
  <si>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</si>
  <si>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</si>
  <si>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</si>
  <si>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</si>
  <si>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</si>
  <si>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</si>
  <si>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</si>
  <si>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</si>
  <si>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</si>
  <si>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</si>
  <si>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</si>
  <si>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</si>
  <si>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</si>
  <si>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</si>
  <si>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</si>
  <si>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</si>
  <si>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</si>
  <si>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</si>
  <si>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</si>
  <si>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</si>
  <si>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</si>
  <si>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</si>
  <si>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</si>
  <si>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</si>
  <si>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</si>
  <si>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</si>
  <si>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</si>
  <si>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</si>
  <si>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</si>
  <si>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</si>
  <si>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</si>
  <si>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</si>
  <si>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</si>
  <si>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</si>
  <si>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</si>
  <si>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</si>
  <si>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</si>
  <si>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</si>
  <si>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</si>
  <si>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</si>
  <si>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</si>
  <si>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</si>
  <si>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</si>
  <si>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</si>
  <si>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</si>
  <si>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</si>
  <si>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</si>
  <si>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</si>
  <si>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</si>
  <si>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</si>
  <si>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</si>
  <si>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</si>
  <si>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</si>
  <si>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</si>
  <si>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</si>
  <si>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</si>
  <si>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</si>
  <si>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</si>
  <si>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</si>
  <si>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</si>
  <si>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</si>
  <si>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</si>
  <si>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</si>
  <si>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</si>
  <si>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</si>
  <si>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</si>
  <si>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</si>
  <si>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</si>
  <si>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</si>
  <si>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</si>
  <si>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</si>
  <si>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</si>
  <si>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</si>
  <si>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</si>
  <si>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</si>
  <si>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</si>
  <si>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</si>
  <si>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</si>
  <si>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</si>
  <si>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</si>
  <si>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</si>
  <si>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</si>
  <si>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</si>
  <si>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</si>
  <si>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</si>
  <si>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</si>
  <si>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</si>
  <si>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</si>
  <si>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</si>
  <si>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</si>
  <si>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</si>
  <si>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</si>
  <si>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</si>
  <si>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</si>
  <si>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</si>
  <si>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</si>
  <si>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</si>
  <si>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</si>
  <si>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</si>
  <si>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</si>
  <si>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</si>
  <si>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</si>
  <si>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</si>
  <si>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</si>
  <si>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</si>
  <si>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</si>
  <si>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</si>
  <si>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</si>
  <si>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</si>
  <si>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</si>
  <si>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</si>
  <si>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</si>
  <si>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</si>
  <si>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</si>
  <si>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</si>
  <si>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</si>
  <si>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</si>
  <si>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</si>
  <si>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</si>
  <si>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</si>
  <si>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</si>
  <si>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</si>
  <si>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</si>
  <si>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</si>
  <si>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</si>
  <si>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</si>
  <si>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</si>
  <si>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</si>
  <si>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</si>
  <si>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</si>
  <si>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</si>
  <si>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</si>
  <si>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</si>
  <si>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</si>
  <si>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</si>
  <si>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</si>
  <si>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</si>
  <si>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</si>
  <si>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</si>
  <si>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</si>
  <si>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</si>
  <si>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</si>
  <si>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</si>
  <si>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</si>
  <si>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</si>
  <si>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</si>
  <si>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</si>
  <si>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</si>
  <si>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</si>
  <si>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</si>
  <si>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</si>
  <si>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</si>
  <si>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</si>
  <si>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</si>
  <si>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</si>
  <si>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</si>
  <si>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</si>
  <si>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</si>
  <si>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</si>
  <si>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</si>
  <si>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</si>
  <si>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</si>
  <si>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</si>
  <si>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</si>
  <si>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</si>
  <si>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</si>
  <si>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</si>
  <si>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</si>
  <si>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</si>
  <si>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</si>
  <si>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</si>
  <si>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</si>
  <si>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</si>
  <si>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</si>
  <si>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</si>
  <si>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</si>
  <si>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</si>
  <si>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</si>
  <si>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</si>
  <si>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</si>
  <si>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</si>
  <si>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</si>
  <si>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</si>
  <si>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</si>
  <si>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</si>
  <si>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</si>
  <si>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</si>
  <si>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</si>
  <si>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</si>
  <si>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</si>
  <si>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</si>
  <si>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</si>
  <si>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</si>
  <si>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</si>
  <si>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</si>
  <si>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</si>
  <si>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</si>
  <si>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</si>
  <si>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</si>
  <si>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</si>
  <si>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</si>
  <si>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</si>
  <si>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</si>
  <si>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</si>
  <si>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</si>
  <si>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</si>
  <si>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</si>
  <si>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</si>
  <si>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</si>
  <si>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</si>
  <si>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</si>
  <si>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</si>
  <si>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</si>
  <si>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</si>
  <si>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</si>
  <si>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</si>
  <si>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</si>
  <si>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</si>
  <si>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</si>
  <si>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</si>
  <si>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</si>
  <si>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</si>
  <si>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</si>
  <si>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</si>
  <si>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</si>
  <si>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</si>
  <si>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</si>
  <si>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</si>
  <si>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</si>
  <si>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</si>
  <si>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</si>
  <si>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</si>
  <si>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</si>
  <si>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</si>
  <si>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</si>
  <si>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</si>
  <si>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</si>
  <si>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</si>
  <si>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</si>
  <si>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</si>
  <si>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</si>
  <si>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</si>
  <si>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</si>
  <si>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</si>
  <si>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</si>
  <si>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</si>
  <si>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</si>
  <si>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</si>
  <si>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</si>
  <si>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</si>
  <si>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</si>
  <si>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</si>
  <si>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</si>
  <si>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</si>
  <si>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</si>
  <si>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</si>
  <si>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</si>
  <si>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</si>
  <si>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</si>
  <si>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</si>
  <si>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</si>
  <si>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</si>
  <si>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</si>
  <si>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</si>
  <si>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</si>
  <si>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</si>
  <si>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</si>
  <si>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</si>
  <si>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</si>
  <si>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</si>
  <si>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</si>
  <si>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</si>
  <si>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</si>
  <si>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</si>
  <si>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</si>
  <si>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</si>
  <si>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</si>
  <si>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</si>
  <si>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</si>
  <si>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</si>
  <si>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</si>
  <si>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</si>
  <si>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</si>
  <si>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</si>
  <si>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</si>
  <si>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</si>
  <si>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</si>
  <si>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</si>
  <si>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</si>
  <si>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</si>
  <si>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</si>
  <si>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</si>
  <si>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</si>
  <si>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</si>
  <si>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</si>
  <si>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</si>
  <si>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</si>
  <si>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</si>
  <si>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</si>
  <si>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</si>
  <si>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</si>
  <si>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</si>
  <si>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</si>
  <si>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</si>
  <si>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</si>
  <si>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</si>
  <si>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</si>
  <si>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</si>
  <si>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</si>
  <si>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</si>
  <si>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</si>
  <si>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</si>
  <si>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</si>
  <si>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</si>
  <si>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</si>
  <si>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</si>
  <si>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</si>
  <si>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</si>
  <si>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</si>
  <si>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</si>
  <si>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</si>
  <si>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</si>
  <si>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</si>
  <si>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</si>
  <si>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</si>
  <si>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</si>
  <si>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</si>
  <si>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</si>
  <si>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</si>
  <si>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</si>
  <si>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</si>
  <si>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</si>
  <si>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</si>
  <si>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</si>
  <si>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</si>
  <si>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</si>
  <si>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</si>
  <si>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</si>
  <si>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</si>
  <si>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</si>
  <si>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</si>
  <si>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</si>
  <si>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</si>
  <si>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</si>
  <si>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</si>
  <si>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</si>
  <si>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</si>
  <si>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</si>
  <si>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</si>
  <si>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</si>
  <si>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</si>
  <si>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</si>
  <si>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</si>
  <si>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</si>
  <si>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</si>
  <si>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</si>
  <si>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</si>
  <si>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</si>
  <si>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</si>
  <si>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</si>
  <si>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</si>
  <si>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</si>
  <si>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</si>
  <si>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</si>
  <si>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</si>
  <si>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</si>
  <si>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</si>
  <si>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</si>
  <si>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</si>
  <si>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</si>
  <si>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</si>
  <si>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</si>
  <si>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</si>
  <si>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</si>
  <si>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</si>
  <si>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</si>
  <si>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</si>
  <si>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</si>
  <si>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</si>
  <si>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</si>
  <si>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</si>
  <si>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</si>
  <si>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</si>
  <si>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</si>
  <si>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</si>
  <si>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</si>
  <si>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</si>
  <si>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</si>
  <si>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</si>
  <si>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</si>
  <si>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</si>
  <si>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</si>
  <si>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</si>
  <si>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</si>
  <si>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</si>
  <si>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</si>
  <si>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</si>
  <si>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</si>
  <si>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</si>
  <si>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</si>
  <si>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</si>
  <si>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</si>
  <si>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</si>
  <si>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</si>
  <si>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</si>
  <si>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</si>
  <si>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</si>
  <si>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</si>
  <si>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</si>
  <si>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</si>
  <si>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</si>
  <si>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</si>
  <si>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</si>
  <si>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</si>
  <si>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</si>
  <si>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</si>
  <si>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</si>
  <si>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</si>
  <si>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</si>
  <si>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</si>
  <si>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</si>
  <si>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</si>
  <si>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</si>
  <si>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</si>
  <si>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</si>
  <si>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</si>
  <si>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</si>
  <si>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</si>
  <si>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</si>
  <si>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</si>
  <si>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</si>
  <si>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</si>
  <si>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</si>
  <si>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</si>
  <si>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</si>
  <si>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</si>
  <si>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</si>
  <si>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</si>
  <si>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</si>
  <si>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</si>
  <si>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</si>
  <si>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</si>
  <si>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</si>
  <si>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</si>
  <si>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</si>
  <si>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</si>
  <si>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</si>
  <si>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</si>
  <si>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</si>
  <si>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</si>
  <si>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</si>
  <si>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</si>
  <si>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</si>
  <si>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</si>
  <si>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</si>
  <si>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</si>
  <si>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</si>
  <si>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</si>
  <si>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</si>
  <si>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</si>
  <si>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</si>
  <si>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</si>
  <si>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</si>
  <si>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</si>
  <si>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</si>
  <si>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</si>
  <si>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</si>
  <si>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</si>
  <si>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</si>
  <si>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</si>
  <si>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</si>
  <si>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</si>
  <si>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</si>
  <si>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</si>
  <si>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</si>
  <si>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</si>
  <si>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</si>
  <si>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</si>
  <si>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</si>
  <si>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</si>
  <si>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</si>
  <si>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</si>
  <si>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</si>
  <si>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</si>
  <si>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</si>
  <si>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</si>
  <si>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</si>
  <si>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</si>
  <si>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</si>
  <si>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</si>
  <si>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</si>
  <si>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</si>
  <si>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</si>
  <si>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</si>
  <si>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</si>
  <si>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</si>
  <si>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</si>
  <si>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</si>
  <si>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</si>
  <si>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</si>
  <si>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</si>
  <si>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</si>
  <si>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</si>
  <si>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</si>
  <si>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</si>
  <si>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</si>
  <si>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</si>
  <si>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</si>
  <si>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</si>
  <si>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</si>
  <si>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</si>
  <si>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</si>
  <si>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</si>
  <si>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</si>
  <si>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</si>
  <si>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</si>
  <si>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</si>
  <si>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</si>
  <si>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</si>
  <si>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</si>
  <si>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</si>
  <si>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</si>
  <si>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</si>
  <si>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</si>
  <si>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</si>
  <si>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</si>
  <si>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</si>
  <si>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</si>
  <si>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</si>
  <si>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</si>
  <si>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</si>
  <si>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</si>
  <si>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</si>
  <si>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</si>
  <si>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</si>
  <si>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</si>
  <si>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</si>
  <si>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</si>
  <si>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</si>
  <si>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</si>
  <si>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</si>
  <si>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</si>
  <si>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</si>
  <si>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</si>
  <si>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</si>
  <si>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</si>
  <si>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</si>
  <si>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</si>
  <si>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</si>
  <si>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</si>
  <si>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</si>
  <si>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</si>
  <si>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</si>
  <si>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</si>
  <si>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</si>
  <si>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</si>
  <si>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</si>
  <si>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</si>
  <si>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</si>
  <si>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</si>
  <si>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</si>
  <si>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</si>
  <si>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</si>
  <si>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</si>
  <si>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</si>
  <si>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</si>
  <si>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</si>
  <si>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</si>
  <si>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</si>
  <si>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</si>
  <si>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</si>
  <si>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</si>
  <si>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</si>
  <si>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</si>
  <si>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</si>
  <si>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</si>
  <si>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</si>
  <si>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</si>
  <si>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</si>
  <si>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</si>
  <si>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</si>
  <si>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</si>
  <si>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</si>
  <si>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</si>
  <si>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</si>
  <si>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</si>
  <si>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</si>
  <si>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</si>
  <si>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</si>
  <si>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</si>
  <si>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</si>
  <si>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</si>
  <si>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</si>
  <si>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</si>
  <si>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</si>
  <si>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</si>
  <si>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</si>
  <si>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</si>
  <si>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</si>
  <si>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</si>
  <si>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</si>
  <si>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</si>
  <si>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</si>
  <si>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</si>
  <si>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</si>
  <si>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</si>
  <si>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</si>
  <si>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</si>
  <si>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</si>
  <si>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</si>
  <si>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</si>
  <si>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</si>
  <si>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</si>
  <si>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</si>
  <si>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</si>
  <si>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</si>
  <si>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</si>
  <si>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</si>
  <si>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</si>
  <si>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</si>
  <si>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</si>
  <si>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</si>
  <si>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</si>
  <si>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</si>
  <si>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</si>
  <si>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</si>
  <si>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</si>
  <si>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</si>
  <si>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</si>
  <si>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</si>
  <si>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</si>
  <si>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</si>
  <si>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</si>
  <si>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</si>
  <si>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</si>
  <si>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</si>
  <si>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</si>
  <si>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</si>
  <si>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</si>
  <si>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</si>
  <si>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</si>
  <si>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</si>
  <si>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</si>
  <si>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</si>
  <si>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</si>
  <si>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</si>
  <si>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</si>
  <si>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</si>
  <si>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</si>
  <si>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</si>
  <si>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</si>
  <si>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</si>
  <si>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</si>
  <si>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</si>
  <si>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</si>
  <si>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</si>
  <si>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</si>
  <si>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</si>
  <si>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</si>
  <si>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</si>
  <si>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</si>
  <si>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</si>
  <si>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</si>
  <si>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</si>
  <si>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</si>
  <si>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</si>
  <si>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</si>
  <si>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</si>
  <si>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</si>
  <si>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</si>
  <si>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</si>
  <si>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</si>
  <si>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</si>
  <si>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</si>
  <si>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</si>
  <si>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</si>
  <si>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</si>
  <si>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</si>
  <si>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</si>
  <si>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</si>
  <si>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</si>
  <si>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</si>
  <si>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</si>
  <si>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</si>
  <si>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</si>
  <si>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</si>
  <si>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</si>
  <si>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</si>
  <si>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</si>
  <si>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</si>
  <si>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</si>
  <si>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</si>
  <si>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</si>
  <si>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</si>
  <si>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</si>
  <si>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</si>
  <si>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</si>
  <si>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</si>
  <si>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</si>
  <si>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</si>
  <si>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</si>
  <si>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</si>
  <si>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</si>
  <si>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</si>
  <si>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</si>
  <si>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</si>
  <si>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</si>
  <si>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</si>
  <si>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</si>
  <si>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</si>
  <si>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</si>
  <si>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</si>
  <si>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</si>
  <si>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</si>
  <si>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</si>
  <si>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</si>
  <si>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</si>
  <si>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</si>
  <si>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</si>
  <si>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</si>
  <si>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</si>
  <si>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</si>
  <si>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</si>
  <si>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</si>
  <si>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</si>
  <si>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</si>
  <si>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</si>
  <si>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</si>
  <si>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</si>
  <si>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</si>
  <si>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</si>
  <si>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</si>
  <si>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</si>
  <si>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</si>
  <si>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</si>
  <si>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</si>
  <si>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</si>
  <si>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</si>
  <si>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</si>
  <si>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</si>
  <si>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</si>
  <si>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</si>
  <si>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</si>
  <si>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</si>
  <si>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</si>
  <si>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</si>
  <si>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</si>
  <si>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</si>
  <si>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</si>
  <si>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</si>
  <si>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</si>
  <si>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</si>
  <si>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</si>
  <si>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</si>
  <si>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</si>
  <si>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</si>
  <si>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</si>
  <si>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</si>
  <si>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</si>
  <si>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</si>
  <si>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</si>
  <si>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</si>
  <si>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</si>
  <si>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</si>
  <si>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</si>
  <si>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</si>
  <si>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</si>
  <si>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</si>
  <si>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</si>
  <si>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</si>
  <si>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</si>
  <si>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</si>
  <si>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</si>
  <si>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</si>
  <si>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</si>
  <si>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</si>
  <si>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</si>
  <si>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</si>
  <si>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</si>
  <si>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</si>
  <si>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</si>
  <si>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</si>
  <si>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</si>
  <si>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</si>
  <si>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</si>
  <si>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</si>
  <si>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</si>
  <si>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</si>
  <si>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</si>
  <si>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</si>
  <si>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</si>
  <si>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</si>
  <si>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</si>
  <si>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</si>
  <si>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</si>
  <si>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</si>
  <si>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</si>
  <si>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</si>
  <si>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</si>
  <si>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</si>
  <si>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</si>
  <si>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</si>
  <si>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</si>
  <si>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</si>
  <si>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</si>
  <si>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</si>
  <si>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</si>
  <si>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</si>
  <si>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</si>
  <si>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</si>
  <si>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</si>
  <si>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</si>
  <si>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</si>
  <si>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</si>
  <si>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</si>
  <si>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</si>
  <si>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</si>
  <si>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</si>
  <si>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</si>
  <si>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</si>
  <si>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</si>
  <si>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</si>
  <si>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</si>
  <si>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</si>
  <si>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</si>
  <si>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</si>
  <si>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</si>
  <si>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</si>
  <si>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</si>
  <si>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</si>
  <si>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</si>
  <si>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</si>
  <si>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</si>
  <si>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</si>
  <si>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</si>
  <si>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</si>
  <si>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</si>
  <si>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</si>
  <si>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</si>
  <si>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</si>
  <si>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</si>
  <si>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</si>
  <si>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</si>
  <si>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</si>
  <si>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</si>
  <si>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</si>
  <si>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</si>
  <si>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</si>
  <si>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</si>
  <si>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</si>
  <si>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</si>
  <si>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</si>
  <si>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</si>
  <si>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</si>
  <si>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</si>
  <si>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</si>
  <si>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</si>
  <si>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</si>
  <si>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</si>
  <si>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</si>
  <si>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</si>
  <si>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</si>
  <si>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</si>
  <si>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</si>
  <si>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</si>
  <si>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</si>
  <si>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</si>
  <si>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</si>
  <si>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</si>
  <si>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</si>
  <si>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</si>
  <si>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</si>
  <si>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</si>
  <si>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</si>
  <si>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</si>
  <si>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</si>
  <si>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</si>
  <si>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</si>
  <si>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</si>
  <si>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</si>
  <si>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</si>
  <si>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</si>
  <si>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</si>
  <si>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</si>
  <si>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</si>
  <si>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</si>
  <si>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</si>
  <si>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</si>
  <si>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</si>
  <si>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</si>
  <si>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</si>
  <si>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</si>
  <si>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</si>
  <si>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</si>
  <si>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</si>
  <si>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</si>
  <si>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</si>
  <si>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</si>
  <si>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</si>
  <si>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</si>
  <si>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</si>
  <si>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</si>
  <si>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</si>
  <si>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</si>
  <si>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</si>
  <si>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</si>
  <si>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</si>
  <si>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</si>
  <si>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</si>
  <si>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</si>
  <si>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</si>
  <si>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</si>
  <si>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</si>
  <si>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</si>
  <si>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</si>
  <si>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</si>
  <si>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</si>
  <si>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</si>
  <si>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</si>
  <si>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</si>
  <si>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</si>
  <si>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</si>
  <si>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</si>
  <si>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</si>
  <si>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</si>
  <si>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</si>
  <si>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</si>
  <si>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</si>
  <si>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</si>
  <si>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</si>
  <si>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</si>
  <si>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</si>
  <si>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</si>
  <si>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</si>
  <si>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</si>
  <si>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</si>
  <si>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</si>
  <si>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</si>
  <si>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</si>
  <si>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</si>
  <si>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</si>
  <si>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</si>
  <si>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</si>
  <si>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</si>
  <si>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</si>
  <si>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</si>
  <si>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</si>
  <si>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</si>
  <si>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</si>
  <si>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</si>
  <si>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</si>
  <si>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</si>
  <si>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</si>
  <si>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</si>
  <si>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</si>
  <si>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</si>
  <si>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</si>
  <si>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</si>
  <si>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</si>
  <si>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</si>
  <si>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</si>
  <si>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</si>
  <si>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</si>
  <si>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</si>
  <si>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</si>
  <si>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</si>
  <si>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</si>
  <si>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</si>
  <si>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</si>
  <si>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</si>
  <si>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</si>
  <si>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</si>
  <si>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</si>
  <si>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</si>
  <si>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</si>
  <si>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</si>
  <si>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</si>
  <si>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</si>
  <si>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</si>
  <si>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</si>
  <si>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</si>
  <si>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</si>
  <si>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</si>
  <si>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</si>
  <si>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</si>
  <si>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</si>
  <si>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</si>
  <si>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</si>
  <si>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</si>
  <si>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</si>
  <si>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</si>
  <si>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</si>
  <si>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</si>
  <si>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</si>
  <si>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</si>
  <si>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</si>
  <si>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</si>
  <si>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</si>
  <si>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</si>
  <si>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</si>
  <si>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</si>
  <si>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</si>
  <si>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</si>
  <si>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</si>
  <si>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</si>
  <si>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</si>
  <si>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</si>
  <si>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</si>
  <si>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</si>
  <si>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</si>
  <si>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</si>
  <si>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</si>
  <si>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</si>
  <si>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</si>
  <si>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</si>
  <si>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</si>
  <si>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</si>
  <si>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</si>
  <si>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</si>
  <si>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</si>
  <si>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</si>
  <si>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</si>
  <si>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</si>
  <si>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</si>
  <si>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</si>
  <si>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</si>
  <si>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</si>
  <si>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</si>
  <si>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</si>
  <si>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</si>
  <si>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</si>
  <si>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</si>
  <si>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</si>
  <si>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</si>
  <si>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</si>
  <si>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</si>
  <si>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</si>
  <si>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</si>
  <si>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</si>
  <si>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</si>
  <si>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</si>
  <si>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</si>
  <si>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</si>
  <si>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</si>
  <si>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</si>
  <si>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</si>
  <si>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</si>
  <si>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</si>
  <si>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</si>
  <si>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</si>
  <si>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</si>
  <si>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</si>
  <si>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</si>
  <si>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</si>
  <si>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</si>
  <si>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</si>
  <si>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</si>
  <si>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</si>
  <si>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</si>
  <si>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</si>
  <si>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</si>
  <si>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</si>
  <si>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</si>
  <si>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</si>
  <si>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</si>
  <si>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</si>
  <si>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</si>
  <si>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</si>
  <si>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</si>
  <si>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</si>
  <si>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</si>
  <si>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</si>
  <si>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</si>
  <si>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</si>
  <si>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</si>
  <si>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</si>
  <si>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</si>
  <si>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</si>
  <si>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</si>
  <si>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</si>
  <si>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</si>
  <si>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</si>
  <si>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</si>
  <si>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</si>
  <si>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</si>
  <si>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</si>
  <si>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</si>
  <si>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</si>
  <si>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</si>
  <si>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</si>
  <si>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</si>
  <si>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</si>
  <si>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</si>
  <si>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</si>
  <si>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</si>
  <si>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</si>
  <si>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</si>
  <si>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</si>
  <si>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</si>
  <si>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</si>
  <si>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</si>
  <si>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</si>
  <si>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</si>
  <si>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</si>
  <si>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</si>
  <si>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</si>
  <si>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</si>
  <si>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</si>
  <si>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</si>
  <si>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</si>
  <si>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</si>
  <si>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</si>
  <si>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</si>
  <si>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</si>
  <si>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</si>
  <si>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</si>
  <si>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</si>
  <si>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</si>
  <si>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</si>
  <si>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</si>
  <si>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</si>
  <si>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</si>
  <si>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</si>
  <si>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</si>
  <si>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</si>
  <si>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</si>
  <si>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</si>
  <si>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</si>
  <si>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</si>
  <si>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</si>
  <si>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</si>
  <si>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</si>
  <si>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</si>
  <si>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</si>
  <si>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</si>
  <si>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</si>
  <si>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</si>
  <si>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</si>
  <si>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</si>
  <si>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</si>
  <si>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</si>
  <si>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</si>
  <si>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</si>
  <si>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</si>
  <si>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</si>
  <si>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</si>
  <si>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</si>
  <si>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</si>
  <si>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</si>
  <si>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</si>
  <si>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</si>
  <si>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</si>
  <si>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</si>
  <si>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</si>
  <si>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</si>
  <si>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</si>
  <si>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</si>
  <si>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</si>
  <si>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</si>
  <si>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</si>
  <si>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</si>
  <si>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</si>
  <si>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</si>
  <si>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</si>
  <si>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</si>
  <si>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</si>
  <si>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</si>
  <si>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</si>
  <si>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</si>
  <si>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</si>
  <si>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</si>
  <si>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</si>
  <si>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</si>
  <si>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</si>
  <si>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</si>
  <si>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</si>
  <si>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</si>
  <si>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</si>
  <si>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</si>
  <si>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</si>
  <si>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</si>
  <si>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</si>
  <si>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</si>
  <si>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</si>
  <si>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</si>
  <si>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</si>
  <si>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</si>
  <si>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</si>
  <si>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</si>
  <si>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</si>
  <si>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</si>
  <si>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</si>
  <si>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</si>
  <si>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</si>
  <si>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</si>
  <si>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</si>
  <si>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</si>
  <si>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</si>
  <si>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</si>
  <si>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</si>
  <si>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</si>
  <si>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</si>
  <si>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</si>
  <si>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</si>
  <si>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</si>
  <si>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</si>
  <si>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</si>
  <si>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</si>
  <si>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</si>
  <si>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</si>
  <si>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</si>
  <si>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</si>
  <si>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</si>
  <si>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</si>
  <si>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</si>
  <si>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</si>
  <si>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</si>
  <si>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</si>
  <si>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</si>
  <si>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</si>
  <si>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</si>
  <si>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</si>
  <si>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</si>
  <si>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</si>
  <si>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</si>
  <si>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</si>
  <si>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</si>
  <si>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</si>
  <si>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</si>
  <si>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</si>
  <si>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</si>
  <si>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</si>
  <si>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</si>
  <si>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</si>
  <si>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</si>
  <si>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</si>
  <si>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</si>
  <si>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</si>
  <si>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</si>
  <si>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</si>
  <si>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</si>
  <si>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</si>
  <si>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</si>
  <si>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</si>
  <si>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</si>
  <si>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</si>
  <si>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</si>
  <si>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</si>
  <si>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</si>
  <si>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</si>
  <si>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</si>
  <si>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</si>
  <si>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</si>
  <si>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</si>
  <si>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</si>
  <si>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</si>
  <si>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</si>
  <si>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</si>
  <si>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</si>
  <si>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</si>
  <si>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</si>
  <si>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</si>
  <si>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</si>
  <si>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</si>
  <si>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</si>
  <si>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</si>
  <si>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</si>
  <si>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</si>
  <si>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</si>
  <si>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</si>
  <si>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</si>
  <si>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</si>
  <si>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</si>
  <si>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</si>
  <si>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</si>
  <si>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</si>
  <si>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</si>
  <si>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</si>
  <si>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</si>
  <si>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</si>
  <si>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</si>
  <si>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</si>
  <si>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</si>
  <si>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</si>
  <si>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</si>
  <si>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</si>
  <si>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</si>
  <si>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</si>
  <si>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</si>
  <si>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</si>
  <si>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</si>
  <si>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</si>
  <si>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</si>
  <si>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</si>
  <si>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</si>
  <si>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</si>
  <si>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</si>
  <si>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</si>
  <si>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</si>
  <si>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</si>
  <si>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</si>
  <si>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</si>
  <si>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</si>
  <si>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</si>
  <si>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</si>
  <si>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</si>
  <si>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</si>
  <si>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</si>
  <si>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</si>
  <si>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</si>
  <si>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</si>
  <si>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</si>
  <si>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</si>
  <si>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</si>
  <si>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</si>
  <si>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</si>
  <si>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</si>
  <si>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</si>
  <si>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</si>
  <si>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</si>
  <si>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</si>
  <si>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</si>
  <si>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</si>
  <si>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</si>
  <si>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</si>
  <si>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</si>
  <si>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</si>
  <si>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</si>
  <si>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</si>
  <si>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</si>
  <si>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</si>
  <si>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</si>
  <si>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</si>
  <si>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</si>
  <si>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</si>
  <si>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</si>
  <si>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</si>
  <si>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</si>
  <si>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</si>
  <si>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</si>
  <si>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</si>
  <si>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</si>
  <si>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</si>
  <si>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</si>
  <si>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</si>
  <si>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</si>
  <si>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</si>
  <si>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</si>
  <si>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</si>
  <si>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</si>
  <si>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</si>
  <si>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</si>
  <si>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</si>
  <si>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</si>
  <si>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</si>
  <si>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</si>
  <si>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</si>
  <si>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</si>
  <si>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</si>
  <si>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</si>
  <si>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</si>
  <si>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</si>
  <si>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</si>
  <si>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</si>
  <si>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</si>
  <si>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</si>
  <si>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</si>
  <si>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</si>
  <si>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</si>
  <si>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</si>
  <si>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</si>
  <si>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</si>
  <si>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</si>
  <si>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</si>
  <si>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</si>
  <si>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</si>
  <si>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</si>
  <si>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</si>
  <si>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</si>
  <si>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</si>
  <si>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</si>
  <si>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</si>
  <si>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</si>
  <si>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</si>
  <si>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</si>
  <si>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</si>
  <si>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</si>
  <si>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</si>
  <si>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</si>
  <si>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</si>
  <si>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</si>
  <si>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</si>
  <si>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</si>
  <si>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</si>
  <si>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</si>
  <si>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</si>
  <si>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</si>
  <si>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</si>
  <si>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</si>
  <si>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</si>
  <si>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</si>
  <si>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</si>
  <si>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</si>
  <si>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</si>
  <si>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</si>
  <si>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</si>
  <si>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</si>
  <si>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</si>
  <si>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</si>
  <si>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</si>
  <si>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</si>
  <si>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</si>
  <si>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</si>
  <si>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</si>
  <si>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</si>
  <si>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</si>
  <si>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</si>
  <si>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</si>
  <si>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</si>
  <si>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</si>
  <si>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</si>
  <si>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</si>
  <si>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</si>
  <si>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</si>
  <si>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</si>
  <si>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</si>
  <si>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</si>
  <si>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</si>
  <si>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</si>
  <si>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</si>
  <si>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</si>
  <si>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</si>
  <si>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</si>
  <si>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</si>
  <si>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</si>
  <si>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</si>
  <si>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</si>
  <si>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</si>
  <si>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</si>
  <si>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</si>
  <si>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</si>
  <si>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</si>
  <si>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</si>
  <si>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</si>
  <si>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</si>
  <si>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</si>
  <si>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</si>
  <si>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</si>
  <si>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</si>
  <si>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</si>
  <si>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</si>
  <si>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</si>
  <si>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</si>
  <si>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</si>
  <si>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</si>
  <si>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</si>
  <si>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</si>
  <si>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</si>
  <si>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</si>
  <si>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</si>
  <si>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</si>
  <si>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</si>
  <si>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</si>
  <si>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</si>
  <si>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</si>
  <si>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</si>
  <si>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</si>
  <si>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</si>
  <si>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</si>
  <si>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</si>
  <si>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</si>
  <si>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</si>
  <si>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</si>
  <si>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</si>
  <si>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</si>
  <si>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</si>
  <si>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</si>
  <si>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</si>
  <si>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</si>
  <si>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</si>
  <si>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</si>
  <si>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</si>
  <si>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</si>
  <si>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</si>
  <si>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</si>
  <si>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</si>
  <si>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</si>
  <si>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</si>
  <si>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</si>
  <si>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</si>
  <si>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</si>
  <si>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</si>
  <si>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</si>
  <si>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</si>
  <si>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</si>
  <si>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</si>
  <si>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</si>
  <si>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</si>
  <si>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</si>
  <si>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</si>
  <si>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</si>
  <si>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</si>
  <si>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</si>
  <si>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</si>
  <si>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</si>
  <si>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</si>
  <si>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</si>
  <si>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</si>
  <si>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</si>
  <si>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</si>
  <si>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</si>
  <si>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</si>
  <si>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</si>
  <si>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</si>
  <si>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</si>
  <si>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</si>
  <si>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</si>
  <si>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</si>
  <si>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</si>
  <si>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</si>
  <si>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</si>
  <si>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</si>
  <si>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</si>
  <si>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</si>
  <si>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</si>
  <si>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</si>
  <si>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</si>
  <si>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</si>
  <si>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</si>
  <si>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</si>
  <si>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</si>
  <si>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</si>
  <si>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</si>
  <si>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</si>
  <si>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</si>
  <si>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</si>
  <si>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</si>
  <si>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</si>
  <si>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</si>
  <si>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</si>
  <si>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</si>
  <si>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</si>
  <si>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</si>
  <si>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</si>
  <si>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</si>
  <si>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</si>
  <si>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</si>
  <si>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</si>
  <si>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</si>
  <si>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</si>
  <si>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</si>
  <si>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</si>
  <si>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</si>
  <si>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</si>
  <si>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</si>
  <si>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</si>
  <si>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</si>
  <si>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</si>
  <si>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</si>
  <si>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</si>
  <si>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</si>
  <si>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</si>
  <si>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</si>
  <si>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</si>
  <si>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</si>
  <si>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</si>
  <si>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</si>
  <si>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</si>
  <si>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</si>
  <si>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</si>
  <si>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</si>
  <si>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</si>
  <si>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</si>
  <si>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</si>
  <si>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</si>
  <si>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</si>
  <si>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</si>
  <si>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</si>
  <si>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</si>
  <si>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</si>
  <si>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</si>
  <si>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</si>
  <si>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</si>
  <si>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</si>
  <si>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</si>
  <si>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</si>
  <si>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</si>
  <si>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</si>
  <si>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</si>
  <si>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</si>
  <si>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</si>
  <si>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</si>
  <si>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</si>
  <si>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</si>
  <si>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</si>
  <si>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</si>
  <si>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</si>
  <si>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</si>
  <si>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</si>
  <si>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</si>
  <si>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</si>
  <si>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</si>
  <si>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</si>
  <si>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</si>
  <si>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</si>
  <si>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</si>
  <si>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</si>
  <si>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</si>
  <si>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</si>
  <si>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</si>
  <si>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</si>
  <si>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</si>
  <si>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</si>
  <si>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</si>
  <si>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</si>
  <si>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</si>
  <si>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</si>
  <si>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</si>
  <si>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</si>
  <si>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</si>
  <si>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</si>
  <si>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</si>
  <si>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</si>
  <si>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</si>
  <si>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</si>
  <si>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</si>
  <si>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</si>
  <si>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</si>
  <si>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</si>
  <si>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</si>
  <si>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</si>
  <si>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</si>
  <si>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</si>
  <si>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</si>
  <si>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</si>
  <si>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</si>
  <si>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</si>
  <si>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</si>
  <si>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</si>
  <si>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</si>
  <si>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</si>
  <si>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</si>
  <si>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</si>
  <si>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</si>
  <si>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</si>
  <si>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</si>
  <si>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</si>
  <si>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</si>
  <si>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</si>
  <si>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</si>
  <si>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</si>
  <si>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</si>
  <si>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</si>
  <si>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</si>
  <si>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</si>
  <si>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</si>
  <si>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</si>
  <si>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</si>
  <si>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</si>
  <si>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</si>
  <si>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</si>
  <si>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</si>
  <si>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</si>
  <si>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</si>
  <si>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</si>
  <si>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</si>
  <si>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</si>
  <si>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</si>
  <si>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</si>
  <si>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</si>
  <si>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</si>
  <si>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</si>
  <si>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</si>
  <si>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</si>
  <si>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</si>
  <si>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</si>
  <si>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</si>
  <si>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</si>
  <si>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</si>
  <si>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</si>
  <si>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</si>
  <si>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</si>
  <si>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</si>
  <si>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</si>
  <si>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</si>
  <si>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</si>
  <si>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</si>
  <si>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</si>
  <si>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</si>
  <si>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</si>
  <si>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</si>
  <si>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</si>
  <si>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</si>
  <si>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</si>
  <si>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</si>
  <si>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</si>
  <si>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</si>
  <si>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</si>
  <si>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</si>
  <si>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</si>
  <si>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</si>
  <si>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</si>
  <si>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</si>
  <si>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</si>
  <si>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</si>
  <si>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</si>
  <si>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</si>
  <si>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</si>
  <si>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</si>
  <si>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</si>
  <si>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</si>
  <si>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</si>
  <si>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</si>
  <si>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</si>
  <si>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</si>
  <si>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</si>
  <si>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</si>
  <si>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</si>
  <si>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</si>
  <si>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</si>
  <si>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</si>
  <si>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</si>
  <si>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</si>
  <si>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</si>
  <si>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</si>
  <si>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</si>
  <si>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</si>
  <si>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</si>
  <si>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</si>
  <si>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</si>
  <si>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</si>
  <si>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</si>
  <si>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</si>
  <si>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</si>
  <si>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</si>
  <si>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</si>
  <si>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</si>
  <si>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</si>
  <si>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</si>
  <si>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</si>
  <si>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</si>
  <si>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</si>
  <si>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</si>
  <si>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</si>
  <si>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</si>
  <si>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</si>
  <si>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</si>
  <si>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</si>
  <si>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</si>
  <si>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</si>
  <si>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</si>
  <si>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</si>
  <si>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</si>
  <si>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</si>
  <si>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</si>
  <si>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</si>
  <si>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</si>
  <si>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</si>
  <si>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</si>
  <si>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</si>
  <si>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</si>
  <si>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</si>
  <si>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</si>
  <si>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</si>
  <si>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</si>
  <si>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</si>
  <si>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</si>
  <si>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</si>
  <si>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</si>
  <si>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</si>
  <si>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</si>
  <si>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</si>
  <si>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</si>
  <si>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</si>
  <si>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</si>
  <si>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</si>
  <si>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</si>
  <si>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</si>
  <si>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</si>
  <si>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</si>
  <si>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</si>
  <si>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</si>
  <si>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</si>
  <si>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</si>
  <si>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</si>
  <si>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</si>
  <si>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</si>
  <si>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</si>
  <si>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</si>
  <si>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</si>
  <si>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</si>
  <si>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</si>
  <si>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</si>
  <si>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</si>
  <si>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</si>
  <si>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</si>
  <si>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</si>
  <si>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</si>
  <si>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</si>
  <si>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</si>
  <si>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</si>
  <si>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</si>
  <si>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</si>
  <si>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</si>
  <si>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</si>
  <si>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</si>
  <si>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</si>
  <si>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</si>
  <si>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</si>
  <si>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</si>
  <si>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</si>
  <si>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</si>
  <si>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</si>
  <si>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</si>
  <si>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</si>
  <si>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</si>
  <si>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</si>
  <si>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</si>
  <si>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</si>
  <si>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</si>
  <si>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</si>
  <si>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</si>
  <si>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</si>
  <si>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</si>
  <si>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</si>
  <si>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</si>
  <si>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</si>
  <si>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</si>
  <si>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</si>
  <si>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</si>
  <si>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</si>
  <si>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</si>
  <si>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</si>
  <si>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</si>
  <si>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</si>
  <si>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</si>
  <si>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</si>
  <si>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</si>
  <si>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</si>
  <si>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</si>
  <si>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</si>
  <si>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</si>
  <si>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</si>
  <si>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</si>
  <si>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</si>
  <si>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</si>
  <si>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</si>
  <si>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</si>
  <si>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</si>
  <si>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</si>
  <si>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</si>
  <si>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</si>
  <si>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</si>
  <si>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</si>
  <si>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</si>
  <si>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</si>
  <si>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</si>
  <si>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</si>
  <si>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</si>
  <si>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</si>
  <si>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</si>
  <si>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</si>
  <si>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</si>
  <si>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</si>
  <si>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</si>
  <si>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</si>
  <si>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</si>
  <si>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</si>
  <si>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</si>
  <si>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</si>
  <si>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</si>
  <si>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</si>
  <si>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</si>
  <si>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</si>
  <si>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</si>
  <si>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</si>
  <si>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</si>
  <si>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</si>
  <si>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</si>
  <si>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</si>
  <si>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</si>
  <si>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</si>
  <si>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</si>
  <si>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</si>
  <si>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</si>
  <si>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</si>
  <si>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</si>
  <si>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</si>
  <si>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</si>
  <si>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</si>
  <si>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</si>
  <si>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</si>
  <si>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</si>
  <si>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</si>
  <si>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</si>
  <si>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</si>
  <si>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</si>
  <si>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</si>
  <si>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</si>
  <si>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</si>
  <si>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</si>
  <si>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</si>
  <si>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</si>
  <si>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</si>
  <si>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</si>
  <si>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</si>
  <si>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</si>
  <si>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</si>
  <si>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</si>
  <si>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</si>
  <si>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</si>
  <si>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</si>
  <si>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</si>
  <si>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</si>
  <si>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</si>
  <si>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</si>
  <si>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</si>
  <si>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</si>
  <si>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</si>
  <si>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</si>
  <si>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</si>
  <si>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</si>
  <si>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</si>
  <si>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</si>
  <si>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</si>
  <si>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</si>
  <si>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</si>
  <si>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</si>
  <si>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</si>
  <si>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</si>
  <si>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</si>
  <si>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</si>
  <si>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</si>
  <si>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</si>
  <si>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</si>
  <si>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</si>
  <si>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</si>
  <si>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</si>
  <si>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</si>
  <si>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</si>
  <si>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</si>
  <si>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</si>
  <si>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</si>
  <si>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</si>
  <si>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</si>
  <si>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</si>
  <si>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</si>
  <si>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</si>
  <si>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</si>
  <si>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</si>
  <si>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</si>
  <si>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</si>
  <si>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</si>
  <si>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</si>
  <si>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</si>
  <si>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</si>
  <si>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</si>
  <si>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</si>
  <si>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</si>
  <si>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</si>
  <si>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</si>
  <si>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</si>
  <si>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</si>
  <si>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</si>
  <si>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</si>
  <si>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</si>
  <si>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</si>
  <si>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</si>
  <si>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</si>
  <si>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</si>
  <si>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</si>
  <si>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</si>
  <si>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</si>
  <si>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</si>
  <si>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</si>
  <si>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</si>
  <si>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</si>
  <si>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</si>
  <si>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</si>
  <si>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</si>
  <si>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</si>
  <si>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</si>
  <si>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</si>
  <si>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</si>
  <si>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</si>
  <si>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</si>
  <si>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</si>
  <si>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</si>
  <si>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</si>
  <si>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</si>
  <si>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</si>
  <si>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</si>
  <si>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</si>
  <si>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</si>
  <si>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</si>
  <si>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</si>
  <si>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</si>
  <si>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</si>
  <si>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</si>
  <si>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</si>
  <si>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</si>
  <si>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</si>
  <si>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</si>
  <si>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</si>
  <si>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</si>
  <si>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</si>
  <si>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</si>
  <si>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</si>
  <si>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</si>
  <si>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</si>
  <si>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</si>
  <si>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</si>
  <si>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</si>
  <si>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</si>
  <si>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</si>
  <si>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</si>
  <si>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</si>
  <si>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</si>
  <si>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</si>
  <si>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</si>
  <si>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</si>
  <si>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</si>
  <si>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</si>
  <si>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</si>
  <si>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</si>
  <si>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</si>
  <si>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</si>
  <si>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</si>
  <si>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</si>
  <si>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</si>
  <si>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</si>
  <si>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</si>
  <si>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</si>
  <si>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</si>
  <si>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</si>
  <si>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</si>
  <si>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</si>
  <si>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</si>
  <si>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</si>
  <si>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</si>
  <si>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</si>
  <si>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</si>
  <si>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</si>
  <si>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</si>
  <si>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</si>
  <si>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</si>
  <si>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</si>
  <si>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</si>
  <si>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</si>
  <si>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</si>
  <si>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</si>
  <si>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</si>
  <si>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</si>
  <si>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</si>
  <si>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</si>
  <si>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</si>
  <si>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</si>
  <si>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</si>
  <si>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</si>
  <si>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</si>
  <si>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</si>
  <si>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</si>
  <si>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</si>
  <si>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</si>
  <si>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</si>
  <si>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</si>
  <si>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</si>
  <si>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</si>
  <si>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</si>
  <si>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</si>
  <si>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</si>
  <si>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</si>
  <si>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</si>
  <si>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</si>
  <si>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</si>
  <si>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</si>
  <si>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</si>
  <si>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</si>
  <si>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</si>
  <si>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</si>
  <si>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</si>
  <si>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</si>
  <si>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</si>
  <si>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</si>
  <si>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</si>
  <si>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</si>
  <si>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</si>
  <si>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</si>
  <si>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</si>
  <si>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</si>
  <si>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</si>
  <si>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</si>
  <si>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</si>
  <si>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</si>
  <si>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</si>
  <si>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</si>
  <si>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</si>
  <si>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</si>
  <si>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</si>
  <si>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</si>
  <si>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</si>
  <si>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</si>
  <si>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</si>
  <si>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</si>
  <si>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</si>
  <si>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</si>
  <si>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</si>
  <si>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</si>
  <si>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</si>
  <si>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</si>
  <si>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</si>
  <si>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</si>
  <si>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</si>
  <si>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</si>
  <si>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</si>
  <si>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</si>
  <si>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</si>
  <si>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</si>
  <si>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</si>
  <si>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</si>
  <si>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</si>
  <si>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</si>
  <si>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</si>
  <si>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</si>
  <si>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</si>
  <si>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</si>
  <si>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</si>
  <si>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</si>
  <si>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</si>
  <si>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</si>
  <si>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</si>
  <si>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</si>
  <si>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</si>
  <si>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</si>
  <si>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</si>
  <si>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</si>
  <si>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</si>
  <si>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</si>
  <si>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</si>
  <si>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</si>
  <si>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</si>
  <si>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</si>
  <si>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</si>
  <si>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</si>
  <si>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</si>
  <si>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</si>
  <si>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</si>
  <si>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</si>
  <si>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</si>
  <si>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</si>
  <si>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</si>
  <si>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</si>
  <si>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</si>
  <si>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</si>
  <si>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</si>
  <si>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</si>
  <si>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</si>
  <si>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</si>
  <si>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</si>
  <si>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</si>
  <si>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</si>
  <si>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</si>
  <si>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</si>
  <si>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</si>
  <si>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</si>
  <si>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</si>
  <si>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</si>
  <si>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</si>
  <si>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</si>
  <si>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</si>
  <si>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</si>
  <si>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</si>
  <si>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</si>
  <si>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</si>
  <si>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</si>
  <si>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</si>
  <si>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</si>
  <si>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</si>
  <si>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</si>
  <si>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</si>
  <si>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Bikaji Foods</t>
  </si>
  <si>
    <t>Milky Mist Dairy</t>
  </si>
  <si>
    <t>Patanjali Foods</t>
  </si>
  <si>
    <t>Cash Flow Statement - BRITANNIA INDUSTRIES LTD</t>
  </si>
  <si>
    <t>Minority Interest</t>
  </si>
  <si>
    <t>Less: Minority Interest</t>
  </si>
  <si>
    <t>BRITANNIA INDUSTRIES LTD Comparable Valuation</t>
  </si>
  <si>
    <t>BIKAJI</t>
  </si>
  <si>
    <t>MILKYMIST</t>
  </si>
  <si>
    <t>PATANJALI</t>
  </si>
  <si>
    <t>Verdict</t>
  </si>
  <si>
    <t>52 Week (High - INR - 6,271.00 &amp; low INR - 4,905.00)</t>
  </si>
  <si>
    <t>Britannia Industries Limited is an Indian multinational food products company, which sells biscuits, breads and dairy products. Founded in 1892, it is one of India's oldest existing companies and currently part of the Wadia Group headed by Nusli Wadia. As of 2023, about 80% of its revenues came from biscuit products.</t>
  </si>
  <si>
    <t>Britannia Industries - Maruti Suzuki among 8 large-cap stocks to hit 52-week lows and fall up to 12% in a month</t>
  </si>
  <si>
    <t>Goldman Sachs says Britannia could see biggest cost impact as sugar prices continue to soar</t>
  </si>
  <si>
    <t>Britannia Q1 Results: Profit rises 14% to Rs 593 crore on volumes, price rise</t>
  </si>
  <si>
    <t>Britannia shares fall 5% despite decent Q4 show. Do Morgan Stanley, Nomura see any upside?</t>
  </si>
  <si>
    <t>Stocks in news: BSE, Britannia, Paytm, Meesho, RIL</t>
  </si>
  <si>
    <t>BRITANNIA INDUSTRIES LTD continued strategic operational investments and customer engagements to drive sustainable long-term business performance.</t>
  </si>
  <si>
    <t>BRITANNIA INDUSTRIES LTD (BRITANNIA)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</si>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</sst>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8">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43" fontId="0" fillId="0" borderId="13" xfId="0" applyNumberFormat="1" applyBorder="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2"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16301</c:v>
                </c:pt>
                <c:pt idx="1">
                  <c:v>16769</c:v>
                </c:pt>
                <c:pt idx="2">
                  <c:v>17943</c:v>
                </c:pt>
                <c:pt idx="3">
                  <c:v>19152</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2316</c:v>
                </c:pt>
                <c:pt idx="1">
                  <c:v>2134</c:v>
                </c:pt>
                <c:pt idx="2">
                  <c:v>2178</c:v>
                </c:pt>
                <c:pt idx="3">
                  <c:v>2537</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8439</c:v>
                </c:pt>
                <c:pt idx="1">
                  <c:v>9211.5</c:v>
                </c:pt>
                <c:pt idx="2">
                  <c:v>8954.5</c:v>
                </c:pt>
                <c:pt idx="3">
                  <c:v>9283.5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16301</c:v>
                </c:pt>
                <c:pt idx="1">
                  <c:v>16769</c:v>
                </c:pt>
                <c:pt idx="2">
                  <c:v>17943</c:v>
                </c:pt>
                <c:pt idx="3">
                  <c:v>19152</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0.76034143138542354</c:v>
                </c:pt>
                <c:pt idx="1">
                  <c:v>0.57096989966555178</c:v>
                </c:pt>
                <c:pt idx="2">
                  <c:v>0.52500903941183563</c:v>
                </c:pt>
                <c:pt idx="3">
                  <c:v>0.53625026421475375</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16301</c:v>
                </c:pt>
                <c:pt idx="1">
                  <c:v>16769</c:v>
                </c:pt>
                <c:pt idx="2">
                  <c:v>17943</c:v>
                </c:pt>
                <c:pt idx="3">
                  <c:v>19152</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16301</c:v>
                </c:pt>
                <c:pt idx="1">
                  <c:v>16769</c:v>
                </c:pt>
                <c:pt idx="2">
                  <c:v>17943</c:v>
                </c:pt>
                <c:pt idx="3">
                  <c:v>19152</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0.27444009953785992</c:v>
                </c:pt>
                <c:pt idx="1">
                  <c:v>0.23166693806654726</c:v>
                </c:pt>
                <c:pt idx="2">
                  <c:v>0.24322966106426935</c:v>
                </c:pt>
                <c:pt idx="3">
                  <c:v>0.27328055151613079</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2.7705187130663167</c:v>
                </c:pt>
                <c:pt idx="1">
                  <c:v>2.4646153846153847</c:v>
                </c:pt>
                <c:pt idx="2">
                  <c:v>2.15849102085091</c:v>
                </c:pt>
                <c:pt idx="3">
                  <c:v>1.9622701331642358</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9351</c:v>
                </c:pt>
                <c:pt idx="1">
                  <c:v>9072</c:v>
                </c:pt>
                <c:pt idx="2">
                  <c:v>8837</c:v>
                </c:pt>
                <c:pt idx="3">
                  <c:v>9730</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3510</c:v>
                </c:pt>
                <c:pt idx="1">
                  <c:v>3917</c:v>
                </c:pt>
                <c:pt idx="2">
                  <c:v>4332</c:v>
                </c:pt>
                <c:pt idx="3">
                  <c:v>5082</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9351</c:v>
                </c:pt>
                <c:pt idx="1">
                  <c:v>9072</c:v>
                </c:pt>
                <c:pt idx="2">
                  <c:v>8837</c:v>
                </c:pt>
                <c:pt idx="3">
                  <c:v>9730</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9351</c:v>
                </c:pt>
                <c:pt idx="1">
                  <c:v>9072</c:v>
                </c:pt>
                <c:pt idx="2">
                  <c:v>8837</c:v>
                </c:pt>
                <c:pt idx="3">
                  <c:v>9730</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16.28671497584541</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18.20612104539202</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23.029473684210529</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24.607496653279782</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31.161583387410772</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9351</c:v>
                </c:pt>
                <c:pt idx="1">
                  <c:v>9072</c:v>
                </c:pt>
                <c:pt idx="2">
                  <c:v>8837</c:v>
                </c:pt>
                <c:pt idx="3">
                  <c:v>9730</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9351</c:v>
                </c:pt>
                <c:pt idx="1">
                  <c:v>9072</c:v>
                </c:pt>
                <c:pt idx="2">
                  <c:v>8837</c:v>
                </c:pt>
                <c:pt idx="3">
                  <c:v>9730</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1.8780390593862097</c:v>
                </c:pt>
                <c:pt idx="1">
                  <c:v>1.7432360175382311</c:v>
                </c:pt>
                <c:pt idx="2">
                  <c:v>1.8484347442680775</c:v>
                </c:pt>
                <c:pt idx="3">
                  <c:v>2.030440194636189</c:v>
                </c:pt>
                <c:pt idx="4">
                  <c:v>1.9683453237410071</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13.253070569139503</c:v>
                </c:pt>
                <c:pt idx="1">
                  <c:v>14.379773579005075</c:v>
                </c:pt>
                <c:pt idx="2">
                  <c:v>17.427042676134782</c:v>
                </c:pt>
                <c:pt idx="3">
                  <c:v>18.59127178397873</c:v>
                </c:pt>
                <c:pt idx="4">
                  <c:v>22.548974698427966</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BA755-1FF9-48B9-B0EF-0B97B8AA9E3D}">
  <dimension ref="A1:G40"/>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1.44140625" bestFit="1" customWidth="1"/>
    <col min="5" max="5" width="9" bestFit="1" customWidth="1"/>
    <col min="6" max="6" width="14.109375" bestFit="1" customWidth="1"/>
    <col min="7" max="7" width="9.77734375" bestFit="1" customWidth="1"/>
  </cols>
  <sheetData>
    <row r="1" spans="1:7" x14ac:dyDescent="0.3">
      <c r="A1" s="173" t="s">
        <v>8635</v>
      </c>
      <c r="B1" s="174"/>
      <c r="C1" s="174"/>
      <c r="D1" s="174"/>
      <c r="E1" s="174"/>
      <c r="F1" s="174"/>
      <c r="G1" s="174"/>
    </row>
    <row r="2" spans="1:7" x14ac:dyDescent="0.3">
      <c r="A2" s="174"/>
      <c r="B2" s="174"/>
      <c r="C2" s="174"/>
      <c r="D2" s="174"/>
      <c r="E2" s="174"/>
      <c r="F2" s="174"/>
      <c r="G2" s="174"/>
    </row>
    <row r="4" spans="1:7" x14ac:dyDescent="0.3">
      <c r="A4" s="175" t="s">
        <v>43</v>
      </c>
      <c r="B4" s="175" t="s">
        <v>8636</v>
      </c>
      <c r="C4" s="175" t="s">
        <v>8637</v>
      </c>
      <c r="D4" s="175" t="s">
        <v>8626</v>
      </c>
      <c r="E4" s="175" t="s">
        <v>238</v>
      </c>
      <c r="F4" s="175" t="s">
        <v>8638</v>
      </c>
      <c r="G4" s="175" t="s">
        <v>8639</v>
      </c>
    </row>
    <row r="5" spans="1:7" ht="15.6" x14ac:dyDescent="0.3">
      <c r="A5" s="177">
        <f>DCF!D45</f>
        <v>4929</v>
      </c>
      <c r="B5" s="177">
        <f>DCF!D43</f>
        <v>1159.8694440008578</v>
      </c>
      <c r="C5" s="179">
        <f>(B5-A5)/A5</f>
        <v>-0.76468463298826184</v>
      </c>
      <c r="D5" s="180" t="str">
        <f>IF(C5&gt;0.15,"UNDERVALUED / BUY",IF(C5&lt;-0.15,"OVERVALUED / SELL","FAIRLY VALUED / HOLD"))</f>
        <v>OVERVALUED / SELL</v>
      </c>
      <c r="E5" s="181">
        <f>DCF!D20</f>
        <v>0.10941053053575542</v>
      </c>
      <c r="F5" s="182">
        <f>'Altman''s Z Score'!I89</f>
        <v>22.548974698427966</v>
      </c>
      <c r="G5" s="181">
        <f>'Dupont Analysis'!I78</f>
        <v>0.53625026421475375</v>
      </c>
    </row>
    <row r="7" spans="1:7" x14ac:dyDescent="0.3">
      <c r="B7" s="37" t="s">
        <v>8640</v>
      </c>
    </row>
    <row r="8" spans="1:7" x14ac:dyDescent="0.3">
      <c r="B8" s="37" t="s">
        <v>8641</v>
      </c>
      <c r="C8" s="46">
        <f>WACC!K46</f>
        <v>0.10941053053575542</v>
      </c>
      <c r="D8" s="183">
        <v>0</v>
      </c>
    </row>
    <row r="9" spans="1:7" x14ac:dyDescent="0.3">
      <c r="B9" s="37" t="s">
        <v>8642</v>
      </c>
      <c r="C9" s="46">
        <f>WACC!K29</f>
        <v>0.10941053053575542</v>
      </c>
      <c r="D9" s="183">
        <v>0</v>
      </c>
    </row>
    <row r="10" spans="1:7" x14ac:dyDescent="0.3">
      <c r="B10" s="37" t="s">
        <v>8643</v>
      </c>
      <c r="C10" s="46">
        <f>WACC!K26</f>
        <v>7.0000000000000007E-2</v>
      </c>
      <c r="D10" s="183">
        <v>0</v>
      </c>
    </row>
    <row r="11" spans="1:7" x14ac:dyDescent="0.3">
      <c r="B11" s="37" t="s">
        <v>8644</v>
      </c>
      <c r="C11" s="46">
        <f>WACC!K27</f>
        <v>6.5000000000000002E-2</v>
      </c>
      <c r="D11" s="183">
        <v>0</v>
      </c>
    </row>
    <row r="12" spans="1:7" x14ac:dyDescent="0.3">
      <c r="B12" s="37" t="s">
        <v>224</v>
      </c>
      <c r="C12" s="47">
        <f>WACC!K28</f>
        <v>0.60631585439623703</v>
      </c>
      <c r="D12" s="184">
        <v>0</v>
      </c>
    </row>
    <row r="13" spans="1:7" x14ac:dyDescent="0.3">
      <c r="B13" s="37" t="s">
        <v>306</v>
      </c>
      <c r="C13" s="46">
        <f>DCF!D19</f>
        <v>0.04</v>
      </c>
      <c r="D13" s="183">
        <v>0</v>
      </c>
    </row>
    <row r="14" spans="1:7" x14ac:dyDescent="0.3">
      <c r="B14" s="37" t="s">
        <v>8645</v>
      </c>
      <c r="C14" s="46">
        <f>WACC!K43</f>
        <v>6.0374999999999998E-2</v>
      </c>
      <c r="D14" s="183">
        <v>0</v>
      </c>
    </row>
    <row r="15" spans="1:7" x14ac:dyDescent="0.3">
      <c r="B15" s="37" t="s">
        <v>8646</v>
      </c>
      <c r="C15" s="185">
        <f>'Data Sheet'!K69</f>
        <v>352</v>
      </c>
      <c r="D15" s="184" t="s">
        <v>8647</v>
      </c>
    </row>
    <row r="16" spans="1:7" x14ac:dyDescent="0.3">
      <c r="B16" s="37" t="s">
        <v>8648</v>
      </c>
      <c r="C16" s="185">
        <f>'Data Sheet'!K59</f>
        <v>1380</v>
      </c>
      <c r="D16" s="184" t="s">
        <v>8647</v>
      </c>
    </row>
    <row r="17" spans="1:7" x14ac:dyDescent="0.3">
      <c r="B17" s="37" t="s">
        <v>8649</v>
      </c>
      <c r="C17" s="185">
        <f>'Data Sheet'!K70/10000000</f>
        <v>24</v>
      </c>
      <c r="D17" s="184" t="s">
        <v>8647</v>
      </c>
    </row>
    <row r="18" spans="1:7" x14ac:dyDescent="0.3">
      <c r="B18" s="37" t="s">
        <v>8650</v>
      </c>
      <c r="C18" s="158">
        <f>Comp_Valuation!O25</f>
        <v>6.4757406627728873</v>
      </c>
      <c r="D18" s="184" t="s">
        <v>8651</v>
      </c>
    </row>
    <row r="19" spans="1:7" x14ac:dyDescent="0.3">
      <c r="B19" s="37" t="s">
        <v>8652</v>
      </c>
      <c r="C19" s="158">
        <f>Comp_Valuation!P25</f>
        <v>34.440046439055408</v>
      </c>
      <c r="D19" s="184" t="s">
        <v>8651</v>
      </c>
    </row>
    <row r="20" spans="1:7" x14ac:dyDescent="0.3">
      <c r="A20" s="37" t="s">
        <v>8654</v>
      </c>
      <c r="B20" s="37" t="s">
        <v>8653</v>
      </c>
      <c r="C20" s="158">
        <f>Comp_Valuation!Q25</f>
        <v>19.999824041055099</v>
      </c>
      <c r="D20" s="184" t="s">
        <v>8651</v>
      </c>
    </row>
    <row r="21" spans="1:7" x14ac:dyDescent="0.3">
      <c r="A21" s="186" t="s">
        <v>188</v>
      </c>
      <c r="B21" s="186" t="s">
        <v>106</v>
      </c>
      <c r="C21" s="186" t="s">
        <v>8655</v>
      </c>
      <c r="D21" s="186" t="s">
        <v>8656</v>
      </c>
      <c r="E21" s="186" t="s">
        <v>8657</v>
      </c>
      <c r="F21" s="186" t="s">
        <v>8658</v>
      </c>
      <c r="G21" s="186" t="s">
        <v>302</v>
      </c>
    </row>
    <row r="22" spans="1:7" x14ac:dyDescent="0.3">
      <c r="A22" s="160" t="s">
        <v>8659</v>
      </c>
      <c r="B22" s="185">
        <f>DCF!I8</f>
        <v>3578.904</v>
      </c>
      <c r="C22" s="185">
        <f>DCF!I10</f>
        <v>2684.1779999999999</v>
      </c>
      <c r="D22" s="46">
        <f>DCF!I11</f>
        <v>3.1805627928217055E-2</v>
      </c>
      <c r="E22" s="185">
        <f>DCF!I12</f>
        <v>2598.8060332388941</v>
      </c>
      <c r="F22" s="187">
        <f>DCF!I14</f>
        <v>0.94941012304849948</v>
      </c>
      <c r="G22" s="185">
        <f>DCF!I16</f>
        <v>2467.3327557965213</v>
      </c>
    </row>
    <row r="23" spans="1:7" x14ac:dyDescent="0.3">
      <c r="A23" s="160" t="s">
        <v>8660</v>
      </c>
      <c r="B23" s="185">
        <f>DCF!J8</f>
        <v>3765.007008</v>
      </c>
      <c r="C23" s="185">
        <f>DCF!J10</f>
        <v>2823.7552559999999</v>
      </c>
      <c r="D23" s="46">
        <f>DCF!J11</f>
        <v>0.11525310139242839</v>
      </c>
      <c r="E23" s="185">
        <f>DCF!J12</f>
        <v>2498.3087051728294</v>
      </c>
      <c r="F23" s="187">
        <f>DCF!J14</f>
        <v>0.85577889961979314</v>
      </c>
      <c r="G23" s="185">
        <f>DCF!J16</f>
        <v>2137.9998746233541</v>
      </c>
    </row>
    <row r="24" spans="1:7" x14ac:dyDescent="0.3">
      <c r="A24" s="160" t="s">
        <v>8661</v>
      </c>
      <c r="B24" s="185">
        <f>DCF!K8</f>
        <v>3960.7873724160004</v>
      </c>
      <c r="C24" s="185">
        <f>DCF!K10</f>
        <v>2970.5905293120004</v>
      </c>
      <c r="D24" s="46">
        <f>DCF!K11</f>
        <v>0.19870057485663972</v>
      </c>
      <c r="E24" s="185">
        <f>DCF!K12</f>
        <v>2380.332483474016</v>
      </c>
      <c r="F24" s="187">
        <f>DCF!K14</f>
        <v>0.7713816266071688</v>
      </c>
      <c r="G24" s="185">
        <f>DCF!K16</f>
        <v>1836.1447429680682</v>
      </c>
    </row>
    <row r="25" spans="1:7" x14ac:dyDescent="0.3">
      <c r="A25" s="160" t="s">
        <v>8662</v>
      </c>
      <c r="B25" s="185">
        <f>DCF!L8</f>
        <v>4166.7483157816323</v>
      </c>
      <c r="C25" s="185">
        <f>DCF!L10</f>
        <v>3125.0612368362245</v>
      </c>
      <c r="D25" s="46">
        <f>DCF!L11</f>
        <v>0.28214804832085105</v>
      </c>
      <c r="E25" s="185">
        <f>DCF!L12</f>
        <v>2243.331307979739</v>
      </c>
      <c r="F25" s="187">
        <f>DCF!L14</f>
        <v>0.695307647958465</v>
      </c>
      <c r="G25" s="185">
        <f>DCF!L16</f>
        <v>1559.8054153429791</v>
      </c>
    </row>
    <row r="26" spans="1:7" x14ac:dyDescent="0.3">
      <c r="A26" s="160" t="s">
        <v>8663</v>
      </c>
      <c r="B26" s="185">
        <f>DCF!M8</f>
        <v>4383.4192282022777</v>
      </c>
      <c r="C26" s="185">
        <f>DCF!M10</f>
        <v>3287.5644211517083</v>
      </c>
      <c r="D26" s="46">
        <f>DCF!M11</f>
        <v>0.36559552178506238</v>
      </c>
      <c r="E26" s="185">
        <f>DCF!M12</f>
        <v>2085.6455911987427</v>
      </c>
      <c r="F26" s="187">
        <f>DCF!M14</f>
        <v>0.6267361169022686</v>
      </c>
      <c r="G26" s="185">
        <f>DCF!M16</f>
        <v>1307.1494190622363</v>
      </c>
    </row>
    <row r="28" spans="1:7" x14ac:dyDescent="0.3">
      <c r="B28" s="37" t="s">
        <v>8664</v>
      </c>
    </row>
    <row r="29" spans="1:7" x14ac:dyDescent="0.3">
      <c r="B29" s="37" t="s">
        <v>8665</v>
      </c>
      <c r="C29" s="176">
        <f>DCF!D33</f>
        <v>9308.4322077931593</v>
      </c>
      <c r="D29" s="184" t="s">
        <v>8666</v>
      </c>
    </row>
    <row r="30" spans="1:7" x14ac:dyDescent="0.3">
      <c r="B30" s="37" t="s">
        <v>8667</v>
      </c>
      <c r="C30" s="176">
        <f>DCF!D29</f>
        <v>31249.8895787771</v>
      </c>
      <c r="D30" s="184" t="s">
        <v>8666</v>
      </c>
    </row>
    <row r="31" spans="1:7" x14ac:dyDescent="0.3">
      <c r="B31" s="37" t="s">
        <v>8668</v>
      </c>
      <c r="C31" s="176">
        <f>DCF!D34</f>
        <v>19585.434448227428</v>
      </c>
      <c r="D31" s="184" t="s">
        <v>8666</v>
      </c>
    </row>
    <row r="32" spans="1:7" x14ac:dyDescent="0.3">
      <c r="B32" s="37" t="s">
        <v>8669</v>
      </c>
      <c r="C32" s="176">
        <f>DCF!D35</f>
        <v>28893.866656020589</v>
      </c>
      <c r="D32" s="184" t="s">
        <v>8666</v>
      </c>
    </row>
    <row r="33" spans="2:4" x14ac:dyDescent="0.3">
      <c r="B33" s="37" t="s">
        <v>8670</v>
      </c>
      <c r="C33" s="176">
        <f>DCF!D37</f>
        <v>352</v>
      </c>
      <c r="D33" s="184" t="s">
        <v>8666</v>
      </c>
    </row>
    <row r="34" spans="2:4" x14ac:dyDescent="0.3">
      <c r="B34" s="37" t="s">
        <v>8671</v>
      </c>
      <c r="C34" s="176">
        <f>DCF!D38</f>
        <v>1380</v>
      </c>
      <c r="D34" s="184" t="s">
        <v>8666</v>
      </c>
    </row>
    <row r="35" spans="2:4" x14ac:dyDescent="0.3">
      <c r="B35" s="37" t="s">
        <v>8621</v>
      </c>
      <c r="C35" s="176">
        <f>DCF!D39</f>
        <v>29</v>
      </c>
      <c r="D35" s="184" t="s">
        <v>8666</v>
      </c>
    </row>
    <row r="36" spans="2:4" x14ac:dyDescent="0.3">
      <c r="B36" s="37" t="s">
        <v>8672</v>
      </c>
      <c r="C36" s="176">
        <f>DCF!D40</f>
        <v>27836.866656020589</v>
      </c>
      <c r="D36" s="184" t="s">
        <v>8666</v>
      </c>
    </row>
    <row r="37" spans="2:4" x14ac:dyDescent="0.3">
      <c r="B37" s="37" t="s">
        <v>8649</v>
      </c>
      <c r="C37" s="185">
        <f>DCF!D41</f>
        <v>24</v>
      </c>
      <c r="D37" s="184" t="s">
        <v>8673</v>
      </c>
    </row>
    <row r="38" spans="2:4" x14ac:dyDescent="0.3">
      <c r="B38" s="37" t="s">
        <v>8674</v>
      </c>
      <c r="C38" s="176">
        <f>DCF!D43</f>
        <v>1159.8694440008578</v>
      </c>
      <c r="D38" s="184" t="s">
        <v>8675</v>
      </c>
    </row>
    <row r="39" spans="2:4" x14ac:dyDescent="0.3">
      <c r="B39" s="37" t="s">
        <v>8676</v>
      </c>
      <c r="C39" s="176">
        <f>DCF!D45</f>
        <v>4929</v>
      </c>
      <c r="D39" s="184" t="s">
        <v>8675</v>
      </c>
    </row>
    <row r="40" spans="2:4" x14ac:dyDescent="0.3">
      <c r="B40" s="37" t="s">
        <v>8677</v>
      </c>
      <c r="C40" s="178">
        <f>(C38-C39)/C39</f>
        <v>-0.76468463298826184</v>
      </c>
      <c r="D40" s="184" t="s">
        <v>8678</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BRITANNIA INDUSTRIES LTD</v>
      </c>
      <c r="H1" t="str">
        <f>UPDATE</f>
        <v/>
      </c>
      <c r="J1" s="3"/>
      <c r="K1" s="3"/>
      <c r="M1" s="8" t="s">
        <v>1</v>
      </c>
    </row>
    <row r="3" spans="1:14" s="2" customFormat="1" x14ac:dyDescent="0.3">
      <c r="A3" s="15" t="s">
        <v>2</v>
      </c>
      <c r="B3" s="16">
        <f>'Data Sheet'!B16</f>
        <v>42795</v>
      </c>
      <c r="C3" s="16">
        <f>'Data Sheet'!C16</f>
        <v>43160</v>
      </c>
      <c r="D3" s="16">
        <f>'Data Sheet'!D16</f>
        <v>43525</v>
      </c>
      <c r="E3" s="16">
        <f>'Data Sheet'!E16</f>
        <v>43891</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9054</v>
      </c>
      <c r="C4" s="1">
        <f>'Data Sheet'!C17</f>
        <v>9914</v>
      </c>
      <c r="D4" s="1">
        <f>'Data Sheet'!D17</f>
        <v>11055</v>
      </c>
      <c r="E4" s="1">
        <f>'Data Sheet'!E17</f>
        <v>11600</v>
      </c>
      <c r="F4" s="1">
        <f>'Data Sheet'!F17</f>
        <v>13136</v>
      </c>
      <c r="G4" s="1">
        <f>'Data Sheet'!G17</f>
        <v>14136</v>
      </c>
      <c r="H4" s="1">
        <f>'Data Sheet'!H17</f>
        <v>16301</v>
      </c>
      <c r="I4" s="1">
        <f>'Data Sheet'!I17</f>
        <v>16769</v>
      </c>
      <c r="J4" s="1">
        <f>'Data Sheet'!J17</f>
        <v>17943</v>
      </c>
      <c r="K4" s="1">
        <f>'Data Sheet'!K17</f>
        <v>19152</v>
      </c>
      <c r="L4" s="1">
        <f>SUM(Quarters!H4:K4)</f>
        <v>19530</v>
      </c>
      <c r="M4" s="1">
        <f>$K4+M23*K4</f>
        <v>20442.462464470824</v>
      </c>
      <c r="N4" s="1">
        <f>$K4+N23*L4</f>
        <v>20229.985423907667</v>
      </c>
    </row>
    <row r="5" spans="1:14" x14ac:dyDescent="0.3">
      <c r="A5" s="6" t="s">
        <v>7</v>
      </c>
      <c r="B5" s="9">
        <f>SUM('Data Sheet'!B18,'Data Sheet'!B20:B24, -1*'Data Sheet'!B19)</f>
        <v>7869.9599999999991</v>
      </c>
      <c r="C5" s="9">
        <f>SUM('Data Sheet'!C18,'Data Sheet'!C20:C24, -1*'Data Sheet'!C19)</f>
        <v>8375.2200000000012</v>
      </c>
      <c r="D5" s="9">
        <f>SUM('Data Sheet'!D18,'Data Sheet'!D20:D24, -1*'Data Sheet'!D19)</f>
        <v>9435.75</v>
      </c>
      <c r="E5" s="9">
        <f>SUM('Data Sheet'!E18,'Data Sheet'!E20:E24, -1*'Data Sheet'!E19)</f>
        <v>9606</v>
      </c>
      <c r="F5" s="9">
        <f>SUM('Data Sheet'!F18,'Data Sheet'!F20:F24, -1*'Data Sheet'!F19)</f>
        <v>10589.92</v>
      </c>
      <c r="G5" s="9">
        <f>SUM('Data Sheet'!G18,'Data Sheet'!G20:G24, -1*'Data Sheet'!G19)</f>
        <v>12162.28</v>
      </c>
      <c r="H5" s="9">
        <f>SUM('Data Sheet'!H18,'Data Sheet'!H20:H24, -1*'Data Sheet'!H19)</f>
        <v>13649.240000000002</v>
      </c>
      <c r="I5" s="9">
        <f>SUM('Data Sheet'!I18,'Data Sheet'!I20:I24, -1*'Data Sheet'!I19)</f>
        <v>13508.56</v>
      </c>
      <c r="J5" s="9">
        <f>SUM('Data Sheet'!J18,'Data Sheet'!J20:J24, -1*'Data Sheet'!J19)</f>
        <v>14860.89</v>
      </c>
      <c r="K5" s="9">
        <f>SUM('Data Sheet'!K18,'Data Sheet'!K20:K24, -1*'Data Sheet'!K19)</f>
        <v>15773.48</v>
      </c>
      <c r="L5" s="9">
        <f>SUM(Quarters!H5:K5)</f>
        <v>15928</v>
      </c>
      <c r="M5" s="9">
        <f t="shared" ref="M5:N5" si="0">M4-M6</f>
        <v>16674.266618485417</v>
      </c>
      <c r="N5" s="9">
        <f t="shared" si="0"/>
        <v>16850.751550641999</v>
      </c>
    </row>
    <row r="6" spans="1:14" s="8" customFormat="1" x14ac:dyDescent="0.3">
      <c r="A6" s="8" t="s">
        <v>8</v>
      </c>
      <c r="B6" s="1">
        <f>B4-B5</f>
        <v>1184.0400000000009</v>
      </c>
      <c r="C6" s="1">
        <f t="shared" ref="C6:K6" si="1">C4-C5</f>
        <v>1538.7799999999988</v>
      </c>
      <c r="D6" s="1">
        <f t="shared" si="1"/>
        <v>1619.25</v>
      </c>
      <c r="E6" s="1">
        <f t="shared" si="1"/>
        <v>1994</v>
      </c>
      <c r="F6" s="1">
        <f t="shared" si="1"/>
        <v>2546.08</v>
      </c>
      <c r="G6" s="1">
        <f t="shared" si="1"/>
        <v>1973.7199999999993</v>
      </c>
      <c r="H6" s="1">
        <f t="shared" si="1"/>
        <v>2651.7599999999984</v>
      </c>
      <c r="I6" s="1">
        <f t="shared" si="1"/>
        <v>3260.4400000000005</v>
      </c>
      <c r="J6" s="1">
        <f t="shared" si="1"/>
        <v>3082.1100000000006</v>
      </c>
      <c r="K6" s="1">
        <f t="shared" si="1"/>
        <v>3378.5200000000004</v>
      </c>
      <c r="L6" s="1">
        <f>SUM(Quarters!H6:K6)</f>
        <v>3600</v>
      </c>
      <c r="M6" s="1">
        <f>M4*M24</f>
        <v>3768.1958459854054</v>
      </c>
      <c r="N6" s="1">
        <f>N4*N24</f>
        <v>3379.2338732656694</v>
      </c>
    </row>
    <row r="7" spans="1:14" x14ac:dyDescent="0.3">
      <c r="A7" s="6" t="s">
        <v>9</v>
      </c>
      <c r="B7" s="9">
        <f>'Data Sheet'!B25</f>
        <v>151</v>
      </c>
      <c r="C7" s="9">
        <f>'Data Sheet'!C25</f>
        <v>166</v>
      </c>
      <c r="D7" s="9">
        <f>'Data Sheet'!D25</f>
        <v>206</v>
      </c>
      <c r="E7" s="9">
        <f>'Data Sheet'!E25</f>
        <v>263</v>
      </c>
      <c r="F7" s="9">
        <f>'Data Sheet'!F25</f>
        <v>313</v>
      </c>
      <c r="G7" s="9">
        <f>'Data Sheet'!G25</f>
        <v>222</v>
      </c>
      <c r="H7" s="9">
        <f>'Data Sheet'!H25</f>
        <v>597</v>
      </c>
      <c r="I7" s="9">
        <f>'Data Sheet'!I25</f>
        <v>211</v>
      </c>
      <c r="J7" s="9">
        <f>'Data Sheet'!J25</f>
        <v>202</v>
      </c>
      <c r="K7" s="9">
        <f>'Data Sheet'!K25</f>
        <v>224</v>
      </c>
      <c r="L7" s="9">
        <f>SUM(Quarters!H7:K7)</f>
        <v>227</v>
      </c>
      <c r="M7" s="9">
        <v>0</v>
      </c>
      <c r="N7" s="9">
        <v>0</v>
      </c>
    </row>
    <row r="8" spans="1:14" x14ac:dyDescent="0.3">
      <c r="A8" s="6" t="s">
        <v>10</v>
      </c>
      <c r="B8" s="9">
        <f>'Data Sheet'!B26</f>
        <v>119</v>
      </c>
      <c r="C8" s="9">
        <f>'Data Sheet'!C26</f>
        <v>142</v>
      </c>
      <c r="D8" s="9">
        <f>'Data Sheet'!D26</f>
        <v>162</v>
      </c>
      <c r="E8" s="9">
        <f>'Data Sheet'!E26</f>
        <v>185</v>
      </c>
      <c r="F8" s="9">
        <f>'Data Sheet'!F26</f>
        <v>198</v>
      </c>
      <c r="G8" s="9">
        <f>'Data Sheet'!G26</f>
        <v>201</v>
      </c>
      <c r="H8" s="9">
        <f>'Data Sheet'!H26</f>
        <v>226</v>
      </c>
      <c r="I8" s="9">
        <f>'Data Sheet'!I26</f>
        <v>300</v>
      </c>
      <c r="J8" s="9">
        <f>'Data Sheet'!J26</f>
        <v>313</v>
      </c>
      <c r="K8" s="9">
        <f>'Data Sheet'!K26</f>
        <v>337</v>
      </c>
      <c r="L8" s="9">
        <f>SUM(Quarters!H8:K8)</f>
        <v>335</v>
      </c>
      <c r="M8" s="9">
        <f>+$L8</f>
        <v>335</v>
      </c>
      <c r="N8" s="9">
        <f>+$L8</f>
        <v>335</v>
      </c>
    </row>
    <row r="9" spans="1:14" x14ac:dyDescent="0.3">
      <c r="A9" s="6" t="s">
        <v>11</v>
      </c>
      <c r="B9" s="9">
        <f>'Data Sheet'!B27</f>
        <v>5</v>
      </c>
      <c r="C9" s="9">
        <f>'Data Sheet'!C27</f>
        <v>8</v>
      </c>
      <c r="D9" s="9">
        <f>'Data Sheet'!D27</f>
        <v>9</v>
      </c>
      <c r="E9" s="9">
        <f>'Data Sheet'!E27</f>
        <v>77</v>
      </c>
      <c r="F9" s="9">
        <f>'Data Sheet'!F27</f>
        <v>111</v>
      </c>
      <c r="G9" s="9">
        <f>'Data Sheet'!G27</f>
        <v>144</v>
      </c>
      <c r="H9" s="9">
        <f>'Data Sheet'!H27</f>
        <v>169</v>
      </c>
      <c r="I9" s="9">
        <f>'Data Sheet'!I27</f>
        <v>164</v>
      </c>
      <c r="J9" s="9">
        <f>'Data Sheet'!J27</f>
        <v>139</v>
      </c>
      <c r="K9" s="9">
        <f>'Data Sheet'!K27</f>
        <v>113</v>
      </c>
      <c r="L9" s="9">
        <f>SUM(Quarters!H9:K9)</f>
        <v>110</v>
      </c>
      <c r="M9" s="9">
        <f>+$L9</f>
        <v>110</v>
      </c>
      <c r="N9" s="9">
        <f>+$L9</f>
        <v>110</v>
      </c>
    </row>
    <row r="10" spans="1:14" x14ac:dyDescent="0.3">
      <c r="A10" s="6" t="s">
        <v>12</v>
      </c>
      <c r="B10" s="9">
        <f>'Data Sheet'!B28</f>
        <v>1304</v>
      </c>
      <c r="C10" s="9">
        <f>'Data Sheet'!C28</f>
        <v>1518</v>
      </c>
      <c r="D10" s="9">
        <f>'Data Sheet'!D28</f>
        <v>1768</v>
      </c>
      <c r="E10" s="9">
        <f>'Data Sheet'!E28</f>
        <v>1844</v>
      </c>
      <c r="F10" s="9">
        <f>'Data Sheet'!F28</f>
        <v>2514</v>
      </c>
      <c r="G10" s="9">
        <f>'Data Sheet'!G28</f>
        <v>2078</v>
      </c>
      <c r="H10" s="9">
        <f>'Data Sheet'!H28</f>
        <v>3033</v>
      </c>
      <c r="I10" s="9">
        <f>'Data Sheet'!I28</f>
        <v>2913</v>
      </c>
      <c r="J10" s="9">
        <f>'Data Sheet'!J28</f>
        <v>2927</v>
      </c>
      <c r="K10" s="9">
        <f>'Data Sheet'!K28</f>
        <v>3289</v>
      </c>
      <c r="L10" s="9">
        <f>SUM(Quarters!H10:K10)</f>
        <v>3385</v>
      </c>
      <c r="M10" s="9">
        <f>M6+M7-SUM(M8:M9)</f>
        <v>3323.1958459854054</v>
      </c>
      <c r="N10" s="9">
        <f>N6+N7-SUM(N8:N9)</f>
        <v>2934.2338732656694</v>
      </c>
    </row>
    <row r="11" spans="1:14" x14ac:dyDescent="0.3">
      <c r="A11" s="6" t="s">
        <v>13</v>
      </c>
      <c r="B11" s="9">
        <f>'Data Sheet'!B29</f>
        <v>419</v>
      </c>
      <c r="C11" s="9">
        <f>'Data Sheet'!C29</f>
        <v>514</v>
      </c>
      <c r="D11" s="9">
        <f>'Data Sheet'!D29</f>
        <v>613</v>
      </c>
      <c r="E11" s="9">
        <f>'Data Sheet'!E29</f>
        <v>450</v>
      </c>
      <c r="F11" s="9">
        <f>'Data Sheet'!F29</f>
        <v>663</v>
      </c>
      <c r="G11" s="9">
        <f>'Data Sheet'!G29</f>
        <v>562</v>
      </c>
      <c r="H11" s="9">
        <f>'Data Sheet'!H29</f>
        <v>717</v>
      </c>
      <c r="I11" s="9">
        <f>'Data Sheet'!I29</f>
        <v>779</v>
      </c>
      <c r="J11" s="9">
        <f>'Data Sheet'!J29</f>
        <v>749</v>
      </c>
      <c r="K11" s="9">
        <f>'Data Sheet'!K29</f>
        <v>752</v>
      </c>
      <c r="L11" s="9">
        <f>SUM(Quarters!H11:K11)</f>
        <v>775</v>
      </c>
      <c r="M11" s="10">
        <f>IF($L10&gt;0,$L11/$L10,0)</f>
        <v>0.22895125553914328</v>
      </c>
      <c r="N11" s="10">
        <f>IF($L10&gt;0,$L11/$L10,0)</f>
        <v>0.22895125553914328</v>
      </c>
    </row>
    <row r="12" spans="1:14" s="8" customFormat="1" x14ac:dyDescent="0.3">
      <c r="A12" s="8" t="s">
        <v>14</v>
      </c>
      <c r="B12" s="1">
        <f>'Data Sheet'!B30</f>
        <v>885</v>
      </c>
      <c r="C12" s="1">
        <f>'Data Sheet'!C30</f>
        <v>1004</v>
      </c>
      <c r="D12" s="1">
        <f>'Data Sheet'!D30</f>
        <v>1155</v>
      </c>
      <c r="E12" s="1">
        <f>'Data Sheet'!E30</f>
        <v>1394</v>
      </c>
      <c r="F12" s="1">
        <f>'Data Sheet'!F30</f>
        <v>1851</v>
      </c>
      <c r="G12" s="1">
        <f>'Data Sheet'!G30</f>
        <v>1516</v>
      </c>
      <c r="H12" s="1">
        <f>'Data Sheet'!H30</f>
        <v>2316</v>
      </c>
      <c r="I12" s="1">
        <f>'Data Sheet'!I30</f>
        <v>2134</v>
      </c>
      <c r="J12" s="1">
        <f>'Data Sheet'!J30</f>
        <v>2178</v>
      </c>
      <c r="K12" s="1">
        <f>'Data Sheet'!K30</f>
        <v>2537</v>
      </c>
      <c r="L12" s="1">
        <f>SUM(Quarters!H12:K12)</f>
        <v>2610</v>
      </c>
      <c r="M12" s="1">
        <f>M10-M11*M10</f>
        <v>2562.3459846445812</v>
      </c>
      <c r="N12" s="1">
        <f>N10-N11*N10</f>
        <v>2262.4373439360111</v>
      </c>
    </row>
    <row r="13" spans="1:14" x14ac:dyDescent="0.3">
      <c r="A13" s="11" t="s">
        <v>57</v>
      </c>
      <c r="B13" s="9">
        <f>IF('Data Sheet'!B93&gt;0,B12/'Data Sheet'!B93,0)</f>
        <v>36.875</v>
      </c>
      <c r="C13" s="9">
        <f>IF('Data Sheet'!C93&gt;0,C12/'Data Sheet'!C93,0)</f>
        <v>41.833333333333336</v>
      </c>
      <c r="D13" s="9">
        <f>IF('Data Sheet'!D93&gt;0,D12/'Data Sheet'!D93,0)</f>
        <v>48.125</v>
      </c>
      <c r="E13" s="9">
        <f>IF('Data Sheet'!E93&gt;0,E12/'Data Sheet'!E93,0)</f>
        <v>58.083333333333336</v>
      </c>
      <c r="F13" s="9">
        <f>IF('Data Sheet'!F93&gt;0,F12/'Data Sheet'!F93,0)</f>
        <v>77.125</v>
      </c>
      <c r="G13" s="9">
        <f>IF('Data Sheet'!G93&gt;0,G12/'Data Sheet'!G93,0)</f>
        <v>63.166666666666664</v>
      </c>
      <c r="H13" s="9">
        <f>IF('Data Sheet'!H93&gt;0,H12/'Data Sheet'!H93,0)</f>
        <v>96.5</v>
      </c>
      <c r="I13" s="9">
        <f>IF('Data Sheet'!I93&gt;0,I12/'Data Sheet'!I93,0)</f>
        <v>88.916666666666671</v>
      </c>
      <c r="J13" s="9">
        <f>IF('Data Sheet'!J93&gt;0,J12/'Data Sheet'!J93,0)</f>
        <v>90.75</v>
      </c>
      <c r="K13" s="9">
        <f>IF('Data Sheet'!K93&gt;0,K12/'Data Sheet'!K93,0)</f>
        <v>105.70833333333333</v>
      </c>
      <c r="L13" s="9">
        <f>IF('Data Sheet'!$B6&gt;0,'Profit &amp; Loss'!L12/'Data Sheet'!$B6,0)</f>
        <v>108.51242039559698</v>
      </c>
      <c r="M13" s="9">
        <f>IF('Data Sheet'!$B6&gt;0,'Profit &amp; Loss'!M12/'Data Sheet'!$B6,0)</f>
        <v>106.53117420870601</v>
      </c>
      <c r="N13" s="9">
        <f>IF('Data Sheet'!$B6&gt;0,'Profit &amp; Loss'!N12/'Data Sheet'!$B6,0)</f>
        <v>94.062280530223092</v>
      </c>
    </row>
    <row r="14" spans="1:14" x14ac:dyDescent="0.3">
      <c r="A14" s="6" t="s">
        <v>16</v>
      </c>
      <c r="B14" s="9">
        <f>IF(B15&gt;0,B15/B13,"")</f>
        <v>41.989966101694918</v>
      </c>
      <c r="C14" s="9">
        <f t="shared" ref="C14:K14" si="2">IF(C15&gt;0,C15/C13,"")</f>
        <v>59.089960159362541</v>
      </c>
      <c r="D14" s="9">
        <f t="shared" si="2"/>
        <v>63.942857142857143</v>
      </c>
      <c r="E14" s="9">
        <f t="shared" si="2"/>
        <v>51.136872309899566</v>
      </c>
      <c r="F14" s="9">
        <f t="shared" si="2"/>
        <v>43.614262560777959</v>
      </c>
      <c r="G14" s="9">
        <f t="shared" si="2"/>
        <v>53.372295514511876</v>
      </c>
      <c r="H14" s="9">
        <f t="shared" si="2"/>
        <v>45.71968911917098</v>
      </c>
      <c r="I14" s="9">
        <f t="shared" si="2"/>
        <v>55.361387066541702</v>
      </c>
      <c r="J14" s="9">
        <f t="shared" si="2"/>
        <v>50.638567493112944</v>
      </c>
      <c r="K14" s="9">
        <f t="shared" si="2"/>
        <v>56.7836026803311</v>
      </c>
      <c r="L14" s="9">
        <f t="shared" ref="L14" si="3">IF(L13&gt;0,L15/L13,0)</f>
        <v>45.423371647509583</v>
      </c>
      <c r="M14" s="9">
        <f>M25</f>
        <v>52.051732221873827</v>
      </c>
      <c r="N14" s="9">
        <f>N25</f>
        <v>45.423371647509583</v>
      </c>
    </row>
    <row r="15" spans="1:14" s="8" customFormat="1" x14ac:dyDescent="0.3">
      <c r="A15" s="8" t="s">
        <v>58</v>
      </c>
      <c r="B15" s="1">
        <f>'Data Sheet'!B90</f>
        <v>1548.38</v>
      </c>
      <c r="C15" s="1">
        <f>'Data Sheet'!C90</f>
        <v>2471.9299999999998</v>
      </c>
      <c r="D15" s="1">
        <f>'Data Sheet'!D90</f>
        <v>3077.25</v>
      </c>
      <c r="E15" s="1">
        <f>'Data Sheet'!E90</f>
        <v>2970.2</v>
      </c>
      <c r="F15" s="1">
        <f>'Data Sheet'!F90</f>
        <v>3363.75</v>
      </c>
      <c r="G15" s="1">
        <f>'Data Sheet'!G90</f>
        <v>3371.35</v>
      </c>
      <c r="H15" s="1">
        <f>'Data Sheet'!H90</f>
        <v>4411.95</v>
      </c>
      <c r="I15" s="1">
        <f>'Data Sheet'!I90</f>
        <v>4922.55</v>
      </c>
      <c r="J15" s="1">
        <f>'Data Sheet'!J90</f>
        <v>4595.45</v>
      </c>
      <c r="K15" s="1">
        <f>'Data Sheet'!K90</f>
        <v>6002.5</v>
      </c>
      <c r="L15" s="1">
        <f>'Data Sheet'!B8</f>
        <v>4929</v>
      </c>
      <c r="M15" s="12">
        <f>M13*M14</f>
        <v>5545.1321531933563</v>
      </c>
      <c r="N15" s="13">
        <f>N13*N14</f>
        <v>4272.625926536628</v>
      </c>
    </row>
    <row r="17" spans="1:14" s="8" customFormat="1" x14ac:dyDescent="0.3">
      <c r="A17" s="8" t="s">
        <v>15</v>
      </c>
    </row>
    <row r="18" spans="1:14" x14ac:dyDescent="0.3">
      <c r="A18" s="6" t="s">
        <v>17</v>
      </c>
      <c r="B18" s="7">
        <f>IF('Data Sheet'!B30&gt;0, 'Data Sheet'!B31/'Data Sheet'!B30, 0)</f>
        <v>0.3</v>
      </c>
      <c r="C18" s="7">
        <f>IF('Data Sheet'!C30&gt;0, 'Data Sheet'!C31/'Data Sheet'!C30, 0)</f>
        <v>0.3</v>
      </c>
      <c r="D18" s="7">
        <f>IF('Data Sheet'!D30&gt;0, 'Data Sheet'!D31/'Data Sheet'!D30, 0)</f>
        <v>0.31</v>
      </c>
      <c r="E18" s="7">
        <f>IF('Data Sheet'!E30&gt;0, 'Data Sheet'!E31/'Data Sheet'!E30, 0)</f>
        <v>0.6</v>
      </c>
      <c r="F18" s="7">
        <f>IF('Data Sheet'!F30&gt;0, 'Data Sheet'!F31/'Data Sheet'!F30, 0)</f>
        <v>2.04</v>
      </c>
      <c r="G18" s="7">
        <f>IF('Data Sheet'!G30&gt;0, 'Data Sheet'!G31/'Data Sheet'!G30, 0)</f>
        <v>0.89</v>
      </c>
      <c r="H18" s="7">
        <f>IF('Data Sheet'!H30&gt;0, 'Data Sheet'!H31/'Data Sheet'!H30, 0)</f>
        <v>0.75</v>
      </c>
      <c r="I18" s="7">
        <f>IF('Data Sheet'!I30&gt;0, 'Data Sheet'!I31/'Data Sheet'!I30, 0)</f>
        <v>0.83</v>
      </c>
      <c r="J18" s="7">
        <f>IF('Data Sheet'!J30&gt;0, 'Data Sheet'!J31/'Data Sheet'!J30, 0)</f>
        <v>0.83</v>
      </c>
      <c r="K18" s="7">
        <f>IF('Data Sheet'!K30&gt;0, 'Data Sheet'!K31/'Data Sheet'!K30, 0)</f>
        <v>0.8600000000000001</v>
      </c>
    </row>
    <row r="19" spans="1:14" x14ac:dyDescent="0.3">
      <c r="A19" s="6" t="s">
        <v>18</v>
      </c>
      <c r="B19" s="7">
        <f t="shared" ref="B19:L19" si="4">IF(B6&gt;0,B6/B4,0)</f>
        <v>0.13077534791252496</v>
      </c>
      <c r="C19" s="7">
        <f t="shared" ref="C19:K19" si="5">IF(C6&gt;0,C6/C4,0)</f>
        <v>0.15521283034093189</v>
      </c>
      <c r="D19" s="7">
        <f t="shared" si="5"/>
        <v>0.14647218453188601</v>
      </c>
      <c r="E19" s="7">
        <f t="shared" si="5"/>
        <v>0.17189655172413792</v>
      </c>
      <c r="F19" s="7">
        <f t="shared" si="5"/>
        <v>0.1938246041412911</v>
      </c>
      <c r="G19" s="7">
        <f t="shared" si="5"/>
        <v>0.13962365591397846</v>
      </c>
      <c r="H19" s="7">
        <f t="shared" si="5"/>
        <v>0.16267468253481371</v>
      </c>
      <c r="I19" s="7">
        <f t="shared" si="5"/>
        <v>0.19443258393464133</v>
      </c>
      <c r="J19" s="7">
        <f t="shared" si="5"/>
        <v>0.17177227888312993</v>
      </c>
      <c r="K19" s="7">
        <f t="shared" si="5"/>
        <v>0.17640559732664998</v>
      </c>
      <c r="L19" s="7">
        <f t="shared" si="4"/>
        <v>0.18433179723502305</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8.6807500476017818E-2</v>
      </c>
      <c r="I23" s="7">
        <f>IF(D4=0,"",POWER($K4/D4,1/7)-1)</f>
        <v>8.1667115417902725E-2</v>
      </c>
      <c r="J23" s="7">
        <f>IF(F4=0,"",POWER($K4/F4,1/5)-1)</f>
        <v>7.8326302554289962E-2</v>
      </c>
      <c r="K23" s="7">
        <f>IF(H4=0,"",POWER($K4/H4, 1/3)-1)</f>
        <v>5.5196386272793996E-2</v>
      </c>
      <c r="L23" s="7">
        <f>IF(ISERROR(MAX(IF(J4=0,"",(K4-J4)/J4),IF(K4=0,"",(L4-K4)/K4))),"",MAX(IF(J4=0,"",(K4-J4)/J4),IF(K4=0,"",(L4-K4)/K4)))</f>
        <v>6.7380036783146635E-2</v>
      </c>
      <c r="M23" s="22">
        <f>MAX(K23:L23)</f>
        <v>6.7380036783146635E-2</v>
      </c>
      <c r="N23" s="22">
        <f>MIN(H23:L23)</f>
        <v>5.5196386272793996E-2</v>
      </c>
    </row>
    <row r="24" spans="1:14" x14ac:dyDescent="0.3">
      <c r="G24" s="6" t="s">
        <v>18</v>
      </c>
      <c r="H24" s="7">
        <f>IF(SUM(B4:$K$4)=0,"",SUMPRODUCT(B19:$K$19,B4:$K$4)/SUM(B4:$K$4))</f>
        <v>0.16704084567812455</v>
      </c>
      <c r="I24" s="7">
        <f>IF(SUM(E4:$K$4)=0,"",SUMPRODUCT(E19:$K$19,E4:$K$4)/SUM(E4:$K$4))</f>
        <v>0.1732130377761677</v>
      </c>
      <c r="J24" s="7">
        <f>IF(SUM(G4:$K$4)=0,"",SUMPRODUCT(G19:$K$19,G4:$K$4)/SUM(G4:$K$4))</f>
        <v>0.1701824414894248</v>
      </c>
      <c r="K24" s="7">
        <f>IF(SUM(I4:$K$4)=0, "", SUMPRODUCT(I19:$K$19,I4:$K$4)/SUM(I4:$K$4))</f>
        <v>0.18047434278924701</v>
      </c>
      <c r="L24" s="7">
        <f>L19</f>
        <v>0.18433179723502305</v>
      </c>
      <c r="M24" s="22">
        <f>MAX(K24:L24)</f>
        <v>0.18433179723502305</v>
      </c>
      <c r="N24" s="22">
        <f>MIN(H24:L24)</f>
        <v>0.16704084567812455</v>
      </c>
    </row>
    <row r="25" spans="1:14" x14ac:dyDescent="0.3">
      <c r="G25" s="6" t="s">
        <v>23</v>
      </c>
      <c r="H25" s="9">
        <f>IF(ISERROR(AVERAGEIF(B14:$L14,"&gt;0")),"",AVERAGEIF(B14:$L14,"&gt;0"))</f>
        <v>51.5520756177973</v>
      </c>
      <c r="I25" s="9">
        <f>IF(ISERROR(AVERAGEIF(E14:$L14,"&gt;0")),"",AVERAGEIF(E14:$L14,"&gt;0"))</f>
        <v>50.256256048981967</v>
      </c>
      <c r="J25" s="9">
        <f>IF(ISERROR(AVERAGEIF(G14:$L14,"&gt;0")),"",AVERAGEIF(G14:$L14,"&gt;0"))</f>
        <v>51.21648558686303</v>
      </c>
      <c r="K25" s="9">
        <f>IF(ISERROR(AVERAGEIF(I14:$L14,"&gt;0")),"",AVERAGEIF(I14:$L14,"&gt;0"))</f>
        <v>52.051732221873827</v>
      </c>
      <c r="L25" s="9">
        <f>L14</f>
        <v>45.423371647509583</v>
      </c>
      <c r="M25" s="1">
        <f>MAX(K25:L25)</f>
        <v>52.051732221873827</v>
      </c>
      <c r="N25" s="1">
        <f>MIN(H25:L25)</f>
        <v>45.423371647509583</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BRITANNIA INDUSTRIES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4069</v>
      </c>
      <c r="C4" s="1">
        <f>'Data Sheet'!C42</f>
        <v>4250</v>
      </c>
      <c r="D4" s="1">
        <f>'Data Sheet'!D42</f>
        <v>4668</v>
      </c>
      <c r="E4" s="1">
        <f>'Data Sheet'!E42</f>
        <v>4593</v>
      </c>
      <c r="F4" s="1">
        <f>'Data Sheet'!F42</f>
        <v>4432</v>
      </c>
      <c r="G4" s="1">
        <f>'Data Sheet'!G42</f>
        <v>4622</v>
      </c>
      <c r="H4" s="1">
        <f>'Data Sheet'!H42</f>
        <v>4841</v>
      </c>
      <c r="I4" s="1">
        <f>'Data Sheet'!I42</f>
        <v>4970</v>
      </c>
      <c r="J4" s="1">
        <f>'Data Sheet'!J42</f>
        <v>4719</v>
      </c>
      <c r="K4" s="1">
        <f>'Data Sheet'!K42</f>
        <v>5000</v>
      </c>
    </row>
    <row r="5" spans="1:11" x14ac:dyDescent="0.3">
      <c r="A5" s="6" t="s">
        <v>7</v>
      </c>
      <c r="B5" s="9">
        <f>'Data Sheet'!B43</f>
        <v>3286</v>
      </c>
      <c r="C5" s="9">
        <f>'Data Sheet'!C43</f>
        <v>3497</v>
      </c>
      <c r="D5" s="9">
        <f>'Data Sheet'!D43</f>
        <v>3888</v>
      </c>
      <c r="E5" s="9">
        <f>'Data Sheet'!E43</f>
        <v>3750</v>
      </c>
      <c r="F5" s="9">
        <f>'Data Sheet'!F43</f>
        <v>3632</v>
      </c>
      <c r="G5" s="9">
        <f>'Data Sheet'!G43</f>
        <v>3870</v>
      </c>
      <c r="H5" s="9">
        <f>'Data Sheet'!H43</f>
        <v>3889</v>
      </c>
      <c r="I5" s="9">
        <f>'Data Sheet'!I43</f>
        <v>3992</v>
      </c>
      <c r="J5" s="9">
        <f>'Data Sheet'!J43</f>
        <v>3885</v>
      </c>
      <c r="K5" s="9">
        <f>'Data Sheet'!K43</f>
        <v>4162</v>
      </c>
    </row>
    <row r="6" spans="1:11" s="8" customFormat="1" x14ac:dyDescent="0.3">
      <c r="A6" s="8" t="s">
        <v>8</v>
      </c>
      <c r="B6" s="1">
        <f>'Data Sheet'!B50</f>
        <v>784</v>
      </c>
      <c r="C6" s="1">
        <f>'Data Sheet'!C50</f>
        <v>753</v>
      </c>
      <c r="D6" s="1">
        <f>'Data Sheet'!D50</f>
        <v>780</v>
      </c>
      <c r="E6" s="1">
        <f>'Data Sheet'!E50</f>
        <v>843</v>
      </c>
      <c r="F6" s="1">
        <f>'Data Sheet'!F50</f>
        <v>801</v>
      </c>
      <c r="G6" s="1">
        <f>'Data Sheet'!G50</f>
        <v>752</v>
      </c>
      <c r="H6" s="1">
        <f>'Data Sheet'!H50</f>
        <v>951</v>
      </c>
      <c r="I6" s="1">
        <f>'Data Sheet'!I50</f>
        <v>977</v>
      </c>
      <c r="J6" s="1">
        <f>'Data Sheet'!J50</f>
        <v>834</v>
      </c>
      <c r="K6" s="1">
        <f>'Data Sheet'!K50</f>
        <v>838</v>
      </c>
    </row>
    <row r="7" spans="1:11" x14ac:dyDescent="0.3">
      <c r="A7" s="6" t="s">
        <v>9</v>
      </c>
      <c r="B7" s="9">
        <f>'Data Sheet'!B44</f>
        <v>57</v>
      </c>
      <c r="C7" s="9">
        <f>'Data Sheet'!C44</f>
        <v>31</v>
      </c>
      <c r="D7" s="9">
        <f>'Data Sheet'!D44</f>
        <v>46</v>
      </c>
      <c r="E7" s="9">
        <f>'Data Sheet'!E44</f>
        <v>62</v>
      </c>
      <c r="F7" s="9">
        <f>'Data Sheet'!F44</f>
        <v>63</v>
      </c>
      <c r="G7" s="9">
        <f>'Data Sheet'!G44</f>
        <v>57</v>
      </c>
      <c r="H7" s="9">
        <f>'Data Sheet'!H44</f>
        <v>52</v>
      </c>
      <c r="I7" s="9">
        <f>'Data Sheet'!I44</f>
        <v>59</v>
      </c>
      <c r="J7" s="9">
        <f>'Data Sheet'!J44</f>
        <v>55</v>
      </c>
      <c r="K7" s="9">
        <f>'Data Sheet'!K44</f>
        <v>61</v>
      </c>
    </row>
    <row r="8" spans="1:11" x14ac:dyDescent="0.3">
      <c r="A8" s="6" t="s">
        <v>10</v>
      </c>
      <c r="B8" s="9">
        <f>'Data Sheet'!B45</f>
        <v>80</v>
      </c>
      <c r="C8" s="9">
        <f>'Data Sheet'!C45</f>
        <v>74</v>
      </c>
      <c r="D8" s="9">
        <f>'Data Sheet'!D45</f>
        <v>76</v>
      </c>
      <c r="E8" s="9">
        <f>'Data Sheet'!E45</f>
        <v>82</v>
      </c>
      <c r="F8" s="9">
        <f>'Data Sheet'!F45</f>
        <v>81</v>
      </c>
      <c r="G8" s="9">
        <f>'Data Sheet'!G45</f>
        <v>82</v>
      </c>
      <c r="H8" s="9">
        <f>'Data Sheet'!H45</f>
        <v>85</v>
      </c>
      <c r="I8" s="9">
        <f>'Data Sheet'!I45</f>
        <v>85</v>
      </c>
      <c r="J8" s="9">
        <f>'Data Sheet'!J45</f>
        <v>85</v>
      </c>
      <c r="K8" s="9">
        <f>'Data Sheet'!K45</f>
        <v>80</v>
      </c>
    </row>
    <row r="9" spans="1:11" x14ac:dyDescent="0.3">
      <c r="A9" s="6" t="s">
        <v>11</v>
      </c>
      <c r="B9" s="9">
        <f>'Data Sheet'!B46</f>
        <v>26</v>
      </c>
      <c r="C9" s="9">
        <f>'Data Sheet'!C46</f>
        <v>29</v>
      </c>
      <c r="D9" s="9">
        <f>'Data Sheet'!D46</f>
        <v>35</v>
      </c>
      <c r="E9" s="9">
        <f>'Data Sheet'!E46</f>
        <v>45</v>
      </c>
      <c r="F9" s="9">
        <f>'Data Sheet'!F46</f>
        <v>31</v>
      </c>
      <c r="G9" s="9">
        <f>'Data Sheet'!G46</f>
        <v>26</v>
      </c>
      <c r="H9" s="9">
        <f>'Data Sheet'!H46</f>
        <v>35</v>
      </c>
      <c r="I9" s="9">
        <f>'Data Sheet'!I46</f>
        <v>33</v>
      </c>
      <c r="J9" s="9">
        <f>'Data Sheet'!J46</f>
        <v>19</v>
      </c>
      <c r="K9" s="9">
        <f>'Data Sheet'!K46</f>
        <v>23</v>
      </c>
    </row>
    <row r="10" spans="1:11" x14ac:dyDescent="0.3">
      <c r="A10" s="6" t="s">
        <v>12</v>
      </c>
      <c r="B10" s="9">
        <f>'Data Sheet'!B47</f>
        <v>735</v>
      </c>
      <c r="C10" s="9">
        <f>'Data Sheet'!C47</f>
        <v>681</v>
      </c>
      <c r="D10" s="9">
        <f>'Data Sheet'!D47</f>
        <v>715</v>
      </c>
      <c r="E10" s="9">
        <f>'Data Sheet'!E47</f>
        <v>778</v>
      </c>
      <c r="F10" s="9">
        <f>'Data Sheet'!F47</f>
        <v>752</v>
      </c>
      <c r="G10" s="9">
        <f>'Data Sheet'!G47</f>
        <v>701</v>
      </c>
      <c r="H10" s="9">
        <f>'Data Sheet'!H47</f>
        <v>884</v>
      </c>
      <c r="I10" s="9">
        <f>'Data Sheet'!I47</f>
        <v>919</v>
      </c>
      <c r="J10" s="9">
        <f>'Data Sheet'!J47</f>
        <v>785</v>
      </c>
      <c r="K10" s="9">
        <f>'Data Sheet'!K47</f>
        <v>797</v>
      </c>
    </row>
    <row r="11" spans="1:11" x14ac:dyDescent="0.3">
      <c r="A11" s="6" t="s">
        <v>13</v>
      </c>
      <c r="B11" s="9">
        <f>'Data Sheet'!B48</f>
        <v>198</v>
      </c>
      <c r="C11" s="9">
        <f>'Data Sheet'!C48</f>
        <v>176</v>
      </c>
      <c r="D11" s="9">
        <f>'Data Sheet'!D48</f>
        <v>183</v>
      </c>
      <c r="E11" s="9">
        <f>'Data Sheet'!E48</f>
        <v>196</v>
      </c>
      <c r="F11" s="9">
        <f>'Data Sheet'!F48</f>
        <v>193</v>
      </c>
      <c r="G11" s="9">
        <f>'Data Sheet'!G48</f>
        <v>181</v>
      </c>
      <c r="H11" s="9">
        <f>'Data Sheet'!H48</f>
        <v>229</v>
      </c>
      <c r="I11" s="9">
        <f>'Data Sheet'!I48</f>
        <v>237</v>
      </c>
      <c r="J11" s="9">
        <f>'Data Sheet'!J48</f>
        <v>105</v>
      </c>
      <c r="K11" s="9">
        <f>'Data Sheet'!K48</f>
        <v>204</v>
      </c>
    </row>
    <row r="12" spans="1:11" s="8" customFormat="1" x14ac:dyDescent="0.3">
      <c r="A12" s="8" t="s">
        <v>14</v>
      </c>
      <c r="B12" s="1">
        <f>'Data Sheet'!B49</f>
        <v>537</v>
      </c>
      <c r="C12" s="1">
        <f>'Data Sheet'!C49</f>
        <v>505</v>
      </c>
      <c r="D12" s="1">
        <f>'Data Sheet'!D49</f>
        <v>532</v>
      </c>
      <c r="E12" s="1">
        <f>'Data Sheet'!E49</f>
        <v>582</v>
      </c>
      <c r="F12" s="1">
        <f>'Data Sheet'!F49</f>
        <v>559</v>
      </c>
      <c r="G12" s="1">
        <f>'Data Sheet'!G49</f>
        <v>520</v>
      </c>
      <c r="H12" s="1">
        <f>'Data Sheet'!H49</f>
        <v>655</v>
      </c>
      <c r="I12" s="1">
        <f>'Data Sheet'!I49</f>
        <v>682</v>
      </c>
      <c r="J12" s="1">
        <f>'Data Sheet'!J49</f>
        <v>680</v>
      </c>
      <c r="K12" s="1">
        <f>'Data Sheet'!K49</f>
        <v>593</v>
      </c>
    </row>
    <row r="14" spans="1:11" s="8" customFormat="1" x14ac:dyDescent="0.3">
      <c r="A14" s="2" t="s">
        <v>18</v>
      </c>
      <c r="B14" s="14">
        <f>IF(B4&gt;0,B6/B4,"")</f>
        <v>0.19267633325141312</v>
      </c>
      <c r="C14" s="14">
        <f t="shared" ref="C14:K14" si="0">IF(C4&gt;0,C6/C4,"")</f>
        <v>0.1771764705882353</v>
      </c>
      <c r="D14" s="14">
        <f t="shared" si="0"/>
        <v>0.16709511568123395</v>
      </c>
      <c r="E14" s="14">
        <f t="shared" si="0"/>
        <v>0.18354016982364468</v>
      </c>
      <c r="F14" s="14">
        <f t="shared" si="0"/>
        <v>0.18073104693140793</v>
      </c>
      <c r="G14" s="14">
        <f t="shared" si="0"/>
        <v>0.16270012981393336</v>
      </c>
      <c r="H14" s="14">
        <f t="shared" si="0"/>
        <v>0.19644701507952902</v>
      </c>
      <c r="I14" s="14">
        <f t="shared" si="0"/>
        <v>0.196579476861167</v>
      </c>
      <c r="J14" s="14">
        <f t="shared" si="0"/>
        <v>0.17673235855054037</v>
      </c>
      <c r="K14" s="14">
        <f t="shared" si="0"/>
        <v>0.1676</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BRITANNIA INDUSTRIES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24</v>
      </c>
      <c r="C4" s="19">
        <f>'Data Sheet'!C57</f>
        <v>24</v>
      </c>
      <c r="D4" s="19">
        <f>'Data Sheet'!D57</f>
        <v>24</v>
      </c>
      <c r="E4" s="19">
        <f>'Data Sheet'!E57</f>
        <v>24</v>
      </c>
      <c r="F4" s="19">
        <f>'Data Sheet'!F57</f>
        <v>24</v>
      </c>
      <c r="G4" s="19">
        <f>'Data Sheet'!G57</f>
        <v>24</v>
      </c>
      <c r="H4" s="19">
        <f>'Data Sheet'!H57</f>
        <v>24</v>
      </c>
      <c r="I4" s="19">
        <f>'Data Sheet'!I57</f>
        <v>24</v>
      </c>
      <c r="J4" s="19">
        <f>'Data Sheet'!J57</f>
        <v>24</v>
      </c>
      <c r="K4" s="19">
        <f>'Data Sheet'!K57</f>
        <v>24</v>
      </c>
    </row>
    <row r="5" spans="1:11" s="6" customFormat="1" x14ac:dyDescent="0.3">
      <c r="A5" s="6" t="s">
        <v>25</v>
      </c>
      <c r="B5" s="19">
        <f>'Data Sheet'!B58</f>
        <v>2672</v>
      </c>
      <c r="C5" s="19">
        <f>'Data Sheet'!C58</f>
        <v>3382</v>
      </c>
      <c r="D5" s="19">
        <f>'Data Sheet'!D58</f>
        <v>4229</v>
      </c>
      <c r="E5" s="19">
        <f>'Data Sheet'!E58</f>
        <v>4379</v>
      </c>
      <c r="F5" s="19">
        <f>'Data Sheet'!F58</f>
        <v>3524</v>
      </c>
      <c r="G5" s="19">
        <f>'Data Sheet'!G58</f>
        <v>2534</v>
      </c>
      <c r="H5" s="19">
        <f>'Data Sheet'!H58</f>
        <v>3510</v>
      </c>
      <c r="I5" s="19">
        <f>'Data Sheet'!I58</f>
        <v>3917</v>
      </c>
      <c r="J5" s="19">
        <f>'Data Sheet'!J58</f>
        <v>4332</v>
      </c>
      <c r="K5" s="19">
        <f>'Data Sheet'!K58</f>
        <v>5082</v>
      </c>
    </row>
    <row r="6" spans="1:11" x14ac:dyDescent="0.3">
      <c r="A6" s="11" t="s">
        <v>71</v>
      </c>
      <c r="B6" s="19">
        <f>'Data Sheet'!B59</f>
        <v>125</v>
      </c>
      <c r="C6" s="19">
        <f>'Data Sheet'!C59</f>
        <v>201</v>
      </c>
      <c r="D6" s="19">
        <f>'Data Sheet'!D59</f>
        <v>156</v>
      </c>
      <c r="E6" s="19">
        <f>'Data Sheet'!E59</f>
        <v>1538</v>
      </c>
      <c r="F6" s="19">
        <f>'Data Sheet'!F59</f>
        <v>2107</v>
      </c>
      <c r="G6" s="19">
        <f>'Data Sheet'!G59</f>
        <v>2481</v>
      </c>
      <c r="H6" s="19">
        <f>'Data Sheet'!H59</f>
        <v>2997</v>
      </c>
      <c r="I6" s="19">
        <f>'Data Sheet'!I59</f>
        <v>2065</v>
      </c>
      <c r="J6" s="19">
        <f>'Data Sheet'!J59</f>
        <v>1247</v>
      </c>
      <c r="K6" s="19">
        <f>'Data Sheet'!K59</f>
        <v>1380</v>
      </c>
    </row>
    <row r="7" spans="1:11" s="6" customFormat="1" x14ac:dyDescent="0.3">
      <c r="A7" s="11" t="s">
        <v>72</v>
      </c>
      <c r="B7" s="19">
        <f>'Data Sheet'!B60</f>
        <v>1288</v>
      </c>
      <c r="C7" s="19">
        <f>'Data Sheet'!C60</f>
        <v>1581</v>
      </c>
      <c r="D7" s="19">
        <f>'Data Sheet'!D60</f>
        <v>1829</v>
      </c>
      <c r="E7" s="19">
        <f>'Data Sheet'!E60</f>
        <v>1889</v>
      </c>
      <c r="F7" s="19">
        <f>'Data Sheet'!F60</f>
        <v>2345</v>
      </c>
      <c r="G7" s="19">
        <f>'Data Sheet'!G60</f>
        <v>2487</v>
      </c>
      <c r="H7" s="19">
        <f>'Data Sheet'!H60</f>
        <v>2819</v>
      </c>
      <c r="I7" s="19">
        <f>'Data Sheet'!I60</f>
        <v>3065</v>
      </c>
      <c r="J7" s="19">
        <f>'Data Sheet'!J60</f>
        <v>3235</v>
      </c>
      <c r="K7" s="19">
        <f>'Data Sheet'!K60</f>
        <v>3243</v>
      </c>
    </row>
    <row r="8" spans="1:11" s="8" customFormat="1" x14ac:dyDescent="0.3">
      <c r="A8" s="8" t="s">
        <v>26</v>
      </c>
      <c r="B8" s="20">
        <f>'Data Sheet'!B61</f>
        <v>4109</v>
      </c>
      <c r="C8" s="20">
        <f>'Data Sheet'!C61</f>
        <v>5188</v>
      </c>
      <c r="D8" s="20">
        <f>'Data Sheet'!D61</f>
        <v>6238</v>
      </c>
      <c r="E8" s="20">
        <f>'Data Sheet'!E61</f>
        <v>7830</v>
      </c>
      <c r="F8" s="20">
        <f>'Data Sheet'!F61</f>
        <v>8000</v>
      </c>
      <c r="G8" s="20">
        <f>'Data Sheet'!G61</f>
        <v>7527</v>
      </c>
      <c r="H8" s="20">
        <f>'Data Sheet'!H61</f>
        <v>9351</v>
      </c>
      <c r="I8" s="20">
        <f>'Data Sheet'!I61</f>
        <v>9072</v>
      </c>
      <c r="J8" s="20">
        <f>'Data Sheet'!J61</f>
        <v>8837</v>
      </c>
      <c r="K8" s="20">
        <f>'Data Sheet'!K61</f>
        <v>9730</v>
      </c>
    </row>
    <row r="9" spans="1:11" s="8" customFormat="1" x14ac:dyDescent="0.3">
      <c r="B9" s="20"/>
      <c r="C9" s="20"/>
      <c r="D9" s="20"/>
      <c r="E9" s="20"/>
      <c r="F9" s="20"/>
      <c r="G9" s="20"/>
      <c r="H9" s="20"/>
      <c r="I9" s="20"/>
      <c r="J9" s="20"/>
      <c r="K9" s="20"/>
    </row>
    <row r="10" spans="1:11" x14ac:dyDescent="0.3">
      <c r="A10" s="6" t="s">
        <v>27</v>
      </c>
      <c r="B10" s="19">
        <f>'Data Sheet'!B62</f>
        <v>1160</v>
      </c>
      <c r="C10" s="19">
        <f>'Data Sheet'!C62</f>
        <v>1346</v>
      </c>
      <c r="D10" s="19">
        <f>'Data Sheet'!D62</f>
        <v>1688</v>
      </c>
      <c r="E10" s="19">
        <f>'Data Sheet'!E62</f>
        <v>1878</v>
      </c>
      <c r="F10" s="19">
        <f>'Data Sheet'!F62</f>
        <v>1793</v>
      </c>
      <c r="G10" s="19">
        <f>'Data Sheet'!G62</f>
        <v>1753</v>
      </c>
      <c r="H10" s="19">
        <f>'Data Sheet'!H62</f>
        <v>2655</v>
      </c>
      <c r="I10" s="19">
        <f>'Data Sheet'!I62</f>
        <v>2771</v>
      </c>
      <c r="J10" s="19">
        <f>'Data Sheet'!J62</f>
        <v>2904</v>
      </c>
      <c r="K10" s="19">
        <f>'Data Sheet'!K62</f>
        <v>2850</v>
      </c>
    </row>
    <row r="11" spans="1:11" x14ac:dyDescent="0.3">
      <c r="A11" s="6" t="s">
        <v>28</v>
      </c>
      <c r="B11" s="19">
        <f>'Data Sheet'!B63</f>
        <v>30</v>
      </c>
      <c r="C11" s="19">
        <f>'Data Sheet'!C63</f>
        <v>203</v>
      </c>
      <c r="D11" s="19">
        <f>'Data Sheet'!D63</f>
        <v>101</v>
      </c>
      <c r="E11" s="19">
        <f>'Data Sheet'!E63</f>
        <v>40</v>
      </c>
      <c r="F11" s="19">
        <f>'Data Sheet'!F63</f>
        <v>117</v>
      </c>
      <c r="G11" s="19">
        <f>'Data Sheet'!G63</f>
        <v>536</v>
      </c>
      <c r="H11" s="19">
        <f>'Data Sheet'!H63</f>
        <v>105</v>
      </c>
      <c r="I11" s="19">
        <f>'Data Sheet'!I63</f>
        <v>188</v>
      </c>
      <c r="J11" s="19">
        <f>'Data Sheet'!J63</f>
        <v>89</v>
      </c>
      <c r="K11" s="19">
        <f>'Data Sheet'!K63</f>
        <v>39</v>
      </c>
    </row>
    <row r="12" spans="1:11" x14ac:dyDescent="0.3">
      <c r="A12" s="6" t="s">
        <v>29</v>
      </c>
      <c r="B12" s="19">
        <f>'Data Sheet'!B64</f>
        <v>487</v>
      </c>
      <c r="C12" s="19">
        <f>'Data Sheet'!C64</f>
        <v>1079</v>
      </c>
      <c r="D12" s="19">
        <f>'Data Sheet'!D64</f>
        <v>1476</v>
      </c>
      <c r="E12" s="19">
        <f>'Data Sheet'!E64</f>
        <v>2893</v>
      </c>
      <c r="F12" s="19">
        <f>'Data Sheet'!F64</f>
        <v>2781</v>
      </c>
      <c r="G12" s="19">
        <f>'Data Sheet'!G64</f>
        <v>1762</v>
      </c>
      <c r="H12" s="19">
        <f>'Data Sheet'!H64</f>
        <v>3324</v>
      </c>
      <c r="I12" s="19">
        <f>'Data Sheet'!I64</f>
        <v>2767</v>
      </c>
      <c r="J12" s="19">
        <f>'Data Sheet'!J64</f>
        <v>2865</v>
      </c>
      <c r="K12" s="19">
        <f>'Data Sheet'!K64</f>
        <v>3610</v>
      </c>
    </row>
    <row r="13" spans="1:11" x14ac:dyDescent="0.3">
      <c r="A13" s="11" t="s">
        <v>73</v>
      </c>
      <c r="B13" s="19">
        <f>'Data Sheet'!B65</f>
        <v>2432</v>
      </c>
      <c r="C13" s="19">
        <f>'Data Sheet'!C65</f>
        <v>2560</v>
      </c>
      <c r="D13" s="19">
        <f>'Data Sheet'!D65</f>
        <v>2972</v>
      </c>
      <c r="E13" s="19">
        <f>'Data Sheet'!E65</f>
        <v>3019</v>
      </c>
      <c r="F13" s="19">
        <f>'Data Sheet'!F65</f>
        <v>3310</v>
      </c>
      <c r="G13" s="19">
        <f>'Data Sheet'!G65</f>
        <v>3475</v>
      </c>
      <c r="H13" s="19">
        <f>'Data Sheet'!H65</f>
        <v>3266</v>
      </c>
      <c r="I13" s="19">
        <f>'Data Sheet'!I65</f>
        <v>3346</v>
      </c>
      <c r="J13" s="19">
        <f>'Data Sheet'!J65</f>
        <v>2978</v>
      </c>
      <c r="K13" s="19">
        <f>'Data Sheet'!K65</f>
        <v>3232</v>
      </c>
    </row>
    <row r="14" spans="1:11" s="8" customFormat="1" x14ac:dyDescent="0.3">
      <c r="A14" s="8" t="s">
        <v>26</v>
      </c>
      <c r="B14" s="19">
        <f>'Data Sheet'!B66</f>
        <v>4109</v>
      </c>
      <c r="C14" s="19">
        <f>'Data Sheet'!C66</f>
        <v>5188</v>
      </c>
      <c r="D14" s="19">
        <f>'Data Sheet'!D66</f>
        <v>6238</v>
      </c>
      <c r="E14" s="19">
        <f>'Data Sheet'!E66</f>
        <v>7830</v>
      </c>
      <c r="F14" s="19">
        <f>'Data Sheet'!F66</f>
        <v>8000</v>
      </c>
      <c r="G14" s="19">
        <f>'Data Sheet'!G66</f>
        <v>7527</v>
      </c>
      <c r="H14" s="19">
        <f>'Data Sheet'!H66</f>
        <v>9351</v>
      </c>
      <c r="I14" s="19">
        <f>'Data Sheet'!I66</f>
        <v>9072</v>
      </c>
      <c r="J14" s="19">
        <f>'Data Sheet'!J66</f>
        <v>8837</v>
      </c>
      <c r="K14" s="19">
        <f>'Data Sheet'!K66</f>
        <v>9730</v>
      </c>
    </row>
    <row r="15" spans="1:11" x14ac:dyDescent="0.3">
      <c r="A15" s="6"/>
      <c r="B15" s="21"/>
      <c r="C15" s="21"/>
      <c r="D15" s="21"/>
      <c r="E15" s="21"/>
      <c r="F15" s="21"/>
      <c r="G15" s="21"/>
      <c r="H15" s="21"/>
      <c r="I15" s="21"/>
      <c r="J15" s="21"/>
      <c r="K15" s="21"/>
    </row>
    <row r="16" spans="1:11" x14ac:dyDescent="0.3">
      <c r="A16" s="29" t="s">
        <v>30</v>
      </c>
      <c r="B16" s="21">
        <f>B13-B7</f>
        <v>1144</v>
      </c>
      <c r="C16" s="21">
        <f t="shared" ref="C16:K16" si="0">C13-C7</f>
        <v>979</v>
      </c>
      <c r="D16" s="21">
        <f t="shared" si="0"/>
        <v>1143</v>
      </c>
      <c r="E16" s="21">
        <f t="shared" si="0"/>
        <v>1130</v>
      </c>
      <c r="F16" s="21">
        <f t="shared" si="0"/>
        <v>965</v>
      </c>
      <c r="G16" s="21">
        <f t="shared" si="0"/>
        <v>988</v>
      </c>
      <c r="H16" s="21">
        <f t="shared" si="0"/>
        <v>447</v>
      </c>
      <c r="I16" s="21">
        <f t="shared" si="0"/>
        <v>281</v>
      </c>
      <c r="J16" s="21">
        <f t="shared" si="0"/>
        <v>-257</v>
      </c>
      <c r="K16" s="21">
        <f t="shared" si="0"/>
        <v>-11</v>
      </c>
    </row>
    <row r="17" spans="1:11" x14ac:dyDescent="0.3">
      <c r="A17" s="11" t="s">
        <v>44</v>
      </c>
      <c r="B17" s="21">
        <f>'Data Sheet'!B67</f>
        <v>179</v>
      </c>
      <c r="C17" s="21">
        <f>'Data Sheet'!C67</f>
        <v>305</v>
      </c>
      <c r="D17" s="21">
        <f>'Data Sheet'!D67</f>
        <v>394</v>
      </c>
      <c r="E17" s="21">
        <f>'Data Sheet'!E67</f>
        <v>320</v>
      </c>
      <c r="F17" s="21">
        <f>'Data Sheet'!F67</f>
        <v>257</v>
      </c>
      <c r="G17" s="21">
        <f>'Data Sheet'!G67</f>
        <v>332</v>
      </c>
      <c r="H17" s="21">
        <f>'Data Sheet'!H67</f>
        <v>329</v>
      </c>
      <c r="I17" s="21">
        <f>'Data Sheet'!I67</f>
        <v>393</v>
      </c>
      <c r="J17" s="21">
        <f>'Data Sheet'!J67</f>
        <v>449</v>
      </c>
      <c r="K17" s="21">
        <f>'Data Sheet'!K67</f>
        <v>469</v>
      </c>
    </row>
    <row r="18" spans="1:11" x14ac:dyDescent="0.3">
      <c r="A18" s="11" t="s">
        <v>45</v>
      </c>
      <c r="B18" s="21">
        <f>'Data Sheet'!B68</f>
        <v>661</v>
      </c>
      <c r="C18" s="21">
        <f>'Data Sheet'!C68</f>
        <v>653</v>
      </c>
      <c r="D18" s="21">
        <f>'Data Sheet'!D68</f>
        <v>781</v>
      </c>
      <c r="E18" s="21">
        <f>'Data Sheet'!E68</f>
        <v>741</v>
      </c>
      <c r="F18" s="21">
        <f>'Data Sheet'!F68</f>
        <v>1091</v>
      </c>
      <c r="G18" s="21">
        <f>'Data Sheet'!G68</f>
        <v>1367</v>
      </c>
      <c r="H18" s="21">
        <f>'Data Sheet'!H68</f>
        <v>1193</v>
      </c>
      <c r="I18" s="21">
        <f>'Data Sheet'!I68</f>
        <v>1181</v>
      </c>
      <c r="J18" s="21">
        <f>'Data Sheet'!J68</f>
        <v>1237</v>
      </c>
      <c r="K18" s="21">
        <f>'Data Sheet'!K68</f>
        <v>1346</v>
      </c>
    </row>
    <row r="20" spans="1:11" x14ac:dyDescent="0.3">
      <c r="A20" s="11" t="s">
        <v>46</v>
      </c>
      <c r="B20" s="5">
        <f>IF('Profit &amp; Loss'!B4&gt;0,'Balance Sheet'!B17/('Profit &amp; Loss'!B4/365),0)</f>
        <v>7.2161475590899054</v>
      </c>
      <c r="C20" s="5">
        <f>IF('Profit &amp; Loss'!C4&gt;0,'Balance Sheet'!C17/('Profit &amp; Loss'!C4/365),0)</f>
        <v>11.22907000201735</v>
      </c>
      <c r="D20" s="5">
        <f>IF('Profit &amp; Loss'!D4&gt;0,'Balance Sheet'!D17/('Profit &amp; Loss'!D4/365),0)</f>
        <v>13.008593396653099</v>
      </c>
      <c r="E20" s="5">
        <f>IF('Profit &amp; Loss'!E4&gt;0,'Balance Sheet'!E17/('Profit &amp; Loss'!E4/365),0)</f>
        <v>10.068965517241379</v>
      </c>
      <c r="F20" s="5">
        <f>IF('Profit &amp; Loss'!F4&gt;0,'Balance Sheet'!F17/('Profit &amp; Loss'!F4/365),0)</f>
        <v>7.1410627283800236</v>
      </c>
      <c r="G20" s="5">
        <f>IF('Profit &amp; Loss'!G4&gt;0,'Balance Sheet'!G17/('Profit &amp; Loss'!G4/365),0)</f>
        <v>8.5724391624221834</v>
      </c>
      <c r="H20" s="5">
        <f>IF('Profit &amp; Loss'!H4&gt;0,'Balance Sheet'!H17/('Profit &amp; Loss'!H4/365),0)</f>
        <v>7.3667259677320409</v>
      </c>
      <c r="I20" s="5">
        <f>IF('Profit &amp; Loss'!I4&gt;0,'Balance Sheet'!I17/('Profit &amp; Loss'!I4/365),0)</f>
        <v>8.5541773510644639</v>
      </c>
      <c r="J20" s="5">
        <f>IF('Profit &amp; Loss'!J4&gt;0,'Balance Sheet'!J17/('Profit &amp; Loss'!J4/365),0)</f>
        <v>9.1336454327592946</v>
      </c>
      <c r="K20" s="5">
        <f>IF('Profit &amp; Loss'!K4&gt;0,'Balance Sheet'!K17/('Profit &amp; Loss'!K4/365),0)</f>
        <v>8.9382309941520468</v>
      </c>
    </row>
    <row r="21" spans="1:11" x14ac:dyDescent="0.3">
      <c r="A21" s="11" t="s">
        <v>47</v>
      </c>
      <c r="B21" s="5">
        <f>IF('Balance Sheet'!B18&gt;0,'Profit &amp; Loss'!B4/'Balance Sheet'!B18,0)</f>
        <v>13.697428139183057</v>
      </c>
      <c r="C21" s="5">
        <f>IF('Balance Sheet'!C18&gt;0,'Profit &amp; Loss'!C4/'Balance Sheet'!C18,0)</f>
        <v>15.182235834609495</v>
      </c>
      <c r="D21" s="5">
        <f>IF('Balance Sheet'!D18&gt;0,'Profit &amp; Loss'!D4/'Balance Sheet'!D18,0)</f>
        <v>14.154929577464788</v>
      </c>
      <c r="E21" s="5">
        <f>IF('Balance Sheet'!E18&gt;0,'Profit &amp; Loss'!E4/'Balance Sheet'!E18,0)</f>
        <v>15.654520917678813</v>
      </c>
      <c r="F21" s="5">
        <f>IF('Balance Sheet'!F18&gt;0,'Profit &amp; Loss'!F4/'Balance Sheet'!F18,0)</f>
        <v>12.040329972502292</v>
      </c>
      <c r="G21" s="5">
        <f>IF('Balance Sheet'!G18&gt;0,'Profit &amp; Loss'!G4/'Balance Sheet'!G18,0)</f>
        <v>10.340892465252377</v>
      </c>
      <c r="H21" s="5">
        <f>IF('Balance Sheet'!H18&gt;0,'Profit &amp; Loss'!H4/'Balance Sheet'!H18,0)</f>
        <v>13.663872590108969</v>
      </c>
      <c r="I21" s="5">
        <f>IF('Balance Sheet'!I18&gt;0,'Profit &amp; Loss'!I4/'Balance Sheet'!I18,0)</f>
        <v>14.198983911939035</v>
      </c>
      <c r="J21" s="5">
        <f>IF('Balance Sheet'!J18&gt;0,'Profit &amp; Loss'!J4/'Balance Sheet'!J18,0)</f>
        <v>14.505254648342765</v>
      </c>
      <c r="K21" s="5">
        <f>IF('Balance Sheet'!K18&gt;0,'Profit &amp; Loss'!K4/'Balance Sheet'!K18,0)</f>
        <v>14.228826151560177</v>
      </c>
    </row>
    <row r="23" spans="1:11" s="8" customFormat="1" x14ac:dyDescent="0.3">
      <c r="A23" s="8" t="s">
        <v>59</v>
      </c>
      <c r="B23" s="14">
        <f>IF(SUM('Balance Sheet'!B4:B5)&gt;0,'Profit &amp; Loss'!B12/SUM('Balance Sheet'!B4:B5),"")</f>
        <v>0.32826409495548964</v>
      </c>
      <c r="C23" s="14">
        <f>IF(SUM('Balance Sheet'!C4:C5)&gt;0,'Profit &amp; Loss'!C12/SUM('Balance Sheet'!C4:C5),"")</f>
        <v>0.29477392836171462</v>
      </c>
      <c r="D23" s="14">
        <f>IF(SUM('Balance Sheet'!D4:D5)&gt;0,'Profit &amp; Loss'!D12/SUM('Balance Sheet'!D4:D5),"")</f>
        <v>0.27157300728897249</v>
      </c>
      <c r="E23" s="14">
        <f>IF(SUM('Balance Sheet'!E4:E5)&gt;0,'Profit &amp; Loss'!E12/SUM('Balance Sheet'!E4:E5),"")</f>
        <v>0.31660231660231658</v>
      </c>
      <c r="F23" s="14">
        <f>IF(SUM('Balance Sheet'!F4:F5)&gt;0,'Profit &amp; Loss'!F12/SUM('Balance Sheet'!F4:F5),"")</f>
        <v>0.52170236753100341</v>
      </c>
      <c r="G23" s="14">
        <f>IF(SUM('Balance Sheet'!G4:G5)&gt;0,'Profit &amp; Loss'!G12/SUM('Balance Sheet'!G4:G5),"")</f>
        <v>0.59265050820953868</v>
      </c>
      <c r="H23" s="14">
        <f>IF(SUM('Balance Sheet'!H4:H5)&gt;0,'Profit &amp; Loss'!H12/SUM('Balance Sheet'!H4:H5),"")</f>
        <v>0.65534804753820031</v>
      </c>
      <c r="I23" s="14">
        <f>IF(SUM('Balance Sheet'!I4:I5)&gt;0,'Profit &amp; Loss'!I12/SUM('Balance Sheet'!I4:I5),"")</f>
        <v>0.54148693225069777</v>
      </c>
      <c r="J23" s="14">
        <f>IF(SUM('Balance Sheet'!J4:J5)&gt;0,'Profit &amp; Loss'!J12/SUM('Balance Sheet'!J4:J5),"")</f>
        <v>0.5</v>
      </c>
      <c r="K23" s="14">
        <f>IF(SUM('Balance Sheet'!K4:K5)&gt;0,'Profit &amp; Loss'!K12/SUM('Balance Sheet'!K4:K5),"")</f>
        <v>0.49686643164904032</v>
      </c>
    </row>
    <row r="24" spans="1:11" s="8" customFormat="1" x14ac:dyDescent="0.3">
      <c r="A24" s="8" t="s">
        <v>60</v>
      </c>
      <c r="B24" s="14"/>
      <c r="C24" s="14">
        <f>IF((B4+B5+B6+C4+C5+C6)&gt;0,('Profit &amp; Loss'!C10+'Profit &amp; Loss'!C9)*2/(B4+B5+B6+C4+C5+C6),"")</f>
        <v>0.47479775980087119</v>
      </c>
      <c r="D24" s="14">
        <f>IF((C4+C5+C6+D4+D5+D6)&gt;0,('Profit &amp; Loss'!D10+'Profit &amp; Loss'!D9)*2/(C4+C5+C6+D4+D5+D6),"")</f>
        <v>0.44336327345309379</v>
      </c>
      <c r="E24" s="14">
        <f>IF((D4+D5+D6+E4+E5+E6)&gt;0,('Profit &amp; Loss'!E10+'Profit &amp; Loss'!E9)*2/(D4+D5+D6+E4+E5+E6),"")</f>
        <v>0.37120772946859903</v>
      </c>
      <c r="F24" s="14">
        <f>IF((E4+E5+E6+F4+F5+F6)&gt;0,('Profit &amp; Loss'!F10+'Profit &amp; Loss'!F9)*2/(E4+E5+E6+F4+F5+F6),"")</f>
        <v>0.45274232493963434</v>
      </c>
      <c r="G24" s="14">
        <f>IF((F4+F5+F6+G4+G5+G6)&gt;0,('Profit &amp; Loss'!G10+'Profit &amp; Loss'!G9)*2/(F4+F5+F6+G4+G5+G6),"")</f>
        <v>0.41556012717411633</v>
      </c>
      <c r="H24" s="14">
        <f>IF((G4+G5+G6+H4+H5+H6)&gt;0,('Profit &amp; Loss'!H10+'Profit &amp; Loss'!H9)*2/(G4+G5+G6+H4+H5+H6),"")</f>
        <v>0.55350043215211753</v>
      </c>
      <c r="I24" s="14">
        <f>IF((H4+H5+H6+I4+I5+I6)&gt;0,('Profit &amp; Loss'!I10+'Profit &amp; Loss'!I9)*2/(H4+H5+H6+I4+I5+I6),"")</f>
        <v>0.49086703358060141</v>
      </c>
      <c r="J24" s="14">
        <f>IF((I4+I5+I6+J4+J5+J6)&gt;0,('Profit &amp; Loss'!J10+'Profit &amp; Loss'!J9)*2/(I4+I5+I6+J4+J5+J6),"")</f>
        <v>0.52821087087604446</v>
      </c>
      <c r="K24" s="14">
        <f>IF((J4+J5+J6+K4+K5+K6)&gt;0,('Profit &amp; Loss'!K10+'Profit &amp; Loss'!K9)*2/(J4+J5+J6+K4+K5+K6),"")</f>
        <v>0.56282570932252463</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BRITANNIA INDUSTRIES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441</v>
      </c>
      <c r="C4" s="1">
        <f>'Data Sheet'!C82</f>
        <v>1249</v>
      </c>
      <c r="D4" s="1">
        <f>'Data Sheet'!D82</f>
        <v>1156</v>
      </c>
      <c r="E4" s="1">
        <f>'Data Sheet'!E82</f>
        <v>1485</v>
      </c>
      <c r="F4" s="1">
        <f>'Data Sheet'!F82</f>
        <v>1851</v>
      </c>
      <c r="G4" s="1">
        <f>'Data Sheet'!G82</f>
        <v>1300</v>
      </c>
      <c r="H4" s="1">
        <f>'Data Sheet'!H82</f>
        <v>2526</v>
      </c>
      <c r="I4" s="1">
        <f>'Data Sheet'!I82</f>
        <v>2573</v>
      </c>
      <c r="J4" s="1">
        <f>'Data Sheet'!J82</f>
        <v>2491</v>
      </c>
      <c r="K4" s="1">
        <f>'Data Sheet'!K82</f>
        <v>2612</v>
      </c>
    </row>
    <row r="5" spans="1:11" x14ac:dyDescent="0.3">
      <c r="A5" s="6" t="s">
        <v>33</v>
      </c>
      <c r="B5" s="9">
        <f>'Data Sheet'!B83</f>
        <v>-150</v>
      </c>
      <c r="C5" s="9">
        <f>'Data Sheet'!C83</f>
        <v>-957</v>
      </c>
      <c r="D5" s="9">
        <f>'Data Sheet'!D83</f>
        <v>-852</v>
      </c>
      <c r="E5" s="9">
        <f>'Data Sheet'!E83</f>
        <v>-1526</v>
      </c>
      <c r="F5" s="9">
        <f>'Data Sheet'!F83</f>
        <v>459</v>
      </c>
      <c r="G5" s="9">
        <f>'Data Sheet'!G83</f>
        <v>914</v>
      </c>
      <c r="H5" s="9">
        <f>'Data Sheet'!H83</f>
        <v>-1507</v>
      </c>
      <c r="I5" s="9">
        <f>'Data Sheet'!I83</f>
        <v>485</v>
      </c>
      <c r="J5" s="9">
        <f>'Data Sheet'!J83</f>
        <v>69</v>
      </c>
      <c r="K5" s="9">
        <f>'Data Sheet'!K83</f>
        <v>-741</v>
      </c>
    </row>
    <row r="6" spans="1:11" x14ac:dyDescent="0.3">
      <c r="A6" s="6" t="s">
        <v>34</v>
      </c>
      <c r="B6" s="9">
        <f>'Data Sheet'!B84</f>
        <v>-295</v>
      </c>
      <c r="C6" s="9">
        <f>'Data Sheet'!C84</f>
        <v>-232</v>
      </c>
      <c r="D6" s="9">
        <f>'Data Sheet'!D84</f>
        <v>-353</v>
      </c>
      <c r="E6" s="9">
        <f>'Data Sheet'!E84</f>
        <v>58</v>
      </c>
      <c r="F6" s="9">
        <f>'Data Sheet'!F84</f>
        <v>-2244</v>
      </c>
      <c r="G6" s="9">
        <f>'Data Sheet'!G84</f>
        <v>-2246</v>
      </c>
      <c r="H6" s="9">
        <f>'Data Sheet'!H84</f>
        <v>-1028</v>
      </c>
      <c r="I6" s="9">
        <f>'Data Sheet'!I84</f>
        <v>-2839</v>
      </c>
      <c r="J6" s="9">
        <f>'Data Sheet'!J84</f>
        <v>-2754</v>
      </c>
      <c r="K6" s="9">
        <f>'Data Sheet'!K84</f>
        <v>-1783</v>
      </c>
    </row>
    <row r="7" spans="1:11" s="8" customFormat="1" x14ac:dyDescent="0.3">
      <c r="A7" s="8" t="s">
        <v>35</v>
      </c>
      <c r="B7" s="1">
        <f>'Data Sheet'!B85</f>
        <v>-4</v>
      </c>
      <c r="C7" s="1">
        <f>'Data Sheet'!C85</f>
        <v>60</v>
      </c>
      <c r="D7" s="1">
        <f>'Data Sheet'!D85</f>
        <v>-49</v>
      </c>
      <c r="E7" s="1">
        <f>'Data Sheet'!E85</f>
        <v>17</v>
      </c>
      <c r="F7" s="1">
        <f>'Data Sheet'!F85</f>
        <v>66</v>
      </c>
      <c r="G7" s="1">
        <f>'Data Sheet'!G85</f>
        <v>-32</v>
      </c>
      <c r="H7" s="1">
        <f>'Data Sheet'!H85</f>
        <v>-9</v>
      </c>
      <c r="I7" s="1">
        <f>'Data Sheet'!I85</f>
        <v>219</v>
      </c>
      <c r="J7" s="1">
        <f>'Data Sheet'!J85</f>
        <v>-194</v>
      </c>
      <c r="K7" s="1">
        <f>'Data Sheet'!K85</f>
        <v>88</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BRITANNIA INDUSTRIES LTD</v>
      </c>
      <c r="C2" s="161"/>
      <c r="D2" s="161"/>
      <c r="E2" s="161"/>
      <c r="F2" s="161"/>
      <c r="G2" s="161"/>
      <c r="H2" s="161"/>
      <c r="I2" s="161"/>
      <c r="J2" s="161"/>
      <c r="K2" s="161"/>
      <c r="L2" s="161"/>
    </row>
    <row r="4" spans="2:12" x14ac:dyDescent="0.3">
      <c r="B4" s="37" t="s">
        <v>93</v>
      </c>
      <c r="C4" s="38">
        <f>'Data Sheet'!B$16</f>
        <v>42795</v>
      </c>
      <c r="D4" s="38">
        <f>'Data Sheet'!C$16</f>
        <v>43160</v>
      </c>
      <c r="E4" s="38">
        <f>'Data Sheet'!D$16</f>
        <v>43525</v>
      </c>
      <c r="F4" s="38">
        <f>'Data Sheet'!E$16</f>
        <v>43891</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0.62326043737574555</v>
      </c>
      <c r="D7" s="36">
        <f>'Data Sheet'!C18/'Data Sheet'!C$17</f>
        <v>0.61539237442001216</v>
      </c>
      <c r="E7" s="36">
        <f>'Data Sheet'!D18/'Data Sheet'!D$17</f>
        <v>0.59855269109000453</v>
      </c>
      <c r="F7" s="36">
        <f>'Data Sheet'!E18/'Data Sheet'!E$17</f>
        <v>0.59267241379310343</v>
      </c>
      <c r="G7" s="36">
        <f>'Data Sheet'!F18/'Data Sheet'!F$17</f>
        <v>0.58335870889159558</v>
      </c>
      <c r="H7" s="36">
        <f>'Data Sheet'!G18/'Data Sheet'!G$17</f>
        <v>0.62507074136955287</v>
      </c>
      <c r="I7" s="36">
        <f>'Data Sheet'!H18/'Data Sheet'!H$17</f>
        <v>0.592847064597264</v>
      </c>
      <c r="J7" s="36">
        <f>'Data Sheet'!I18/'Data Sheet'!I$17</f>
        <v>0.56580595145804757</v>
      </c>
      <c r="K7" s="36">
        <f>'Data Sheet'!J18/'Data Sheet'!J$17</f>
        <v>0.59460513849412022</v>
      </c>
      <c r="L7" s="36">
        <f>'Data Sheet'!K18/'Data Sheet'!K$17</f>
        <v>0.58244569757727649</v>
      </c>
    </row>
    <row r="8" spans="2:12" x14ac:dyDescent="0.3">
      <c r="B8" s="33" t="str">
        <f>'Data Sheet'!A19</f>
        <v>Change in Inventory</v>
      </c>
      <c r="C8" s="36">
        <f>'Data Sheet'!B19/'Data Sheet'!B$17</f>
        <v>-5.9642147117296221E-3</v>
      </c>
      <c r="D8" s="36">
        <f>'Data Sheet'!C19/'Data Sheet'!C$17</f>
        <v>6.0520476094411938E-4</v>
      </c>
      <c r="E8" s="36">
        <f>'Data Sheet'!D19/'Data Sheet'!D$17</f>
        <v>-4.9751243781094526E-3</v>
      </c>
      <c r="F8" s="36">
        <f>'Data Sheet'!E19/'Data Sheet'!E$17</f>
        <v>4.5689655172413794E-3</v>
      </c>
      <c r="G8" s="36">
        <f>'Data Sheet'!F19/'Data Sheet'!F$17</f>
        <v>-2.8166869671132763E-3</v>
      </c>
      <c r="H8" s="36">
        <f>'Data Sheet'!G19/'Data Sheet'!G$17</f>
        <v>-5.3056027164685906E-3</v>
      </c>
      <c r="I8" s="36">
        <f>'Data Sheet'!H19/'Data Sheet'!H$17</f>
        <v>-4.4782528679222135E-3</v>
      </c>
      <c r="J8" s="36">
        <f>'Data Sheet'!I19/'Data Sheet'!I$17</f>
        <v>2.3853539268889023E-4</v>
      </c>
      <c r="K8" s="36">
        <f>'Data Sheet'!J19/'Data Sheet'!J$17</f>
        <v>-3.6225826227498188E-3</v>
      </c>
      <c r="L8" s="36">
        <f>'Data Sheet'!K19/'Data Sheet'!K$17</f>
        <v>-1.1487050960735171E-3</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6.9999999999999993E-2</v>
      </c>
      <c r="D10" s="36">
        <f>'Data Sheet'!C21/'Data Sheet'!C$17</f>
        <v>6.0000000000000005E-2</v>
      </c>
      <c r="E10" s="36">
        <f>'Data Sheet'!D21/'Data Sheet'!D$17</f>
        <v>7.0000000000000007E-2</v>
      </c>
      <c r="F10" s="36">
        <f>'Data Sheet'!E21/'Data Sheet'!E$17</f>
        <v>7.0000000000000007E-2</v>
      </c>
      <c r="G10" s="36">
        <f>'Data Sheet'!F21/'Data Sheet'!F$17</f>
        <v>0.06</v>
      </c>
      <c r="H10" s="36">
        <f>'Data Sheet'!G21/'Data Sheet'!G$17</f>
        <v>6.9999999999999993E-2</v>
      </c>
      <c r="I10" s="36">
        <f>'Data Sheet'!H21/'Data Sheet'!H$17</f>
        <v>6.9999999999999993E-2</v>
      </c>
      <c r="J10" s="36">
        <f>'Data Sheet'!I21/'Data Sheet'!I$17</f>
        <v>6.9999999999999993E-2</v>
      </c>
      <c r="K10" s="36">
        <f>'Data Sheet'!J21/'Data Sheet'!J$17</f>
        <v>6.9999999999999993E-2</v>
      </c>
      <c r="L10" s="36">
        <f>'Data Sheet'!K21/'Data Sheet'!K$17</f>
        <v>7.0000000000000007E-2</v>
      </c>
    </row>
    <row r="11" spans="2:12" x14ac:dyDescent="0.3">
      <c r="B11" s="33" t="str">
        <f>'Data Sheet'!A22</f>
        <v>Employee Cost</v>
      </c>
      <c r="C11" s="36">
        <f>'Data Sheet'!B22/'Data Sheet'!B$17</f>
        <v>0.04</v>
      </c>
      <c r="D11" s="36">
        <f>'Data Sheet'!C22/'Data Sheet'!C$17</f>
        <v>0.04</v>
      </c>
      <c r="E11" s="36">
        <f>'Data Sheet'!D22/'Data Sheet'!D$17</f>
        <v>0.04</v>
      </c>
      <c r="F11" s="36">
        <f>'Data Sheet'!E22/'Data Sheet'!E$17</f>
        <v>0.04</v>
      </c>
      <c r="G11" s="36">
        <f>'Data Sheet'!F22/'Data Sheet'!F$17</f>
        <v>0.04</v>
      </c>
      <c r="H11" s="36">
        <f>'Data Sheet'!G22/'Data Sheet'!G$17</f>
        <v>0.04</v>
      </c>
      <c r="I11" s="36">
        <f>'Data Sheet'!H22/'Data Sheet'!H$17</f>
        <v>0.04</v>
      </c>
      <c r="J11" s="36">
        <f>'Data Sheet'!I22/'Data Sheet'!I$17</f>
        <v>0.04</v>
      </c>
      <c r="K11" s="36">
        <f>'Data Sheet'!J22/'Data Sheet'!J$17</f>
        <v>0.04</v>
      </c>
      <c r="L11" s="36">
        <f>'Data Sheet'!K22/'Data Sheet'!K$17</f>
        <v>0.04</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0.13</v>
      </c>
      <c r="D13" s="36">
        <f>'Data Sheet'!C24/'Data Sheet'!C$17</f>
        <v>0.13</v>
      </c>
      <c r="E13" s="36">
        <f>'Data Sheet'!D24/'Data Sheet'!D$17</f>
        <v>0.14000000000000001</v>
      </c>
      <c r="F13" s="36">
        <f>'Data Sheet'!E24/'Data Sheet'!E$17</f>
        <v>0.13</v>
      </c>
      <c r="G13" s="36">
        <f>'Data Sheet'!F24/'Data Sheet'!F$17</f>
        <v>0.12</v>
      </c>
      <c r="H13" s="36">
        <f>'Data Sheet'!G24/'Data Sheet'!G$17</f>
        <v>0.12</v>
      </c>
      <c r="I13" s="36">
        <f>'Data Sheet'!H24/'Data Sheet'!H$17</f>
        <v>0.13</v>
      </c>
      <c r="J13" s="36">
        <f>'Data Sheet'!I24/'Data Sheet'!I$17</f>
        <v>0.12999999999999998</v>
      </c>
      <c r="K13" s="36">
        <f>'Data Sheet'!J24/'Data Sheet'!J$17</f>
        <v>0.12</v>
      </c>
      <c r="L13" s="36">
        <f>'Data Sheet'!K24/'Data Sheet'!K$17</f>
        <v>0.13</v>
      </c>
    </row>
    <row r="14" spans="2:12" x14ac:dyDescent="0.3">
      <c r="B14" s="33" t="str">
        <f>'Data Sheet'!A25</f>
        <v>Other Income</v>
      </c>
      <c r="C14" s="36">
        <f>'Data Sheet'!B25/'Data Sheet'!B$17</f>
        <v>1.6677711508725424E-2</v>
      </c>
      <c r="D14" s="36">
        <f>'Data Sheet'!C25/'Data Sheet'!C$17</f>
        <v>1.6743998386120638E-2</v>
      </c>
      <c r="E14" s="36">
        <f>'Data Sheet'!D25/'Data Sheet'!D$17</f>
        <v>1.8634102216191769E-2</v>
      </c>
      <c r="F14" s="36">
        <f>'Data Sheet'!E25/'Data Sheet'!E$17</f>
        <v>2.267241379310345E-2</v>
      </c>
      <c r="G14" s="36">
        <f>'Data Sheet'!F25/'Data Sheet'!F$17</f>
        <v>2.3827649208282582E-2</v>
      </c>
      <c r="H14" s="36">
        <f>'Data Sheet'!G25/'Data Sheet'!G$17</f>
        <v>1.5704584040747028E-2</v>
      </c>
      <c r="I14" s="36">
        <f>'Data Sheet'!H25/'Data Sheet'!H$17</f>
        <v>3.6623520029446049E-2</v>
      </c>
      <c r="J14" s="36">
        <f>'Data Sheet'!I25/'Data Sheet'!I$17</f>
        <v>1.2582741964338959E-2</v>
      </c>
      <c r="K14" s="36">
        <f>'Data Sheet'!J25/'Data Sheet'!J$17</f>
        <v>1.1257872150699438E-2</v>
      </c>
      <c r="L14" s="36">
        <f>'Data Sheet'!K25/'Data Sheet'!K$17</f>
        <v>1.1695906432748537E-2</v>
      </c>
    </row>
    <row r="15" spans="2:12" x14ac:dyDescent="0.3">
      <c r="B15" s="33" t="str">
        <f>'Data Sheet'!A26</f>
        <v>Depreciation</v>
      </c>
      <c r="C15" s="36">
        <f>'Data Sheet'!B26/'Data Sheet'!B$17</f>
        <v>1.3143362049922686E-2</v>
      </c>
      <c r="D15" s="36">
        <f>'Data Sheet'!C26/'Data Sheet'!C$17</f>
        <v>1.432317934234416E-2</v>
      </c>
      <c r="E15" s="36">
        <f>'Data Sheet'!D26/'Data Sheet'!D$17</f>
        <v>1.4654002713704206E-2</v>
      </c>
      <c r="F15" s="36">
        <f>'Data Sheet'!E26/'Data Sheet'!E$17</f>
        <v>1.5948275862068966E-2</v>
      </c>
      <c r="G15" s="36">
        <f>'Data Sheet'!F26/'Data Sheet'!F$17</f>
        <v>1.5073081607795372E-2</v>
      </c>
      <c r="H15" s="36">
        <f>'Data Sheet'!G26/'Data Sheet'!G$17</f>
        <v>1.4219015280135824E-2</v>
      </c>
      <c r="I15" s="36">
        <f>'Data Sheet'!H26/'Data Sheet'!H$17</f>
        <v>1.3864180111649593E-2</v>
      </c>
      <c r="J15" s="36">
        <f>'Data Sheet'!I26/'Data Sheet'!I$17</f>
        <v>1.7890154451666765E-2</v>
      </c>
      <c r="K15" s="36">
        <f>'Data Sheet'!J26/'Data Sheet'!J$17</f>
        <v>1.7444128629549128E-2</v>
      </c>
      <c r="L15" s="36">
        <f>'Data Sheet'!K26/'Data Sheet'!K$17</f>
        <v>1.7596073517126148E-2</v>
      </c>
    </row>
    <row r="16" spans="2:12" x14ac:dyDescent="0.3">
      <c r="B16" s="33" t="str">
        <f>'Data Sheet'!A27</f>
        <v>Interest</v>
      </c>
      <c r="C16" s="36">
        <f>'Data Sheet'!B27/'Data Sheet'!B$17</f>
        <v>5.5224210293792803E-4</v>
      </c>
      <c r="D16" s="36">
        <f>'Data Sheet'!C27/'Data Sheet'!C$17</f>
        <v>8.0693968125882594E-4</v>
      </c>
      <c r="E16" s="36">
        <f>'Data Sheet'!D27/'Data Sheet'!D$17</f>
        <v>8.1411126187245586E-4</v>
      </c>
      <c r="F16" s="36">
        <f>'Data Sheet'!E27/'Data Sheet'!E$17</f>
        <v>6.6379310344827584E-3</v>
      </c>
      <c r="G16" s="36">
        <f>'Data Sheet'!F27/'Data Sheet'!F$17</f>
        <v>8.4500609013398297E-3</v>
      </c>
      <c r="H16" s="36">
        <f>'Data Sheet'!G27/'Data Sheet'!G$17</f>
        <v>1.0186757215619695E-2</v>
      </c>
      <c r="I16" s="36">
        <f>'Data Sheet'!H27/'Data Sheet'!H$17</f>
        <v>1.0367462118888412E-2</v>
      </c>
      <c r="J16" s="36">
        <f>'Data Sheet'!I27/'Data Sheet'!I$17</f>
        <v>9.7799511002444987E-3</v>
      </c>
      <c r="K16" s="36">
        <f>'Data Sheet'!J27/'Data Sheet'!J$17</f>
        <v>7.7467536086496128E-3</v>
      </c>
      <c r="L16" s="36">
        <f>'Data Sheet'!K27/'Data Sheet'!K$17</f>
        <v>5.9001670843776104E-3</v>
      </c>
    </row>
    <row r="17" spans="2:12" x14ac:dyDescent="0.3">
      <c r="B17" s="33" t="str">
        <f>'Data Sheet'!A28</f>
        <v>Profit before tax</v>
      </c>
      <c r="C17" s="36">
        <f>'Data Sheet'!B28/'Data Sheet'!B$17</f>
        <v>0.14402474044621161</v>
      </c>
      <c r="D17" s="36">
        <f>'Data Sheet'!C28/'Data Sheet'!C$17</f>
        <v>0.15311680451886223</v>
      </c>
      <c r="E17" s="36">
        <f>'Data Sheet'!D28/'Data Sheet'!D$17</f>
        <v>0.15992763455450024</v>
      </c>
      <c r="F17" s="36">
        <f>'Data Sheet'!E28/'Data Sheet'!E$17</f>
        <v>0.15896551724137931</v>
      </c>
      <c r="G17" s="36">
        <f>'Data Sheet'!F28/'Data Sheet'!F$17</f>
        <v>0.19138246041412912</v>
      </c>
      <c r="H17" s="36">
        <f>'Data Sheet'!G28/'Data Sheet'!G$17</f>
        <v>0.14700056593095642</v>
      </c>
      <c r="I17" s="36">
        <f>'Data Sheet'!H28/'Data Sheet'!H$17</f>
        <v>0.18606220477271332</v>
      </c>
      <c r="J17" s="36">
        <f>'Data Sheet'!I28/'Data Sheet'!I$17</f>
        <v>0.17371339972568431</v>
      </c>
      <c r="K17" s="36">
        <f>'Data Sheet'!J28/'Data Sheet'!J$17</f>
        <v>0.16312768210444184</v>
      </c>
      <c r="L17" s="36">
        <f>'Data Sheet'!K28/'Data Sheet'!K$17</f>
        <v>0.17173141186299082</v>
      </c>
    </row>
    <row r="18" spans="2:12" x14ac:dyDescent="0.3">
      <c r="B18" s="33" t="str">
        <f>'Data Sheet'!A29</f>
        <v>Tax</v>
      </c>
      <c r="C18" s="36">
        <f>'Data Sheet'!B29/'Data Sheet'!B$17</f>
        <v>4.6277888226198369E-2</v>
      </c>
      <c r="D18" s="36">
        <f>'Data Sheet'!C29/'Data Sheet'!C$17</f>
        <v>5.1845874520879562E-2</v>
      </c>
      <c r="E18" s="36">
        <f>'Data Sheet'!D29/'Data Sheet'!D$17</f>
        <v>5.5450022614201719E-2</v>
      </c>
      <c r="F18" s="36">
        <f>'Data Sheet'!E29/'Data Sheet'!E$17</f>
        <v>3.8793103448275863E-2</v>
      </c>
      <c r="G18" s="36">
        <f>'Data Sheet'!F29/'Data Sheet'!F$17</f>
        <v>5.047198538367844E-2</v>
      </c>
      <c r="H18" s="36">
        <f>'Data Sheet'!G29/'Data Sheet'!G$17</f>
        <v>3.9756649688737974E-2</v>
      </c>
      <c r="I18" s="36">
        <f>'Data Sheet'!H29/'Data Sheet'!H$17</f>
        <v>4.3985031593153791E-2</v>
      </c>
      <c r="J18" s="36">
        <f>'Data Sheet'!I29/'Data Sheet'!I$17</f>
        <v>4.6454767726161368E-2</v>
      </c>
      <c r="K18" s="36">
        <f>'Data Sheet'!J29/'Data Sheet'!J$17</f>
        <v>4.1743298222147916E-2</v>
      </c>
      <c r="L18" s="36">
        <f>'Data Sheet'!K29/'Data Sheet'!K$17</f>
        <v>3.9264828738512947E-2</v>
      </c>
    </row>
    <row r="19" spans="2:12" x14ac:dyDescent="0.3">
      <c r="B19" s="33" t="str">
        <f>'Data Sheet'!A30</f>
        <v>Net profit</v>
      </c>
      <c r="C19" s="36">
        <f>'Data Sheet'!B30/'Data Sheet'!B$17</f>
        <v>9.7746852220013253E-2</v>
      </c>
      <c r="D19" s="36">
        <f>'Data Sheet'!C30/'Data Sheet'!C$17</f>
        <v>0.10127092999798265</v>
      </c>
      <c r="E19" s="36">
        <f>'Data Sheet'!D30/'Data Sheet'!D$17</f>
        <v>0.1044776119402985</v>
      </c>
      <c r="F19" s="36">
        <f>'Data Sheet'!E30/'Data Sheet'!E$17</f>
        <v>0.12017241379310345</v>
      </c>
      <c r="G19" s="36">
        <f>'Data Sheet'!F30/'Data Sheet'!F$17</f>
        <v>0.14091047503045068</v>
      </c>
      <c r="H19" s="36">
        <f>'Data Sheet'!G30/'Data Sheet'!G$17</f>
        <v>0.10724391624221845</v>
      </c>
      <c r="I19" s="36">
        <f>'Data Sheet'!H30/'Data Sheet'!H$17</f>
        <v>0.14207717317955953</v>
      </c>
      <c r="J19" s="36">
        <f>'Data Sheet'!I30/'Data Sheet'!I$17</f>
        <v>0.12725863199952292</v>
      </c>
      <c r="K19" s="36">
        <f>'Data Sheet'!J30/'Data Sheet'!J$17</f>
        <v>0.12138438388229393</v>
      </c>
      <c r="L19" s="36">
        <f>'Data Sheet'!K30/'Data Sheet'!K$17</f>
        <v>0.13246658312447787</v>
      </c>
    </row>
    <row r="20" spans="2:12" x14ac:dyDescent="0.3">
      <c r="B20" s="33" t="str">
        <f>'Data Sheet'!A31</f>
        <v>Dividend Amount</v>
      </c>
      <c r="C20" s="36">
        <f>'Data Sheet'!B31/'Data Sheet'!B$17</f>
        <v>2.9324055666003976E-2</v>
      </c>
      <c r="D20" s="36">
        <f>'Data Sheet'!C31/'Data Sheet'!C$17</f>
        <v>3.0381278999394794E-2</v>
      </c>
      <c r="E20" s="36">
        <f>'Data Sheet'!D31/'Data Sheet'!D$17</f>
        <v>3.2388059701492541E-2</v>
      </c>
      <c r="F20" s="36">
        <f>'Data Sheet'!E31/'Data Sheet'!E$17</f>
        <v>7.210344827586207E-2</v>
      </c>
      <c r="G20" s="36">
        <f>'Data Sheet'!F31/'Data Sheet'!F$17</f>
        <v>0.28745736906211938</v>
      </c>
      <c r="H20" s="36">
        <f>'Data Sheet'!G31/'Data Sheet'!G$17</f>
        <v>9.5447085455574426E-2</v>
      </c>
      <c r="I20" s="36">
        <f>'Data Sheet'!H31/'Data Sheet'!H$17</f>
        <v>0.10655787988466965</v>
      </c>
      <c r="J20" s="36">
        <f>'Data Sheet'!I31/'Data Sheet'!I$17</f>
        <v>0.10562466455960404</v>
      </c>
      <c r="K20" s="36">
        <f>'Data Sheet'!J31/'Data Sheet'!J$17</f>
        <v>0.10074903862230396</v>
      </c>
      <c r="L20" s="36">
        <f>'Data Sheet'!K31/'Data Sheet'!K$17</f>
        <v>0.11392126148705096</v>
      </c>
    </row>
    <row r="21" spans="2:12" x14ac:dyDescent="0.3">
      <c r="B21" s="33" t="str">
        <f>'Data Sheet'!A32</f>
        <v>EBITDA</v>
      </c>
      <c r="C21" s="36">
        <f>'Data Sheet'!B32/'Data Sheet'!B$17</f>
        <v>0.15772034459907222</v>
      </c>
      <c r="D21" s="36">
        <f>'Data Sheet'!C32/'Data Sheet'!C$17</f>
        <v>0.1682469235424652</v>
      </c>
      <c r="E21" s="36">
        <f>'Data Sheet'!D32/'Data Sheet'!D$17</f>
        <v>0.17539574853007689</v>
      </c>
      <c r="F21" s="36">
        <f>'Data Sheet'!E32/'Data Sheet'!E$17</f>
        <v>0.18155172413793103</v>
      </c>
      <c r="G21" s="36">
        <f>'Data Sheet'!F32/'Data Sheet'!F$17</f>
        <v>0.2149056029232643</v>
      </c>
      <c r="H21" s="36">
        <f>'Data Sheet'!G32/'Data Sheet'!G$17</f>
        <v>0.17140633842671193</v>
      </c>
      <c r="I21" s="36">
        <f>'Data Sheet'!H32/'Data Sheet'!H$17</f>
        <v>0.21029384700325132</v>
      </c>
      <c r="J21" s="36">
        <f>'Data Sheet'!I32/'Data Sheet'!I$17</f>
        <v>0.20138350527759558</v>
      </c>
      <c r="K21" s="36">
        <f>'Data Sheet'!J32/'Data Sheet'!J$17</f>
        <v>0.18831856434264058</v>
      </c>
      <c r="L21" s="36">
        <f>'Data Sheet'!K32/'Data Sheet'!K$17</f>
        <v>0.19522765246449458</v>
      </c>
    </row>
    <row r="23" spans="2:12" x14ac:dyDescent="0.3">
      <c r="B23" s="161" t="str">
        <f>"Common Size Balance Sheet - "&amp;'Data Sheet'!$B$1</f>
        <v>Common Size Balance Sheet - BRITANNIA INDUSTRIES LTD</v>
      </c>
      <c r="C23" s="161"/>
      <c r="D23" s="161"/>
      <c r="E23" s="161"/>
      <c r="F23" s="161"/>
      <c r="G23" s="161"/>
      <c r="H23" s="161"/>
      <c r="I23" s="161"/>
      <c r="J23" s="161"/>
      <c r="K23" s="161"/>
      <c r="L23" s="161"/>
    </row>
    <row r="25" spans="2:12" x14ac:dyDescent="0.3">
      <c r="B25" s="37" t="s">
        <v>93</v>
      </c>
      <c r="C25" s="38">
        <f>'Data Sheet'!B$16</f>
        <v>42795</v>
      </c>
      <c r="D25" s="38">
        <f>'Data Sheet'!C$16</f>
        <v>43160</v>
      </c>
      <c r="E25" s="38">
        <f>'Data Sheet'!D$16</f>
        <v>43525</v>
      </c>
      <c r="F25" s="38">
        <f>'Data Sheet'!E$16</f>
        <v>43891</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5.8408371866634215E-3</v>
      </c>
      <c r="D28" s="36">
        <f>'Data Sheet'!C57/'Data Sheet'!C$61</f>
        <v>4.6260601387818042E-3</v>
      </c>
      <c r="E28" s="36">
        <f>'Data Sheet'!D57/'Data Sheet'!D$61</f>
        <v>3.8473869830073742E-3</v>
      </c>
      <c r="F28" s="36">
        <f>'Data Sheet'!E57/'Data Sheet'!E$61</f>
        <v>3.0651340996168583E-3</v>
      </c>
      <c r="G28" s="36">
        <f>'Data Sheet'!F57/'Data Sheet'!F$61</f>
        <v>3.0000000000000001E-3</v>
      </c>
      <c r="H28" s="36">
        <f>'Data Sheet'!G57/'Data Sheet'!G$61</f>
        <v>3.1885213232363493E-3</v>
      </c>
      <c r="I28" s="36">
        <f>'Data Sheet'!H57/'Data Sheet'!H$61</f>
        <v>2.5665704202759063E-3</v>
      </c>
      <c r="J28" s="36">
        <f>'Data Sheet'!I57/'Data Sheet'!I$61</f>
        <v>2.6455026455026454E-3</v>
      </c>
      <c r="K28" s="36">
        <f>'Data Sheet'!J57/'Data Sheet'!J$61</f>
        <v>2.7158537965372865E-3</v>
      </c>
      <c r="L28" s="36">
        <f>'Data Sheet'!K57/'Data Sheet'!K$61</f>
        <v>2.4665981500513875E-3</v>
      </c>
    </row>
    <row r="29" spans="2:12" x14ac:dyDescent="0.3">
      <c r="B29" s="33" t="str">
        <f>'Data Sheet'!A58</f>
        <v>Reserves</v>
      </c>
      <c r="C29" s="36">
        <f>'Data Sheet'!B58/'Data Sheet'!B$61</f>
        <v>0.65027987344852767</v>
      </c>
      <c r="D29" s="36">
        <f>'Data Sheet'!C58/'Data Sheet'!C$61</f>
        <v>0.65188897455666928</v>
      </c>
      <c r="E29" s="36">
        <f>'Data Sheet'!D58/'Data Sheet'!D$61</f>
        <v>0.67794164796409107</v>
      </c>
      <c r="F29" s="36">
        <f>'Data Sheet'!E58/'Data Sheet'!E$61</f>
        <v>0.55925925925925923</v>
      </c>
      <c r="G29" s="36">
        <f>'Data Sheet'!F58/'Data Sheet'!F$61</f>
        <v>0.4405</v>
      </c>
      <c r="H29" s="36">
        <f>'Data Sheet'!G58/'Data Sheet'!G$61</f>
        <v>0.33665470971170453</v>
      </c>
      <c r="I29" s="36">
        <f>'Data Sheet'!H58/'Data Sheet'!H$61</f>
        <v>0.37536092396535131</v>
      </c>
      <c r="J29" s="36">
        <f>'Data Sheet'!I58/'Data Sheet'!I$61</f>
        <v>0.43176807760141095</v>
      </c>
      <c r="K29" s="36">
        <f>'Data Sheet'!J58/'Data Sheet'!J$61</f>
        <v>0.49021161027498017</v>
      </c>
      <c r="L29" s="36">
        <f>'Data Sheet'!K58/'Data Sheet'!K$61</f>
        <v>0.52230215827338133</v>
      </c>
    </row>
    <row r="30" spans="2:12" x14ac:dyDescent="0.3">
      <c r="B30" s="33" t="str">
        <f>'Data Sheet'!A59</f>
        <v>Borrowings</v>
      </c>
      <c r="C30" s="36">
        <f>'Data Sheet'!B59/'Data Sheet'!B$61</f>
        <v>3.0421027013871987E-2</v>
      </c>
      <c r="D30" s="36">
        <f>'Data Sheet'!C59/'Data Sheet'!C$61</f>
        <v>3.8743253662297611E-2</v>
      </c>
      <c r="E30" s="36">
        <f>'Data Sheet'!D59/'Data Sheet'!D$61</f>
        <v>2.5008015389547934E-2</v>
      </c>
      <c r="F30" s="36">
        <f>'Data Sheet'!E59/'Data Sheet'!E$61</f>
        <v>0.19642401021711367</v>
      </c>
      <c r="G30" s="36">
        <f>'Data Sheet'!F59/'Data Sheet'!F$61</f>
        <v>0.26337500000000003</v>
      </c>
      <c r="H30" s="36">
        <f>'Data Sheet'!G59/'Data Sheet'!G$61</f>
        <v>0.32961339178955762</v>
      </c>
      <c r="I30" s="36">
        <f>'Data Sheet'!H59/'Data Sheet'!H$61</f>
        <v>0.32050048123195379</v>
      </c>
      <c r="J30" s="36">
        <f>'Data Sheet'!I59/'Data Sheet'!I$61</f>
        <v>0.22762345679012347</v>
      </c>
      <c r="K30" s="36">
        <f>'Data Sheet'!J59/'Data Sheet'!J$61</f>
        <v>0.14111123684508317</v>
      </c>
      <c r="L30" s="36">
        <f>'Data Sheet'!K59/'Data Sheet'!K$61</f>
        <v>0.14182939362795477</v>
      </c>
    </row>
    <row r="31" spans="2:12" x14ac:dyDescent="0.3">
      <c r="B31" s="33" t="str">
        <f>'Data Sheet'!A60</f>
        <v>Other Liabilities</v>
      </c>
      <c r="C31" s="36">
        <f>'Data Sheet'!B60/'Data Sheet'!B$61</f>
        <v>0.31345826235093699</v>
      </c>
      <c r="D31" s="36">
        <f>'Data Sheet'!C60/'Data Sheet'!C$61</f>
        <v>0.30474171164225133</v>
      </c>
      <c r="E31" s="36">
        <f>'Data Sheet'!D60/'Data Sheet'!D$61</f>
        <v>0.29320294966335364</v>
      </c>
      <c r="F31" s="36">
        <f>'Data Sheet'!E60/'Data Sheet'!E$61</f>
        <v>0.24125159642401023</v>
      </c>
      <c r="G31" s="36">
        <f>'Data Sheet'!F60/'Data Sheet'!F$61</f>
        <v>0.29312500000000002</v>
      </c>
      <c r="H31" s="36">
        <f>'Data Sheet'!G60/'Data Sheet'!G$61</f>
        <v>0.3304105221203667</v>
      </c>
      <c r="I31" s="36">
        <f>'Data Sheet'!H60/'Data Sheet'!H$61</f>
        <v>0.30146508394824084</v>
      </c>
      <c r="J31" s="36">
        <f>'Data Sheet'!I60/'Data Sheet'!I$61</f>
        <v>0.337852733686067</v>
      </c>
      <c r="K31" s="36">
        <f>'Data Sheet'!J60/'Data Sheet'!J$61</f>
        <v>0.36607445965825508</v>
      </c>
      <c r="L31" s="36">
        <f>'Data Sheet'!K60/'Data Sheet'!K$61</f>
        <v>0.33329907502569373</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0.28230713068873203</v>
      </c>
      <c r="D34" s="36">
        <f>'Data Sheet'!C62/'Data Sheet'!C$66</f>
        <v>0.25944487278334616</v>
      </c>
      <c r="E34" s="36">
        <f>'Data Sheet'!D62/'Data Sheet'!D$66</f>
        <v>0.27059955113818529</v>
      </c>
      <c r="F34" s="36">
        <f>'Data Sheet'!E62/'Data Sheet'!E$66</f>
        <v>0.23984674329501915</v>
      </c>
      <c r="G34" s="36">
        <f>'Data Sheet'!F62/'Data Sheet'!F$66</f>
        <v>0.22412499999999999</v>
      </c>
      <c r="H34" s="36">
        <f>'Data Sheet'!G62/'Data Sheet'!G$66</f>
        <v>0.23289491165138834</v>
      </c>
      <c r="I34" s="36">
        <f>'Data Sheet'!H62/'Data Sheet'!H$66</f>
        <v>0.28392685274302215</v>
      </c>
      <c r="J34" s="36">
        <f>'Data Sheet'!I62/'Data Sheet'!I$66</f>
        <v>0.30544532627865961</v>
      </c>
      <c r="K34" s="36">
        <f>'Data Sheet'!J62/'Data Sheet'!J$66</f>
        <v>0.32861830938101166</v>
      </c>
      <c r="L34" s="36">
        <f>'Data Sheet'!K62/'Data Sheet'!K$66</f>
        <v>0.29290853031860226</v>
      </c>
    </row>
    <row r="35" spans="2:12" x14ac:dyDescent="0.3">
      <c r="B35" s="33" t="str">
        <f>'Data Sheet'!A63</f>
        <v>Capital Work in Progress</v>
      </c>
      <c r="C35" s="36">
        <f>'Data Sheet'!B63/'Data Sheet'!B$66</f>
        <v>7.301046483329277E-3</v>
      </c>
      <c r="D35" s="36">
        <f>'Data Sheet'!C63/'Data Sheet'!C$66</f>
        <v>3.9128758673862757E-2</v>
      </c>
      <c r="E35" s="36">
        <f>'Data Sheet'!D63/'Data Sheet'!D$66</f>
        <v>1.6191086886822699E-2</v>
      </c>
      <c r="F35" s="36">
        <f>'Data Sheet'!E63/'Data Sheet'!E$66</f>
        <v>5.108556832694764E-3</v>
      </c>
      <c r="G35" s="36">
        <f>'Data Sheet'!F63/'Data Sheet'!F$66</f>
        <v>1.4625000000000001E-2</v>
      </c>
      <c r="H35" s="36">
        <f>'Data Sheet'!G63/'Data Sheet'!G$66</f>
        <v>7.1210309552278458E-2</v>
      </c>
      <c r="I35" s="36">
        <f>'Data Sheet'!H63/'Data Sheet'!H$66</f>
        <v>1.122874558870709E-2</v>
      </c>
      <c r="J35" s="36">
        <f>'Data Sheet'!I63/'Data Sheet'!I$66</f>
        <v>2.0723104056437389E-2</v>
      </c>
      <c r="K35" s="36">
        <f>'Data Sheet'!J63/'Data Sheet'!J$66</f>
        <v>1.0071291162159103E-2</v>
      </c>
      <c r="L35" s="36">
        <f>'Data Sheet'!K63/'Data Sheet'!K$66</f>
        <v>4.0082219938335044E-3</v>
      </c>
    </row>
    <row r="36" spans="2:12" x14ac:dyDescent="0.3">
      <c r="B36" s="33" t="str">
        <f>'Data Sheet'!A64</f>
        <v>Investments</v>
      </c>
      <c r="C36" s="36">
        <f>'Data Sheet'!B64/'Data Sheet'!B$66</f>
        <v>0.11852032124604527</v>
      </c>
      <c r="D36" s="36">
        <f>'Data Sheet'!C64/'Data Sheet'!C$66</f>
        <v>0.20797995373939862</v>
      </c>
      <c r="E36" s="36">
        <f>'Data Sheet'!D64/'Data Sheet'!D$66</f>
        <v>0.23661429945495352</v>
      </c>
      <c r="F36" s="36">
        <f>'Data Sheet'!E64/'Data Sheet'!E$66</f>
        <v>0.3694763729246488</v>
      </c>
      <c r="G36" s="36">
        <f>'Data Sheet'!F64/'Data Sheet'!F$66</f>
        <v>0.34762500000000002</v>
      </c>
      <c r="H36" s="36">
        <f>'Data Sheet'!G64/'Data Sheet'!G$66</f>
        <v>0.23409060714760196</v>
      </c>
      <c r="I36" s="36">
        <f>'Data Sheet'!H64/'Data Sheet'!H$66</f>
        <v>0.35547000320821304</v>
      </c>
      <c r="J36" s="36">
        <f>'Data Sheet'!I64/'Data Sheet'!I$66</f>
        <v>0.30500440917107585</v>
      </c>
      <c r="K36" s="36">
        <f>'Data Sheet'!J64/'Data Sheet'!J$66</f>
        <v>0.32420504696163854</v>
      </c>
      <c r="L36" s="36">
        <f>'Data Sheet'!K64/'Data Sheet'!K$66</f>
        <v>0.3710174717368962</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4.356291068386469E-2</v>
      </c>
      <c r="D38" s="36">
        <f>'Data Sheet'!C67/'Data Sheet'!C$66</f>
        <v>5.8789514263685429E-2</v>
      </c>
      <c r="E38" s="36">
        <f>'Data Sheet'!D67/'Data Sheet'!D$66</f>
        <v>6.3161269637704395E-2</v>
      </c>
      <c r="F38" s="36">
        <f>'Data Sheet'!E67/'Data Sheet'!E$66</f>
        <v>4.0868454661558112E-2</v>
      </c>
      <c r="G38" s="36">
        <f>'Data Sheet'!F67/'Data Sheet'!F$66</f>
        <v>3.2125000000000001E-2</v>
      </c>
      <c r="H38" s="36">
        <f>'Data Sheet'!G67/'Data Sheet'!G$66</f>
        <v>4.4107878304769498E-2</v>
      </c>
      <c r="I38" s="36">
        <f>'Data Sheet'!H67/'Data Sheet'!H$66</f>
        <v>3.5183402844615547E-2</v>
      </c>
      <c r="J38" s="36">
        <f>'Data Sheet'!I67/'Data Sheet'!I$66</f>
        <v>4.3320105820105821E-2</v>
      </c>
      <c r="K38" s="36">
        <f>'Data Sheet'!J67/'Data Sheet'!J$66</f>
        <v>5.0809098110218401E-2</v>
      </c>
      <c r="L38" s="36">
        <f>'Data Sheet'!K67/'Data Sheet'!K$66</f>
        <v>4.8201438848920863E-2</v>
      </c>
    </row>
    <row r="39" spans="2:12" x14ac:dyDescent="0.3">
      <c r="B39" s="33" t="str">
        <f>'Data Sheet'!A68</f>
        <v>Inventory</v>
      </c>
      <c r="C39" s="36">
        <f>'Data Sheet'!B68/'Data Sheet'!B$66</f>
        <v>0.16086639084935508</v>
      </c>
      <c r="D39" s="36">
        <f>'Data Sheet'!C68/'Data Sheet'!C$66</f>
        <v>0.12586738627602159</v>
      </c>
      <c r="E39" s="36">
        <f>'Data Sheet'!D68/'Data Sheet'!D$66</f>
        <v>0.12520038473869829</v>
      </c>
      <c r="F39" s="36">
        <f>'Data Sheet'!E68/'Data Sheet'!E$66</f>
        <v>9.4636015325670494E-2</v>
      </c>
      <c r="G39" s="36">
        <f>'Data Sheet'!F68/'Data Sheet'!F$66</f>
        <v>0.136375</v>
      </c>
      <c r="H39" s="36">
        <f>'Data Sheet'!G68/'Data Sheet'!G$66</f>
        <v>0.18161286036933705</v>
      </c>
      <c r="I39" s="36">
        <f>'Data Sheet'!H68/'Data Sheet'!H$66</f>
        <v>0.12757993797454817</v>
      </c>
      <c r="J39" s="36">
        <f>'Data Sheet'!I68/'Data Sheet'!I$66</f>
        <v>0.13018077601410935</v>
      </c>
      <c r="K39" s="36">
        <f>'Data Sheet'!J68/'Data Sheet'!J$66</f>
        <v>0.13997963109652597</v>
      </c>
      <c r="L39" s="36">
        <f>'Data Sheet'!K68/'Data Sheet'!K$66</f>
        <v>0.13833504624871532</v>
      </c>
    </row>
    <row r="40" spans="2:12" x14ac:dyDescent="0.3">
      <c r="B40" s="33" t="str">
        <f>'Data Sheet'!A69</f>
        <v>Cash &amp; Bank</v>
      </c>
      <c r="C40" s="36">
        <f>'Data Sheet'!B69/'Data Sheet'!B$66</f>
        <v>2.9447554149428085E-2</v>
      </c>
      <c r="D40" s="36">
        <f>'Data Sheet'!C69/'Data Sheet'!C$66</f>
        <v>3.5851966075558982E-2</v>
      </c>
      <c r="E40" s="36">
        <f>'Data Sheet'!D69/'Data Sheet'!D$66</f>
        <v>1.7633857005450466E-2</v>
      </c>
      <c r="F40" s="36">
        <f>'Data Sheet'!E69/'Data Sheet'!E$66</f>
        <v>1.5708812260536397E-2</v>
      </c>
      <c r="G40" s="36">
        <f>'Data Sheet'!F69/'Data Sheet'!F$66</f>
        <v>2.6374999999999999E-2</v>
      </c>
      <c r="H40" s="36">
        <f>'Data Sheet'!G69/'Data Sheet'!G$66</f>
        <v>2.4578185199946857E-2</v>
      </c>
      <c r="I40" s="36">
        <f>'Data Sheet'!H69/'Data Sheet'!H$66</f>
        <v>2.1174205967276226E-2</v>
      </c>
      <c r="J40" s="36">
        <f>'Data Sheet'!I69/'Data Sheet'!I$66</f>
        <v>4.9162257495590826E-2</v>
      </c>
      <c r="K40" s="36">
        <f>'Data Sheet'!J69/'Data Sheet'!J$66</f>
        <v>3.5306099354984723E-2</v>
      </c>
      <c r="L40" s="36">
        <f>'Data Sheet'!K69/'Data Sheet'!K$66</f>
        <v>3.6176772867420347E-2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1458</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24.052546155406777</v>
      </c>
    </row>
    <row r="7" spans="1:11" x14ac:dyDescent="0.3">
      <c r="A7" s="5" t="s">
        <v>31</v>
      </c>
      <c r="B7">
        <v>1</v>
      </c>
    </row>
    <row r="8" spans="1:11" x14ac:dyDescent="0.3">
      <c r="A8" s="5" t="s">
        <v>43</v>
      </c>
      <c r="B8">
        <v>4929</v>
      </c>
    </row>
    <row r="9" spans="1:11" x14ac:dyDescent="0.3">
      <c r="A9" s="5" t="s">
        <v>79</v>
      </c>
      <c r="B9">
        <v>118555</v>
      </c>
    </row>
    <row r="15" spans="1:11" x14ac:dyDescent="0.3">
      <c r="A15" s="1" t="s">
        <v>37</v>
      </c>
    </row>
    <row r="16" spans="1:11" s="24" customFormat="1" x14ac:dyDescent="0.3">
      <c r="A16" s="23" t="s">
        <v>38</v>
      </c>
      <c r="B16" s="16">
        <v>42795</v>
      </c>
      <c r="C16" s="16">
        <v>43160</v>
      </c>
      <c r="D16" s="16">
        <v>43525</v>
      </c>
      <c r="E16" s="16">
        <v>43891</v>
      </c>
      <c r="F16" s="16">
        <v>44256</v>
      </c>
      <c r="G16" s="16">
        <v>44621</v>
      </c>
      <c r="H16" s="16">
        <v>44986</v>
      </c>
      <c r="I16" s="16">
        <v>45352</v>
      </c>
      <c r="J16" s="16">
        <v>45717</v>
      </c>
      <c r="K16" s="16">
        <v>46082</v>
      </c>
    </row>
    <row r="17" spans="1:11" s="9" customFormat="1" x14ac:dyDescent="0.3">
      <c r="A17" s="9" t="s">
        <v>6</v>
      </c>
      <c r="B17">
        <v>9054</v>
      </c>
      <c r="C17">
        <v>9914</v>
      </c>
      <c r="D17">
        <v>11055</v>
      </c>
      <c r="E17">
        <v>11600</v>
      </c>
      <c r="F17">
        <v>13136</v>
      </c>
      <c r="G17">
        <v>14136</v>
      </c>
      <c r="H17">
        <v>16301</v>
      </c>
      <c r="I17">
        <v>16769</v>
      </c>
      <c r="J17">
        <v>17943</v>
      </c>
      <c r="K17">
        <v>19152</v>
      </c>
    </row>
    <row r="18" spans="1:11" s="9" customFormat="1" x14ac:dyDescent="0.3">
      <c r="A18" s="5" t="s">
        <v>80</v>
      </c>
      <c r="B18">
        <v>5643</v>
      </c>
      <c r="C18">
        <v>6101</v>
      </c>
      <c r="D18">
        <v>6617</v>
      </c>
      <c r="E18">
        <v>6875</v>
      </c>
      <c r="F18">
        <v>7663</v>
      </c>
      <c r="G18">
        <v>8836</v>
      </c>
      <c r="H18">
        <v>9664</v>
      </c>
      <c r="I18">
        <v>9488</v>
      </c>
      <c r="J18">
        <v>10669</v>
      </c>
      <c r="K18">
        <v>11155</v>
      </c>
    </row>
    <row r="19" spans="1:11" s="9" customFormat="1" x14ac:dyDescent="0.3">
      <c r="A19" s="5" t="s">
        <v>81</v>
      </c>
      <c r="B19">
        <v>-54</v>
      </c>
      <c r="C19">
        <v>6</v>
      </c>
      <c r="D19">
        <v>-55</v>
      </c>
      <c r="E19">
        <v>53</v>
      </c>
      <c r="F19">
        <v>-37</v>
      </c>
      <c r="G19">
        <v>-75</v>
      </c>
      <c r="H19">
        <v>-73</v>
      </c>
      <c r="I19">
        <v>4</v>
      </c>
      <c r="J19">
        <v>-65</v>
      </c>
      <c r="K19">
        <v>-22</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633.78</v>
      </c>
      <c r="C21">
        <v>594.84</v>
      </c>
      <c r="D21">
        <v>773.85</v>
      </c>
      <c r="E21">
        <v>812</v>
      </c>
      <c r="F21">
        <v>788.16</v>
      </c>
      <c r="G21">
        <v>989.52</v>
      </c>
      <c r="H21">
        <v>1141.07</v>
      </c>
      <c r="I21">
        <v>1173.83</v>
      </c>
      <c r="J21">
        <v>1256.01</v>
      </c>
      <c r="K21">
        <v>1340.64</v>
      </c>
    </row>
    <row r="22" spans="1:11" s="9" customFormat="1" x14ac:dyDescent="0.3">
      <c r="A22" s="5" t="s">
        <v>84</v>
      </c>
      <c r="B22">
        <v>362.16</v>
      </c>
      <c r="C22">
        <v>396.56</v>
      </c>
      <c r="D22">
        <v>442.2</v>
      </c>
      <c r="E22">
        <v>464</v>
      </c>
      <c r="F22">
        <v>525.44000000000005</v>
      </c>
      <c r="G22">
        <v>565.44000000000005</v>
      </c>
      <c r="H22">
        <v>652.04</v>
      </c>
      <c r="I22">
        <v>670.76</v>
      </c>
      <c r="J22">
        <v>717.72</v>
      </c>
      <c r="K22">
        <v>766.08</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1177.02</v>
      </c>
      <c r="C24">
        <v>1288.82</v>
      </c>
      <c r="D24">
        <v>1547.7</v>
      </c>
      <c r="E24">
        <v>1508</v>
      </c>
      <c r="F24">
        <v>1576.32</v>
      </c>
      <c r="G24">
        <v>1696.32</v>
      </c>
      <c r="H24">
        <v>2119.13</v>
      </c>
      <c r="I24">
        <v>2179.9699999999998</v>
      </c>
      <c r="J24">
        <v>2153.16</v>
      </c>
      <c r="K24">
        <v>2489.7600000000002</v>
      </c>
    </row>
    <row r="25" spans="1:11" s="9" customFormat="1" x14ac:dyDescent="0.3">
      <c r="A25" s="9" t="s">
        <v>9</v>
      </c>
      <c r="B25">
        <v>151</v>
      </c>
      <c r="C25">
        <v>166</v>
      </c>
      <c r="D25">
        <v>206</v>
      </c>
      <c r="E25">
        <v>263</v>
      </c>
      <c r="F25">
        <v>313</v>
      </c>
      <c r="G25">
        <v>222</v>
      </c>
      <c r="H25">
        <v>597</v>
      </c>
      <c r="I25">
        <v>211</v>
      </c>
      <c r="J25">
        <v>202</v>
      </c>
      <c r="K25">
        <v>224</v>
      </c>
    </row>
    <row r="26" spans="1:11" s="9" customFormat="1" x14ac:dyDescent="0.3">
      <c r="A26" s="9" t="s">
        <v>10</v>
      </c>
      <c r="B26">
        <v>119</v>
      </c>
      <c r="C26">
        <v>142</v>
      </c>
      <c r="D26">
        <v>162</v>
      </c>
      <c r="E26">
        <v>185</v>
      </c>
      <c r="F26">
        <v>198</v>
      </c>
      <c r="G26">
        <v>201</v>
      </c>
      <c r="H26">
        <v>226</v>
      </c>
      <c r="I26">
        <v>300</v>
      </c>
      <c r="J26">
        <v>313</v>
      </c>
      <c r="K26">
        <v>337</v>
      </c>
    </row>
    <row r="27" spans="1:11" s="9" customFormat="1" x14ac:dyDescent="0.3">
      <c r="A27" s="9" t="s">
        <v>11</v>
      </c>
      <c r="B27">
        <v>5</v>
      </c>
      <c r="C27">
        <v>8</v>
      </c>
      <c r="D27">
        <v>9</v>
      </c>
      <c r="E27">
        <v>77</v>
      </c>
      <c r="F27">
        <v>111</v>
      </c>
      <c r="G27">
        <v>144</v>
      </c>
      <c r="H27">
        <v>169</v>
      </c>
      <c r="I27">
        <v>164</v>
      </c>
      <c r="J27">
        <v>139</v>
      </c>
      <c r="K27">
        <v>113</v>
      </c>
    </row>
    <row r="28" spans="1:11" s="9" customFormat="1" x14ac:dyDescent="0.3">
      <c r="A28" s="9" t="s">
        <v>12</v>
      </c>
      <c r="B28">
        <v>1304</v>
      </c>
      <c r="C28">
        <v>1518</v>
      </c>
      <c r="D28">
        <v>1768</v>
      </c>
      <c r="E28">
        <v>1844</v>
      </c>
      <c r="F28">
        <v>2514</v>
      </c>
      <c r="G28">
        <v>2078</v>
      </c>
      <c r="H28">
        <v>3033</v>
      </c>
      <c r="I28">
        <v>2913</v>
      </c>
      <c r="J28">
        <v>2927</v>
      </c>
      <c r="K28">
        <v>3289</v>
      </c>
    </row>
    <row r="29" spans="1:11" s="9" customFormat="1" x14ac:dyDescent="0.3">
      <c r="A29" s="9" t="s">
        <v>13</v>
      </c>
      <c r="B29">
        <v>419</v>
      </c>
      <c r="C29">
        <v>514</v>
      </c>
      <c r="D29">
        <v>613</v>
      </c>
      <c r="E29">
        <v>450</v>
      </c>
      <c r="F29">
        <v>663</v>
      </c>
      <c r="G29">
        <v>562</v>
      </c>
      <c r="H29">
        <v>717</v>
      </c>
      <c r="I29">
        <v>779</v>
      </c>
      <c r="J29">
        <v>749</v>
      </c>
      <c r="K29">
        <v>752</v>
      </c>
    </row>
    <row r="30" spans="1:11" s="9" customFormat="1" x14ac:dyDescent="0.3">
      <c r="A30" s="9" t="s">
        <v>14</v>
      </c>
      <c r="B30">
        <v>885</v>
      </c>
      <c r="C30">
        <v>1004</v>
      </c>
      <c r="D30">
        <v>1155</v>
      </c>
      <c r="E30">
        <v>1394</v>
      </c>
      <c r="F30">
        <v>1851</v>
      </c>
      <c r="G30">
        <v>1516</v>
      </c>
      <c r="H30">
        <v>2316</v>
      </c>
      <c r="I30">
        <v>2134</v>
      </c>
      <c r="J30">
        <v>2178</v>
      </c>
      <c r="K30">
        <v>2537</v>
      </c>
    </row>
    <row r="31" spans="1:11" s="9" customFormat="1" x14ac:dyDescent="0.3">
      <c r="A31" s="9" t="s">
        <v>70</v>
      </c>
      <c r="B31">
        <v>265.5</v>
      </c>
      <c r="C31">
        <v>301.2</v>
      </c>
      <c r="D31">
        <v>358.05</v>
      </c>
      <c r="E31">
        <v>836.4</v>
      </c>
      <c r="F31">
        <v>3776.04</v>
      </c>
      <c r="G31">
        <v>1349.24</v>
      </c>
      <c r="H31">
        <v>1737</v>
      </c>
      <c r="I31">
        <v>1771.22</v>
      </c>
      <c r="J31">
        <v>1807.74</v>
      </c>
      <c r="K31">
        <v>2181.8200000000002</v>
      </c>
    </row>
    <row r="32" spans="1:11" s="9" customFormat="1" x14ac:dyDescent="0.3">
      <c r="A32" s="9" t="s">
        <v>94</v>
      </c>
      <c r="B32" s="9">
        <f>SUM(B26:B28)</f>
        <v>1428</v>
      </c>
      <c r="C32" s="9">
        <f>SUM(C26:C28)</f>
        <v>1668</v>
      </c>
      <c r="D32" s="9">
        <f>SUM(D26:D28)</f>
        <v>1939</v>
      </c>
      <c r="E32" s="9">
        <f>SUM(E26:E28)</f>
        <v>2106</v>
      </c>
      <c r="F32" s="9">
        <f>SUM(F26:F28)</f>
        <v>2823</v>
      </c>
      <c r="G32" s="9">
        <f>SUM(G26:G28)</f>
        <v>2423</v>
      </c>
      <c r="H32" s="9">
        <f>SUM(H26:H28)</f>
        <v>3428</v>
      </c>
      <c r="I32" s="9">
        <f>SUM(I26:I28)</f>
        <v>3377</v>
      </c>
      <c r="J32" s="9">
        <f>SUM(J26:J28)</f>
        <v>3379</v>
      </c>
      <c r="K32" s="9">
        <f>SUM(K26:K28)</f>
        <v>3739</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4069</v>
      </c>
      <c r="C42">
        <v>4250</v>
      </c>
      <c r="D42">
        <v>4668</v>
      </c>
      <c r="E42">
        <v>4593</v>
      </c>
      <c r="F42">
        <v>4432</v>
      </c>
      <c r="G42">
        <v>4622</v>
      </c>
      <c r="H42">
        <v>4841</v>
      </c>
      <c r="I42">
        <v>4970</v>
      </c>
      <c r="J42">
        <v>4719</v>
      </c>
      <c r="K42">
        <v>5000</v>
      </c>
    </row>
    <row r="43" spans="1:11" s="9" customFormat="1" x14ac:dyDescent="0.3">
      <c r="A43" s="9" t="s">
        <v>7</v>
      </c>
      <c r="B43">
        <v>3286</v>
      </c>
      <c r="C43">
        <v>3497</v>
      </c>
      <c r="D43">
        <v>3888</v>
      </c>
      <c r="E43">
        <v>3750</v>
      </c>
      <c r="F43">
        <v>3632</v>
      </c>
      <c r="G43">
        <v>3870</v>
      </c>
      <c r="H43">
        <v>3889</v>
      </c>
      <c r="I43">
        <v>3992</v>
      </c>
      <c r="J43">
        <v>3885</v>
      </c>
      <c r="K43">
        <v>4162</v>
      </c>
    </row>
    <row r="44" spans="1:11" s="9" customFormat="1" x14ac:dyDescent="0.3">
      <c r="A44" s="9" t="s">
        <v>9</v>
      </c>
      <c r="B44">
        <v>57</v>
      </c>
      <c r="C44">
        <v>31</v>
      </c>
      <c r="D44">
        <v>46</v>
      </c>
      <c r="E44">
        <v>62</v>
      </c>
      <c r="F44">
        <v>63</v>
      </c>
      <c r="G44">
        <v>57</v>
      </c>
      <c r="H44">
        <v>52</v>
      </c>
      <c r="I44">
        <v>59</v>
      </c>
      <c r="J44">
        <v>55</v>
      </c>
      <c r="K44">
        <v>61</v>
      </c>
    </row>
    <row r="45" spans="1:11" s="9" customFormat="1" x14ac:dyDescent="0.3">
      <c r="A45" s="9" t="s">
        <v>10</v>
      </c>
      <c r="B45">
        <v>80</v>
      </c>
      <c r="C45">
        <v>74</v>
      </c>
      <c r="D45">
        <v>76</v>
      </c>
      <c r="E45">
        <v>82</v>
      </c>
      <c r="F45">
        <v>81</v>
      </c>
      <c r="G45">
        <v>82</v>
      </c>
      <c r="H45">
        <v>85</v>
      </c>
      <c r="I45">
        <v>85</v>
      </c>
      <c r="J45">
        <v>85</v>
      </c>
      <c r="K45">
        <v>80</v>
      </c>
    </row>
    <row r="46" spans="1:11" s="9" customFormat="1" x14ac:dyDescent="0.3">
      <c r="A46" s="9" t="s">
        <v>11</v>
      </c>
      <c r="B46">
        <v>26</v>
      </c>
      <c r="C46">
        <v>29</v>
      </c>
      <c r="D46">
        <v>35</v>
      </c>
      <c r="E46">
        <v>45</v>
      </c>
      <c r="F46">
        <v>31</v>
      </c>
      <c r="G46">
        <v>26</v>
      </c>
      <c r="H46">
        <v>35</v>
      </c>
      <c r="I46">
        <v>33</v>
      </c>
      <c r="J46">
        <v>19</v>
      </c>
      <c r="K46">
        <v>23</v>
      </c>
    </row>
    <row r="47" spans="1:11" s="9" customFormat="1" x14ac:dyDescent="0.3">
      <c r="A47" s="9" t="s">
        <v>12</v>
      </c>
      <c r="B47">
        <v>735</v>
      </c>
      <c r="C47">
        <v>681</v>
      </c>
      <c r="D47">
        <v>715</v>
      </c>
      <c r="E47">
        <v>778</v>
      </c>
      <c r="F47">
        <v>752</v>
      </c>
      <c r="G47">
        <v>701</v>
      </c>
      <c r="H47">
        <v>884</v>
      </c>
      <c r="I47">
        <v>919</v>
      </c>
      <c r="J47">
        <v>785</v>
      </c>
      <c r="K47">
        <v>797</v>
      </c>
    </row>
    <row r="48" spans="1:11" s="9" customFormat="1" x14ac:dyDescent="0.3">
      <c r="A48" s="9" t="s">
        <v>13</v>
      </c>
      <c r="B48">
        <v>198</v>
      </c>
      <c r="C48">
        <v>176</v>
      </c>
      <c r="D48">
        <v>183</v>
      </c>
      <c r="E48">
        <v>196</v>
      </c>
      <c r="F48">
        <v>193</v>
      </c>
      <c r="G48">
        <v>181</v>
      </c>
      <c r="H48">
        <v>229</v>
      </c>
      <c r="I48">
        <v>237</v>
      </c>
      <c r="J48">
        <v>105</v>
      </c>
      <c r="K48">
        <v>204</v>
      </c>
    </row>
    <row r="49" spans="1:11" s="9" customFormat="1" x14ac:dyDescent="0.3">
      <c r="A49" s="9" t="s">
        <v>14</v>
      </c>
      <c r="B49">
        <v>537</v>
      </c>
      <c r="C49">
        <v>505</v>
      </c>
      <c r="D49">
        <v>532</v>
      </c>
      <c r="E49">
        <v>582</v>
      </c>
      <c r="F49">
        <v>559</v>
      </c>
      <c r="G49">
        <v>520</v>
      </c>
      <c r="H49">
        <v>655</v>
      </c>
      <c r="I49">
        <v>682</v>
      </c>
      <c r="J49">
        <v>680</v>
      </c>
      <c r="K49">
        <v>593</v>
      </c>
    </row>
    <row r="50" spans="1:11" x14ac:dyDescent="0.3">
      <c r="A50" s="9" t="s">
        <v>8</v>
      </c>
      <c r="B50">
        <v>784</v>
      </c>
      <c r="C50">
        <v>753</v>
      </c>
      <c r="D50">
        <v>780</v>
      </c>
      <c r="E50">
        <v>843</v>
      </c>
      <c r="F50">
        <v>801</v>
      </c>
      <c r="G50">
        <v>752</v>
      </c>
      <c r="H50">
        <v>951</v>
      </c>
      <c r="I50">
        <v>977</v>
      </c>
      <c r="J50">
        <v>834</v>
      </c>
      <c r="K50">
        <v>838</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24</v>
      </c>
      <c r="C57">
        <v>24</v>
      </c>
      <c r="D57">
        <v>24</v>
      </c>
      <c r="E57">
        <v>24</v>
      </c>
      <c r="F57">
        <v>24</v>
      </c>
      <c r="G57">
        <v>24</v>
      </c>
      <c r="H57">
        <v>24</v>
      </c>
      <c r="I57">
        <v>24</v>
      </c>
      <c r="J57">
        <v>24</v>
      </c>
      <c r="K57">
        <v>24</v>
      </c>
    </row>
    <row r="58" spans="1:11" x14ac:dyDescent="0.3">
      <c r="A58" s="9" t="s">
        <v>25</v>
      </c>
      <c r="B58">
        <v>2672</v>
      </c>
      <c r="C58">
        <v>3382</v>
      </c>
      <c r="D58">
        <v>4229</v>
      </c>
      <c r="E58">
        <v>4379</v>
      </c>
      <c r="F58">
        <v>3524</v>
      </c>
      <c r="G58">
        <v>2534</v>
      </c>
      <c r="H58">
        <v>3510</v>
      </c>
      <c r="I58">
        <v>3917</v>
      </c>
      <c r="J58">
        <v>4332</v>
      </c>
      <c r="K58">
        <v>5082</v>
      </c>
    </row>
    <row r="59" spans="1:11" x14ac:dyDescent="0.3">
      <c r="A59" s="9" t="s">
        <v>71</v>
      </c>
      <c r="B59">
        <v>125</v>
      </c>
      <c r="C59">
        <v>201</v>
      </c>
      <c r="D59">
        <v>156</v>
      </c>
      <c r="E59">
        <v>1538</v>
      </c>
      <c r="F59">
        <v>2107</v>
      </c>
      <c r="G59">
        <v>2481</v>
      </c>
      <c r="H59">
        <v>2997</v>
      </c>
      <c r="I59">
        <v>2065</v>
      </c>
      <c r="J59">
        <v>1247</v>
      </c>
      <c r="K59">
        <v>1380</v>
      </c>
    </row>
    <row r="60" spans="1:11" x14ac:dyDescent="0.3">
      <c r="A60" s="9" t="s">
        <v>72</v>
      </c>
      <c r="B60">
        <v>1288</v>
      </c>
      <c r="C60">
        <v>1581</v>
      </c>
      <c r="D60">
        <v>1829</v>
      </c>
      <c r="E60">
        <v>1889</v>
      </c>
      <c r="F60">
        <v>2345</v>
      </c>
      <c r="G60">
        <v>2487</v>
      </c>
      <c r="H60">
        <v>2819</v>
      </c>
      <c r="I60">
        <v>3065</v>
      </c>
      <c r="J60">
        <v>3235</v>
      </c>
      <c r="K60">
        <v>3243</v>
      </c>
    </row>
    <row r="61" spans="1:11" s="1" customFormat="1" x14ac:dyDescent="0.3">
      <c r="A61" s="1" t="s">
        <v>26</v>
      </c>
      <c r="B61">
        <v>4109</v>
      </c>
      <c r="C61">
        <v>5188</v>
      </c>
      <c r="D61">
        <v>6238</v>
      </c>
      <c r="E61">
        <v>7830</v>
      </c>
      <c r="F61">
        <v>8000</v>
      </c>
      <c r="G61">
        <v>7527</v>
      </c>
      <c r="H61">
        <v>9351</v>
      </c>
      <c r="I61">
        <v>9072</v>
      </c>
      <c r="J61">
        <v>8837</v>
      </c>
      <c r="K61">
        <v>9730</v>
      </c>
    </row>
    <row r="62" spans="1:11" x14ac:dyDescent="0.3">
      <c r="A62" s="9" t="s">
        <v>27</v>
      </c>
      <c r="B62">
        <v>1160</v>
      </c>
      <c r="C62">
        <v>1346</v>
      </c>
      <c r="D62">
        <v>1688</v>
      </c>
      <c r="E62">
        <v>1878</v>
      </c>
      <c r="F62">
        <v>1793</v>
      </c>
      <c r="G62">
        <v>1753</v>
      </c>
      <c r="H62">
        <v>2655</v>
      </c>
      <c r="I62">
        <v>2771</v>
      </c>
      <c r="J62">
        <v>2904</v>
      </c>
      <c r="K62">
        <v>2850</v>
      </c>
    </row>
    <row r="63" spans="1:11" x14ac:dyDescent="0.3">
      <c r="A63" s="9" t="s">
        <v>28</v>
      </c>
      <c r="B63">
        <v>30</v>
      </c>
      <c r="C63">
        <v>203</v>
      </c>
      <c r="D63">
        <v>101</v>
      </c>
      <c r="E63">
        <v>40</v>
      </c>
      <c r="F63">
        <v>117</v>
      </c>
      <c r="G63">
        <v>536</v>
      </c>
      <c r="H63">
        <v>105</v>
      </c>
      <c r="I63">
        <v>188</v>
      </c>
      <c r="J63">
        <v>89</v>
      </c>
      <c r="K63">
        <v>39</v>
      </c>
    </row>
    <row r="64" spans="1:11" x14ac:dyDescent="0.3">
      <c r="A64" s="9" t="s">
        <v>29</v>
      </c>
      <c r="B64">
        <v>487</v>
      </c>
      <c r="C64">
        <v>1079</v>
      </c>
      <c r="D64">
        <v>1476</v>
      </c>
      <c r="E64">
        <v>2893</v>
      </c>
      <c r="F64">
        <v>2781</v>
      </c>
      <c r="G64">
        <v>1762</v>
      </c>
      <c r="H64">
        <v>3324</v>
      </c>
      <c r="I64">
        <v>2767</v>
      </c>
      <c r="J64">
        <v>2865</v>
      </c>
      <c r="K64">
        <v>3610</v>
      </c>
    </row>
    <row r="65" spans="1:11" x14ac:dyDescent="0.3">
      <c r="A65" s="9" t="s">
        <v>73</v>
      </c>
      <c r="B65">
        <v>2432</v>
      </c>
      <c r="C65">
        <v>2560</v>
      </c>
      <c r="D65">
        <v>2972</v>
      </c>
      <c r="E65">
        <v>3019</v>
      </c>
      <c r="F65">
        <v>3310</v>
      </c>
      <c r="G65">
        <v>3475</v>
      </c>
      <c r="H65">
        <v>3266</v>
      </c>
      <c r="I65">
        <v>3346</v>
      </c>
      <c r="J65">
        <v>2978</v>
      </c>
      <c r="K65">
        <v>3232</v>
      </c>
    </row>
    <row r="66" spans="1:11" s="1" customFormat="1" x14ac:dyDescent="0.3">
      <c r="A66" s="1" t="s">
        <v>26</v>
      </c>
      <c r="B66">
        <v>4109</v>
      </c>
      <c r="C66">
        <v>5188</v>
      </c>
      <c r="D66">
        <v>6238</v>
      </c>
      <c r="E66">
        <v>7830</v>
      </c>
      <c r="F66">
        <v>8000</v>
      </c>
      <c r="G66">
        <v>7527</v>
      </c>
      <c r="H66">
        <v>9351</v>
      </c>
      <c r="I66">
        <v>9072</v>
      </c>
      <c r="J66">
        <v>8837</v>
      </c>
      <c r="K66">
        <v>9730</v>
      </c>
    </row>
    <row r="67" spans="1:11" s="9" customFormat="1" x14ac:dyDescent="0.3">
      <c r="A67" s="9" t="s">
        <v>78</v>
      </c>
      <c r="B67">
        <v>179</v>
      </c>
      <c r="C67">
        <v>305</v>
      </c>
      <c r="D67">
        <v>394</v>
      </c>
      <c r="E67">
        <v>320</v>
      </c>
      <c r="F67">
        <v>257</v>
      </c>
      <c r="G67">
        <v>332</v>
      </c>
      <c r="H67">
        <v>329</v>
      </c>
      <c r="I67">
        <v>393</v>
      </c>
      <c r="J67">
        <v>449</v>
      </c>
      <c r="K67">
        <v>469</v>
      </c>
    </row>
    <row r="68" spans="1:11" x14ac:dyDescent="0.3">
      <c r="A68" s="9" t="s">
        <v>45</v>
      </c>
      <c r="B68">
        <v>661</v>
      </c>
      <c r="C68">
        <v>653</v>
      </c>
      <c r="D68">
        <v>781</v>
      </c>
      <c r="E68">
        <v>741</v>
      </c>
      <c r="F68">
        <v>1091</v>
      </c>
      <c r="G68">
        <v>1367</v>
      </c>
      <c r="H68">
        <v>1193</v>
      </c>
      <c r="I68">
        <v>1181</v>
      </c>
      <c r="J68">
        <v>1237</v>
      </c>
      <c r="K68">
        <v>1346</v>
      </c>
    </row>
    <row r="69" spans="1:11" x14ac:dyDescent="0.3">
      <c r="A69" s="5" t="s">
        <v>87</v>
      </c>
      <c r="B69">
        <v>121</v>
      </c>
      <c r="C69">
        <v>186</v>
      </c>
      <c r="D69">
        <v>110</v>
      </c>
      <c r="E69">
        <v>123</v>
      </c>
      <c r="F69">
        <v>211</v>
      </c>
      <c r="G69">
        <v>185</v>
      </c>
      <c r="H69">
        <v>198</v>
      </c>
      <c r="I69">
        <v>446</v>
      </c>
      <c r="J69">
        <v>312</v>
      </c>
      <c r="K69">
        <v>352</v>
      </c>
    </row>
    <row r="70" spans="1:11" x14ac:dyDescent="0.3">
      <c r="A70" s="5" t="s">
        <v>74</v>
      </c>
      <c r="B70">
        <v>240000000</v>
      </c>
      <c r="C70">
        <v>240000000</v>
      </c>
      <c r="D70">
        <v>240000000</v>
      </c>
      <c r="E70">
        <v>240000000</v>
      </c>
      <c r="F70">
        <v>240000000</v>
      </c>
      <c r="G70">
        <v>240000000</v>
      </c>
      <c r="H70">
        <v>240000000</v>
      </c>
      <c r="I70">
        <v>240000000</v>
      </c>
      <c r="J70">
        <v>240000000</v>
      </c>
      <c r="K70">
        <v>240000000</v>
      </c>
    </row>
    <row r="71" spans="1:11" x14ac:dyDescent="0.3">
      <c r="A71" s="5" t="s">
        <v>75</v>
      </c>
      <c r="B71"/>
    </row>
    <row r="72" spans="1:11" x14ac:dyDescent="0.3">
      <c r="A72" s="5" t="s">
        <v>88</v>
      </c>
      <c r="B72">
        <v>1</v>
      </c>
      <c r="C72">
        <v>1</v>
      </c>
      <c r="D72">
        <v>1</v>
      </c>
      <c r="E72">
        <v>1</v>
      </c>
      <c r="F72">
        <v>1</v>
      </c>
      <c r="G72">
        <v>1</v>
      </c>
      <c r="H72">
        <v>1</v>
      </c>
      <c r="I72">
        <v>1</v>
      </c>
      <c r="J72">
        <v>1</v>
      </c>
      <c r="K72">
        <v>1</v>
      </c>
    </row>
    <row r="73" spans="1:11" x14ac:dyDescent="0.3">
      <c r="A73" s="5" t="s">
        <v>8620</v>
      </c>
      <c r="B73" s="5">
        <v>0</v>
      </c>
      <c r="C73" s="5">
        <v>0</v>
      </c>
      <c r="D73" s="5">
        <v>0</v>
      </c>
      <c r="E73" s="5">
        <v>0</v>
      </c>
      <c r="F73" s="5">
        <v>0</v>
      </c>
      <c r="G73" s="5">
        <v>0</v>
      </c>
      <c r="H73" s="5">
        <v>0</v>
      </c>
      <c r="I73" s="5">
        <v>0</v>
      </c>
      <c r="J73" s="5">
        <v>0</v>
      </c>
      <c r="K73" s="5">
        <v>29</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1471</v>
      </c>
      <c r="C75" s="5">
        <f>C65-SUM(C67:C69)</f>
        <v>1416</v>
      </c>
      <c r="D75" s="5">
        <f>D65-SUM(D67:D69)</f>
        <v>1687</v>
      </c>
      <c r="E75" s="5">
        <f>E65-SUM(E67:E69)</f>
        <v>1835</v>
      </c>
      <c r="F75" s="5">
        <f>F65-SUM(F67:F69)</f>
        <v>1751</v>
      </c>
      <c r="G75" s="5">
        <f>G65-SUM(G67:G69)</f>
        <v>1591</v>
      </c>
      <c r="H75" s="5">
        <f>H65-SUM(H67:H69)</f>
        <v>1546</v>
      </c>
      <c r="I75" s="5">
        <f>I65-SUM(I67:I69)</f>
        <v>1326</v>
      </c>
      <c r="J75" s="5">
        <f>J65-SUM(J67:J69)</f>
        <v>980</v>
      </c>
      <c r="K75" s="5">
        <f>K65-SUM(K67:K69)</f>
        <v>1065</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441</v>
      </c>
      <c r="C82">
        <v>1249</v>
      </c>
      <c r="D82">
        <v>1156</v>
      </c>
      <c r="E82">
        <v>1485</v>
      </c>
      <c r="F82">
        <v>1851</v>
      </c>
      <c r="G82">
        <v>1300</v>
      </c>
      <c r="H82">
        <v>2526</v>
      </c>
      <c r="I82">
        <v>2573</v>
      </c>
      <c r="J82">
        <v>2491</v>
      </c>
      <c r="K82">
        <v>2612</v>
      </c>
    </row>
    <row r="83" spans="1:11" s="9" customFormat="1" x14ac:dyDescent="0.3">
      <c r="A83" s="9" t="s">
        <v>33</v>
      </c>
      <c r="B83">
        <v>-150</v>
      </c>
      <c r="C83">
        <v>-957</v>
      </c>
      <c r="D83">
        <v>-852</v>
      </c>
      <c r="E83">
        <v>-1526</v>
      </c>
      <c r="F83">
        <v>459</v>
      </c>
      <c r="G83">
        <v>914</v>
      </c>
      <c r="H83">
        <v>-1507</v>
      </c>
      <c r="I83">
        <v>485</v>
      </c>
      <c r="J83">
        <v>69</v>
      </c>
      <c r="K83">
        <v>-741</v>
      </c>
    </row>
    <row r="84" spans="1:11" s="9" customFormat="1" x14ac:dyDescent="0.3">
      <c r="A84" s="9" t="s">
        <v>34</v>
      </c>
      <c r="B84">
        <v>-295</v>
      </c>
      <c r="C84">
        <v>-232</v>
      </c>
      <c r="D84">
        <v>-353</v>
      </c>
      <c r="E84">
        <v>58</v>
      </c>
      <c r="F84">
        <v>-2244</v>
      </c>
      <c r="G84">
        <v>-2246</v>
      </c>
      <c r="H84">
        <v>-1028</v>
      </c>
      <c r="I84">
        <v>-2839</v>
      </c>
      <c r="J84">
        <v>-2754</v>
      </c>
      <c r="K84">
        <v>-1783</v>
      </c>
    </row>
    <row r="85" spans="1:11" s="1" customFormat="1" x14ac:dyDescent="0.3">
      <c r="A85" s="9" t="s">
        <v>35</v>
      </c>
      <c r="B85">
        <v>-4</v>
      </c>
      <c r="C85">
        <v>60</v>
      </c>
      <c r="D85">
        <v>-49</v>
      </c>
      <c r="E85">
        <v>17</v>
      </c>
      <c r="F85">
        <v>66</v>
      </c>
      <c r="G85">
        <v>-32</v>
      </c>
      <c r="H85">
        <v>-9</v>
      </c>
      <c r="I85">
        <v>219</v>
      </c>
      <c r="J85">
        <v>-194</v>
      </c>
      <c r="K85">
        <v>88</v>
      </c>
    </row>
    <row r="86" spans="1:11" x14ac:dyDescent="0.3">
      <c r="A86" s="9"/>
    </row>
    <row r="87" spans="1:11" x14ac:dyDescent="0.3">
      <c r="A87" s="9"/>
    </row>
    <row r="88" spans="1:11" x14ac:dyDescent="0.3">
      <c r="A88" s="9"/>
    </row>
    <row r="89" spans="1:11" x14ac:dyDescent="0.3">
      <c r="A89" s="9"/>
    </row>
    <row r="90" spans="1:11" s="1" customFormat="1" x14ac:dyDescent="0.3">
      <c r="A90" s="1" t="s">
        <v>77</v>
      </c>
      <c r="B90">
        <v>1548.38</v>
      </c>
      <c r="C90">
        <v>2471.9299999999998</v>
      </c>
      <c r="D90">
        <v>3077.25</v>
      </c>
      <c r="E90">
        <v>2970.2</v>
      </c>
      <c r="F90">
        <v>3363.75</v>
      </c>
      <c r="G90">
        <v>3371.35</v>
      </c>
      <c r="H90">
        <v>4411.95</v>
      </c>
      <c r="I90">
        <v>4922.55</v>
      </c>
      <c r="J90">
        <v>4595.45</v>
      </c>
      <c r="K90">
        <v>6002.5</v>
      </c>
    </row>
    <row r="92" spans="1:11" s="1" customFormat="1" x14ac:dyDescent="0.3">
      <c r="A92" s="1" t="s">
        <v>76</v>
      </c>
    </row>
    <row r="93" spans="1:11" x14ac:dyDescent="0.3">
      <c r="A93" s="5" t="s">
        <v>89</v>
      </c>
      <c r="B93" s="31">
        <v>24</v>
      </c>
      <c r="C93" s="31">
        <v>24</v>
      </c>
      <c r="D93" s="31">
        <v>24</v>
      </c>
      <c r="E93" s="31">
        <v>24</v>
      </c>
      <c r="F93" s="31">
        <v>24</v>
      </c>
      <c r="G93" s="31">
        <v>24</v>
      </c>
      <c r="H93" s="31">
        <v>24</v>
      </c>
      <c r="I93" s="31">
        <v>24</v>
      </c>
      <c r="J93" s="31">
        <v>24</v>
      </c>
      <c r="K93" s="31">
        <v>24</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8619</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584</v>
      </c>
      <c r="D6" s="48">
        <v>959</v>
      </c>
      <c r="E6" s="48">
        <v>441</v>
      </c>
      <c r="F6" s="48">
        <v>1249</v>
      </c>
      <c r="G6" s="48">
        <v>1156</v>
      </c>
      <c r="H6" s="48">
        <v>1485</v>
      </c>
      <c r="I6" s="48">
        <v>1851</v>
      </c>
      <c r="J6" s="48">
        <v>1300</v>
      </c>
      <c r="K6" s="48">
        <v>2526</v>
      </c>
      <c r="L6" s="48">
        <v>2573</v>
      </c>
      <c r="M6" s="48">
        <v>2491</v>
      </c>
      <c r="N6" s="48">
        <v>2612</v>
      </c>
    </row>
    <row r="7" spans="2:28" x14ac:dyDescent="0.3">
      <c r="B7" t="s">
        <v>130</v>
      </c>
      <c r="C7" s="48">
        <v>861</v>
      </c>
      <c r="D7" s="48">
        <v>1230</v>
      </c>
      <c r="E7" s="48">
        <v>1289</v>
      </c>
      <c r="F7" s="48">
        <v>1517</v>
      </c>
      <c r="G7" s="48">
        <v>1754</v>
      </c>
      <c r="H7" s="48">
        <v>1860</v>
      </c>
      <c r="I7" s="48">
        <v>2540</v>
      </c>
      <c r="J7" s="48">
        <v>2214</v>
      </c>
      <c r="K7" s="48">
        <v>2846</v>
      </c>
      <c r="L7" s="48">
        <v>3177</v>
      </c>
      <c r="M7" s="48">
        <v>3174</v>
      </c>
      <c r="N7" s="48">
        <v>3555</v>
      </c>
    </row>
    <row r="8" spans="2:28" x14ac:dyDescent="0.3">
      <c r="B8" t="s">
        <v>78</v>
      </c>
      <c r="C8">
        <v>-25</v>
      </c>
      <c r="D8">
        <v>-32</v>
      </c>
      <c r="E8">
        <v>-9</v>
      </c>
      <c r="F8">
        <v>-125</v>
      </c>
      <c r="G8">
        <v>-87</v>
      </c>
      <c r="H8" s="48">
        <v>79</v>
      </c>
      <c r="I8">
        <v>61</v>
      </c>
      <c r="J8">
        <v>-72</v>
      </c>
      <c r="K8">
        <v>1</v>
      </c>
      <c r="L8">
        <v>-64</v>
      </c>
      <c r="M8" s="48">
        <v>-53</v>
      </c>
      <c r="N8">
        <v>-13</v>
      </c>
    </row>
    <row r="9" spans="2:28" x14ac:dyDescent="0.3">
      <c r="B9" t="s">
        <v>45</v>
      </c>
      <c r="C9">
        <v>17</v>
      </c>
      <c r="D9">
        <v>-35</v>
      </c>
      <c r="E9">
        <v>-221</v>
      </c>
      <c r="F9">
        <v>9</v>
      </c>
      <c r="G9">
        <v>-127</v>
      </c>
      <c r="H9">
        <v>43</v>
      </c>
      <c r="I9" s="48">
        <v>-351</v>
      </c>
      <c r="J9">
        <v>-275</v>
      </c>
      <c r="K9" s="48">
        <v>177</v>
      </c>
      <c r="L9" s="48">
        <v>13</v>
      </c>
      <c r="M9" s="48">
        <v>-54</v>
      </c>
      <c r="N9" s="48">
        <v>-105</v>
      </c>
    </row>
    <row r="10" spans="2:28" x14ac:dyDescent="0.3">
      <c r="B10" t="s">
        <v>131</v>
      </c>
      <c r="C10">
        <v>0</v>
      </c>
      <c r="D10">
        <v>0</v>
      </c>
      <c r="E10">
        <v>0</v>
      </c>
      <c r="F10" s="48">
        <v>0</v>
      </c>
      <c r="G10">
        <v>0</v>
      </c>
      <c r="H10">
        <v>0</v>
      </c>
      <c r="I10" s="48">
        <v>0</v>
      </c>
      <c r="J10" s="48">
        <v>64</v>
      </c>
      <c r="K10" s="48">
        <v>292</v>
      </c>
      <c r="L10">
        <v>237</v>
      </c>
      <c r="M10" s="48">
        <v>202</v>
      </c>
      <c r="N10">
        <v>25</v>
      </c>
    </row>
    <row r="11" spans="2:28" x14ac:dyDescent="0.3">
      <c r="B11" t="s">
        <v>132</v>
      </c>
      <c r="C11">
        <v>25</v>
      </c>
      <c r="D11">
        <v>133</v>
      </c>
      <c r="E11">
        <v>-451</v>
      </c>
      <c r="F11" s="48">
        <v>228</v>
      </c>
      <c r="G11">
        <v>-2</v>
      </c>
      <c r="H11">
        <v>127</v>
      </c>
      <c r="I11">
        <v>-56</v>
      </c>
      <c r="J11">
        <v>-327</v>
      </c>
      <c r="K11">
        <v>406</v>
      </c>
      <c r="L11" s="48">
        <v>161</v>
      </c>
      <c r="M11" s="48">
        <v>6</v>
      </c>
      <c r="N11" s="48">
        <v>-121</v>
      </c>
    </row>
    <row r="12" spans="2:28" x14ac:dyDescent="0.3">
      <c r="B12" t="s">
        <v>133</v>
      </c>
      <c r="C12" s="48">
        <v>-301</v>
      </c>
      <c r="D12" s="48">
        <v>-403</v>
      </c>
      <c r="E12" s="48">
        <v>-397</v>
      </c>
      <c r="F12" s="48">
        <v>-496</v>
      </c>
      <c r="G12" s="48">
        <v>-596</v>
      </c>
      <c r="H12" s="48">
        <v>-503</v>
      </c>
      <c r="I12" s="48">
        <v>-633</v>
      </c>
      <c r="J12" s="48">
        <v>-587</v>
      </c>
      <c r="K12" s="48">
        <v>-726</v>
      </c>
      <c r="L12" s="48">
        <v>-765</v>
      </c>
      <c r="M12" s="48">
        <v>-689</v>
      </c>
      <c r="N12" s="48">
        <v>-822</v>
      </c>
    </row>
    <row r="13" spans="2:28" x14ac:dyDescent="0.3">
      <c r="B13" t="s">
        <v>134</v>
      </c>
      <c r="C13" s="48">
        <v>-450</v>
      </c>
      <c r="D13" s="48">
        <v>-705</v>
      </c>
      <c r="E13" s="48">
        <v>-150</v>
      </c>
      <c r="F13" s="48">
        <v>-957</v>
      </c>
      <c r="G13" s="48">
        <v>-852</v>
      </c>
      <c r="H13" s="48">
        <v>-1526</v>
      </c>
      <c r="I13" s="48">
        <v>459</v>
      </c>
      <c r="J13" s="48">
        <v>914</v>
      </c>
      <c r="K13" s="48">
        <v>-1507</v>
      </c>
      <c r="L13" s="48">
        <v>485</v>
      </c>
      <c r="M13">
        <v>69</v>
      </c>
      <c r="N13" s="48">
        <v>-741</v>
      </c>
    </row>
    <row r="14" spans="2:28" x14ac:dyDescent="0.3">
      <c r="B14" t="s">
        <v>135</v>
      </c>
      <c r="C14" s="48">
        <v>-118</v>
      </c>
      <c r="D14" s="48">
        <v>-251</v>
      </c>
      <c r="E14" s="48">
        <v>-360</v>
      </c>
      <c r="F14" s="48">
        <v>-423</v>
      </c>
      <c r="G14" s="48">
        <v>-401</v>
      </c>
      <c r="H14" s="48">
        <v>-244</v>
      </c>
      <c r="I14" s="48">
        <v>-242</v>
      </c>
      <c r="J14" s="48">
        <v>-550</v>
      </c>
      <c r="K14" s="48">
        <v>-711</v>
      </c>
      <c r="L14" s="48">
        <v>-553</v>
      </c>
      <c r="M14" s="48">
        <v>-375</v>
      </c>
      <c r="N14" s="48">
        <v>-206</v>
      </c>
    </row>
    <row r="15" spans="2:28" x14ac:dyDescent="0.3">
      <c r="B15" t="s">
        <v>136</v>
      </c>
      <c r="C15">
        <v>164</v>
      </c>
      <c r="D15">
        <v>1</v>
      </c>
      <c r="E15">
        <v>8</v>
      </c>
      <c r="F15">
        <v>2</v>
      </c>
      <c r="G15">
        <v>2</v>
      </c>
      <c r="H15">
        <v>1</v>
      </c>
      <c r="I15">
        <v>2</v>
      </c>
      <c r="J15">
        <v>3</v>
      </c>
      <c r="K15">
        <v>78</v>
      </c>
      <c r="L15">
        <v>65</v>
      </c>
      <c r="M15">
        <v>5</v>
      </c>
      <c r="N15">
        <v>2</v>
      </c>
    </row>
    <row r="16" spans="2:28" x14ac:dyDescent="0.3">
      <c r="B16" t="s">
        <v>137</v>
      </c>
      <c r="C16" s="48">
        <v>-277</v>
      </c>
      <c r="D16" s="48">
        <v>-211</v>
      </c>
      <c r="E16" s="48">
        <v>0</v>
      </c>
      <c r="F16" s="48">
        <v>-537</v>
      </c>
      <c r="G16" s="48">
        <v>-334</v>
      </c>
      <c r="H16" s="48">
        <v>-1327</v>
      </c>
      <c r="I16" s="48">
        <v>0</v>
      </c>
      <c r="J16" s="48">
        <v>-21</v>
      </c>
      <c r="K16" s="48">
        <v>-1468</v>
      </c>
      <c r="L16" s="48">
        <v>-191</v>
      </c>
      <c r="M16" s="48">
        <v>-945</v>
      </c>
      <c r="N16" s="48">
        <v>-976</v>
      </c>
    </row>
    <row r="17" spans="2:14" x14ac:dyDescent="0.3">
      <c r="B17" t="s">
        <v>138</v>
      </c>
      <c r="C17" s="48">
        <v>0</v>
      </c>
      <c r="D17" s="48">
        <v>0</v>
      </c>
      <c r="E17" s="48">
        <v>359</v>
      </c>
      <c r="F17" s="48">
        <v>0</v>
      </c>
      <c r="G17" s="48">
        <v>0</v>
      </c>
      <c r="H17" s="48">
        <v>0</v>
      </c>
      <c r="I17" s="48">
        <v>179</v>
      </c>
      <c r="J17" s="48">
        <v>1069</v>
      </c>
      <c r="K17" s="48">
        <v>443</v>
      </c>
      <c r="L17" s="48">
        <v>771</v>
      </c>
      <c r="M17" s="48">
        <v>919</v>
      </c>
      <c r="N17" s="48">
        <v>254</v>
      </c>
    </row>
    <row r="18" spans="2:14" x14ac:dyDescent="0.3">
      <c r="B18" t="s">
        <v>139</v>
      </c>
      <c r="C18">
        <v>30</v>
      </c>
      <c r="D18">
        <v>66</v>
      </c>
      <c r="E18">
        <v>75</v>
      </c>
      <c r="F18">
        <v>109</v>
      </c>
      <c r="G18" s="48">
        <v>117</v>
      </c>
      <c r="H18" s="48">
        <v>128</v>
      </c>
      <c r="I18" s="48">
        <v>233</v>
      </c>
      <c r="J18" s="48">
        <v>207</v>
      </c>
      <c r="K18" s="48">
        <v>175</v>
      </c>
      <c r="L18" s="48">
        <v>170</v>
      </c>
      <c r="M18" s="48">
        <v>151</v>
      </c>
      <c r="N18">
        <v>143</v>
      </c>
    </row>
    <row r="19" spans="2:14" x14ac:dyDescent="0.3">
      <c r="B19" t="s">
        <v>140</v>
      </c>
      <c r="C19">
        <v>0</v>
      </c>
      <c r="D19">
        <v>0</v>
      </c>
      <c r="E19">
        <v>0</v>
      </c>
      <c r="F19">
        <v>0</v>
      </c>
      <c r="G19">
        <v>0</v>
      </c>
      <c r="H19">
        <v>0</v>
      </c>
      <c r="I19">
        <v>0</v>
      </c>
      <c r="J19">
        <v>0</v>
      </c>
      <c r="K19">
        <v>0</v>
      </c>
      <c r="L19">
        <v>0</v>
      </c>
      <c r="M19">
        <v>0</v>
      </c>
      <c r="N19">
        <v>0</v>
      </c>
    </row>
    <row r="20" spans="2:14" x14ac:dyDescent="0.3">
      <c r="B20" t="s">
        <v>8604</v>
      </c>
      <c r="C20">
        <v>0</v>
      </c>
      <c r="D20">
        <v>0</v>
      </c>
      <c r="E20">
        <v>0</v>
      </c>
      <c r="F20">
        <v>0</v>
      </c>
      <c r="G20">
        <v>0</v>
      </c>
      <c r="H20">
        <v>0</v>
      </c>
      <c r="I20">
        <v>0</v>
      </c>
      <c r="J20">
        <v>0</v>
      </c>
      <c r="K20">
        <v>0</v>
      </c>
      <c r="L20">
        <v>0</v>
      </c>
      <c r="M20">
        <v>0</v>
      </c>
      <c r="N20">
        <v>0</v>
      </c>
    </row>
    <row r="21" spans="2:14" x14ac:dyDescent="0.3">
      <c r="B21" t="s">
        <v>8605</v>
      </c>
      <c r="C21">
        <v>0</v>
      </c>
      <c r="D21">
        <v>0</v>
      </c>
      <c r="E21">
        <v>-14</v>
      </c>
      <c r="F21">
        <v>0</v>
      </c>
      <c r="G21">
        <v>0</v>
      </c>
      <c r="H21">
        <v>0</v>
      </c>
      <c r="I21">
        <v>0</v>
      </c>
      <c r="J21">
        <v>0</v>
      </c>
      <c r="K21">
        <v>-215</v>
      </c>
      <c r="L21">
        <v>0</v>
      </c>
      <c r="M21">
        <v>0</v>
      </c>
      <c r="N21">
        <v>0</v>
      </c>
    </row>
    <row r="22" spans="2:14" x14ac:dyDescent="0.3">
      <c r="B22" t="s">
        <v>141</v>
      </c>
      <c r="C22">
        <v>0</v>
      </c>
      <c r="D22">
        <v>0</v>
      </c>
      <c r="E22">
        <v>0</v>
      </c>
      <c r="F22">
        <v>0</v>
      </c>
      <c r="G22">
        <v>0</v>
      </c>
      <c r="H22">
        <v>0</v>
      </c>
      <c r="I22">
        <v>0</v>
      </c>
      <c r="J22">
        <v>0</v>
      </c>
      <c r="K22">
        <v>262</v>
      </c>
      <c r="L22">
        <v>0</v>
      </c>
      <c r="M22">
        <v>0</v>
      </c>
      <c r="N22">
        <v>0</v>
      </c>
    </row>
    <row r="23" spans="2:14" x14ac:dyDescent="0.3">
      <c r="B23" t="s">
        <v>142</v>
      </c>
      <c r="C23" s="48">
        <v>0</v>
      </c>
      <c r="D23" s="48">
        <v>0</v>
      </c>
      <c r="E23" s="48">
        <v>0</v>
      </c>
      <c r="F23" s="48">
        <v>0</v>
      </c>
      <c r="G23" s="48">
        <v>3</v>
      </c>
      <c r="H23" s="48">
        <v>6</v>
      </c>
      <c r="I23" s="48">
        <v>-2</v>
      </c>
      <c r="J23" s="48">
        <v>5</v>
      </c>
      <c r="K23">
        <v>-159</v>
      </c>
      <c r="L23" s="48">
        <v>-27</v>
      </c>
      <c r="M23">
        <v>-71</v>
      </c>
      <c r="N23" s="48">
        <v>55</v>
      </c>
    </row>
    <row r="24" spans="2:14" x14ac:dyDescent="0.3">
      <c r="B24" t="s">
        <v>143</v>
      </c>
      <c r="C24" s="48">
        <v>-181</v>
      </c>
      <c r="D24" s="48">
        <v>-246</v>
      </c>
      <c r="E24" s="48">
        <v>-295</v>
      </c>
      <c r="F24" s="48">
        <v>-232</v>
      </c>
      <c r="G24" s="48">
        <v>-353</v>
      </c>
      <c r="H24" s="48">
        <v>58</v>
      </c>
      <c r="I24" s="48">
        <v>-2244</v>
      </c>
      <c r="J24" s="48">
        <v>-2246</v>
      </c>
      <c r="K24" s="48">
        <v>-1028</v>
      </c>
      <c r="L24" s="48">
        <v>-2839</v>
      </c>
      <c r="M24" s="48">
        <v>-2754</v>
      </c>
      <c r="N24" s="48">
        <v>-1783</v>
      </c>
    </row>
    <row r="25" spans="2:14" x14ac:dyDescent="0.3">
      <c r="B25" t="s">
        <v>144</v>
      </c>
      <c r="C25">
        <v>0</v>
      </c>
      <c r="D25">
        <v>4</v>
      </c>
      <c r="E25" s="48">
        <v>6</v>
      </c>
      <c r="F25">
        <v>15</v>
      </c>
      <c r="G25">
        <v>30</v>
      </c>
      <c r="H25">
        <v>24</v>
      </c>
      <c r="I25">
        <v>103</v>
      </c>
      <c r="J25">
        <v>0</v>
      </c>
      <c r="K25" s="48">
        <v>0</v>
      </c>
      <c r="L25" s="48">
        <v>0</v>
      </c>
      <c r="M25">
        <v>0</v>
      </c>
      <c r="N25">
        <v>0</v>
      </c>
    </row>
    <row r="26" spans="2:14" x14ac:dyDescent="0.3">
      <c r="B26" t="s">
        <v>145</v>
      </c>
      <c r="C26">
        <v>17</v>
      </c>
      <c r="D26">
        <v>0</v>
      </c>
      <c r="E26">
        <v>0</v>
      </c>
      <c r="F26">
        <v>0</v>
      </c>
      <c r="G26">
        <v>0</v>
      </c>
      <c r="H26">
        <v>641</v>
      </c>
      <c r="I26">
        <v>568</v>
      </c>
      <c r="J26">
        <v>645</v>
      </c>
      <c r="K26">
        <v>1312</v>
      </c>
      <c r="L26">
        <v>201</v>
      </c>
      <c r="M26">
        <v>26</v>
      </c>
      <c r="N26" s="48">
        <v>324</v>
      </c>
    </row>
    <row r="27" spans="2:14" x14ac:dyDescent="0.3">
      <c r="B27" t="s">
        <v>146</v>
      </c>
      <c r="C27">
        <v>-27</v>
      </c>
      <c r="D27">
        <v>0</v>
      </c>
      <c r="E27">
        <v>0</v>
      </c>
      <c r="F27">
        <v>0</v>
      </c>
      <c r="G27">
        <v>-42</v>
      </c>
      <c r="H27">
        <v>0</v>
      </c>
      <c r="I27">
        <v>0</v>
      </c>
      <c r="J27">
        <v>-984</v>
      </c>
      <c r="K27">
        <v>-70</v>
      </c>
      <c r="L27">
        <v>-1141</v>
      </c>
      <c r="M27">
        <v>-149</v>
      </c>
      <c r="N27">
        <v>-192</v>
      </c>
    </row>
    <row r="28" spans="2:14" x14ac:dyDescent="0.3">
      <c r="B28" t="s">
        <v>147</v>
      </c>
      <c r="C28">
        <v>-3</v>
      </c>
      <c r="D28">
        <v>-5</v>
      </c>
      <c r="E28">
        <v>-6</v>
      </c>
      <c r="F28">
        <v>-7</v>
      </c>
      <c r="G28">
        <v>-9</v>
      </c>
      <c r="H28">
        <v>-36</v>
      </c>
      <c r="I28">
        <v>-102</v>
      </c>
      <c r="J28">
        <v>-119</v>
      </c>
      <c r="K28">
        <v>-196</v>
      </c>
      <c r="L28">
        <v>-165</v>
      </c>
      <c r="M28">
        <v>-172</v>
      </c>
      <c r="N28">
        <v>-108</v>
      </c>
    </row>
    <row r="29" spans="2:14" x14ac:dyDescent="0.3">
      <c r="B29" t="s">
        <v>148</v>
      </c>
      <c r="C29" s="48">
        <v>-168</v>
      </c>
      <c r="D29" s="48">
        <v>-231</v>
      </c>
      <c r="E29" s="48">
        <v>-288</v>
      </c>
      <c r="F29" s="48">
        <v>-317</v>
      </c>
      <c r="G29" s="48">
        <v>-354</v>
      </c>
      <c r="H29" s="48">
        <v>-433</v>
      </c>
      <c r="I29" s="48">
        <v>-2824</v>
      </c>
      <c r="J29" s="48">
        <v>-2485</v>
      </c>
      <c r="K29" s="48">
        <v>-1359</v>
      </c>
      <c r="L29" s="48">
        <v>-1732</v>
      </c>
      <c r="M29" s="48">
        <v>-1768</v>
      </c>
      <c r="N29" s="48">
        <v>-1804</v>
      </c>
    </row>
    <row r="30" spans="2:14" x14ac:dyDescent="0.3">
      <c r="B30" t="s">
        <v>149</v>
      </c>
      <c r="C30">
        <v>0</v>
      </c>
      <c r="D30">
        <v>0</v>
      </c>
      <c r="E30">
        <v>0</v>
      </c>
      <c r="F30">
        <v>0</v>
      </c>
      <c r="G30">
        <v>0</v>
      </c>
      <c r="H30">
        <v>-2</v>
      </c>
      <c r="I30">
        <v>-3</v>
      </c>
      <c r="J30">
        <v>-2</v>
      </c>
      <c r="K30">
        <v>-3</v>
      </c>
      <c r="L30">
        <v>-2</v>
      </c>
      <c r="M30">
        <v>-4</v>
      </c>
      <c r="N30">
        <v>-3</v>
      </c>
    </row>
    <row r="31" spans="2:14" x14ac:dyDescent="0.3">
      <c r="B31" t="s">
        <v>150</v>
      </c>
      <c r="C31">
        <v>0</v>
      </c>
      <c r="D31">
        <v>-15</v>
      </c>
      <c r="E31" s="48">
        <v>-7</v>
      </c>
      <c r="F31" s="48">
        <v>78</v>
      </c>
      <c r="G31" s="48">
        <v>23</v>
      </c>
      <c r="H31" s="48">
        <v>12</v>
      </c>
      <c r="I31">
        <v>14</v>
      </c>
      <c r="J31">
        <v>0</v>
      </c>
      <c r="K31">
        <v>9</v>
      </c>
      <c r="L31">
        <v>0</v>
      </c>
      <c r="M31">
        <v>2</v>
      </c>
      <c r="N31">
        <v>0</v>
      </c>
    </row>
    <row r="32" spans="2:14" x14ac:dyDescent="0.3">
      <c r="B32" t="s">
        <v>35</v>
      </c>
      <c r="C32">
        <v>-47</v>
      </c>
      <c r="D32">
        <v>8</v>
      </c>
      <c r="E32">
        <v>-4</v>
      </c>
      <c r="F32">
        <v>60</v>
      </c>
      <c r="G32">
        <v>-49</v>
      </c>
      <c r="H32">
        <v>17</v>
      </c>
      <c r="I32">
        <v>66</v>
      </c>
      <c r="J32">
        <v>-32</v>
      </c>
      <c r="K32">
        <v>-9</v>
      </c>
      <c r="L32">
        <v>219</v>
      </c>
      <c r="M32">
        <v>-194</v>
      </c>
      <c r="N32">
        <v>88</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5" x14ac:dyDescent="0.3">
      <c r="B2" s="161" t="str">
        <f>"Historical Financial Statement - "&amp;'Data Sheet'!$B$1</f>
        <v>Historical Financial Statement - BRITANNIA INDUSTRIES LTD</v>
      </c>
      <c r="C2" s="161"/>
      <c r="D2" s="161"/>
      <c r="E2" s="161"/>
      <c r="F2" s="161"/>
      <c r="G2" s="161"/>
      <c r="H2" s="161"/>
      <c r="I2" s="161"/>
      <c r="J2" s="161"/>
      <c r="K2" s="161"/>
      <c r="L2" s="161"/>
      <c r="M2" s="161"/>
      <c r="N2" s="42"/>
    </row>
    <row r="3" spans="1:15"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5" x14ac:dyDescent="0.3">
      <c r="A5" t="s">
        <v>121</v>
      </c>
      <c r="B5" s="44" t="s">
        <v>119</v>
      </c>
      <c r="C5" s="44"/>
      <c r="D5" s="44"/>
      <c r="E5" s="44"/>
      <c r="F5" s="44"/>
      <c r="G5" s="44"/>
      <c r="H5" s="44"/>
      <c r="I5" s="44"/>
      <c r="J5" s="44"/>
      <c r="K5" s="44"/>
      <c r="L5" s="44"/>
      <c r="M5" s="44"/>
    </row>
    <row r="7" spans="1:15" x14ac:dyDescent="0.3">
      <c r="B7" t="s">
        <v>6</v>
      </c>
      <c r="C7" s="106">
        <f>'Data Sheet'!B17</f>
        <v>9054</v>
      </c>
      <c r="D7" s="106">
        <f>'Data Sheet'!C17</f>
        <v>9914</v>
      </c>
      <c r="E7" s="106">
        <f>'Data Sheet'!D17</f>
        <v>11055</v>
      </c>
      <c r="F7" s="106">
        <f>'Data Sheet'!E17</f>
        <v>11600</v>
      </c>
      <c r="G7" s="106">
        <f>'Data Sheet'!F17</f>
        <v>13136</v>
      </c>
      <c r="H7" s="106">
        <f>'Data Sheet'!G17</f>
        <v>14136</v>
      </c>
      <c r="I7" s="106">
        <f>'Data Sheet'!H17</f>
        <v>16301</v>
      </c>
      <c r="J7" s="106">
        <f>'Data Sheet'!I17</f>
        <v>16769</v>
      </c>
      <c r="K7" s="106">
        <f>'Data Sheet'!J17</f>
        <v>17943</v>
      </c>
      <c r="L7" s="106">
        <f>'Data Sheet'!K17</f>
        <v>19152</v>
      </c>
    </row>
    <row r="8" spans="1:15" x14ac:dyDescent="0.3">
      <c r="B8" t="s">
        <v>22</v>
      </c>
      <c r="C8" s="110" t="s">
        <v>120</v>
      </c>
      <c r="D8" s="111">
        <f>D7/C7-1</f>
        <v>9.4985641705323642E-2</v>
      </c>
      <c r="E8" s="111">
        <f t="shared" ref="E8:L8" si="0">E7/D7-1</f>
        <v>0.11508977203954007</v>
      </c>
      <c r="F8" s="111">
        <f t="shared" si="0"/>
        <v>4.9298959746721049E-2</v>
      </c>
      <c r="G8" s="111">
        <f t="shared" si="0"/>
        <v>0.13241379310344836</v>
      </c>
      <c r="H8" s="111">
        <f t="shared" si="0"/>
        <v>7.6126674786845205E-2</v>
      </c>
      <c r="I8" s="111">
        <f t="shared" si="0"/>
        <v>0.15315506508205989</v>
      </c>
      <c r="J8" s="111">
        <f t="shared" si="0"/>
        <v>2.8709895098460114E-2</v>
      </c>
      <c r="K8" s="111">
        <f t="shared" si="0"/>
        <v>7.0010137754189294E-2</v>
      </c>
      <c r="L8" s="111">
        <f t="shared" si="0"/>
        <v>6.7380036783146524E-2</v>
      </c>
    </row>
    <row r="10" spans="1:15" x14ac:dyDescent="0.3">
      <c r="B10" t="s">
        <v>99</v>
      </c>
      <c r="C10" s="106">
        <f>SUM('Data Sheet'!B18,'Data Sheet'!B20:B22)-'Data Sheet'!B19</f>
        <v>6692.94</v>
      </c>
      <c r="D10" s="106">
        <f>SUM('Data Sheet'!C18,'Data Sheet'!C20:C22)-'Data Sheet'!C19</f>
        <v>7086.4000000000005</v>
      </c>
      <c r="E10" s="106">
        <f>SUM('Data Sheet'!D18,'Data Sheet'!D20:D22)-'Data Sheet'!D19</f>
        <v>7888.05</v>
      </c>
      <c r="F10" s="106">
        <f>SUM('Data Sheet'!E18,'Data Sheet'!E20:E22)-'Data Sheet'!E19</f>
        <v>8098</v>
      </c>
      <c r="G10" s="106">
        <f>SUM('Data Sheet'!F18,'Data Sheet'!F20:F22)-'Data Sheet'!F19</f>
        <v>9013.6</v>
      </c>
      <c r="H10" s="106">
        <f>SUM('Data Sheet'!G18,'Data Sheet'!G20:G22)-'Data Sheet'!G19</f>
        <v>10465.960000000001</v>
      </c>
      <c r="I10" s="106">
        <f>SUM('Data Sheet'!H18,'Data Sheet'!H20:H22)-'Data Sheet'!H19</f>
        <v>11530.11</v>
      </c>
      <c r="J10" s="106">
        <f>SUM('Data Sheet'!I18,'Data Sheet'!I20:I22)-'Data Sheet'!I19</f>
        <v>11328.59</v>
      </c>
      <c r="K10" s="106">
        <f>SUM('Data Sheet'!J18,'Data Sheet'!J20:J22)-'Data Sheet'!J19</f>
        <v>12707.73</v>
      </c>
      <c r="L10" s="106">
        <f>SUM('Data Sheet'!K18,'Data Sheet'!K20:K22)-'Data Sheet'!K19</f>
        <v>13283.72</v>
      </c>
    </row>
    <row r="11" spans="1:15" x14ac:dyDescent="0.3">
      <c r="B11" t="s">
        <v>98</v>
      </c>
      <c r="C11" s="112">
        <f>C10/C7</f>
        <v>0.73922465208747512</v>
      </c>
      <c r="D11" s="112">
        <f t="shared" ref="D11:L11" si="1">D10/D7</f>
        <v>0.71478716965906808</v>
      </c>
      <c r="E11" s="112">
        <f t="shared" si="1"/>
        <v>0.71352781546811395</v>
      </c>
      <c r="F11" s="112">
        <f t="shared" si="1"/>
        <v>0.69810344827586202</v>
      </c>
      <c r="G11" s="112">
        <f t="shared" si="1"/>
        <v>0.6861753958587089</v>
      </c>
      <c r="H11" s="112">
        <f t="shared" si="1"/>
        <v>0.7403763440860216</v>
      </c>
      <c r="I11" s="112">
        <f t="shared" si="1"/>
        <v>0.70732531746518623</v>
      </c>
      <c r="J11" s="112">
        <f t="shared" si="1"/>
        <v>0.67556741606535875</v>
      </c>
      <c r="K11" s="112">
        <f t="shared" si="1"/>
        <v>0.70822772111687005</v>
      </c>
      <c r="L11" s="112">
        <f t="shared" si="1"/>
        <v>0.69359440267335004</v>
      </c>
    </row>
    <row r="13" spans="1:15" x14ac:dyDescent="0.3">
      <c r="B13" t="s">
        <v>100</v>
      </c>
      <c r="C13" s="106">
        <f>C7-C10</f>
        <v>2361.0600000000004</v>
      </c>
      <c r="D13" s="106">
        <f t="shared" ref="D13:L13" si="2">D7-D10</f>
        <v>2827.5999999999995</v>
      </c>
      <c r="E13" s="106">
        <f t="shared" si="2"/>
        <v>3166.95</v>
      </c>
      <c r="F13" s="106">
        <f t="shared" si="2"/>
        <v>3502</v>
      </c>
      <c r="G13" s="106">
        <f t="shared" si="2"/>
        <v>4122.3999999999996</v>
      </c>
      <c r="H13" s="106">
        <f t="shared" si="2"/>
        <v>3670.0399999999991</v>
      </c>
      <c r="I13" s="106">
        <f t="shared" si="2"/>
        <v>4770.8899999999994</v>
      </c>
      <c r="J13" s="106">
        <f t="shared" si="2"/>
        <v>5440.41</v>
      </c>
      <c r="K13" s="106">
        <f t="shared" si="2"/>
        <v>5235.2700000000004</v>
      </c>
      <c r="L13" s="106">
        <f t="shared" si="2"/>
        <v>5868.2800000000007</v>
      </c>
    </row>
    <row r="14" spans="1:15" x14ac:dyDescent="0.3">
      <c r="B14" t="s">
        <v>101</v>
      </c>
      <c r="C14" s="112">
        <f>C13/C7</f>
        <v>0.26077534791252488</v>
      </c>
      <c r="D14" s="112">
        <f t="shared" ref="D14:L14" si="3">D13/D7</f>
        <v>0.28521283034093198</v>
      </c>
      <c r="E14" s="112">
        <f t="shared" si="3"/>
        <v>0.286472184531886</v>
      </c>
      <c r="F14" s="112">
        <f t="shared" si="3"/>
        <v>0.30189655172413793</v>
      </c>
      <c r="G14" s="112">
        <f t="shared" si="3"/>
        <v>0.3138246041412911</v>
      </c>
      <c r="H14" s="112">
        <f t="shared" si="3"/>
        <v>0.2596236559139784</v>
      </c>
      <c r="I14" s="112">
        <f t="shared" si="3"/>
        <v>0.29267468253481377</v>
      </c>
      <c r="J14" s="112">
        <f t="shared" si="3"/>
        <v>0.32443258393464131</v>
      </c>
      <c r="K14" s="112">
        <f t="shared" si="3"/>
        <v>0.29177227888312995</v>
      </c>
      <c r="L14" s="112">
        <f t="shared" si="3"/>
        <v>0.30640559732665001</v>
      </c>
    </row>
    <row r="16" spans="1:15" x14ac:dyDescent="0.3">
      <c r="B16" t="s">
        <v>102</v>
      </c>
      <c r="C16" s="106">
        <f>'Data Sheet'!B23+'Data Sheet'!B24</f>
        <v>1177.02</v>
      </c>
      <c r="D16" s="106">
        <f>'Data Sheet'!C23+'Data Sheet'!C24</f>
        <v>1288.82</v>
      </c>
      <c r="E16" s="106">
        <f>'Data Sheet'!D23+'Data Sheet'!D24</f>
        <v>1547.7</v>
      </c>
      <c r="F16" s="106">
        <f>'Data Sheet'!E23+'Data Sheet'!E24</f>
        <v>1508</v>
      </c>
      <c r="G16" s="106">
        <f>'Data Sheet'!F23+'Data Sheet'!F24</f>
        <v>1576.32</v>
      </c>
      <c r="H16" s="106">
        <f>'Data Sheet'!G23+'Data Sheet'!G24</f>
        <v>1696.32</v>
      </c>
      <c r="I16" s="106">
        <f>'Data Sheet'!H23+'Data Sheet'!H24</f>
        <v>2119.13</v>
      </c>
      <c r="J16" s="106">
        <f>'Data Sheet'!I23+'Data Sheet'!I24</f>
        <v>2179.9699999999998</v>
      </c>
      <c r="K16" s="106">
        <f>'Data Sheet'!J23+'Data Sheet'!J24</f>
        <v>2153.16</v>
      </c>
      <c r="L16" s="106">
        <f>'Data Sheet'!K23+'Data Sheet'!K24</f>
        <v>2489.7600000000002</v>
      </c>
      <c r="M16" s="33">
        <f>'Data Sheet'!L23+'Data Sheet'!L24</f>
        <v>0</v>
      </c>
      <c r="N16" s="33">
        <f>'Data Sheet'!M23+'Data Sheet'!M24</f>
        <v>0</v>
      </c>
      <c r="O16" s="33">
        <f>'Data Sheet'!N23+'Data Sheet'!N24</f>
        <v>0</v>
      </c>
    </row>
    <row r="17" spans="2:12" x14ac:dyDescent="0.3">
      <c r="B17" t="s">
        <v>103</v>
      </c>
      <c r="C17" s="112">
        <f>C16/C7</f>
        <v>0.13</v>
      </c>
      <c r="D17" s="112">
        <f t="shared" ref="D17:L17" si="4">D16/D7</f>
        <v>0.13</v>
      </c>
      <c r="E17" s="112">
        <f t="shared" si="4"/>
        <v>0.14000000000000001</v>
      </c>
      <c r="F17" s="112">
        <f t="shared" si="4"/>
        <v>0.13</v>
      </c>
      <c r="G17" s="112">
        <f t="shared" si="4"/>
        <v>0.12</v>
      </c>
      <c r="H17" s="112">
        <f t="shared" si="4"/>
        <v>0.12</v>
      </c>
      <c r="I17" s="112">
        <f t="shared" si="4"/>
        <v>0.13</v>
      </c>
      <c r="J17" s="112">
        <f t="shared" si="4"/>
        <v>0.12999999999999998</v>
      </c>
      <c r="K17" s="112">
        <f t="shared" si="4"/>
        <v>0.12</v>
      </c>
      <c r="L17" s="112">
        <f t="shared" si="4"/>
        <v>0.13</v>
      </c>
    </row>
    <row r="19" spans="2:12" x14ac:dyDescent="0.3">
      <c r="B19" t="s">
        <v>94</v>
      </c>
      <c r="C19" s="106">
        <f>C13-C16</f>
        <v>1184.0400000000004</v>
      </c>
      <c r="D19" s="106">
        <f t="shared" ref="D19:L19" si="5">D13-D16</f>
        <v>1538.7799999999995</v>
      </c>
      <c r="E19" s="106">
        <f t="shared" si="5"/>
        <v>1619.2499999999998</v>
      </c>
      <c r="F19" s="106">
        <f t="shared" si="5"/>
        <v>1994</v>
      </c>
      <c r="G19" s="106">
        <f t="shared" si="5"/>
        <v>2546.08</v>
      </c>
      <c r="H19" s="106">
        <f t="shared" si="5"/>
        <v>1973.7199999999991</v>
      </c>
      <c r="I19" s="106">
        <f t="shared" si="5"/>
        <v>2651.7599999999993</v>
      </c>
      <c r="J19" s="106">
        <f t="shared" si="5"/>
        <v>3260.44</v>
      </c>
      <c r="K19" s="106">
        <f t="shared" si="5"/>
        <v>3082.1100000000006</v>
      </c>
      <c r="L19" s="106">
        <f t="shared" si="5"/>
        <v>3378.5200000000004</v>
      </c>
    </row>
    <row r="20" spans="2:12" x14ac:dyDescent="0.3">
      <c r="B20" t="s">
        <v>104</v>
      </c>
      <c r="C20" s="112">
        <f>C19/C7</f>
        <v>0.1307753479125249</v>
      </c>
      <c r="D20" s="112">
        <f t="shared" ref="D20:L20" si="6">D19/D7</f>
        <v>0.15521283034093197</v>
      </c>
      <c r="E20" s="112">
        <f t="shared" si="6"/>
        <v>0.14647218453188601</v>
      </c>
      <c r="F20" s="112">
        <f t="shared" si="6"/>
        <v>0.17189655172413792</v>
      </c>
      <c r="G20" s="112">
        <f t="shared" si="6"/>
        <v>0.1938246041412911</v>
      </c>
      <c r="H20" s="112">
        <f t="shared" si="6"/>
        <v>0.13962365591397843</v>
      </c>
      <c r="I20" s="112">
        <f t="shared" si="6"/>
        <v>0.16267468253481376</v>
      </c>
      <c r="J20" s="112">
        <f t="shared" si="6"/>
        <v>0.1944325839346413</v>
      </c>
      <c r="K20" s="112">
        <f t="shared" si="6"/>
        <v>0.17177227888312993</v>
      </c>
      <c r="L20" s="112">
        <f t="shared" si="6"/>
        <v>0.17640559732664998</v>
      </c>
    </row>
    <row r="22" spans="2:12" x14ac:dyDescent="0.3">
      <c r="B22" t="s">
        <v>10</v>
      </c>
      <c r="C22" s="106">
        <f>'Data Sheet'!B26</f>
        <v>119</v>
      </c>
      <c r="D22" s="106">
        <f>'Data Sheet'!C26</f>
        <v>142</v>
      </c>
      <c r="E22" s="106">
        <f>'Data Sheet'!D26</f>
        <v>162</v>
      </c>
      <c r="F22" s="106">
        <f>'Data Sheet'!E26</f>
        <v>185</v>
      </c>
      <c r="G22" s="106">
        <f>'Data Sheet'!F26</f>
        <v>198</v>
      </c>
      <c r="H22" s="106">
        <f>'Data Sheet'!G26</f>
        <v>201</v>
      </c>
      <c r="I22" s="106">
        <f>'Data Sheet'!H26</f>
        <v>226</v>
      </c>
      <c r="J22" s="106">
        <f>'Data Sheet'!I26</f>
        <v>300</v>
      </c>
      <c r="K22" s="106">
        <f>'Data Sheet'!J26</f>
        <v>313</v>
      </c>
      <c r="L22" s="106">
        <f>'Data Sheet'!K26</f>
        <v>337</v>
      </c>
    </row>
    <row r="23" spans="2:12" x14ac:dyDescent="0.3">
      <c r="B23" t="s">
        <v>105</v>
      </c>
      <c r="C23" s="112">
        <f>C22/C7</f>
        <v>1.3143362049922686E-2</v>
      </c>
      <c r="D23" s="112">
        <f t="shared" ref="D23:L23" si="7">D22/D7</f>
        <v>1.432317934234416E-2</v>
      </c>
      <c r="E23" s="112">
        <f t="shared" si="7"/>
        <v>1.4654002713704206E-2</v>
      </c>
      <c r="F23" s="112">
        <f t="shared" si="7"/>
        <v>1.5948275862068966E-2</v>
      </c>
      <c r="G23" s="112">
        <f t="shared" si="7"/>
        <v>1.5073081607795372E-2</v>
      </c>
      <c r="H23" s="112">
        <f t="shared" si="7"/>
        <v>1.4219015280135824E-2</v>
      </c>
      <c r="I23" s="112">
        <f t="shared" si="7"/>
        <v>1.3864180111649593E-2</v>
      </c>
      <c r="J23" s="112">
        <f t="shared" si="7"/>
        <v>1.7890154451666765E-2</v>
      </c>
      <c r="K23" s="112">
        <f t="shared" si="7"/>
        <v>1.7444128629549128E-2</v>
      </c>
      <c r="L23" s="112">
        <f t="shared" si="7"/>
        <v>1.7596073517126148E-2</v>
      </c>
    </row>
    <row r="25" spans="2:12" x14ac:dyDescent="0.3">
      <c r="B25" t="s">
        <v>106</v>
      </c>
      <c r="C25" s="106">
        <f>C19-C22</f>
        <v>1065.0400000000004</v>
      </c>
      <c r="D25" s="106">
        <f t="shared" ref="D25:L25" si="8">D19-D22</f>
        <v>1396.7799999999995</v>
      </c>
      <c r="E25" s="106">
        <f t="shared" si="8"/>
        <v>1457.2499999999998</v>
      </c>
      <c r="F25" s="106">
        <f t="shared" si="8"/>
        <v>1809</v>
      </c>
      <c r="G25" s="106">
        <f t="shared" si="8"/>
        <v>2348.08</v>
      </c>
      <c r="H25" s="106">
        <f t="shared" si="8"/>
        <v>1772.7199999999991</v>
      </c>
      <c r="I25" s="106">
        <f t="shared" si="8"/>
        <v>2425.7599999999993</v>
      </c>
      <c r="J25" s="106">
        <f t="shared" si="8"/>
        <v>2960.44</v>
      </c>
      <c r="K25" s="106">
        <f t="shared" si="8"/>
        <v>2769.1100000000006</v>
      </c>
      <c r="L25" s="106">
        <f t="shared" si="8"/>
        <v>3041.5200000000004</v>
      </c>
    </row>
    <row r="26" spans="2:12" x14ac:dyDescent="0.3">
      <c r="B26" t="s">
        <v>107</v>
      </c>
      <c r="C26" s="112">
        <f>C25/C7</f>
        <v>0.11763198586260221</v>
      </c>
      <c r="D26" s="112">
        <f t="shared" ref="D26:L26" si="9">D25/D7</f>
        <v>0.1408896509985878</v>
      </c>
      <c r="E26" s="112">
        <f t="shared" si="9"/>
        <v>0.13181818181818181</v>
      </c>
      <c r="F26" s="112">
        <f t="shared" si="9"/>
        <v>0.15594827586206897</v>
      </c>
      <c r="G26" s="112">
        <f t="shared" si="9"/>
        <v>0.17875152253349574</v>
      </c>
      <c r="H26" s="112">
        <f t="shared" si="9"/>
        <v>0.1254046406338426</v>
      </c>
      <c r="I26" s="112">
        <f t="shared" si="9"/>
        <v>0.14881050242316418</v>
      </c>
      <c r="J26" s="112">
        <f t="shared" si="9"/>
        <v>0.17654242948297455</v>
      </c>
      <c r="K26" s="112">
        <f t="shared" si="9"/>
        <v>0.15432815025358082</v>
      </c>
      <c r="L26" s="112">
        <f t="shared" si="9"/>
        <v>0.15880952380952384</v>
      </c>
    </row>
    <row r="28" spans="2:12" x14ac:dyDescent="0.3">
      <c r="B28" t="s">
        <v>11</v>
      </c>
      <c r="C28" s="106">
        <f>'Data Sheet'!B27</f>
        <v>5</v>
      </c>
      <c r="D28" s="106">
        <f>'Data Sheet'!C27</f>
        <v>8</v>
      </c>
      <c r="E28" s="106">
        <f>'Data Sheet'!D27</f>
        <v>9</v>
      </c>
      <c r="F28" s="106">
        <f>'Data Sheet'!E27</f>
        <v>77</v>
      </c>
      <c r="G28" s="106">
        <f>'Data Sheet'!F27</f>
        <v>111</v>
      </c>
      <c r="H28" s="106">
        <f>'Data Sheet'!G27</f>
        <v>144</v>
      </c>
      <c r="I28" s="106">
        <f>'Data Sheet'!H27</f>
        <v>169</v>
      </c>
      <c r="J28" s="106">
        <f>'Data Sheet'!I27</f>
        <v>164</v>
      </c>
      <c r="K28" s="106">
        <f>'Data Sheet'!J27</f>
        <v>139</v>
      </c>
      <c r="L28" s="106">
        <f>'Data Sheet'!K27</f>
        <v>113</v>
      </c>
    </row>
    <row r="29" spans="2:12" x14ac:dyDescent="0.3">
      <c r="B29" t="s">
        <v>108</v>
      </c>
      <c r="C29" s="112">
        <f>C28/C7</f>
        <v>5.5224210293792803E-4</v>
      </c>
      <c r="D29" s="112">
        <f t="shared" ref="D29:L29" si="10">D28/D7</f>
        <v>8.0693968125882594E-4</v>
      </c>
      <c r="E29" s="112">
        <f t="shared" si="10"/>
        <v>8.1411126187245586E-4</v>
      </c>
      <c r="F29" s="112">
        <f t="shared" si="10"/>
        <v>6.6379310344827584E-3</v>
      </c>
      <c r="G29" s="112">
        <f t="shared" si="10"/>
        <v>8.4500609013398297E-3</v>
      </c>
      <c r="H29" s="112">
        <f t="shared" si="10"/>
        <v>1.0186757215619695E-2</v>
      </c>
      <c r="I29" s="112">
        <f t="shared" si="10"/>
        <v>1.0367462118888412E-2</v>
      </c>
      <c r="J29" s="112">
        <f t="shared" si="10"/>
        <v>9.7799511002444987E-3</v>
      </c>
      <c r="K29" s="112">
        <f t="shared" si="10"/>
        <v>7.7467536086496128E-3</v>
      </c>
      <c r="L29" s="112">
        <f t="shared" si="10"/>
        <v>5.9001670843776104E-3</v>
      </c>
    </row>
    <row r="31" spans="2:12" x14ac:dyDescent="0.3">
      <c r="B31" t="s">
        <v>109</v>
      </c>
      <c r="C31" s="106">
        <f>C25-C28</f>
        <v>1060.0400000000004</v>
      </c>
      <c r="D31" s="106">
        <f t="shared" ref="D31:L31" si="11">D25-D28</f>
        <v>1388.7799999999995</v>
      </c>
      <c r="E31" s="106">
        <f t="shared" si="11"/>
        <v>1448.2499999999998</v>
      </c>
      <c r="F31" s="106">
        <f t="shared" si="11"/>
        <v>1732</v>
      </c>
      <c r="G31" s="106">
        <f t="shared" si="11"/>
        <v>2237.08</v>
      </c>
      <c r="H31" s="106">
        <f t="shared" si="11"/>
        <v>1628.7199999999991</v>
      </c>
      <c r="I31" s="106">
        <f t="shared" si="11"/>
        <v>2256.7599999999993</v>
      </c>
      <c r="J31" s="106">
        <f t="shared" si="11"/>
        <v>2796.44</v>
      </c>
      <c r="K31" s="106">
        <f t="shared" si="11"/>
        <v>2630.1100000000006</v>
      </c>
      <c r="L31" s="106">
        <f t="shared" si="11"/>
        <v>2928.5200000000004</v>
      </c>
    </row>
    <row r="32" spans="2:12" x14ac:dyDescent="0.3">
      <c r="B32" t="s">
        <v>110</v>
      </c>
      <c r="C32" s="112">
        <f>C31/C7</f>
        <v>0.11707974375966429</v>
      </c>
      <c r="D32" s="112">
        <f t="shared" ref="D32:L32" si="12">D31/D7</f>
        <v>0.14008271131732897</v>
      </c>
      <c r="E32" s="112">
        <f t="shared" si="12"/>
        <v>0.13100407055630933</v>
      </c>
      <c r="F32" s="112">
        <f t="shared" si="12"/>
        <v>0.14931034482758621</v>
      </c>
      <c r="G32" s="112">
        <f t="shared" si="12"/>
        <v>0.1703014616321559</v>
      </c>
      <c r="H32" s="112">
        <f t="shared" si="12"/>
        <v>0.11521788341822291</v>
      </c>
      <c r="I32" s="112">
        <f t="shared" si="12"/>
        <v>0.13844304030427576</v>
      </c>
      <c r="J32" s="112">
        <f t="shared" si="12"/>
        <v>0.16676247838273003</v>
      </c>
      <c r="K32" s="112">
        <f t="shared" si="12"/>
        <v>0.14658139664493119</v>
      </c>
      <c r="L32" s="112">
        <f t="shared" si="12"/>
        <v>0.15290935672514622</v>
      </c>
    </row>
    <row r="34" spans="2:12" x14ac:dyDescent="0.3">
      <c r="B34" t="s">
        <v>111</v>
      </c>
      <c r="C34" s="107">
        <f>'Data Sheet'!B29</f>
        <v>419</v>
      </c>
      <c r="D34" s="107">
        <f>'Data Sheet'!C29</f>
        <v>514</v>
      </c>
      <c r="E34" s="107">
        <f>'Data Sheet'!D29</f>
        <v>613</v>
      </c>
      <c r="F34" s="107">
        <f>'Data Sheet'!E29</f>
        <v>450</v>
      </c>
      <c r="G34" s="107">
        <f>'Data Sheet'!F29</f>
        <v>663</v>
      </c>
      <c r="H34" s="107">
        <f>'Data Sheet'!G29</f>
        <v>562</v>
      </c>
      <c r="I34" s="107">
        <f>'Data Sheet'!H29</f>
        <v>717</v>
      </c>
      <c r="J34" s="107">
        <f>'Data Sheet'!I29</f>
        <v>779</v>
      </c>
      <c r="K34" s="107">
        <f>'Data Sheet'!J29</f>
        <v>749</v>
      </c>
      <c r="L34" s="107">
        <f>'Data Sheet'!K29</f>
        <v>752</v>
      </c>
    </row>
    <row r="35" spans="2:12" x14ac:dyDescent="0.3">
      <c r="B35" t="s">
        <v>112</v>
      </c>
      <c r="C35" s="112">
        <f>C34/C31</f>
        <v>0.39526810309044924</v>
      </c>
      <c r="D35" s="112">
        <f t="shared" ref="D35:L35" si="13">D34/D31</f>
        <v>0.37010901654689743</v>
      </c>
      <c r="E35" s="112">
        <f t="shared" si="13"/>
        <v>0.42326946314517527</v>
      </c>
      <c r="F35" s="112">
        <f t="shared" si="13"/>
        <v>0.25981524249422633</v>
      </c>
      <c r="G35" s="112">
        <f t="shared" si="13"/>
        <v>0.29636848034044383</v>
      </c>
      <c r="H35" s="112">
        <f t="shared" si="13"/>
        <v>0.34505624048332451</v>
      </c>
      <c r="I35" s="112">
        <f t="shared" si="13"/>
        <v>0.31771211825803375</v>
      </c>
      <c r="J35" s="112">
        <f t="shared" si="13"/>
        <v>0.27856846562057475</v>
      </c>
      <c r="K35" s="112">
        <f t="shared" si="13"/>
        <v>0.28477896361749122</v>
      </c>
      <c r="L35" s="112">
        <f t="shared" si="13"/>
        <v>0.25678499719995079</v>
      </c>
    </row>
    <row r="37" spans="2:12" x14ac:dyDescent="0.3">
      <c r="B37" t="s">
        <v>123</v>
      </c>
      <c r="C37" s="106">
        <f>C31-C34</f>
        <v>641.04000000000042</v>
      </c>
      <c r="D37" s="106">
        <f t="shared" ref="D37:L37" si="14">D31-D34</f>
        <v>874.77999999999952</v>
      </c>
      <c r="E37" s="106">
        <f t="shared" si="14"/>
        <v>835.24999999999977</v>
      </c>
      <c r="F37" s="106">
        <f t="shared" si="14"/>
        <v>1282</v>
      </c>
      <c r="G37" s="106">
        <f t="shared" si="14"/>
        <v>1574.08</v>
      </c>
      <c r="H37" s="106">
        <f t="shared" si="14"/>
        <v>1066.7199999999991</v>
      </c>
      <c r="I37" s="106">
        <f t="shared" si="14"/>
        <v>1539.7599999999993</v>
      </c>
      <c r="J37" s="106">
        <f t="shared" si="14"/>
        <v>2017.44</v>
      </c>
      <c r="K37" s="106">
        <f t="shared" si="14"/>
        <v>1881.1100000000006</v>
      </c>
      <c r="L37" s="106">
        <f t="shared" si="14"/>
        <v>2176.5200000000004</v>
      </c>
    </row>
    <row r="38" spans="2:12" x14ac:dyDescent="0.3">
      <c r="B38" t="s">
        <v>124</v>
      </c>
      <c r="C38" s="112">
        <f>C37/C7</f>
        <v>7.0801855533465921E-2</v>
      </c>
      <c r="D38" s="112">
        <f t="shared" ref="D38:L38" si="15">D37/D7</f>
        <v>8.8236836796449419E-2</v>
      </c>
      <c r="E38" s="112">
        <f t="shared" si="15"/>
        <v>7.5554047942107627E-2</v>
      </c>
      <c r="F38" s="112">
        <f t="shared" si="15"/>
        <v>0.11051724137931035</v>
      </c>
      <c r="G38" s="112">
        <f t="shared" si="15"/>
        <v>0.11982947624847747</v>
      </c>
      <c r="H38" s="112">
        <f t="shared" si="15"/>
        <v>7.5461233729484947E-2</v>
      </c>
      <c r="I38" s="112">
        <f t="shared" si="15"/>
        <v>9.4458008711121977E-2</v>
      </c>
      <c r="J38" s="112">
        <f t="shared" si="15"/>
        <v>0.12030771065656867</v>
      </c>
      <c r="K38" s="112">
        <f t="shared" si="15"/>
        <v>0.10483809842278329</v>
      </c>
      <c r="L38" s="112">
        <f t="shared" si="15"/>
        <v>0.11364452798663327</v>
      </c>
    </row>
    <row r="40" spans="2:12" x14ac:dyDescent="0.3">
      <c r="B40" t="s">
        <v>74</v>
      </c>
      <c r="C40">
        <f>'Data Sheet'!B93</f>
        <v>24</v>
      </c>
      <c r="D40">
        <f>'Data Sheet'!C93</f>
        <v>24</v>
      </c>
      <c r="E40">
        <f>'Data Sheet'!D93</f>
        <v>24</v>
      </c>
      <c r="F40">
        <f>'Data Sheet'!E93</f>
        <v>24</v>
      </c>
      <c r="G40">
        <f>'Data Sheet'!F93</f>
        <v>24</v>
      </c>
      <c r="H40">
        <f>'Data Sheet'!G93</f>
        <v>24</v>
      </c>
      <c r="I40">
        <f>'Data Sheet'!H93</f>
        <v>24</v>
      </c>
      <c r="J40">
        <f>'Data Sheet'!I93</f>
        <v>24</v>
      </c>
      <c r="K40">
        <f>'Data Sheet'!J93</f>
        <v>24</v>
      </c>
      <c r="L40">
        <f>'Data Sheet'!K93</f>
        <v>24</v>
      </c>
    </row>
    <row r="42" spans="2:12" x14ac:dyDescent="0.3">
      <c r="B42" t="s">
        <v>113</v>
      </c>
      <c r="C42" s="106">
        <f>C37/C40</f>
        <v>26.710000000000019</v>
      </c>
      <c r="D42" s="106">
        <f t="shared" ref="D42:L42" si="16">D37/D40</f>
        <v>36.449166666666649</v>
      </c>
      <c r="E42" s="106">
        <f t="shared" si="16"/>
        <v>34.802083333333321</v>
      </c>
      <c r="F42" s="106">
        <f t="shared" si="16"/>
        <v>53.416666666666664</v>
      </c>
      <c r="G42" s="106">
        <f t="shared" si="16"/>
        <v>65.586666666666659</v>
      </c>
      <c r="H42" s="106">
        <f t="shared" si="16"/>
        <v>44.44666666666663</v>
      </c>
      <c r="I42" s="106">
        <f t="shared" si="16"/>
        <v>64.156666666666638</v>
      </c>
      <c r="J42" s="106">
        <f t="shared" si="16"/>
        <v>84.06</v>
      </c>
      <c r="K42" s="106">
        <f t="shared" si="16"/>
        <v>78.379583333333358</v>
      </c>
      <c r="L42" s="106">
        <f t="shared" si="16"/>
        <v>90.688333333333347</v>
      </c>
    </row>
    <row r="43" spans="2:12" x14ac:dyDescent="0.3">
      <c r="B43" t="s">
        <v>114</v>
      </c>
      <c r="C43" s="111" t="s">
        <v>120</v>
      </c>
      <c r="D43" s="111">
        <f>D42/C42-1</f>
        <v>0.36462623237239322</v>
      </c>
      <c r="E43" s="111">
        <f t="shared" ref="E43:L43" si="17">E42/D42-1</f>
        <v>-4.5188504538283825E-2</v>
      </c>
      <c r="F43" s="111">
        <f t="shared" si="17"/>
        <v>0.53486979946123969</v>
      </c>
      <c r="G43" s="111">
        <f t="shared" si="17"/>
        <v>0.22783151326053042</v>
      </c>
      <c r="H43" s="111">
        <f t="shared" si="17"/>
        <v>-0.32232161008335081</v>
      </c>
      <c r="I43" s="111">
        <f t="shared" si="17"/>
        <v>0.44345282735863267</v>
      </c>
      <c r="J43" s="111">
        <f t="shared" si="17"/>
        <v>0.31023016574011586</v>
      </c>
      <c r="K43" s="111">
        <f t="shared" si="17"/>
        <v>-6.7575739551114067E-2</v>
      </c>
      <c r="L43" s="111">
        <f t="shared" si="17"/>
        <v>0.15704025814545641</v>
      </c>
    </row>
    <row r="45" spans="2:12" x14ac:dyDescent="0.3">
      <c r="B45" t="s">
        <v>115</v>
      </c>
      <c r="C45" s="106">
        <f>'Data Sheet'!B31/'Historical FS'!C40</f>
        <v>11.0625</v>
      </c>
      <c r="D45" s="106">
        <f>'Data Sheet'!C31/'Historical FS'!D40</f>
        <v>12.549999999999999</v>
      </c>
      <c r="E45" s="106">
        <f>'Data Sheet'!D31/'Historical FS'!E40</f>
        <v>14.918750000000001</v>
      </c>
      <c r="F45" s="106">
        <f>'Data Sheet'!E31/'Historical FS'!F40</f>
        <v>34.85</v>
      </c>
      <c r="G45" s="106">
        <f>'Data Sheet'!F31/'Historical FS'!G40</f>
        <v>157.33500000000001</v>
      </c>
      <c r="H45" s="106">
        <f>'Data Sheet'!G31/'Historical FS'!H40</f>
        <v>56.218333333333334</v>
      </c>
      <c r="I45" s="106">
        <f>'Data Sheet'!H31/'Historical FS'!I40</f>
        <v>72.375</v>
      </c>
      <c r="J45" s="106">
        <f>'Data Sheet'!I31/'Historical FS'!J40</f>
        <v>73.80083333333333</v>
      </c>
      <c r="K45" s="106">
        <f>'Data Sheet'!J31/'Historical FS'!K40</f>
        <v>75.322500000000005</v>
      </c>
      <c r="L45" s="106">
        <f>'Data Sheet'!K31/'Historical FS'!L40</f>
        <v>90.909166666666678</v>
      </c>
    </row>
    <row r="46" spans="2:12" x14ac:dyDescent="0.3">
      <c r="B46" t="s">
        <v>116</v>
      </c>
      <c r="C46" s="112">
        <f>C45/C42</f>
        <v>0.414170722575814</v>
      </c>
      <c r="D46" s="112">
        <f t="shared" ref="D46:L46" si="18">D45/D42</f>
        <v>0.34431514209286918</v>
      </c>
      <c r="E46" s="112">
        <f t="shared" si="18"/>
        <v>0.42867404968572304</v>
      </c>
      <c r="F46" s="112">
        <f t="shared" si="18"/>
        <v>0.65241809672386897</v>
      </c>
      <c r="G46" s="112">
        <f t="shared" si="18"/>
        <v>2.3988869688961176</v>
      </c>
      <c r="H46" s="112">
        <f t="shared" si="18"/>
        <v>1.2648492575371242</v>
      </c>
      <c r="I46" s="112">
        <f t="shared" si="18"/>
        <v>1.1280978853847359</v>
      </c>
      <c r="J46" s="112">
        <f t="shared" si="18"/>
        <v>0.87795423903560943</v>
      </c>
      <c r="K46" s="112">
        <f t="shared" si="18"/>
        <v>0.96099643295713677</v>
      </c>
      <c r="L46" s="112">
        <f t="shared" si="18"/>
        <v>1.0024350798522412</v>
      </c>
    </row>
    <row r="48" spans="2:12" x14ac:dyDescent="0.3">
      <c r="B48" t="s">
        <v>117</v>
      </c>
      <c r="C48" s="36">
        <f>(1-C46)</f>
        <v>0.585829277424186</v>
      </c>
      <c r="D48" s="36">
        <f t="shared" ref="D48:L48" si="19">(1-D46)</f>
        <v>0.65568485790713082</v>
      </c>
      <c r="E48" s="36">
        <f t="shared" si="19"/>
        <v>0.57132595031427691</v>
      </c>
      <c r="F48" s="36">
        <f t="shared" si="19"/>
        <v>0.34758190327613103</v>
      </c>
      <c r="G48" s="36">
        <f t="shared" si="19"/>
        <v>-1.3988869688961176</v>
      </c>
      <c r="H48" s="36">
        <f t="shared" si="19"/>
        <v>-0.26484925753712418</v>
      </c>
      <c r="I48" s="36">
        <f t="shared" si="19"/>
        <v>-0.12809788538473588</v>
      </c>
      <c r="J48" s="36">
        <f t="shared" si="19"/>
        <v>0.12204576096439057</v>
      </c>
      <c r="K48" s="36">
        <f t="shared" si="19"/>
        <v>3.900356704286323E-2</v>
      </c>
      <c r="L48" s="36">
        <f t="shared" si="19"/>
        <v>-2.4350798522412287E-3</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24</v>
      </c>
      <c r="D51" s="106">
        <f>'Data Sheet'!C57</f>
        <v>24</v>
      </c>
      <c r="E51" s="106">
        <f>'Data Sheet'!D57</f>
        <v>24</v>
      </c>
      <c r="F51" s="106">
        <f>'Data Sheet'!E57</f>
        <v>24</v>
      </c>
      <c r="G51" s="106">
        <f>'Data Sheet'!F57</f>
        <v>24</v>
      </c>
      <c r="H51" s="106">
        <f>'Data Sheet'!G57</f>
        <v>24</v>
      </c>
      <c r="I51" s="106">
        <f>'Data Sheet'!H57</f>
        <v>24</v>
      </c>
      <c r="J51" s="106">
        <f>'Data Sheet'!I57</f>
        <v>24</v>
      </c>
      <c r="K51" s="106">
        <f>'Data Sheet'!J57</f>
        <v>24</v>
      </c>
      <c r="L51" s="106">
        <f>'Data Sheet'!K57</f>
        <v>24</v>
      </c>
    </row>
    <row r="52" spans="2:15" x14ac:dyDescent="0.3">
      <c r="B52" s="33" t="str">
        <f>'Data Sheet'!A58</f>
        <v>Reserves</v>
      </c>
      <c r="C52" s="106">
        <f>'Data Sheet'!B58</f>
        <v>2672</v>
      </c>
      <c r="D52" s="106">
        <f>'Data Sheet'!C58</f>
        <v>3382</v>
      </c>
      <c r="E52" s="106">
        <f>'Data Sheet'!D58</f>
        <v>4229</v>
      </c>
      <c r="F52" s="106">
        <f>'Data Sheet'!E58</f>
        <v>4379</v>
      </c>
      <c r="G52" s="106">
        <f>'Data Sheet'!F58</f>
        <v>3524</v>
      </c>
      <c r="H52" s="106">
        <f>'Data Sheet'!G58</f>
        <v>2534</v>
      </c>
      <c r="I52" s="106">
        <f>'Data Sheet'!H58</f>
        <v>3510</v>
      </c>
      <c r="J52" s="106">
        <f>'Data Sheet'!I58</f>
        <v>3917</v>
      </c>
      <c r="K52" s="106">
        <f>'Data Sheet'!J58</f>
        <v>4332</v>
      </c>
      <c r="L52" s="106">
        <f>'Data Sheet'!K58</f>
        <v>5082</v>
      </c>
    </row>
    <row r="53" spans="2:15" x14ac:dyDescent="0.3">
      <c r="B53" s="33" t="str">
        <f>'Data Sheet'!A59</f>
        <v>Borrowings</v>
      </c>
      <c r="C53" s="106">
        <f>'Data Sheet'!B59</f>
        <v>125</v>
      </c>
      <c r="D53" s="106">
        <f>'Data Sheet'!C59</f>
        <v>201</v>
      </c>
      <c r="E53" s="106">
        <f>'Data Sheet'!D59</f>
        <v>156</v>
      </c>
      <c r="F53" s="106">
        <f>'Data Sheet'!E59</f>
        <v>1538</v>
      </c>
      <c r="G53" s="106">
        <f>'Data Sheet'!F59</f>
        <v>2107</v>
      </c>
      <c r="H53" s="106">
        <f>'Data Sheet'!G59</f>
        <v>2481</v>
      </c>
      <c r="I53" s="106">
        <f>'Data Sheet'!H59</f>
        <v>2997</v>
      </c>
      <c r="J53" s="106">
        <f>'Data Sheet'!I59</f>
        <v>2065</v>
      </c>
      <c r="K53" s="106">
        <f>'Data Sheet'!J59</f>
        <v>1247</v>
      </c>
      <c r="L53" s="106">
        <f>'Data Sheet'!K59</f>
        <v>1380</v>
      </c>
    </row>
    <row r="54" spans="2:15" x14ac:dyDescent="0.3">
      <c r="B54" s="33" t="str">
        <f>'Data Sheet'!A60</f>
        <v>Other Liabilities</v>
      </c>
      <c r="C54" s="106">
        <f>'Data Sheet'!B60</f>
        <v>1288</v>
      </c>
      <c r="D54" s="106">
        <f>'Data Sheet'!C60</f>
        <v>1581</v>
      </c>
      <c r="E54" s="106">
        <f>'Data Sheet'!D60</f>
        <v>1829</v>
      </c>
      <c r="F54" s="106">
        <f>'Data Sheet'!E60</f>
        <v>1889</v>
      </c>
      <c r="G54" s="106">
        <f>'Data Sheet'!F60</f>
        <v>2345</v>
      </c>
      <c r="H54" s="106">
        <f>'Data Sheet'!G60</f>
        <v>2487</v>
      </c>
      <c r="I54" s="106">
        <f>'Data Sheet'!H60</f>
        <v>2819</v>
      </c>
      <c r="J54" s="106">
        <f>'Data Sheet'!I60</f>
        <v>3065</v>
      </c>
      <c r="K54" s="106">
        <f>'Data Sheet'!J60</f>
        <v>3235</v>
      </c>
      <c r="L54" s="106">
        <f>'Data Sheet'!K60</f>
        <v>3243</v>
      </c>
    </row>
    <row r="55" spans="2:15" x14ac:dyDescent="0.3">
      <c r="B55" s="33" t="s">
        <v>95</v>
      </c>
      <c r="C55" s="106">
        <f>SUM(C51:C54)</f>
        <v>4109</v>
      </c>
      <c r="D55" s="106">
        <f t="shared" ref="D55:L55" si="20">SUM(D51:D54)</f>
        <v>5188</v>
      </c>
      <c r="E55" s="106">
        <f t="shared" si="20"/>
        <v>6238</v>
      </c>
      <c r="F55" s="106">
        <f t="shared" si="20"/>
        <v>7830</v>
      </c>
      <c r="G55" s="106">
        <f t="shared" si="20"/>
        <v>8000</v>
      </c>
      <c r="H55" s="106">
        <f t="shared" si="20"/>
        <v>7526</v>
      </c>
      <c r="I55" s="106">
        <f t="shared" si="20"/>
        <v>9350</v>
      </c>
      <c r="J55" s="106">
        <f t="shared" si="20"/>
        <v>9071</v>
      </c>
      <c r="K55" s="106">
        <f t="shared" si="20"/>
        <v>8838</v>
      </c>
      <c r="L55" s="106">
        <f t="shared" si="20"/>
        <v>9729</v>
      </c>
    </row>
    <row r="56" spans="2:15" x14ac:dyDescent="0.3">
      <c r="C56" s="106"/>
      <c r="D56" s="106"/>
      <c r="E56" s="106"/>
      <c r="F56" s="106"/>
      <c r="G56" s="106"/>
      <c r="H56" s="106"/>
      <c r="I56" s="106"/>
      <c r="J56" s="106"/>
      <c r="K56" s="106"/>
      <c r="L56" s="106"/>
    </row>
    <row r="57" spans="2:15" x14ac:dyDescent="0.3">
      <c r="B57" s="33" t="s">
        <v>298</v>
      </c>
      <c r="C57" s="106">
        <f>'Data Sheet'!B62</f>
        <v>1160</v>
      </c>
      <c r="D57" s="106">
        <f>'Data Sheet'!C62</f>
        <v>1346</v>
      </c>
      <c r="E57" s="106">
        <f>'Data Sheet'!D62</f>
        <v>1688</v>
      </c>
      <c r="F57" s="106">
        <f>'Data Sheet'!E62</f>
        <v>1878</v>
      </c>
      <c r="G57" s="106">
        <f>'Data Sheet'!F62</f>
        <v>1793</v>
      </c>
      <c r="H57" s="106">
        <f>'Data Sheet'!G62</f>
        <v>1753</v>
      </c>
      <c r="I57" s="106">
        <f>'Data Sheet'!H62</f>
        <v>2655</v>
      </c>
      <c r="J57" s="106">
        <f>'Data Sheet'!I62</f>
        <v>2771</v>
      </c>
      <c r="K57" s="106">
        <f>'Data Sheet'!J62</f>
        <v>2904</v>
      </c>
      <c r="L57" s="106">
        <f>'Data Sheet'!K62</f>
        <v>2850</v>
      </c>
    </row>
    <row r="58" spans="2:15" x14ac:dyDescent="0.3">
      <c r="B58" s="33" t="str">
        <f>'Data Sheet'!A63</f>
        <v>Capital Work in Progress</v>
      </c>
      <c r="C58" s="106">
        <f>'Data Sheet'!B63</f>
        <v>30</v>
      </c>
      <c r="D58" s="106">
        <f>'Data Sheet'!C63</f>
        <v>203</v>
      </c>
      <c r="E58" s="106">
        <f>'Data Sheet'!D63</f>
        <v>101</v>
      </c>
      <c r="F58" s="106">
        <f>'Data Sheet'!E63</f>
        <v>40</v>
      </c>
      <c r="G58" s="106">
        <f>'Data Sheet'!F63</f>
        <v>117</v>
      </c>
      <c r="H58" s="106">
        <f>'Data Sheet'!G63</f>
        <v>536</v>
      </c>
      <c r="I58" s="106">
        <f>'Data Sheet'!H63</f>
        <v>105</v>
      </c>
      <c r="J58" s="106">
        <f>'Data Sheet'!I63</f>
        <v>188</v>
      </c>
      <c r="K58" s="106">
        <f>'Data Sheet'!J63</f>
        <v>89</v>
      </c>
      <c r="L58" s="106">
        <f>'Data Sheet'!K63</f>
        <v>39</v>
      </c>
    </row>
    <row r="59" spans="2:15" x14ac:dyDescent="0.3">
      <c r="B59" s="33" t="str">
        <f>'Data Sheet'!A64</f>
        <v>Investments</v>
      </c>
      <c r="C59" s="106">
        <f>'Data Sheet'!B64</f>
        <v>487</v>
      </c>
      <c r="D59" s="106">
        <f>'Data Sheet'!C64</f>
        <v>1079</v>
      </c>
      <c r="E59" s="106">
        <f>'Data Sheet'!D64</f>
        <v>1476</v>
      </c>
      <c r="F59" s="106">
        <f>'Data Sheet'!E64</f>
        <v>2893</v>
      </c>
      <c r="G59" s="106">
        <f>'Data Sheet'!F64</f>
        <v>2781</v>
      </c>
      <c r="H59" s="106">
        <f>'Data Sheet'!G64</f>
        <v>1762</v>
      </c>
      <c r="I59" s="106">
        <f>'Data Sheet'!H64</f>
        <v>3324</v>
      </c>
      <c r="J59" s="106">
        <f>'Data Sheet'!I64</f>
        <v>2767</v>
      </c>
      <c r="K59" s="106">
        <f>'Data Sheet'!J64</f>
        <v>2865</v>
      </c>
      <c r="L59" s="106">
        <f>'Data Sheet'!K64</f>
        <v>3610</v>
      </c>
    </row>
    <row r="60" spans="2:15" x14ac:dyDescent="0.3">
      <c r="B60" s="33" t="str">
        <f>'Data Sheet'!A65</f>
        <v>Other Assets</v>
      </c>
      <c r="C60" s="106">
        <f>'Data Sheet'!B75</f>
        <v>1471</v>
      </c>
      <c r="D60" s="106">
        <f>'Data Sheet'!C75</f>
        <v>1416</v>
      </c>
      <c r="E60" s="106">
        <f>'Data Sheet'!D75</f>
        <v>1687</v>
      </c>
      <c r="F60" s="106">
        <f>'Data Sheet'!E75</f>
        <v>1835</v>
      </c>
      <c r="G60" s="106">
        <f>'Data Sheet'!F75</f>
        <v>1751</v>
      </c>
      <c r="H60" s="106">
        <f>'Data Sheet'!G75</f>
        <v>1591</v>
      </c>
      <c r="I60" s="106">
        <f>'Data Sheet'!H75</f>
        <v>1546</v>
      </c>
      <c r="J60" s="106">
        <f>'Data Sheet'!I75</f>
        <v>1326</v>
      </c>
      <c r="K60" s="106">
        <f>'Data Sheet'!J75</f>
        <v>980</v>
      </c>
      <c r="L60" s="106">
        <f>'Data Sheet'!K75</f>
        <v>1065</v>
      </c>
      <c r="M60" s="33">
        <f>'Data Sheet'!L75</f>
        <v>0</v>
      </c>
      <c r="N60" s="33">
        <f>'Data Sheet'!M75</f>
        <v>0</v>
      </c>
      <c r="O60" s="33">
        <f>'Data Sheet'!N75</f>
        <v>0</v>
      </c>
    </row>
    <row r="61" spans="2:15" x14ac:dyDescent="0.3">
      <c r="B61" s="33" t="s">
        <v>125</v>
      </c>
      <c r="C61" s="106">
        <f>SUM(C57:C60)</f>
        <v>3148</v>
      </c>
      <c r="D61" s="106">
        <f>SUM(D57:D60)</f>
        <v>4044</v>
      </c>
      <c r="E61" s="106">
        <f t="shared" ref="E61:L61" si="21">SUM(E57:E60)</f>
        <v>4952</v>
      </c>
      <c r="F61" s="106">
        <f t="shared" si="21"/>
        <v>6646</v>
      </c>
      <c r="G61" s="106">
        <f t="shared" si="21"/>
        <v>6442</v>
      </c>
      <c r="H61" s="106">
        <f t="shared" si="21"/>
        <v>5642</v>
      </c>
      <c r="I61" s="106">
        <f t="shared" si="21"/>
        <v>7630</v>
      </c>
      <c r="J61" s="106">
        <f t="shared" si="21"/>
        <v>7052</v>
      </c>
      <c r="K61" s="106">
        <f t="shared" si="21"/>
        <v>6838</v>
      </c>
      <c r="L61" s="106">
        <f t="shared" si="21"/>
        <v>7564</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179</v>
      </c>
      <c r="D63" s="106">
        <f>'Data Sheet'!C67</f>
        <v>305</v>
      </c>
      <c r="E63" s="106">
        <f>'Data Sheet'!D67</f>
        <v>394</v>
      </c>
      <c r="F63" s="106">
        <f>'Data Sheet'!E67</f>
        <v>320</v>
      </c>
      <c r="G63" s="106">
        <f>'Data Sheet'!F67</f>
        <v>257</v>
      </c>
      <c r="H63" s="106">
        <f>'Data Sheet'!G67</f>
        <v>332</v>
      </c>
      <c r="I63" s="106">
        <f>'Data Sheet'!H67</f>
        <v>329</v>
      </c>
      <c r="J63" s="106">
        <f>'Data Sheet'!I67</f>
        <v>393</v>
      </c>
      <c r="K63" s="106">
        <f>'Data Sheet'!J67</f>
        <v>449</v>
      </c>
      <c r="L63" s="106">
        <f>'Data Sheet'!K67</f>
        <v>469</v>
      </c>
    </row>
    <row r="64" spans="2:15" x14ac:dyDescent="0.3">
      <c r="B64" s="33" t="str">
        <f>'Data Sheet'!A68</f>
        <v>Inventory</v>
      </c>
      <c r="C64" s="106">
        <f>'Data Sheet'!B68</f>
        <v>661</v>
      </c>
      <c r="D64" s="106">
        <f>'Data Sheet'!C68</f>
        <v>653</v>
      </c>
      <c r="E64" s="106">
        <f>'Data Sheet'!D68</f>
        <v>781</v>
      </c>
      <c r="F64" s="106">
        <f>'Data Sheet'!E68</f>
        <v>741</v>
      </c>
      <c r="G64" s="106">
        <f>'Data Sheet'!F68</f>
        <v>1091</v>
      </c>
      <c r="H64" s="106">
        <f>'Data Sheet'!G68</f>
        <v>1367</v>
      </c>
      <c r="I64" s="106">
        <f>'Data Sheet'!H68</f>
        <v>1193</v>
      </c>
      <c r="J64" s="106">
        <f>'Data Sheet'!I68</f>
        <v>1181</v>
      </c>
      <c r="K64" s="106">
        <f>'Data Sheet'!J68</f>
        <v>1237</v>
      </c>
      <c r="L64" s="106">
        <f>'Data Sheet'!K68</f>
        <v>1346</v>
      </c>
    </row>
    <row r="65" spans="2:13" x14ac:dyDescent="0.3">
      <c r="B65" s="33" t="str">
        <f>'Data Sheet'!A69</f>
        <v>Cash &amp; Bank</v>
      </c>
      <c r="C65" s="106">
        <f>'Data Sheet'!B69</f>
        <v>121</v>
      </c>
      <c r="D65" s="106">
        <f>'Data Sheet'!C69</f>
        <v>186</v>
      </c>
      <c r="E65" s="106">
        <f>'Data Sheet'!D69</f>
        <v>110</v>
      </c>
      <c r="F65" s="106">
        <f>'Data Sheet'!E69</f>
        <v>123</v>
      </c>
      <c r="G65" s="106">
        <f>'Data Sheet'!F69</f>
        <v>211</v>
      </c>
      <c r="H65" s="106">
        <f>'Data Sheet'!G69</f>
        <v>185</v>
      </c>
      <c r="I65" s="106">
        <f>'Data Sheet'!H69</f>
        <v>198</v>
      </c>
      <c r="J65" s="106">
        <f>'Data Sheet'!I69</f>
        <v>446</v>
      </c>
      <c r="K65" s="106">
        <f>'Data Sheet'!J69</f>
        <v>312</v>
      </c>
      <c r="L65" s="106">
        <f>'Data Sheet'!K69</f>
        <v>352</v>
      </c>
    </row>
    <row r="66" spans="2:13" x14ac:dyDescent="0.3">
      <c r="B66" s="33" t="s">
        <v>126</v>
      </c>
      <c r="C66" s="106">
        <f>SUM(C63:C65)</f>
        <v>961</v>
      </c>
      <c r="D66" s="106">
        <f t="shared" ref="D66:L66" si="22">SUM(D63:D65)</f>
        <v>1144</v>
      </c>
      <c r="E66" s="106">
        <f t="shared" si="22"/>
        <v>1285</v>
      </c>
      <c r="F66" s="106">
        <f t="shared" si="22"/>
        <v>1184</v>
      </c>
      <c r="G66" s="106">
        <f t="shared" si="22"/>
        <v>1559</v>
      </c>
      <c r="H66" s="106">
        <f t="shared" si="22"/>
        <v>1884</v>
      </c>
      <c r="I66" s="106">
        <f t="shared" si="22"/>
        <v>1720</v>
      </c>
      <c r="J66" s="106">
        <f t="shared" si="22"/>
        <v>2020</v>
      </c>
      <c r="K66" s="106">
        <f t="shared" si="22"/>
        <v>1998</v>
      </c>
      <c r="L66" s="106">
        <f t="shared" si="22"/>
        <v>2167</v>
      </c>
    </row>
    <row r="67" spans="2:13" x14ac:dyDescent="0.3">
      <c r="B67" s="33"/>
      <c r="C67" s="106"/>
      <c r="D67" s="106"/>
      <c r="E67" s="106"/>
      <c r="F67" s="106"/>
      <c r="G67" s="106"/>
      <c r="H67" s="106"/>
      <c r="I67" s="106"/>
      <c r="J67" s="106"/>
      <c r="K67" s="106"/>
      <c r="L67" s="106"/>
    </row>
    <row r="68" spans="2:13" x14ac:dyDescent="0.3">
      <c r="B68" t="s">
        <v>96</v>
      </c>
      <c r="C68" s="106">
        <f>C61+C66</f>
        <v>4109</v>
      </c>
      <c r="D68" s="106">
        <f t="shared" ref="D68:L68" si="23">D61+D66</f>
        <v>5188</v>
      </c>
      <c r="E68" s="106">
        <f t="shared" si="23"/>
        <v>6237</v>
      </c>
      <c r="F68" s="106">
        <f t="shared" si="23"/>
        <v>7830</v>
      </c>
      <c r="G68" s="106">
        <f t="shared" si="23"/>
        <v>8001</v>
      </c>
      <c r="H68" s="106">
        <f t="shared" si="23"/>
        <v>7526</v>
      </c>
      <c r="I68" s="106">
        <f t="shared" si="23"/>
        <v>9350</v>
      </c>
      <c r="J68" s="106">
        <f t="shared" si="23"/>
        <v>9072</v>
      </c>
      <c r="K68" s="106">
        <f t="shared" si="23"/>
        <v>8836</v>
      </c>
      <c r="L68" s="106">
        <f t="shared" si="23"/>
        <v>9731</v>
      </c>
    </row>
    <row r="70" spans="2:13" x14ac:dyDescent="0.3">
      <c r="B70" t="s">
        <v>127</v>
      </c>
      <c r="C70" t="b">
        <f>C68=C55</f>
        <v>1</v>
      </c>
      <c r="D70" t="b">
        <f t="shared" ref="D70:L70" si="24">D68=D55</f>
        <v>1</v>
      </c>
      <c r="E70" t="b">
        <f t="shared" si="24"/>
        <v>0</v>
      </c>
      <c r="F70" t="b">
        <f t="shared" si="24"/>
        <v>1</v>
      </c>
      <c r="G70" t="b">
        <f t="shared" si="24"/>
        <v>0</v>
      </c>
      <c r="H70" t="b">
        <f t="shared" si="24"/>
        <v>1</v>
      </c>
      <c r="I70" t="b">
        <f t="shared" si="24"/>
        <v>1</v>
      </c>
      <c r="J70" t="b">
        <f t="shared" si="24"/>
        <v>0</v>
      </c>
      <c r="K70" t="b">
        <f t="shared" si="24"/>
        <v>0</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1289</v>
      </c>
      <c r="D74" s="106">
        <f>'Cash Flow Statement'!F7</f>
        <v>1517</v>
      </c>
      <c r="E74" s="106">
        <f>'Cash Flow Statement'!G7</f>
        <v>1754</v>
      </c>
      <c r="F74" s="106">
        <f>'Cash Flow Statement'!H7</f>
        <v>1860</v>
      </c>
      <c r="G74" s="106">
        <f>'Cash Flow Statement'!I7</f>
        <v>2540</v>
      </c>
      <c r="H74" s="106">
        <f>'Cash Flow Statement'!J7</f>
        <v>2214</v>
      </c>
      <c r="I74" s="106">
        <f>'Cash Flow Statement'!K7</f>
        <v>2846</v>
      </c>
      <c r="J74" s="106">
        <f>'Cash Flow Statement'!L7</f>
        <v>3177</v>
      </c>
      <c r="K74" s="106">
        <f>'Cash Flow Statement'!M7</f>
        <v>3174</v>
      </c>
      <c r="L74" s="106">
        <f>'Cash Flow Statement'!N7</f>
        <v>3555</v>
      </c>
    </row>
    <row r="75" spans="2:13" x14ac:dyDescent="0.3">
      <c r="B75" t="str">
        <f>'Cash Flow Statement'!B8</f>
        <v>Receivables</v>
      </c>
      <c r="C75" s="106">
        <f>'Cash Flow Statement'!E8</f>
        <v>-9</v>
      </c>
      <c r="D75" s="106">
        <f>'Cash Flow Statement'!F8</f>
        <v>-125</v>
      </c>
      <c r="E75" s="106">
        <f>'Cash Flow Statement'!G8</f>
        <v>-87</v>
      </c>
      <c r="F75" s="106">
        <f>'Cash Flow Statement'!H8</f>
        <v>79</v>
      </c>
      <c r="G75" s="106">
        <f>'Cash Flow Statement'!I8</f>
        <v>61</v>
      </c>
      <c r="H75" s="106">
        <f>'Cash Flow Statement'!J8</f>
        <v>-72</v>
      </c>
      <c r="I75" s="106">
        <f>'Cash Flow Statement'!K8</f>
        <v>1</v>
      </c>
      <c r="J75" s="106">
        <f>'Cash Flow Statement'!L8</f>
        <v>-64</v>
      </c>
      <c r="K75" s="106">
        <f>'Cash Flow Statement'!M8</f>
        <v>-53</v>
      </c>
      <c r="L75" s="106">
        <f>'Cash Flow Statement'!N8</f>
        <v>-13</v>
      </c>
    </row>
    <row r="76" spans="2:13" x14ac:dyDescent="0.3">
      <c r="B76" t="str">
        <f>'Cash Flow Statement'!B9</f>
        <v>Inventory</v>
      </c>
      <c r="C76" s="106">
        <f>'Cash Flow Statement'!E9</f>
        <v>-221</v>
      </c>
      <c r="D76" s="106">
        <f>'Cash Flow Statement'!F9</f>
        <v>9</v>
      </c>
      <c r="E76" s="106">
        <f>'Cash Flow Statement'!G9</f>
        <v>-127</v>
      </c>
      <c r="F76" s="106">
        <f>'Cash Flow Statement'!H9</f>
        <v>43</v>
      </c>
      <c r="G76" s="106">
        <f>'Cash Flow Statement'!I9</f>
        <v>-351</v>
      </c>
      <c r="H76" s="106">
        <f>'Cash Flow Statement'!J9</f>
        <v>-275</v>
      </c>
      <c r="I76" s="106">
        <f>'Cash Flow Statement'!K9</f>
        <v>177</v>
      </c>
      <c r="J76" s="106">
        <f>'Cash Flow Statement'!L9</f>
        <v>13</v>
      </c>
      <c r="K76" s="106">
        <f>'Cash Flow Statement'!M9</f>
        <v>-54</v>
      </c>
      <c r="L76" s="106">
        <f>'Cash Flow Statement'!N9</f>
        <v>-105</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64</v>
      </c>
      <c r="I77" s="106">
        <f>'Cash Flow Statement'!K10</f>
        <v>292</v>
      </c>
      <c r="J77" s="106">
        <f>'Cash Flow Statement'!L10</f>
        <v>237</v>
      </c>
      <c r="K77" s="106">
        <f>'Cash Flow Statement'!M10</f>
        <v>202</v>
      </c>
      <c r="L77" s="106">
        <f>'Cash Flow Statement'!N10</f>
        <v>25</v>
      </c>
    </row>
    <row r="78" spans="2:13" x14ac:dyDescent="0.3">
      <c r="B78" t="str">
        <f>'Cash Flow Statement'!B11</f>
        <v>Working capital changes</v>
      </c>
      <c r="C78" s="106">
        <f>'Cash Flow Statement'!E11</f>
        <v>-451</v>
      </c>
      <c r="D78" s="106">
        <f>'Cash Flow Statement'!F11</f>
        <v>228</v>
      </c>
      <c r="E78" s="106">
        <f>'Cash Flow Statement'!G11</f>
        <v>-2</v>
      </c>
      <c r="F78" s="106">
        <f>'Cash Flow Statement'!H11</f>
        <v>127</v>
      </c>
      <c r="G78" s="106">
        <f>'Cash Flow Statement'!I11</f>
        <v>-56</v>
      </c>
      <c r="H78" s="106">
        <f>'Cash Flow Statement'!J11</f>
        <v>-327</v>
      </c>
      <c r="I78" s="106">
        <f>'Cash Flow Statement'!K11</f>
        <v>406</v>
      </c>
      <c r="J78" s="106">
        <f>'Cash Flow Statement'!L11</f>
        <v>161</v>
      </c>
      <c r="K78" s="106">
        <f>'Cash Flow Statement'!M11</f>
        <v>6</v>
      </c>
      <c r="L78" s="106">
        <f>'Cash Flow Statement'!N11</f>
        <v>-121</v>
      </c>
    </row>
    <row r="79" spans="2:13" x14ac:dyDescent="0.3">
      <c r="B79" t="str">
        <f>'Cash Flow Statement'!B12</f>
        <v>Direct taxes</v>
      </c>
      <c r="C79" s="106">
        <f>'Cash Flow Statement'!E12</f>
        <v>-397</v>
      </c>
      <c r="D79" s="106">
        <f>'Cash Flow Statement'!F12</f>
        <v>-496</v>
      </c>
      <c r="E79" s="106">
        <f>'Cash Flow Statement'!G12</f>
        <v>-596</v>
      </c>
      <c r="F79" s="106">
        <f>'Cash Flow Statement'!H12</f>
        <v>-503</v>
      </c>
      <c r="G79" s="106">
        <f>'Cash Flow Statement'!I12</f>
        <v>-633</v>
      </c>
      <c r="H79" s="106">
        <f>'Cash Flow Statement'!J12</f>
        <v>-587</v>
      </c>
      <c r="I79" s="106">
        <f>'Cash Flow Statement'!K12</f>
        <v>-726</v>
      </c>
      <c r="J79" s="106">
        <f>'Cash Flow Statement'!L12</f>
        <v>-765</v>
      </c>
      <c r="K79" s="106">
        <f>'Cash Flow Statement'!M12</f>
        <v>-689</v>
      </c>
      <c r="L79" s="106">
        <f>'Cash Flow Statement'!N12</f>
        <v>-822</v>
      </c>
    </row>
    <row r="80" spans="2:13" x14ac:dyDescent="0.3">
      <c r="B80" t="s">
        <v>152</v>
      </c>
      <c r="C80" s="106">
        <f t="shared" ref="C80:L80" si="25">SUM(C74:C79)</f>
        <v>211</v>
      </c>
      <c r="D80" s="106">
        <f t="shared" si="25"/>
        <v>1133</v>
      </c>
      <c r="E80" s="106">
        <f t="shared" si="25"/>
        <v>942</v>
      </c>
      <c r="F80" s="106">
        <f>SUM(F74:F79)</f>
        <v>1606</v>
      </c>
      <c r="G80" s="106">
        <f t="shared" si="25"/>
        <v>1561</v>
      </c>
      <c r="H80" s="106">
        <f t="shared" si="25"/>
        <v>1017</v>
      </c>
      <c r="I80" s="106">
        <f t="shared" si="25"/>
        <v>2996</v>
      </c>
      <c r="J80" s="106">
        <f t="shared" si="25"/>
        <v>2759</v>
      </c>
      <c r="K80" s="106">
        <f t="shared" si="25"/>
        <v>2586</v>
      </c>
      <c r="L80" s="106">
        <f t="shared" si="25"/>
        <v>2519</v>
      </c>
    </row>
    <row r="82" spans="2:12" x14ac:dyDescent="0.3">
      <c r="B82" t="s">
        <v>153</v>
      </c>
    </row>
    <row r="83" spans="2:12" x14ac:dyDescent="0.3">
      <c r="B83" t="str">
        <f>'Cash Flow Statement'!B14</f>
        <v>Fixed assets purchased</v>
      </c>
      <c r="C83" s="106">
        <f>'Cash Flow Statement'!E14</f>
        <v>-360</v>
      </c>
      <c r="D83" s="106">
        <f>'Cash Flow Statement'!F14</f>
        <v>-423</v>
      </c>
      <c r="E83" s="106">
        <f>'Cash Flow Statement'!G14</f>
        <v>-401</v>
      </c>
      <c r="F83" s="106">
        <f>'Cash Flow Statement'!H14</f>
        <v>-244</v>
      </c>
      <c r="G83" s="106">
        <f>'Cash Flow Statement'!I14</f>
        <v>-242</v>
      </c>
      <c r="H83" s="106">
        <f>'Cash Flow Statement'!J14</f>
        <v>-550</v>
      </c>
      <c r="I83" s="106">
        <f>'Cash Flow Statement'!K14</f>
        <v>-711</v>
      </c>
      <c r="J83" s="106">
        <f>'Cash Flow Statement'!L14</f>
        <v>-553</v>
      </c>
      <c r="K83" s="106">
        <f>'Cash Flow Statement'!M14</f>
        <v>-375</v>
      </c>
      <c r="L83" s="106">
        <f>'Cash Flow Statement'!N14</f>
        <v>-206</v>
      </c>
    </row>
    <row r="84" spans="2:12" x14ac:dyDescent="0.3">
      <c r="B84" t="str">
        <f>'Cash Flow Statement'!B15</f>
        <v>Fixed assets sold</v>
      </c>
      <c r="C84" s="106">
        <f>'Cash Flow Statement'!E15</f>
        <v>8</v>
      </c>
      <c r="D84" s="106">
        <f>'Cash Flow Statement'!F15</f>
        <v>2</v>
      </c>
      <c r="E84" s="106">
        <f>'Cash Flow Statement'!G15</f>
        <v>2</v>
      </c>
      <c r="F84" s="106">
        <f>'Cash Flow Statement'!H15</f>
        <v>1</v>
      </c>
      <c r="G84" s="106">
        <f>'Cash Flow Statement'!I15</f>
        <v>2</v>
      </c>
      <c r="H84" s="106">
        <f>'Cash Flow Statement'!J15</f>
        <v>3</v>
      </c>
      <c r="I84" s="106">
        <f>'Cash Flow Statement'!K15</f>
        <v>78</v>
      </c>
      <c r="J84" s="106">
        <f>'Cash Flow Statement'!L15</f>
        <v>65</v>
      </c>
      <c r="K84" s="106">
        <f>'Cash Flow Statement'!M15</f>
        <v>5</v>
      </c>
      <c r="L84" s="106">
        <f>'Cash Flow Statement'!N15</f>
        <v>2</v>
      </c>
    </row>
    <row r="85" spans="2:12" x14ac:dyDescent="0.3">
      <c r="B85" t="str">
        <f>'Cash Flow Statement'!B16</f>
        <v>Investments purchased</v>
      </c>
      <c r="C85" s="106">
        <f>'Cash Flow Statement'!E16</f>
        <v>0</v>
      </c>
      <c r="D85" s="106">
        <f>'Cash Flow Statement'!F16</f>
        <v>-537</v>
      </c>
      <c r="E85" s="106">
        <f>'Cash Flow Statement'!G16</f>
        <v>-334</v>
      </c>
      <c r="F85" s="106">
        <f>'Cash Flow Statement'!H16</f>
        <v>-1327</v>
      </c>
      <c r="G85" s="106">
        <f>'Cash Flow Statement'!I16</f>
        <v>0</v>
      </c>
      <c r="H85" s="106">
        <f>'Cash Flow Statement'!J16</f>
        <v>-21</v>
      </c>
      <c r="I85" s="106">
        <f>'Cash Flow Statement'!K16</f>
        <v>-1468</v>
      </c>
      <c r="J85" s="106">
        <f>'Cash Flow Statement'!L16</f>
        <v>-191</v>
      </c>
      <c r="K85" s="106">
        <f>'Cash Flow Statement'!M16</f>
        <v>-945</v>
      </c>
      <c r="L85" s="106">
        <f>'Cash Flow Statement'!N16</f>
        <v>-976</v>
      </c>
    </row>
    <row r="86" spans="2:12" x14ac:dyDescent="0.3">
      <c r="B86" t="str">
        <f>'Cash Flow Statement'!B17</f>
        <v>Investments sold</v>
      </c>
      <c r="C86" s="106">
        <f>'Cash Flow Statement'!E17</f>
        <v>359</v>
      </c>
      <c r="D86" s="106">
        <f>'Cash Flow Statement'!F17</f>
        <v>0</v>
      </c>
      <c r="E86" s="106">
        <f>'Cash Flow Statement'!G17</f>
        <v>0</v>
      </c>
      <c r="F86" s="106">
        <f>'Cash Flow Statement'!H17</f>
        <v>0</v>
      </c>
      <c r="G86" s="106">
        <f>'Cash Flow Statement'!I17</f>
        <v>179</v>
      </c>
      <c r="H86" s="106">
        <f>'Cash Flow Statement'!J17</f>
        <v>1069</v>
      </c>
      <c r="I86" s="106">
        <f>'Cash Flow Statement'!K17</f>
        <v>443</v>
      </c>
      <c r="J86" s="106">
        <f>'Cash Flow Statement'!L17</f>
        <v>771</v>
      </c>
      <c r="K86" s="106">
        <f>'Cash Flow Statement'!M17</f>
        <v>919</v>
      </c>
      <c r="L86" s="106">
        <f>'Cash Flow Statement'!N17</f>
        <v>254</v>
      </c>
    </row>
    <row r="87" spans="2:12" x14ac:dyDescent="0.3">
      <c r="B87" t="str">
        <f>'Cash Flow Statement'!B18</f>
        <v>Interest received</v>
      </c>
      <c r="C87" s="106">
        <f>'Cash Flow Statement'!E18</f>
        <v>75</v>
      </c>
      <c r="D87" s="106">
        <f>'Cash Flow Statement'!F18</f>
        <v>109</v>
      </c>
      <c r="E87" s="106">
        <f>'Cash Flow Statement'!G18</f>
        <v>117</v>
      </c>
      <c r="F87" s="106">
        <f>'Cash Flow Statement'!H18</f>
        <v>128</v>
      </c>
      <c r="G87" s="106">
        <f>'Cash Flow Statement'!I18</f>
        <v>233</v>
      </c>
      <c r="H87" s="106">
        <f>'Cash Flow Statement'!J18</f>
        <v>207</v>
      </c>
      <c r="I87" s="106">
        <f>'Cash Flow Statement'!K18</f>
        <v>175</v>
      </c>
      <c r="J87" s="106">
        <f>'Cash Flow Statement'!L18</f>
        <v>170</v>
      </c>
      <c r="K87" s="106">
        <f>'Cash Flow Statement'!M18</f>
        <v>151</v>
      </c>
      <c r="L87" s="106">
        <f>'Cash Flow Statement'!N18</f>
        <v>143</v>
      </c>
    </row>
    <row r="88" spans="2:12" x14ac:dyDescent="0.3">
      <c r="B88" t="str">
        <f>'Cash Flow Statement'!B19</f>
        <v>Dividends received</v>
      </c>
      <c r="C88" s="106">
        <f>'Cash Flow Statement'!E19</f>
        <v>0</v>
      </c>
      <c r="D88" s="106">
        <f>'Cash Flow Statement'!F19</f>
        <v>0</v>
      </c>
      <c r="E88" s="106">
        <f>'Cash Flow Statement'!G19</f>
        <v>0</v>
      </c>
      <c r="F88" s="106">
        <f>'Cash Flow Statement'!H19</f>
        <v>0</v>
      </c>
      <c r="G88" s="106">
        <f>'Cash Flow Statement'!I19</f>
        <v>0</v>
      </c>
      <c r="H88" s="106">
        <f>'Cash Flow Statement'!J19</f>
        <v>0</v>
      </c>
      <c r="I88" s="106">
        <f>'Cash Flow Statement'!K19</f>
        <v>0</v>
      </c>
      <c r="J88" s="106">
        <f>'Cash Flow Statement'!L19</f>
        <v>0</v>
      </c>
      <c r="K88" s="106">
        <f>'Cash Flow Statement'!M19</f>
        <v>0</v>
      </c>
      <c r="L88" s="106">
        <f>'Cash Flow Statement'!N19</f>
        <v>0</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-14</v>
      </c>
      <c r="D90" s="106">
        <f>'Cash Flow Statement'!F21</f>
        <v>0</v>
      </c>
      <c r="E90" s="106">
        <f>'Cash Flow Statement'!G21</f>
        <v>0</v>
      </c>
      <c r="F90" s="106">
        <f>'Cash Flow Statement'!H21</f>
        <v>0</v>
      </c>
      <c r="G90" s="106">
        <f>'Cash Flow Statement'!I21</f>
        <v>0</v>
      </c>
      <c r="H90" s="106">
        <f>'Cash Flow Statement'!J21</f>
        <v>0</v>
      </c>
      <c r="I90" s="106">
        <f>'Cash Flow Statement'!K21</f>
        <v>-215</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262</v>
      </c>
      <c r="J91" s="106">
        <f>'Cash Flow Statement'!L22</f>
        <v>0</v>
      </c>
      <c r="K91" s="106">
        <f>'Cash Flow Statement'!M22</f>
        <v>0</v>
      </c>
      <c r="L91" s="106">
        <f>'Cash Flow Statement'!N22</f>
        <v>0</v>
      </c>
    </row>
    <row r="92" spans="2:12" x14ac:dyDescent="0.3">
      <c r="B92" t="str">
        <f>'Cash Flow Statement'!B23</f>
        <v>Other investing items</v>
      </c>
      <c r="C92" s="106">
        <f>'Cash Flow Statement'!E23</f>
        <v>0</v>
      </c>
      <c r="D92" s="106">
        <f>'Cash Flow Statement'!F23</f>
        <v>0</v>
      </c>
      <c r="E92" s="106">
        <f>'Cash Flow Statement'!G23</f>
        <v>3</v>
      </c>
      <c r="F92" s="106">
        <f>'Cash Flow Statement'!H23</f>
        <v>6</v>
      </c>
      <c r="G92" s="106">
        <f>'Cash Flow Statement'!I23</f>
        <v>-2</v>
      </c>
      <c r="H92" s="106">
        <f>'Cash Flow Statement'!J23</f>
        <v>5</v>
      </c>
      <c r="I92" s="106">
        <f>'Cash Flow Statement'!K23</f>
        <v>-159</v>
      </c>
      <c r="J92" s="106">
        <f>'Cash Flow Statement'!L23</f>
        <v>-27</v>
      </c>
      <c r="K92" s="106">
        <f>'Cash Flow Statement'!M23</f>
        <v>-71</v>
      </c>
      <c r="L92" s="106">
        <f>'Cash Flow Statement'!N23</f>
        <v>55</v>
      </c>
    </row>
    <row r="93" spans="2:12" x14ac:dyDescent="0.3">
      <c r="B93" t="s">
        <v>154</v>
      </c>
      <c r="C93" s="106">
        <f>SUM(C83:C92)</f>
        <v>68</v>
      </c>
      <c r="D93" s="106">
        <f t="shared" ref="D93:K93" si="26">SUM(D83:D92)</f>
        <v>-849</v>
      </c>
      <c r="E93" s="106">
        <f t="shared" si="26"/>
        <v>-613</v>
      </c>
      <c r="F93" s="106">
        <f t="shared" si="26"/>
        <v>-1436</v>
      </c>
      <c r="G93" s="106">
        <f t="shared" si="26"/>
        <v>170</v>
      </c>
      <c r="H93" s="106">
        <f t="shared" si="26"/>
        <v>713</v>
      </c>
      <c r="I93" s="106">
        <f t="shared" si="26"/>
        <v>-1595</v>
      </c>
      <c r="J93" s="106">
        <f t="shared" si="26"/>
        <v>235</v>
      </c>
      <c r="K93" s="106">
        <f t="shared" si="26"/>
        <v>-316</v>
      </c>
      <c r="L93" s="106">
        <f>SUM(L83:L92)</f>
        <v>-728</v>
      </c>
    </row>
    <row r="95" spans="2:12" x14ac:dyDescent="0.3">
      <c r="B95" t="s">
        <v>155</v>
      </c>
    </row>
    <row r="96" spans="2:12" x14ac:dyDescent="0.3">
      <c r="B96" t="str">
        <f>'Cash Flow Statement'!B25</f>
        <v>Proceeds from shares</v>
      </c>
      <c r="C96" s="106">
        <f>'Cash Flow Statement'!E25</f>
        <v>6</v>
      </c>
      <c r="D96" s="106">
        <f>'Cash Flow Statement'!F25</f>
        <v>15</v>
      </c>
      <c r="E96" s="106">
        <f>'Cash Flow Statement'!G25</f>
        <v>30</v>
      </c>
      <c r="F96" s="106">
        <f>'Cash Flow Statement'!H25</f>
        <v>24</v>
      </c>
      <c r="G96" s="106">
        <f>'Cash Flow Statement'!I25</f>
        <v>103</v>
      </c>
      <c r="H96" s="106">
        <f>'Cash Flow Statement'!J25</f>
        <v>0</v>
      </c>
      <c r="I96" s="106">
        <f>'Cash Flow Statement'!K25</f>
        <v>0</v>
      </c>
      <c r="J96" s="106">
        <f>'Cash Flow Statement'!L25</f>
        <v>0</v>
      </c>
      <c r="K96" s="106">
        <f>'Cash Flow Statement'!M25</f>
        <v>0</v>
      </c>
      <c r="L96" s="106">
        <f>'Cash Flow Statement'!N25</f>
        <v>0</v>
      </c>
    </row>
    <row r="97" spans="2:12" x14ac:dyDescent="0.3">
      <c r="B97" t="str">
        <f>'Cash Flow Statement'!B26</f>
        <v>Proceeds from borrowings</v>
      </c>
      <c r="C97" s="106">
        <f>'Cash Flow Statement'!E26</f>
        <v>0</v>
      </c>
      <c r="D97" s="106">
        <f>'Cash Flow Statement'!F26</f>
        <v>0</v>
      </c>
      <c r="E97" s="106">
        <f>'Cash Flow Statement'!G26</f>
        <v>0</v>
      </c>
      <c r="F97" s="106">
        <f>'Cash Flow Statement'!H26</f>
        <v>641</v>
      </c>
      <c r="G97" s="106">
        <f>'Cash Flow Statement'!I26</f>
        <v>568</v>
      </c>
      <c r="H97" s="106">
        <f>'Cash Flow Statement'!J26</f>
        <v>645</v>
      </c>
      <c r="I97" s="106">
        <f>'Cash Flow Statement'!K26</f>
        <v>1312</v>
      </c>
      <c r="J97" s="106">
        <f>'Cash Flow Statement'!L26</f>
        <v>201</v>
      </c>
      <c r="K97" s="106">
        <f>'Cash Flow Statement'!M26</f>
        <v>26</v>
      </c>
      <c r="L97" s="106">
        <f>'Cash Flow Statement'!N26</f>
        <v>324</v>
      </c>
    </row>
    <row r="98" spans="2:12" x14ac:dyDescent="0.3">
      <c r="B98" t="str">
        <f>'Cash Flow Statement'!B27</f>
        <v>Repayment of borrowings</v>
      </c>
      <c r="C98" s="106">
        <f>'Cash Flow Statement'!E27</f>
        <v>0</v>
      </c>
      <c r="D98" s="106">
        <f>'Cash Flow Statement'!F27</f>
        <v>0</v>
      </c>
      <c r="E98" s="106">
        <f>'Cash Flow Statement'!G27</f>
        <v>-42</v>
      </c>
      <c r="F98" s="106">
        <f>'Cash Flow Statement'!H27</f>
        <v>0</v>
      </c>
      <c r="G98" s="106">
        <f>'Cash Flow Statement'!I27</f>
        <v>0</v>
      </c>
      <c r="H98" s="106">
        <f>'Cash Flow Statement'!J27</f>
        <v>-984</v>
      </c>
      <c r="I98" s="106">
        <f>'Cash Flow Statement'!K27</f>
        <v>-70</v>
      </c>
      <c r="J98" s="106">
        <f>'Cash Flow Statement'!L27</f>
        <v>-1141</v>
      </c>
      <c r="K98" s="106">
        <f>'Cash Flow Statement'!M27</f>
        <v>-149</v>
      </c>
      <c r="L98" s="106">
        <f>'Cash Flow Statement'!N27</f>
        <v>-192</v>
      </c>
    </row>
    <row r="99" spans="2:12" x14ac:dyDescent="0.3">
      <c r="B99" t="str">
        <f>'Cash Flow Statement'!B28</f>
        <v>Interest paid fin</v>
      </c>
      <c r="C99" s="106">
        <f>'Cash Flow Statement'!E28</f>
        <v>-6</v>
      </c>
      <c r="D99" s="106">
        <f>'Cash Flow Statement'!F28</f>
        <v>-7</v>
      </c>
      <c r="E99" s="106">
        <f>'Cash Flow Statement'!G28</f>
        <v>-9</v>
      </c>
      <c r="F99" s="106">
        <f>'Cash Flow Statement'!H28</f>
        <v>-36</v>
      </c>
      <c r="G99" s="106">
        <f>'Cash Flow Statement'!I28</f>
        <v>-102</v>
      </c>
      <c r="H99" s="106">
        <f>'Cash Flow Statement'!J28</f>
        <v>-119</v>
      </c>
      <c r="I99" s="106">
        <f>'Cash Flow Statement'!K28</f>
        <v>-196</v>
      </c>
      <c r="J99" s="106">
        <f>'Cash Flow Statement'!L28</f>
        <v>-165</v>
      </c>
      <c r="K99" s="106">
        <f>'Cash Flow Statement'!M28</f>
        <v>-172</v>
      </c>
      <c r="L99" s="106">
        <f>'Cash Flow Statement'!N28</f>
        <v>-108</v>
      </c>
    </row>
    <row r="100" spans="2:12" x14ac:dyDescent="0.3">
      <c r="B100" t="str">
        <f>'Cash Flow Statement'!B29</f>
        <v>Dividends paid</v>
      </c>
      <c r="C100" s="106">
        <f>'Cash Flow Statement'!E29</f>
        <v>-288</v>
      </c>
      <c r="D100" s="106">
        <f>'Cash Flow Statement'!F29</f>
        <v>-317</v>
      </c>
      <c r="E100" s="106">
        <f>'Cash Flow Statement'!G29</f>
        <v>-354</v>
      </c>
      <c r="F100" s="106">
        <f>'Cash Flow Statement'!H29</f>
        <v>-433</v>
      </c>
      <c r="G100" s="106">
        <f>'Cash Flow Statement'!I29</f>
        <v>-2824</v>
      </c>
      <c r="H100" s="106">
        <f>'Cash Flow Statement'!J29</f>
        <v>-2485</v>
      </c>
      <c r="I100" s="106">
        <f>'Cash Flow Statement'!K29</f>
        <v>-1359</v>
      </c>
      <c r="J100" s="106">
        <f>'Cash Flow Statement'!L29</f>
        <v>-1732</v>
      </c>
      <c r="K100" s="106">
        <f>'Cash Flow Statement'!M29</f>
        <v>-1768</v>
      </c>
      <c r="L100" s="106">
        <f>'Cash Flow Statement'!N29</f>
        <v>-1804</v>
      </c>
    </row>
    <row r="101" spans="2:12" x14ac:dyDescent="0.3">
      <c r="B101" t="str">
        <f>'Cash Flow Statement'!B30</f>
        <v>Financial liabilities</v>
      </c>
      <c r="C101" s="106">
        <f>'Cash Flow Statement'!E30</f>
        <v>0</v>
      </c>
      <c r="D101" s="106">
        <f>'Cash Flow Statement'!F30</f>
        <v>0</v>
      </c>
      <c r="E101" s="106">
        <f>'Cash Flow Statement'!G30</f>
        <v>0</v>
      </c>
      <c r="F101" s="106">
        <f>'Cash Flow Statement'!H30</f>
        <v>-2</v>
      </c>
      <c r="G101" s="106">
        <f>'Cash Flow Statement'!I30</f>
        <v>-3</v>
      </c>
      <c r="H101" s="106">
        <f>'Cash Flow Statement'!J30</f>
        <v>-2</v>
      </c>
      <c r="I101" s="106">
        <f>'Cash Flow Statement'!K30</f>
        <v>-3</v>
      </c>
      <c r="J101" s="106">
        <f>'Cash Flow Statement'!L30</f>
        <v>-2</v>
      </c>
      <c r="K101" s="106">
        <f>'Cash Flow Statement'!M30</f>
        <v>-4</v>
      </c>
      <c r="L101" s="106">
        <f>'Cash Flow Statement'!N30</f>
        <v>-3</v>
      </c>
    </row>
    <row r="102" spans="2:12" x14ac:dyDescent="0.3">
      <c r="B102" t="str">
        <f>'Cash Flow Statement'!B31</f>
        <v>Other financing items</v>
      </c>
      <c r="C102" s="106">
        <f>'Cash Flow Statement'!E31</f>
        <v>-7</v>
      </c>
      <c r="D102" s="106">
        <f>'Cash Flow Statement'!F31</f>
        <v>78</v>
      </c>
      <c r="E102" s="106">
        <f>'Cash Flow Statement'!G31</f>
        <v>23</v>
      </c>
      <c r="F102" s="106">
        <f>'Cash Flow Statement'!H31</f>
        <v>12</v>
      </c>
      <c r="G102" s="106">
        <f>'Cash Flow Statement'!I31</f>
        <v>14</v>
      </c>
      <c r="H102" s="106">
        <f>'Cash Flow Statement'!J31</f>
        <v>0</v>
      </c>
      <c r="I102" s="106">
        <f>'Cash Flow Statement'!K31</f>
        <v>9</v>
      </c>
      <c r="J102" s="106">
        <f>'Cash Flow Statement'!L31</f>
        <v>0</v>
      </c>
      <c r="K102" s="106">
        <f>'Cash Flow Statement'!M31</f>
        <v>2</v>
      </c>
      <c r="L102" s="106">
        <f>'Cash Flow Statement'!N31</f>
        <v>0</v>
      </c>
    </row>
    <row r="103" spans="2:12" x14ac:dyDescent="0.3">
      <c r="B103" t="s">
        <v>156</v>
      </c>
      <c r="C103" s="106">
        <f>SUM(C96:C102)</f>
        <v>-295</v>
      </c>
      <c r="D103" s="106">
        <f t="shared" ref="D103:L103" si="27">SUM(D96:D102)</f>
        <v>-231</v>
      </c>
      <c r="E103" s="106">
        <f t="shared" si="27"/>
        <v>-352</v>
      </c>
      <c r="F103" s="106">
        <f t="shared" si="27"/>
        <v>206</v>
      </c>
      <c r="G103" s="106">
        <f t="shared" si="27"/>
        <v>-2244</v>
      </c>
      <c r="H103" s="106">
        <f t="shared" si="27"/>
        <v>-2945</v>
      </c>
      <c r="I103" s="106">
        <f t="shared" si="27"/>
        <v>-307</v>
      </c>
      <c r="J103" s="106">
        <f t="shared" si="27"/>
        <v>-2839</v>
      </c>
      <c r="K103" s="106">
        <f t="shared" si="27"/>
        <v>-2065</v>
      </c>
      <c r="L103" s="106">
        <f t="shared" si="27"/>
        <v>-1783</v>
      </c>
    </row>
    <row r="105" spans="2:12" x14ac:dyDescent="0.3">
      <c r="B105" t="s">
        <v>35</v>
      </c>
      <c r="C105" s="106">
        <f>C80+C93+C103</f>
        <v>-16</v>
      </c>
      <c r="D105" s="106">
        <f t="shared" ref="D105:L105" si="28">D80+D93+D103</f>
        <v>53</v>
      </c>
      <c r="E105" s="106">
        <f t="shared" si="28"/>
        <v>-23</v>
      </c>
      <c r="F105" s="106">
        <f t="shared" si="28"/>
        <v>376</v>
      </c>
      <c r="G105" s="106">
        <f t="shared" si="28"/>
        <v>-513</v>
      </c>
      <c r="H105" s="106">
        <f t="shared" si="28"/>
        <v>-1215</v>
      </c>
      <c r="I105" s="106">
        <f t="shared" si="28"/>
        <v>1094</v>
      </c>
      <c r="J105" s="106">
        <f t="shared" si="28"/>
        <v>155</v>
      </c>
      <c r="K105" s="106">
        <f t="shared" si="28"/>
        <v>205</v>
      </c>
      <c r="L105" s="106">
        <f t="shared" si="28"/>
        <v>8</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BRITANNIA INDUSTRIES LTD</v>
      </c>
      <c r="C2" s="161"/>
      <c r="D2" s="161"/>
      <c r="E2" s="161"/>
      <c r="F2" s="161"/>
      <c r="G2" s="161"/>
      <c r="H2" s="161"/>
      <c r="I2" s="161"/>
      <c r="J2" s="161"/>
      <c r="K2" s="161"/>
      <c r="L2" s="161"/>
      <c r="M2" s="41"/>
      <c r="N2" s="32"/>
      <c r="O2" s="32"/>
    </row>
    <row r="3" spans="2:15" x14ac:dyDescent="0.3">
      <c r="B3" s="32" t="s">
        <v>8608</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8609</v>
      </c>
      <c r="C5" s="36"/>
      <c r="D5" s="36">
        <f>IFERROR('Historical FS'!D8,0)</f>
        <v>9.4985641705323642E-2</v>
      </c>
      <c r="E5" s="36">
        <f>IFERROR('Historical FS'!E8,0)</f>
        <v>0.11508977203954007</v>
      </c>
      <c r="F5" s="36">
        <f>IFERROR('Historical FS'!F8,0)</f>
        <v>4.9298959746721049E-2</v>
      </c>
      <c r="G5" s="36">
        <f>IFERROR('Historical FS'!G8,0)</f>
        <v>0.13241379310344836</v>
      </c>
      <c r="H5" s="36">
        <f>IFERROR('Historical FS'!H8,0)</f>
        <v>7.6126674786845205E-2</v>
      </c>
      <c r="I5" s="36">
        <f>IFERROR('Historical FS'!I8,0)</f>
        <v>0.15315506508205989</v>
      </c>
      <c r="J5" s="36">
        <f>IFERROR('Historical FS'!J8,0)</f>
        <v>2.8709895098460114E-2</v>
      </c>
      <c r="K5" s="36">
        <f>IFERROR('Historical FS'!K8,0)</f>
        <v>7.0010137754189294E-2</v>
      </c>
      <c r="L5" s="36">
        <f>IFERROR('Historical FS'!L8,0)</f>
        <v>6.7380036783146524E-2</v>
      </c>
      <c r="N5" s="46">
        <f>IFERROR(AVERAGE(D5:L5),0)</f>
        <v>8.7463330677748238E-2</v>
      </c>
      <c r="O5" s="46">
        <f>IFERROR(MEDIAN(D5:L5),0)</f>
        <v>7.6126674786845205E-2</v>
      </c>
    </row>
    <row r="6" spans="2:15" x14ac:dyDescent="0.3">
      <c r="B6" t="s">
        <v>166</v>
      </c>
      <c r="C6" s="36"/>
      <c r="D6" s="36">
        <f>IFERROR(('Historical FS'!D19/'Historical FS'!C19-1),0)</f>
        <v>0.29960136481875521</v>
      </c>
      <c r="E6" s="36">
        <f>IFERROR(('Historical FS'!E19/'Historical FS'!D19-1),0)</f>
        <v>5.2294675002274804E-2</v>
      </c>
      <c r="F6" s="36">
        <f>IFERROR(('Historical FS'!F19/'Historical FS'!E19-1),0)</f>
        <v>0.23143430600586701</v>
      </c>
      <c r="G6" s="36">
        <f>IFERROR(('Historical FS'!G19/'Historical FS'!F19-1),0)</f>
        <v>0.27687061183550643</v>
      </c>
      <c r="H6" s="36">
        <f>IFERROR(('Historical FS'!H19/'Historical FS'!G19-1),0)</f>
        <v>-0.22480047759693367</v>
      </c>
      <c r="I6" s="36">
        <f>IFERROR(('Historical FS'!I19/'Historical FS'!H19-1),0)</f>
        <v>0.34353403724945819</v>
      </c>
      <c r="J6" s="36">
        <f>IFERROR(('Historical FS'!J19/'Historical FS'!I19-1),0)</f>
        <v>0.22953811808006797</v>
      </c>
      <c r="K6" s="36">
        <f>IFERROR(('Historical FS'!K19/'Historical FS'!J19-1),0)</f>
        <v>-5.4695071830795694E-2</v>
      </c>
      <c r="L6" s="36">
        <f>IFERROR(('Historical FS'!L19/'Historical FS'!K19-1),0)</f>
        <v>9.6171129518414222E-2</v>
      </c>
      <c r="N6" s="46">
        <f>IFERROR(AVERAGE(D6:L6),0)</f>
        <v>0.13888318812029049</v>
      </c>
      <c r="O6" s="46">
        <f>IFERROR(MEDIAN(D6:L6),0)</f>
        <v>0.22953811808006797</v>
      </c>
    </row>
    <row r="7" spans="2:15" x14ac:dyDescent="0.3">
      <c r="B7" t="s">
        <v>165</v>
      </c>
      <c r="C7" s="36"/>
      <c r="D7" s="36">
        <f>IFERROR(('Historical FS'!D25/'Historical FS'!C25-1),0)</f>
        <v>0.3114812589198519</v>
      </c>
      <c r="E7" s="36">
        <f>IFERROR(('Historical FS'!E25/'Historical FS'!D25-1),0)</f>
        <v>4.3292429731239146E-2</v>
      </c>
      <c r="F7" s="36">
        <f>IFERROR(('Historical FS'!F25/'Historical FS'!E25-1),0)</f>
        <v>0.24137931034482785</v>
      </c>
      <c r="G7" s="36">
        <f>IFERROR(('Historical FS'!G25/'Historical FS'!F25-1),0)</f>
        <v>0.29799889441680483</v>
      </c>
      <c r="H7" s="36">
        <f>IFERROR(('Historical FS'!H25/'Historical FS'!G25-1),0)</f>
        <v>-0.24503424074137203</v>
      </c>
      <c r="I7" s="36">
        <f>IFERROR(('Historical FS'!I25/'Historical FS'!H25-1),0)</f>
        <v>0.36838304977661473</v>
      </c>
      <c r="J7" s="36">
        <f>IFERROR(('Historical FS'!J25/'Historical FS'!I25-1),0)</f>
        <v>0.22041751863333592</v>
      </c>
      <c r="K7" s="36">
        <f>IFERROR(('Historical FS'!K25/'Historical FS'!J25-1),0)</f>
        <v>-6.4628906513896411E-2</v>
      </c>
      <c r="L7" s="36">
        <f>IFERROR(('Historical FS'!L25/'Historical FS'!K25-1),0)</f>
        <v>9.8374568001993401E-2</v>
      </c>
      <c r="N7" s="46">
        <f>IFERROR(AVERAGE(D7:L7),0)</f>
        <v>0.14129598695215548</v>
      </c>
      <c r="O7" s="46">
        <f>IFERROR(MEDIAN(D7:L7),0)</f>
        <v>0.22041751863333592</v>
      </c>
    </row>
    <row r="8" spans="2:15" x14ac:dyDescent="0.3">
      <c r="B8" t="s">
        <v>189</v>
      </c>
      <c r="C8" s="36"/>
      <c r="D8" s="36">
        <f>IFERROR(('Historical FS'!D37/'Historical FS'!C37-1),0)</f>
        <v>0.36462623237239322</v>
      </c>
      <c r="E8" s="36">
        <f>IFERROR(('Historical FS'!E37/'Historical FS'!D37-1),0)</f>
        <v>-4.5188504538283603E-2</v>
      </c>
      <c r="F8" s="36">
        <f>IFERROR(('Historical FS'!F37/'Historical FS'!E37-1),0)</f>
        <v>0.53486979946123947</v>
      </c>
      <c r="G8" s="36">
        <f>IFERROR(('Historical FS'!G37/'Historical FS'!F37-1),0)</f>
        <v>0.22783151326053042</v>
      </c>
      <c r="H8" s="36">
        <f>IFERROR(('Historical FS'!H37/'Historical FS'!G37-1),0)</f>
        <v>-0.32232161008335081</v>
      </c>
      <c r="I8" s="36">
        <f>IFERROR(('Historical FS'!I37/'Historical FS'!H37-1),0)</f>
        <v>0.44345282735863267</v>
      </c>
      <c r="J8" s="36">
        <f>IFERROR(('Historical FS'!J37/'Historical FS'!I37-1),0)</f>
        <v>0.31023016574011586</v>
      </c>
      <c r="K8" s="36">
        <f>IFERROR(('Historical FS'!K37/'Historical FS'!J37-1),0)</f>
        <v>-6.7575739551114067E-2</v>
      </c>
      <c r="L8" s="36">
        <f>IFERROR(('Historical FS'!L37/'Historical FS'!K37-1),0)</f>
        <v>0.15704025814545663</v>
      </c>
      <c r="N8" s="46">
        <f>IFERROR(AVERAGE(D8:L8),0)</f>
        <v>0.17810721579617997</v>
      </c>
      <c r="O8" s="46">
        <f>IFERROR(MEDIAN(D8:L8),0)</f>
        <v>0.22783151326053042</v>
      </c>
    </row>
    <row r="9" spans="2:15" x14ac:dyDescent="0.3">
      <c r="B9" t="s">
        <v>164</v>
      </c>
      <c r="C9" s="36"/>
      <c r="D9" s="36">
        <f>IFERROR(('Historical FS'!D45/'Historical FS'!C45-1),0)</f>
        <v>0.134463276836158</v>
      </c>
      <c r="E9" s="36">
        <f>IFERROR(('Historical FS'!E45/'Historical FS'!D45-1),0)</f>
        <v>0.18874501992031889</v>
      </c>
      <c r="F9" s="36">
        <f>IFERROR(('Historical FS'!F45/'Historical FS'!E45-1),0)</f>
        <v>1.3359865940511102</v>
      </c>
      <c r="G9" s="36">
        <f>IFERROR(('Historical FS'!G45/'Historical FS'!F45-1),0)</f>
        <v>3.5146341463414634</v>
      </c>
      <c r="H9" s="36">
        <f>IFERROR(('Historical FS'!H45/'Historical FS'!G45-1),0)</f>
        <v>-0.64268386987425985</v>
      </c>
      <c r="I9" s="36">
        <f>IFERROR(('Historical FS'!I45/'Historical FS'!H45-1),0)</f>
        <v>0.28739142035516285</v>
      </c>
      <c r="J9" s="36">
        <f>IFERROR(('Historical FS'!J45/'Historical FS'!I45-1),0)</f>
        <v>1.9700633275762769E-2</v>
      </c>
      <c r="K9" s="36">
        <f>IFERROR(('Historical FS'!K45/'Historical FS'!J45-1),0)</f>
        <v>2.0618556701031077E-2</v>
      </c>
      <c r="L9" s="36">
        <f>IFERROR(('Historical FS'!L45/'Historical FS'!K45-1),0)</f>
        <v>0.20693241284698027</v>
      </c>
      <c r="N9" s="46">
        <f>IFERROR(AVERAGE(D9:L9),0)</f>
        <v>0.56286535449485853</v>
      </c>
      <c r="O9" s="46">
        <f>IFERROR(MEDIAN(D9:L9),0)</f>
        <v>0.18874501992031889</v>
      </c>
    </row>
    <row r="11" spans="2:15" x14ac:dyDescent="0.3">
      <c r="B11" t="s">
        <v>157</v>
      </c>
      <c r="C11" s="36">
        <f>IFERROR('Historical FS'!C14,0)</f>
        <v>0.26077534791252488</v>
      </c>
      <c r="D11" s="36">
        <f>IFERROR('Historical FS'!D14,0)</f>
        <v>0.28521283034093198</v>
      </c>
      <c r="E11" s="36">
        <f>IFERROR('Historical FS'!E14,0)</f>
        <v>0.286472184531886</v>
      </c>
      <c r="F11" s="36">
        <f>IFERROR('Historical FS'!F14,0)</f>
        <v>0.30189655172413793</v>
      </c>
      <c r="G11" s="36">
        <f>IFERROR('Historical FS'!G14,0)</f>
        <v>0.3138246041412911</v>
      </c>
      <c r="H11" s="36">
        <f>IFERROR('Historical FS'!H14,0)</f>
        <v>0.2596236559139784</v>
      </c>
      <c r="I11" s="36">
        <f>IFERROR('Historical FS'!I14,0)</f>
        <v>0.29267468253481377</v>
      </c>
      <c r="J11" s="36">
        <f>IFERROR('Historical FS'!J14,0)</f>
        <v>0.32443258393464131</v>
      </c>
      <c r="K11" s="36">
        <f>IFERROR('Historical FS'!K14,0)</f>
        <v>0.29177227888312995</v>
      </c>
      <c r="L11" s="36">
        <f>IFERROR('Historical FS'!L14,0)</f>
        <v>0.30640559732665001</v>
      </c>
      <c r="N11" s="46">
        <f>IFERROR(AVERAGE(C11:L11),0)</f>
        <v>0.29230903172439854</v>
      </c>
      <c r="O11" s="46">
        <f>IFERROR(MEDIAN(C11:L11),0)</f>
        <v>0.29222348070897186</v>
      </c>
    </row>
    <row r="12" spans="2:15" x14ac:dyDescent="0.3">
      <c r="B12" t="s">
        <v>161</v>
      </c>
      <c r="C12" s="36">
        <f>IFERROR('Historical FS'!C20,0)</f>
        <v>0.1307753479125249</v>
      </c>
      <c r="D12" s="36">
        <f>IFERROR('Historical FS'!D20,0)</f>
        <v>0.15521283034093197</v>
      </c>
      <c r="E12" s="36">
        <f>IFERROR('Historical FS'!E20,0)</f>
        <v>0.14647218453188601</v>
      </c>
      <c r="F12" s="36">
        <f>IFERROR('Historical FS'!F20,0)</f>
        <v>0.17189655172413792</v>
      </c>
      <c r="G12" s="36">
        <f>IFERROR('Historical FS'!G20,0)</f>
        <v>0.1938246041412911</v>
      </c>
      <c r="H12" s="36">
        <f>IFERROR('Historical FS'!H20,0)</f>
        <v>0.13962365591397843</v>
      </c>
      <c r="I12" s="36">
        <f>IFERROR('Historical FS'!I20,0)</f>
        <v>0.16267468253481376</v>
      </c>
      <c r="J12" s="36">
        <f>IFERROR('Historical FS'!J20,0)</f>
        <v>0.1944325839346413</v>
      </c>
      <c r="K12" s="36">
        <f>IFERROR('Historical FS'!K20,0)</f>
        <v>0.17177227888312993</v>
      </c>
      <c r="L12" s="36">
        <f>IFERROR('Historical FS'!L20,0)</f>
        <v>0.17640559732664998</v>
      </c>
      <c r="N12" s="46">
        <f>IFERROR(AVERAGE(C12:L12),0)</f>
        <v>0.16430903172439854</v>
      </c>
      <c r="O12" s="46">
        <f>IFERROR(MEDIAN(C12:L12),0)</f>
        <v>0.16722348070897186</v>
      </c>
    </row>
    <row r="13" spans="2:15" x14ac:dyDescent="0.3">
      <c r="B13" t="s">
        <v>162</v>
      </c>
      <c r="C13" s="36">
        <f>IFERROR('Historical FS'!C26,0)</f>
        <v>0.11763198586260221</v>
      </c>
      <c r="D13" s="36">
        <f>IFERROR('Historical FS'!D26,0)</f>
        <v>0.1408896509985878</v>
      </c>
      <c r="E13" s="36">
        <f>IFERROR('Historical FS'!E26,0)</f>
        <v>0.13181818181818181</v>
      </c>
      <c r="F13" s="36">
        <f>IFERROR('Historical FS'!F26,0)</f>
        <v>0.15594827586206897</v>
      </c>
      <c r="G13" s="36">
        <f>IFERROR('Historical FS'!G26,0)</f>
        <v>0.17875152253349574</v>
      </c>
      <c r="H13" s="36">
        <f>IFERROR('Historical FS'!H26,0)</f>
        <v>0.1254046406338426</v>
      </c>
      <c r="I13" s="36">
        <f>IFERROR('Historical FS'!I26,0)</f>
        <v>0.14881050242316418</v>
      </c>
      <c r="J13" s="36">
        <f>IFERROR('Historical FS'!J26,0)</f>
        <v>0.17654242948297455</v>
      </c>
      <c r="K13" s="36">
        <f>IFERROR('Historical FS'!K26,0)</f>
        <v>0.15432815025358082</v>
      </c>
      <c r="L13" s="36">
        <f>IFERROR('Historical FS'!L26,0)</f>
        <v>0.15880952380952384</v>
      </c>
      <c r="N13" s="46">
        <f>IFERROR(AVERAGE(C13:L13),0)</f>
        <v>0.14889348636780225</v>
      </c>
      <c r="O13" s="46">
        <f>IFERROR(MEDIAN(C13:L13),0)</f>
        <v>0.1515693263383725</v>
      </c>
    </row>
    <row r="14" spans="2:15" x14ac:dyDescent="0.3">
      <c r="B14" t="s">
        <v>167</v>
      </c>
      <c r="C14" s="36">
        <f>IFERROR('Historical FS'!C32,0)</f>
        <v>0.11707974375966429</v>
      </c>
      <c r="D14" s="36">
        <f>IFERROR('Historical FS'!D32,0)</f>
        <v>0.14008271131732897</v>
      </c>
      <c r="E14" s="36">
        <f>IFERROR('Historical FS'!E32,0)</f>
        <v>0.13100407055630933</v>
      </c>
      <c r="F14" s="36">
        <f>IFERROR('Historical FS'!F32,0)</f>
        <v>0.14931034482758621</v>
      </c>
      <c r="G14" s="36">
        <f>IFERROR('Historical FS'!G32,0)</f>
        <v>0.1703014616321559</v>
      </c>
      <c r="H14" s="36">
        <f>IFERROR('Historical FS'!H32,0)</f>
        <v>0.11521788341822291</v>
      </c>
      <c r="I14" s="36">
        <f>IFERROR('Historical FS'!I32,0)</f>
        <v>0.13844304030427576</v>
      </c>
      <c r="J14" s="36">
        <f>IFERROR('Historical FS'!J32,0)</f>
        <v>0.16676247838273003</v>
      </c>
      <c r="K14" s="36">
        <f>IFERROR('Historical FS'!K32,0)</f>
        <v>0.14658139664493119</v>
      </c>
      <c r="L14" s="36">
        <f>IFERROR('Historical FS'!L32,0)</f>
        <v>0.15290935672514622</v>
      </c>
      <c r="N14" s="46">
        <f>IFERROR(AVERAGE(C14:L14),0)</f>
        <v>0.14276924875683508</v>
      </c>
      <c r="O14" s="46">
        <f>IFERROR(MEDIAN(C14:L14),0)</f>
        <v>0.14333205398113008</v>
      </c>
    </row>
    <row r="15" spans="2:15" x14ac:dyDescent="0.3">
      <c r="B15" t="s">
        <v>163</v>
      </c>
      <c r="C15" s="36">
        <f>IFERROR('Historical FS'!C38,0)</f>
        <v>7.0801855533465921E-2</v>
      </c>
      <c r="D15" s="36">
        <f>IFERROR('Historical FS'!D38,0)</f>
        <v>8.8236836796449419E-2</v>
      </c>
      <c r="E15" s="36">
        <f>IFERROR('Historical FS'!E38,0)</f>
        <v>7.5554047942107627E-2</v>
      </c>
      <c r="F15" s="36">
        <f>IFERROR('Historical FS'!F38,0)</f>
        <v>0.11051724137931035</v>
      </c>
      <c r="G15" s="36">
        <f>IFERROR('Historical FS'!G38,0)</f>
        <v>0.11982947624847747</v>
      </c>
      <c r="H15" s="36">
        <f>IFERROR('Historical FS'!H38,0)</f>
        <v>7.5461233729484947E-2</v>
      </c>
      <c r="I15" s="36">
        <f>IFERROR('Historical FS'!I38,0)</f>
        <v>9.4458008711121977E-2</v>
      </c>
      <c r="J15" s="36">
        <f>IFERROR('Historical FS'!J38,0)</f>
        <v>0.12030771065656867</v>
      </c>
      <c r="K15" s="36">
        <f>IFERROR('Historical FS'!K38,0)</f>
        <v>0.10483809842278329</v>
      </c>
      <c r="L15" s="36">
        <f>IFERROR('Historical FS'!L38,0)</f>
        <v>0.11364452798663327</v>
      </c>
      <c r="N15" s="46">
        <f>IFERROR(AVERAGE(C15:L15),0)</f>
        <v>9.7364903740640288E-2</v>
      </c>
      <c r="O15" s="46">
        <f>IFERROR(MEDIAN(C15:L15),0)</f>
        <v>9.9648053566952638E-2</v>
      </c>
    </row>
    <row r="17" spans="2:15" x14ac:dyDescent="0.3">
      <c r="B17" t="s">
        <v>8610</v>
      </c>
      <c r="C17" s="36">
        <f>IFERROR('Historical FS'!C17,0)</f>
        <v>0.13</v>
      </c>
      <c r="D17" s="36">
        <f>IFERROR('Historical FS'!D17,0)</f>
        <v>0.13</v>
      </c>
      <c r="E17" s="36">
        <f>IFERROR('Historical FS'!E17,0)</f>
        <v>0.14000000000000001</v>
      </c>
      <c r="F17" s="36">
        <f>IFERROR('Historical FS'!F17,0)</f>
        <v>0.13</v>
      </c>
      <c r="G17" s="36">
        <f>IFERROR('Historical FS'!G17,0)</f>
        <v>0.12</v>
      </c>
      <c r="H17" s="36">
        <f>IFERROR('Historical FS'!H17,0)</f>
        <v>0.12</v>
      </c>
      <c r="I17" s="36">
        <f>IFERROR('Historical FS'!I17,0)</f>
        <v>0.13</v>
      </c>
      <c r="J17" s="36">
        <f>IFERROR('Historical FS'!J17,0)</f>
        <v>0.12999999999999998</v>
      </c>
      <c r="K17" s="36">
        <f>IFERROR('Historical FS'!K17,0)</f>
        <v>0.12</v>
      </c>
      <c r="L17" s="36">
        <f>IFERROR('Historical FS'!L17,0)</f>
        <v>0.13</v>
      </c>
      <c r="N17" s="46">
        <f>IFERROR(AVERAGE(C17:L17),0)</f>
        <v>0.12799999999999997</v>
      </c>
      <c r="O17" s="46">
        <f>IFERROR(MEDIAN(C17:L17),0)</f>
        <v>0.13</v>
      </c>
    </row>
    <row r="18" spans="2:15" x14ac:dyDescent="0.3">
      <c r="B18" t="s">
        <v>168</v>
      </c>
      <c r="C18" s="36">
        <f>IFERROR('Historical FS'!C23,0)</f>
        <v>1.3143362049922686E-2</v>
      </c>
      <c r="D18" s="36">
        <f>IFERROR('Historical FS'!D23,0)</f>
        <v>1.432317934234416E-2</v>
      </c>
      <c r="E18" s="36">
        <f>IFERROR('Historical FS'!E23,0)</f>
        <v>1.4654002713704206E-2</v>
      </c>
      <c r="F18" s="36">
        <f>IFERROR('Historical FS'!F23,0)</f>
        <v>1.5948275862068966E-2</v>
      </c>
      <c r="G18" s="36">
        <f>IFERROR('Historical FS'!G23,0)</f>
        <v>1.5073081607795372E-2</v>
      </c>
      <c r="H18" s="36">
        <f>IFERROR('Historical FS'!H23,0)</f>
        <v>1.4219015280135824E-2</v>
      </c>
      <c r="I18" s="36">
        <f>IFERROR('Historical FS'!I23,0)</f>
        <v>1.3864180111649593E-2</v>
      </c>
      <c r="J18" s="36">
        <f>IFERROR('Historical FS'!J23,0)</f>
        <v>1.7890154451666765E-2</v>
      </c>
      <c r="K18" s="36">
        <f>IFERROR('Historical FS'!K23,0)</f>
        <v>1.7444128629549128E-2</v>
      </c>
      <c r="L18" s="36">
        <f>IFERROR('Historical FS'!L23,0)</f>
        <v>1.7596073517126148E-2</v>
      </c>
      <c r="N18" s="46">
        <f>IFERROR(AVERAGE(C18:L18),0)</f>
        <v>1.5415545356596283E-2</v>
      </c>
      <c r="O18" s="46">
        <f>IFERROR(MEDIAN(C18:L18),0)</f>
        <v>1.4863542160749789E-2</v>
      </c>
    </row>
    <row r="19" spans="2:15" x14ac:dyDescent="0.3">
      <c r="B19" t="s">
        <v>8611</v>
      </c>
      <c r="C19" s="36">
        <f t="shared" ref="C19:L19" si="0">C13</f>
        <v>0.11763198586260221</v>
      </c>
      <c r="D19" s="36">
        <f t="shared" si="0"/>
        <v>0.1408896509985878</v>
      </c>
      <c r="E19" s="36">
        <f t="shared" si="0"/>
        <v>0.13181818181818181</v>
      </c>
      <c r="F19" s="36">
        <f t="shared" si="0"/>
        <v>0.15594827586206897</v>
      </c>
      <c r="G19" s="36">
        <f t="shared" si="0"/>
        <v>0.17875152253349574</v>
      </c>
      <c r="H19" s="36">
        <f t="shared" si="0"/>
        <v>0.1254046406338426</v>
      </c>
      <c r="I19" s="36">
        <f t="shared" si="0"/>
        <v>0.14881050242316418</v>
      </c>
      <c r="J19" s="36">
        <f t="shared" si="0"/>
        <v>0.17654242948297455</v>
      </c>
      <c r="K19" s="36">
        <f t="shared" si="0"/>
        <v>0.15432815025358082</v>
      </c>
      <c r="L19" s="36">
        <f t="shared" si="0"/>
        <v>0.15880952380952384</v>
      </c>
      <c r="N19" s="46">
        <f>IFERROR(AVERAGE(C19:L19),0)</f>
        <v>0.14889348636780225</v>
      </c>
      <c r="O19" s="46">
        <f>IFERROR(MEDIAN(C19:L19),0)</f>
        <v>0.1515693263383725</v>
      </c>
    </row>
    <row r="21" spans="2:15" x14ac:dyDescent="0.3">
      <c r="B21" t="s">
        <v>169</v>
      </c>
      <c r="C21" s="46">
        <f>IFERROR('Historical FS'!C25/SUM('Historical FS'!C51:'Historical FS'!C53),0)</f>
        <v>0.37753987947536349</v>
      </c>
      <c r="D21" s="46">
        <f>IFERROR('Historical FS'!D25/SUM('Historical FS'!D51:'Historical FS'!D53),0)</f>
        <v>0.3872414749098973</v>
      </c>
      <c r="E21" s="46">
        <f>IFERROR('Historical FS'!E25/SUM('Historical FS'!E51:'Historical FS'!E53),0)</f>
        <v>0.33051712406441364</v>
      </c>
      <c r="F21" s="46">
        <f>IFERROR('Historical FS'!F25/SUM('Historical FS'!F51:'Historical FS'!F53),0)</f>
        <v>0.30449419289681873</v>
      </c>
      <c r="G21" s="46">
        <f>IFERROR('Historical FS'!G25/SUM('Historical FS'!G51:'Historical FS'!G53),0)</f>
        <v>0.41522192749778958</v>
      </c>
      <c r="H21" s="46">
        <f>IFERROR('Historical FS'!H25/SUM('Historical FS'!H51:'Historical FS'!H53),0)</f>
        <v>0.35179996030958505</v>
      </c>
      <c r="I21" s="46">
        <f>IFERROR('Historical FS'!I25/SUM('Historical FS'!I51:'Historical FS'!I53),0)</f>
        <v>0.37142244679222158</v>
      </c>
      <c r="J21" s="46">
        <f>IFERROR('Historical FS'!J25/SUM('Historical FS'!J51:'Historical FS'!J53),0)</f>
        <v>0.49291375291375294</v>
      </c>
      <c r="K21" s="46">
        <f>IFERROR('Historical FS'!K25/SUM('Historical FS'!K51:'Historical FS'!K53),0)</f>
        <v>0.49421916830269508</v>
      </c>
      <c r="L21" s="46">
        <f>IFERROR('Historical FS'!L25/SUM('Historical FS'!L51:'Historical FS'!L53),0)</f>
        <v>0.46893617021276601</v>
      </c>
      <c r="N21" s="46">
        <f>IFERROR(AVERAGE(C21:L21),0)</f>
        <v>0.39943060973753031</v>
      </c>
      <c r="O21" s="46">
        <f>IFERROR(MEDIAN(C21:L21),0)</f>
        <v>0.38239067719263042</v>
      </c>
    </row>
    <row r="22" spans="2:15" x14ac:dyDescent="0.3">
      <c r="B22" t="s">
        <v>170</v>
      </c>
      <c r="C22" s="46">
        <f>IFERROR('Historical FS'!C48,0)</f>
        <v>0.585829277424186</v>
      </c>
      <c r="D22" s="46">
        <f>IFERROR('Historical FS'!D48,0)</f>
        <v>0.65568485790713082</v>
      </c>
      <c r="E22" s="46">
        <f>IFERROR('Historical FS'!E48,0)</f>
        <v>0.57132595031427691</v>
      </c>
      <c r="F22" s="46">
        <f>IFERROR('Historical FS'!F48,0)</f>
        <v>0.34758190327613103</v>
      </c>
      <c r="G22" s="46">
        <f>IFERROR('Historical FS'!G48,0)</f>
        <v>-1.3988869688961176</v>
      </c>
      <c r="H22" s="46">
        <f>IFERROR('Historical FS'!H48,0)</f>
        <v>-0.26484925753712418</v>
      </c>
      <c r="I22" s="46">
        <f>IFERROR('Historical FS'!I48,0)</f>
        <v>-0.12809788538473588</v>
      </c>
      <c r="J22" s="46">
        <f>IFERROR('Historical FS'!J48,0)</f>
        <v>0.12204576096439057</v>
      </c>
      <c r="K22" s="46">
        <f>IFERROR('Historical FS'!K48,0)</f>
        <v>3.900356704286323E-2</v>
      </c>
      <c r="L22" s="46">
        <f>IFERROR('Historical FS'!L48,0)</f>
        <v>-2.4350798522412287E-3</v>
      </c>
      <c r="N22" s="46">
        <f>IFERROR(AVERAGE(C22:L22),0)</f>
        <v>5.2720212525875977E-2</v>
      </c>
      <c r="O22" s="46">
        <f>IFERROR(MEDIAN(C22:L22),0)</f>
        <v>8.05246640036269E-2</v>
      </c>
    </row>
    <row r="23" spans="2:15" x14ac:dyDescent="0.3">
      <c r="B23" t="s">
        <v>171</v>
      </c>
      <c r="C23" s="46">
        <f>IFERROR('Historical FS'!C37/SUM('Historical FS'!C51:'Historical FS'!C52),0)</f>
        <v>0.23777448071216634</v>
      </c>
      <c r="D23" s="46">
        <f>IFERROR('Historical FS'!D37/SUM('Historical FS'!D51:'Historical FS'!D52),0)</f>
        <v>0.25683499706400453</v>
      </c>
      <c r="E23" s="46">
        <f>IFERROR('Historical FS'!E37/SUM('Historical FS'!E51:'Historical FS'!E52),0)</f>
        <v>0.19639078297672227</v>
      </c>
      <c r="F23" s="46">
        <f>IFERROR('Historical FS'!F37/SUM('Historical FS'!F51:'Historical FS'!F52),0)</f>
        <v>0.29116511469452644</v>
      </c>
      <c r="G23" s="46">
        <f>IFERROR('Historical FS'!G37/SUM('Historical FS'!G51:'Historical FS'!G52),0)</f>
        <v>0.44365276211950394</v>
      </c>
      <c r="H23" s="46">
        <f>IFERROR('Historical FS'!H37/SUM('Historical FS'!H51:'Historical FS'!H52),0)</f>
        <v>0.41701329163408879</v>
      </c>
      <c r="I23" s="46">
        <f>IFERROR('Historical FS'!I37/SUM('Historical FS'!I51:'Historical FS'!I52),0)</f>
        <v>0.4356989247311826</v>
      </c>
      <c r="J23" s="46">
        <f>IFERROR('Historical FS'!J37/SUM('Historical FS'!J51:'Historical FS'!J52),0)</f>
        <v>0.5119106825678762</v>
      </c>
      <c r="K23" s="46">
        <f>IFERROR('Historical FS'!K37/SUM('Historical FS'!K51:'Historical FS'!K52),0)</f>
        <v>0.43184343434343447</v>
      </c>
      <c r="L23" s="46">
        <f>IFERROR('Historical FS'!L37/SUM('Historical FS'!L51:'Historical FS'!L52),0)</f>
        <v>0.4262671367019194</v>
      </c>
      <c r="N23" s="46">
        <f>IFERROR(AVERAGE(C23:L23),0)</f>
        <v>0.36485516075454244</v>
      </c>
      <c r="O23" s="46">
        <f>IFERROR(MEDIAN(C23:L23),0)</f>
        <v>0.42164021416800412</v>
      </c>
    </row>
    <row r="24" spans="2:15" x14ac:dyDescent="0.3">
      <c r="B24" t="s">
        <v>172</v>
      </c>
      <c r="C24" s="46">
        <f t="shared" ref="C24:L24" si="1">IFERROR(C22*C23,0)</f>
        <v>0.13929525222551944</v>
      </c>
      <c r="D24" s="46">
        <f t="shared" si="1"/>
        <v>0.16840281855549016</v>
      </c>
      <c r="E24" s="46">
        <f t="shared" si="1"/>
        <v>0.11220315071714076</v>
      </c>
      <c r="F24" s="46">
        <f t="shared" si="1"/>
        <v>0.10120372473313649</v>
      </c>
      <c r="G24" s="46">
        <f t="shared" si="1"/>
        <v>-0.62062006764374322</v>
      </c>
      <c r="H24" s="46">
        <f t="shared" si="1"/>
        <v>-0.11044566067240065</v>
      </c>
      <c r="I24" s="46">
        <f t="shared" si="1"/>
        <v>-5.5812110922467691E-2</v>
      </c>
      <c r="J24" s="46">
        <f t="shared" si="1"/>
        <v>6.2476528799797038E-2</v>
      </c>
      <c r="K24" s="46">
        <f t="shared" si="1"/>
        <v>1.6843434343434452E-2</v>
      </c>
      <c r="L24" s="46">
        <f t="shared" si="1"/>
        <v>-1.0379945162554015E-3</v>
      </c>
      <c r="N24" s="46">
        <f>IFERROR(AVERAGE(C24:L24),0)</f>
        <v>-1.874909243803486E-2</v>
      </c>
      <c r="O24" s="46">
        <f>IFERROR(MEDIAN(C24:L24),0)</f>
        <v>3.9659981571615745E-2</v>
      </c>
    </row>
    <row r="25" spans="2:15" x14ac:dyDescent="0.3">
      <c r="B25" t="s">
        <v>173</v>
      </c>
      <c r="C25" s="158">
        <f>IFERROR('Historical FS'!C25/'Historical FS'!C28,0)</f>
        <v>213.0080000000001</v>
      </c>
      <c r="D25" s="158">
        <f>IFERROR('Historical FS'!D25/'Historical FS'!D28,0)</f>
        <v>174.59749999999994</v>
      </c>
      <c r="E25" s="158">
        <f>IFERROR('Historical FS'!E25/'Historical FS'!E28,0)</f>
        <v>161.91666666666663</v>
      </c>
      <c r="F25" s="158">
        <f>IFERROR('Historical FS'!F25/'Historical FS'!F28,0)</f>
        <v>23.493506493506494</v>
      </c>
      <c r="G25" s="158">
        <f>IFERROR('Historical FS'!G25/'Historical FS'!G28,0)</f>
        <v>21.153873873873874</v>
      </c>
      <c r="H25" s="158">
        <f>IFERROR('Historical FS'!H25/'Historical FS'!H28,0)</f>
        <v>12.310555555555549</v>
      </c>
      <c r="I25" s="158">
        <f>IFERROR('Historical FS'!I25/'Historical FS'!I28,0)</f>
        <v>14.353609467455618</v>
      </c>
      <c r="J25" s="158">
        <f>IFERROR('Historical FS'!J25/'Historical FS'!J28,0)</f>
        <v>18.051463414634146</v>
      </c>
      <c r="K25" s="158">
        <f>IFERROR('Historical FS'!K25/'Historical FS'!K28,0)</f>
        <v>19.921654676258996</v>
      </c>
      <c r="L25" s="158">
        <f>IFERROR('Historical FS'!L25/'Historical FS'!L28,0)</f>
        <v>26.916106194690268</v>
      </c>
      <c r="N25" s="158">
        <f>IFERROR(AVERAGE(C25:L25),0)</f>
        <v>68.572293634264156</v>
      </c>
      <c r="O25" s="158">
        <f>IFERROR(MEDIAN(C25:L25),0)</f>
        <v>22.323690183690182</v>
      </c>
    </row>
    <row r="27" spans="2:15" x14ac:dyDescent="0.3">
      <c r="B27" t="s">
        <v>174</v>
      </c>
      <c r="C27" s="158">
        <f>IFERROR('Historical FS'!C7/'Historical FS'!C63,0)</f>
        <v>50.581005586592177</v>
      </c>
      <c r="D27" s="158">
        <f>IFERROR('Historical FS'!D7/'Historical FS'!D63,0)</f>
        <v>32.504918032786883</v>
      </c>
      <c r="E27" s="158">
        <f>IFERROR('Historical FS'!E7/'Historical FS'!E63,0)</f>
        <v>28.058375634517766</v>
      </c>
      <c r="F27" s="158">
        <f>IFERROR('Historical FS'!F7/'Historical FS'!F63,0)</f>
        <v>36.25</v>
      </c>
      <c r="G27" s="158">
        <f>IFERROR('Historical FS'!G7/'Historical FS'!G63,0)</f>
        <v>51.112840466926073</v>
      </c>
      <c r="H27" s="158">
        <f>IFERROR('Historical FS'!H7/'Historical FS'!H63,0)</f>
        <v>42.578313253012048</v>
      </c>
      <c r="I27" s="158">
        <f>IFERROR('Historical FS'!I7/'Historical FS'!I63,0)</f>
        <v>49.547112462006076</v>
      </c>
      <c r="J27" s="158">
        <f>IFERROR('Historical FS'!J7/'Historical FS'!J63,0)</f>
        <v>42.669211195928753</v>
      </c>
      <c r="K27" s="158">
        <f>IFERROR('Historical FS'!K7/'Historical FS'!K63,0)</f>
        <v>39.962138084632514</v>
      </c>
      <c r="L27" s="158">
        <f>IFERROR('Historical FS'!L7/'Historical FS'!L63,0)</f>
        <v>40.835820895522389</v>
      </c>
      <c r="N27" s="158">
        <f>IFERROR(AVERAGE(C27:L27),0)</f>
        <v>41.409973561192473</v>
      </c>
      <c r="O27" s="158">
        <f>IFERROR(MEDIAN(C27:L27),0)</f>
        <v>41.707067074267215</v>
      </c>
    </row>
    <row r="28" spans="2:15" x14ac:dyDescent="0.3">
      <c r="B28" t="s">
        <v>175</v>
      </c>
      <c r="C28" s="158">
        <f>IFERROR('Historical FS'!C7/'Historical FS'!C54,0)</f>
        <v>7.0295031055900621</v>
      </c>
      <c r="D28" s="158">
        <f>IFERROR('Historical FS'!D7/'Historical FS'!D54,0)</f>
        <v>6.2707147375079062</v>
      </c>
      <c r="E28" s="158">
        <f>IFERROR('Historical FS'!E7/'Historical FS'!E54,0)</f>
        <v>6.0442864953526518</v>
      </c>
      <c r="F28" s="158">
        <f>IFERROR('Historical FS'!F7/'Historical FS'!F54,0)</f>
        <v>6.1408152461619903</v>
      </c>
      <c r="G28" s="158">
        <f>IFERROR('Historical FS'!G7/'Historical FS'!G54,0)</f>
        <v>5.6017057569296371</v>
      </c>
      <c r="H28" s="158">
        <f>IFERROR('Historical FS'!H7/'Historical FS'!H54,0)</f>
        <v>5.6839565741857658</v>
      </c>
      <c r="I28" s="158">
        <f>IFERROR('Historical FS'!I7/'Historical FS'!I54,0)</f>
        <v>5.7825470024831498</v>
      </c>
      <c r="J28" s="158">
        <f>IFERROR('Historical FS'!J7/'Historical FS'!J54,0)</f>
        <v>5.4711256117455136</v>
      </c>
      <c r="K28" s="158">
        <f>IFERROR('Historical FS'!K7/'Historical FS'!K54,0)</f>
        <v>5.5465224111282847</v>
      </c>
      <c r="L28" s="158">
        <f>IFERROR('Historical FS'!L7/'Historical FS'!L54,0)</f>
        <v>5.9056429232192418</v>
      </c>
      <c r="N28" s="158">
        <f>IFERROR(AVERAGE(C28:L28),0)</f>
        <v>5.9476819864304202</v>
      </c>
      <c r="O28" s="158">
        <f>IFERROR(MEDIAN(C28:L28),0)</f>
        <v>5.8440949628511962</v>
      </c>
    </row>
    <row r="29" spans="2:15" x14ac:dyDescent="0.3">
      <c r="B29" t="s">
        <v>47</v>
      </c>
      <c r="C29" s="158">
        <f>IFERROR('Historical FS'!C7/'Historical FS'!C64,0)</f>
        <v>13.697428139183057</v>
      </c>
      <c r="D29" s="158">
        <f>IFERROR('Historical FS'!D7/'Historical FS'!D64,0)</f>
        <v>15.182235834609495</v>
      </c>
      <c r="E29" s="158">
        <f>IFERROR('Historical FS'!E7/'Historical FS'!E64,0)</f>
        <v>14.154929577464788</v>
      </c>
      <c r="F29" s="158">
        <f>IFERROR('Historical FS'!F7/'Historical FS'!F64,0)</f>
        <v>15.654520917678813</v>
      </c>
      <c r="G29" s="158">
        <f>IFERROR('Historical FS'!G7/'Historical FS'!G64,0)</f>
        <v>12.040329972502292</v>
      </c>
      <c r="H29" s="158">
        <f>IFERROR('Historical FS'!H7/'Historical FS'!H64,0)</f>
        <v>10.340892465252377</v>
      </c>
      <c r="I29" s="158">
        <f>IFERROR('Historical FS'!I7/'Historical FS'!I64,0)</f>
        <v>13.663872590108969</v>
      </c>
      <c r="J29" s="158">
        <f>IFERROR('Historical FS'!J7/'Historical FS'!J64,0)</f>
        <v>14.198983911939035</v>
      </c>
      <c r="K29" s="158">
        <f>IFERROR('Historical FS'!K7/'Historical FS'!K64,0)</f>
        <v>14.505254648342765</v>
      </c>
      <c r="L29" s="158">
        <f>IFERROR('Historical FS'!L7/'Historical FS'!L64,0)</f>
        <v>14.228826151560177</v>
      </c>
      <c r="N29" s="158">
        <f>IFERROR(AVERAGE(C29:L29),0)</f>
        <v>13.766727420864177</v>
      </c>
      <c r="O29" s="158">
        <f>IFERROR(MEDIAN(C29:L29),0)</f>
        <v>14.176956744701911</v>
      </c>
    </row>
    <row r="30" spans="2:15" x14ac:dyDescent="0.3">
      <c r="B30" t="s">
        <v>8612</v>
      </c>
      <c r="C30" s="158">
        <f>IFERROR('Historical FS'!C7/'Historical FS'!C57,0)</f>
        <v>7.8051724137931036</v>
      </c>
      <c r="D30" s="158">
        <f>IFERROR('Historical FS'!D7/'Historical FS'!D57,0)</f>
        <v>7.3655274888558688</v>
      </c>
      <c r="E30" s="158">
        <f>IFERROR('Historical FS'!E7/'Historical FS'!E57,0)</f>
        <v>6.5491706161137442</v>
      </c>
      <c r="F30" s="158">
        <f>IFERROR('Historical FS'!F7/'Historical FS'!F57,0)</f>
        <v>6.1767838125665602</v>
      </c>
      <c r="G30" s="158">
        <f>IFERROR('Historical FS'!G7/'Historical FS'!G57,0)</f>
        <v>7.3262688232013389</v>
      </c>
      <c r="H30" s="158">
        <f>IFERROR('Historical FS'!H7/'Historical FS'!H57,0)</f>
        <v>8.0638904734740446</v>
      </c>
      <c r="I30" s="158">
        <f>IFERROR('Historical FS'!I7/'Historical FS'!I57,0)</f>
        <v>6.139736346516008</v>
      </c>
      <c r="J30" s="158">
        <f>IFERROR('Historical FS'!J7/'Historical FS'!J57,0)</f>
        <v>6.0516059184409956</v>
      </c>
      <c r="K30" s="158">
        <f>IFERROR('Historical FS'!K7/'Historical FS'!K57,0)</f>
        <v>6.178719008264463</v>
      </c>
      <c r="L30" s="158">
        <f>IFERROR('Historical FS'!L7/'Historical FS'!L57,0)</f>
        <v>6.72</v>
      </c>
      <c r="N30" s="158">
        <f>IFERROR(AVERAGE(C30:L30),0)</f>
        <v>6.8376874901226143</v>
      </c>
      <c r="O30" s="158">
        <f>IFERROR(MEDIAN(C30:L30),0)</f>
        <v>6.634585308056872</v>
      </c>
    </row>
    <row r="31" spans="2:15" x14ac:dyDescent="0.3">
      <c r="B31" t="s">
        <v>176</v>
      </c>
      <c r="C31" s="158">
        <f>IFERROR('Historical FS'!C7/SUM('Historical FS'!C51:'Historical FS'!C52),0)</f>
        <v>3.3583086053412461</v>
      </c>
      <c r="D31" s="158">
        <f>IFERROR('Historical FS'!D7/SUM('Historical FS'!D51:'Historical FS'!D52),0)</f>
        <v>2.9107457428068115</v>
      </c>
      <c r="E31" s="158">
        <f>IFERROR('Historical FS'!E7/SUM('Historical FS'!E51:'Historical FS'!E52),0)</f>
        <v>2.5993416411944508</v>
      </c>
      <c r="F31" s="158">
        <f>IFERROR('Historical FS'!F7/SUM('Historical FS'!F51:'Historical FS'!F52),0)</f>
        <v>2.6345673404496934</v>
      </c>
      <c r="G31" s="158">
        <f>IFERROR('Historical FS'!G7/SUM('Historical FS'!G51:'Historical FS'!G52),0)</f>
        <v>3.7023675310033823</v>
      </c>
      <c r="H31" s="158">
        <f>IFERROR('Historical FS'!H7/SUM('Historical FS'!H51:'Historical FS'!H52),0)</f>
        <v>5.5261923377638782</v>
      </c>
      <c r="I31" s="158">
        <f>IFERROR('Historical FS'!I7/SUM('Historical FS'!I51:'Historical FS'!I52),0)</f>
        <v>4.6126202603282396</v>
      </c>
      <c r="J31" s="158">
        <f>IFERROR('Historical FS'!J7/SUM('Historical FS'!J51:'Historical FS'!J52),0)</f>
        <v>4.25501141842172</v>
      </c>
      <c r="K31" s="158">
        <f>IFERROR('Historical FS'!K7/SUM('Historical FS'!K51:'Historical FS'!K52),0)</f>
        <v>4.1191460055096423</v>
      </c>
      <c r="L31" s="158">
        <f>IFERROR('Historical FS'!L7/SUM('Historical FS'!L51:'Historical FS'!L52),0)</f>
        <v>3.7508813160987073</v>
      </c>
      <c r="N31" s="158">
        <f>IFERROR(AVERAGE(C31:L31),0)</f>
        <v>3.7469182198917772</v>
      </c>
      <c r="O31" s="158">
        <f>IFERROR(MEDIAN(C31:L31),0)</f>
        <v>3.7266244235510451</v>
      </c>
    </row>
    <row r="33" spans="2:15" x14ac:dyDescent="0.3">
      <c r="B33" s="52" t="s">
        <v>180</v>
      </c>
    </row>
    <row r="34" spans="2:15" x14ac:dyDescent="0.3">
      <c r="B34" t="s">
        <v>46</v>
      </c>
      <c r="C34" s="159">
        <f t="shared" ref="C34:L34" si="2">IFERROR(365/C27,0)</f>
        <v>7.2161475590899054</v>
      </c>
      <c r="D34" s="159">
        <f t="shared" si="2"/>
        <v>11.22907000201735</v>
      </c>
      <c r="E34" s="159">
        <f t="shared" si="2"/>
        <v>13.008593396653099</v>
      </c>
      <c r="F34" s="159">
        <f t="shared" si="2"/>
        <v>10.068965517241379</v>
      </c>
      <c r="G34" s="159">
        <f t="shared" si="2"/>
        <v>7.1410627283800236</v>
      </c>
      <c r="H34" s="159">
        <f t="shared" si="2"/>
        <v>8.5724391624221852</v>
      </c>
      <c r="I34" s="159">
        <f t="shared" si="2"/>
        <v>7.3667259677320418</v>
      </c>
      <c r="J34" s="159">
        <f t="shared" si="2"/>
        <v>8.5541773510644639</v>
      </c>
      <c r="K34" s="159">
        <f t="shared" si="2"/>
        <v>9.1336454327592946</v>
      </c>
      <c r="L34" s="159">
        <f t="shared" si="2"/>
        <v>8.9382309941520468</v>
      </c>
      <c r="N34" s="159">
        <f>IFERROR(AVERAGE(C34:L34),0)</f>
        <v>9.1229058111511794</v>
      </c>
      <c r="O34" s="159">
        <f>IFERROR(MEDIAN(C34:L34),0)</f>
        <v>8.755335078287116</v>
      </c>
    </row>
    <row r="35" spans="2:15" x14ac:dyDescent="0.3">
      <c r="B35" t="s">
        <v>177</v>
      </c>
      <c r="C35" s="159">
        <f t="shared" ref="C35:L35" si="3">IFERROR(365/C28,0)</f>
        <v>51.924011486635742</v>
      </c>
      <c r="D35" s="159">
        <f t="shared" si="3"/>
        <v>58.207080895703051</v>
      </c>
      <c r="E35" s="159">
        <f t="shared" si="3"/>
        <v>60.387607417458163</v>
      </c>
      <c r="F35" s="159">
        <f t="shared" si="3"/>
        <v>59.438362068965517</v>
      </c>
      <c r="G35" s="159">
        <f t="shared" si="3"/>
        <v>65.158724116930571</v>
      </c>
      <c r="H35" s="159">
        <f t="shared" si="3"/>
        <v>64.215831918505941</v>
      </c>
      <c r="I35" s="159">
        <f t="shared" si="3"/>
        <v>63.120974173363599</v>
      </c>
      <c r="J35" s="159">
        <f t="shared" si="3"/>
        <v>66.713876796469677</v>
      </c>
      <c r="K35" s="159">
        <f t="shared" si="3"/>
        <v>65.806999944267957</v>
      </c>
      <c r="L35" s="159">
        <f t="shared" si="3"/>
        <v>61.805294486215537</v>
      </c>
      <c r="N35" s="159">
        <f>IFERROR(AVERAGE(C35:L35),0)</f>
        <v>61.677876330451582</v>
      </c>
      <c r="O35" s="159">
        <f>IFERROR(MEDIAN(C35:L35),0)</f>
        <v>62.463134329789568</v>
      </c>
    </row>
    <row r="36" spans="2:15" x14ac:dyDescent="0.3">
      <c r="B36" t="s">
        <v>178</v>
      </c>
      <c r="C36" s="159">
        <f t="shared" ref="C36:L36" si="4">IFERROR(365/C29,0)</f>
        <v>26.647338193063838</v>
      </c>
      <c r="D36" s="159">
        <f t="shared" si="4"/>
        <v>24.041254791204356</v>
      </c>
      <c r="E36" s="159">
        <f t="shared" si="4"/>
        <v>25.786069651741293</v>
      </c>
      <c r="F36" s="159">
        <f t="shared" si="4"/>
        <v>23.31594827586207</v>
      </c>
      <c r="G36" s="159">
        <f t="shared" si="4"/>
        <v>30.314783800243603</v>
      </c>
      <c r="H36" s="159">
        <f t="shared" si="4"/>
        <v>35.296760045274475</v>
      </c>
      <c r="I36" s="159">
        <f t="shared" si="4"/>
        <v>26.712778357156001</v>
      </c>
      <c r="J36" s="159">
        <f t="shared" si="4"/>
        <v>25.706064762359116</v>
      </c>
      <c r="K36" s="159">
        <f t="shared" si="4"/>
        <v>25.163294878225493</v>
      </c>
      <c r="L36" s="159">
        <f t="shared" si="4"/>
        <v>25.65215121136174</v>
      </c>
      <c r="N36" s="159">
        <f>IFERROR(AVERAGE(C36:L36),0)</f>
        <v>26.863644396649203</v>
      </c>
      <c r="O36" s="159">
        <f>IFERROR(MEDIAN(C36:L36),0)</f>
        <v>25.746067207050203</v>
      </c>
    </row>
    <row r="37" spans="2:15" x14ac:dyDescent="0.3">
      <c r="B37" t="s">
        <v>179</v>
      </c>
      <c r="C37" s="159">
        <f t="shared" ref="C37:L37" si="5">SUM(C34,C36)-C35</f>
        <v>-18.060525734481999</v>
      </c>
      <c r="D37" s="159">
        <f t="shared" si="5"/>
        <v>-22.936756102481347</v>
      </c>
      <c r="E37" s="159">
        <f t="shared" si="5"/>
        <v>-21.592944369063773</v>
      </c>
      <c r="F37" s="159">
        <f t="shared" si="5"/>
        <v>-26.053448275862067</v>
      </c>
      <c r="G37" s="159">
        <f t="shared" si="5"/>
        <v>-27.702877588306947</v>
      </c>
      <c r="H37" s="159">
        <f t="shared" si="5"/>
        <v>-20.346632710809281</v>
      </c>
      <c r="I37" s="159">
        <f t="shared" si="5"/>
        <v>-29.041469848475558</v>
      </c>
      <c r="J37" s="159">
        <f t="shared" si="5"/>
        <v>-32.453634683046097</v>
      </c>
      <c r="K37" s="159">
        <f t="shared" si="5"/>
        <v>-31.51005963328317</v>
      </c>
      <c r="L37" s="159">
        <f t="shared" si="5"/>
        <v>-27.214912280701746</v>
      </c>
      <c r="N37" s="159">
        <f>IFERROR(AVERAGE(C37:L37),0)</f>
        <v>-25.691326122651198</v>
      </c>
      <c r="O37" s="159">
        <f>IFERROR(MEDIAN(C37:L37),0)</f>
        <v>-26.634180278281907</v>
      </c>
    </row>
    <row r="39" spans="2:15" x14ac:dyDescent="0.3">
      <c r="B39" t="s">
        <v>8613</v>
      </c>
      <c r="C39" s="46">
        <f>IFERROR('Historical FS'!C80/'Historical FS'!C7,0)</f>
        <v>2.3304616743980561E-2</v>
      </c>
      <c r="D39" s="46">
        <f>IFERROR('Historical FS'!D80/'Historical FS'!D7,0)</f>
        <v>0.11428283235828122</v>
      </c>
      <c r="E39" s="46">
        <f>IFERROR('Historical FS'!E80/'Historical FS'!E7,0)</f>
        <v>8.5210312075983716E-2</v>
      </c>
      <c r="F39" s="46">
        <f>IFERROR('Historical FS'!F80/'Historical FS'!F7,0)</f>
        <v>0.13844827586206895</v>
      </c>
      <c r="G39" s="46">
        <f>IFERROR('Historical FS'!G80/'Historical FS'!G7,0)</f>
        <v>0.11883373934226553</v>
      </c>
      <c r="H39" s="46">
        <f>IFERROR('Historical FS'!H80/'Historical FS'!H7,0)</f>
        <v>7.1943972835314091E-2</v>
      </c>
      <c r="I39" s="46">
        <f>IFERROR('Historical FS'!I80/'Historical FS'!I7,0)</f>
        <v>0.18379240537390343</v>
      </c>
      <c r="J39" s="46">
        <f>IFERROR('Historical FS'!J80/'Historical FS'!J7,0)</f>
        <v>0.16452978710716201</v>
      </c>
      <c r="K39" s="46">
        <f>IFERROR('Historical FS'!K80/'Historical FS'!K7,0)</f>
        <v>0.14412305634509279</v>
      </c>
      <c r="L39" s="46">
        <f>IFERROR('Historical FS'!L80/'Historical FS'!L7,0)</f>
        <v>0.13152673350041771</v>
      </c>
      <c r="N39" s="46">
        <f>IFERROR(AVERAGE(C39:L39),0)</f>
        <v>0.117599573154447</v>
      </c>
      <c r="O39" s="46">
        <f>IFERROR(MEDIAN(C39:L39),0)</f>
        <v>0.12518023642134163</v>
      </c>
    </row>
    <row r="40" spans="2:15" x14ac:dyDescent="0.3">
      <c r="B40" t="s">
        <v>8614</v>
      </c>
      <c r="C40" s="46">
        <f>IFERROR('Historical FS'!C80/'Historical FS'!C68,0)</f>
        <v>5.1350693599415916E-2</v>
      </c>
      <c r="D40" s="46">
        <f>IFERROR('Historical FS'!D80/'Historical FS'!D68,0)</f>
        <v>0.21838858905165767</v>
      </c>
      <c r="E40" s="46">
        <f>IFERROR('Historical FS'!E80/'Historical FS'!E68,0)</f>
        <v>0.15103415103415102</v>
      </c>
      <c r="F40" s="46">
        <f>IFERROR('Historical FS'!F80/'Historical FS'!F68,0)</f>
        <v>0.20510855683269477</v>
      </c>
      <c r="G40" s="46">
        <f>IFERROR('Historical FS'!G80/'Historical FS'!G68,0)</f>
        <v>0.19510061242344706</v>
      </c>
      <c r="H40" s="46">
        <f>IFERROR('Historical FS'!H80/'Historical FS'!H68,0)</f>
        <v>0.13513154398086633</v>
      </c>
      <c r="I40" s="46">
        <f>IFERROR('Historical FS'!I80/'Historical FS'!I68,0)</f>
        <v>0.32042780748663102</v>
      </c>
      <c r="J40" s="46">
        <f>IFERROR('Historical FS'!J80/'Historical FS'!J68,0)</f>
        <v>0.30412257495590828</v>
      </c>
      <c r="K40" s="46">
        <f>IFERROR('Historical FS'!K80/'Historical FS'!K68,0)</f>
        <v>0.29266636487098235</v>
      </c>
      <c r="L40" s="46">
        <f>IFERROR('Historical FS'!L80/'Historical FS'!L68,0)</f>
        <v>0.25886342616380636</v>
      </c>
      <c r="N40" s="46">
        <f>IFERROR(AVERAGE(C40:L40),0)</f>
        <v>0.21321943203995608</v>
      </c>
      <c r="O40" s="46">
        <f>IFERROR(MEDIAN(C40:L40),0)</f>
        <v>0.21174857294217622</v>
      </c>
    </row>
    <row r="41" spans="2:15" x14ac:dyDescent="0.3">
      <c r="B41" t="s">
        <v>8615</v>
      </c>
      <c r="C41" s="46">
        <f>IFERROR('Historical FS'!C80/'Historical FS'!C53,0)</f>
        <v>1.6879999999999999</v>
      </c>
      <c r="D41" s="46">
        <f>IFERROR('Historical FS'!D80/'Historical FS'!D53,0)</f>
        <v>5.6368159203980097</v>
      </c>
      <c r="E41" s="46">
        <f>IFERROR('Historical FS'!E80/'Historical FS'!E53,0)</f>
        <v>6.0384615384615383</v>
      </c>
      <c r="F41" s="46">
        <f>IFERROR('Historical FS'!F80/'Historical FS'!F53,0)</f>
        <v>1.0442132639791937</v>
      </c>
      <c r="G41" s="46">
        <f>IFERROR('Historical FS'!G80/'Historical FS'!G53,0)</f>
        <v>0.74086378737541525</v>
      </c>
      <c r="H41" s="46">
        <f>IFERROR('Historical FS'!H80/'Historical FS'!H53,0)</f>
        <v>0.40991535671100365</v>
      </c>
      <c r="I41" s="46">
        <f>IFERROR('Historical FS'!I80/'Historical FS'!I53,0)</f>
        <v>0.99966633299966634</v>
      </c>
      <c r="J41" s="46">
        <f>IFERROR('Historical FS'!J80/'Historical FS'!J53,0)</f>
        <v>1.3360774818401937</v>
      </c>
      <c r="K41" s="46">
        <f>IFERROR('Historical FS'!K80/'Historical FS'!K53,0)</f>
        <v>2.0737770649558942</v>
      </c>
      <c r="L41" s="46">
        <f>IFERROR('Historical FS'!L80/'Historical FS'!L53,0)</f>
        <v>1.8253623188405796</v>
      </c>
      <c r="N41" s="46">
        <f>IFERROR(AVERAGE(C41:L41),0)</f>
        <v>2.1793153065561492</v>
      </c>
      <c r="O41" s="46">
        <f>IFERROR(MEDIAN(C41:L41),0)</f>
        <v>1.5120387409200968</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BRITANNIA INDUSTRIES LTD -Sales Forecasting</v>
      </c>
      <c r="C2" s="164"/>
      <c r="D2" s="164"/>
      <c r="E2" s="164"/>
      <c r="G2" s="164" t="str">
        <f>'Data Sheet'!$B$1&amp;" -"&amp;'Historical FS'!B19&amp;" Forecasting"</f>
        <v>BRITANNIA INDUSTRIES LTD -EBITDA Forecasting</v>
      </c>
      <c r="H2" s="164"/>
      <c r="I2" s="164"/>
      <c r="J2" s="164"/>
      <c r="L2" s="164" t="str">
        <f>'Data Sheet'!$B$1&amp;" -"&amp;'Historical FS'!B37&amp;" Forecasting"</f>
        <v>BRITANNIA INDUSTRIES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42795</v>
      </c>
      <c r="D5" s="106">
        <f t="array" ref="D5:D14">TRANSPOSE('Data Sheet'!B17:K17)</f>
        <v>9054</v>
      </c>
      <c r="E5" s="56" t="s">
        <v>120</v>
      </c>
      <c r="G5">
        <v>1</v>
      </c>
      <c r="H5" s="54">
        <f t="array" ref="H5:H13">TRANSPOSE('Data Sheet'!B16:J16)</f>
        <v>42795</v>
      </c>
      <c r="I5" s="106" cm="1">
        <f t="array" ref="I5:I14">TRANSPOSE('Historical FS'!C19:L19)</f>
        <v>1184.0400000000004</v>
      </c>
      <c r="J5" s="45" t="s">
        <v>120</v>
      </c>
      <c r="L5">
        <v>1</v>
      </c>
      <c r="M5" s="54">
        <f t="array" ref="M5:M13">TRANSPOSE('Data Sheet'!B16:J16)</f>
        <v>42795</v>
      </c>
      <c r="N5" s="106">
        <f t="array" ref="N5:N14">TRANSPOSE('Historical FS'!C37:L37)</f>
        <v>641.04000000000042</v>
      </c>
      <c r="O5" s="56" t="s">
        <v>120</v>
      </c>
    </row>
    <row r="6" spans="2:15" x14ac:dyDescent="0.3">
      <c r="B6">
        <f>B5+1</f>
        <v>2</v>
      </c>
      <c r="C6" s="54">
        <v>43160</v>
      </c>
      <c r="D6" s="106">
        <v>9914</v>
      </c>
      <c r="E6" s="36">
        <f>D6/D5-1</f>
        <v>9.4985641705323642E-2</v>
      </c>
      <c r="G6">
        <f>G5+1</f>
        <v>2</v>
      </c>
      <c r="H6" s="54">
        <v>43160</v>
      </c>
      <c r="I6" s="106">
        <v>1538.7799999999995</v>
      </c>
      <c r="J6" s="36">
        <f>I6/I5-1</f>
        <v>0.29960136481875521</v>
      </c>
      <c r="L6">
        <f>L5+1</f>
        <v>2</v>
      </c>
      <c r="M6" s="54">
        <v>43160</v>
      </c>
      <c r="N6" s="106">
        <v>874.77999999999952</v>
      </c>
      <c r="O6" s="36">
        <f>N6/N5-1</f>
        <v>0.36462623237239322</v>
      </c>
    </row>
    <row r="7" spans="2:15" x14ac:dyDescent="0.3">
      <c r="B7">
        <f t="shared" ref="B7:B19" si="0">B6+1</f>
        <v>3</v>
      </c>
      <c r="C7" s="54">
        <v>43525</v>
      </c>
      <c r="D7" s="106">
        <v>11055</v>
      </c>
      <c r="E7" s="36">
        <f t="shared" ref="E7:E19" si="1">D7/D6-1</f>
        <v>0.11508977203954007</v>
      </c>
      <c r="G7">
        <f t="shared" ref="G7:G19" si="2">G6+1</f>
        <v>3</v>
      </c>
      <c r="H7" s="54">
        <v>43525</v>
      </c>
      <c r="I7" s="106">
        <v>1619.2499999999998</v>
      </c>
      <c r="J7" s="36">
        <f t="shared" ref="J7:J19" si="3">I7/I6-1</f>
        <v>5.2294675002274804E-2</v>
      </c>
      <c r="L7">
        <f t="shared" ref="L7:L19" si="4">L6+1</f>
        <v>3</v>
      </c>
      <c r="M7" s="54">
        <v>43525</v>
      </c>
      <c r="N7" s="106">
        <v>835.24999999999977</v>
      </c>
      <c r="O7" s="36">
        <f t="shared" ref="O7:O19" si="5">N7/N6-1</f>
        <v>-4.5188504538283603E-2</v>
      </c>
    </row>
    <row r="8" spans="2:15" x14ac:dyDescent="0.3">
      <c r="B8">
        <f t="shared" si="0"/>
        <v>4</v>
      </c>
      <c r="C8" s="54">
        <v>43891</v>
      </c>
      <c r="D8" s="106">
        <v>11600</v>
      </c>
      <c r="E8" s="36">
        <f t="shared" si="1"/>
        <v>4.9298959746721049E-2</v>
      </c>
      <c r="G8">
        <f t="shared" si="2"/>
        <v>4</v>
      </c>
      <c r="H8" s="54">
        <v>43891</v>
      </c>
      <c r="I8" s="106">
        <v>1994</v>
      </c>
      <c r="J8" s="36">
        <f t="shared" si="3"/>
        <v>0.23143430600586701</v>
      </c>
      <c r="L8">
        <f t="shared" si="4"/>
        <v>4</v>
      </c>
      <c r="M8" s="54">
        <v>43891</v>
      </c>
      <c r="N8" s="106">
        <v>1282</v>
      </c>
      <c r="O8" s="36">
        <f t="shared" si="5"/>
        <v>0.53486979946123947</v>
      </c>
    </row>
    <row r="9" spans="2:15" x14ac:dyDescent="0.3">
      <c r="B9">
        <f t="shared" si="0"/>
        <v>5</v>
      </c>
      <c r="C9" s="54">
        <v>44256</v>
      </c>
      <c r="D9" s="106">
        <v>13136</v>
      </c>
      <c r="E9" s="36">
        <f t="shared" si="1"/>
        <v>0.13241379310344836</v>
      </c>
      <c r="G9">
        <f t="shared" si="2"/>
        <v>5</v>
      </c>
      <c r="H9" s="54">
        <v>44256</v>
      </c>
      <c r="I9" s="106">
        <v>2546.08</v>
      </c>
      <c r="J9" s="36">
        <f t="shared" si="3"/>
        <v>0.27687061183550643</v>
      </c>
      <c r="L9">
        <f t="shared" si="4"/>
        <v>5</v>
      </c>
      <c r="M9" s="54">
        <v>44256</v>
      </c>
      <c r="N9" s="106">
        <v>1574.08</v>
      </c>
      <c r="O9" s="36">
        <f t="shared" si="5"/>
        <v>0.22783151326053042</v>
      </c>
    </row>
    <row r="10" spans="2:15" x14ac:dyDescent="0.3">
      <c r="B10">
        <f t="shared" si="0"/>
        <v>6</v>
      </c>
      <c r="C10" s="54">
        <v>44621</v>
      </c>
      <c r="D10" s="106">
        <v>14136</v>
      </c>
      <c r="E10" s="36">
        <f t="shared" si="1"/>
        <v>7.6126674786845205E-2</v>
      </c>
      <c r="G10">
        <f t="shared" si="2"/>
        <v>6</v>
      </c>
      <c r="H10" s="54">
        <v>44621</v>
      </c>
      <c r="I10" s="106">
        <v>1973.7199999999991</v>
      </c>
      <c r="J10" s="36">
        <f t="shared" si="3"/>
        <v>-0.22480047759693367</v>
      </c>
      <c r="L10">
        <f t="shared" si="4"/>
        <v>6</v>
      </c>
      <c r="M10" s="54">
        <v>44621</v>
      </c>
      <c r="N10" s="106">
        <v>1066.7199999999991</v>
      </c>
      <c r="O10" s="36">
        <f t="shared" si="5"/>
        <v>-0.32232161008335081</v>
      </c>
    </row>
    <row r="11" spans="2:15" x14ac:dyDescent="0.3">
      <c r="B11">
        <f t="shared" si="0"/>
        <v>7</v>
      </c>
      <c r="C11" s="54">
        <v>44986</v>
      </c>
      <c r="D11" s="106">
        <v>16301</v>
      </c>
      <c r="E11" s="36">
        <f t="shared" si="1"/>
        <v>0.15315506508205989</v>
      </c>
      <c r="G11">
        <f t="shared" si="2"/>
        <v>7</v>
      </c>
      <c r="H11" s="54">
        <v>44986</v>
      </c>
      <c r="I11" s="106">
        <v>2651.7599999999993</v>
      </c>
      <c r="J11" s="36">
        <f t="shared" si="3"/>
        <v>0.34353403724945819</v>
      </c>
      <c r="L11">
        <f t="shared" si="4"/>
        <v>7</v>
      </c>
      <c r="M11" s="54">
        <v>44986</v>
      </c>
      <c r="N11" s="106">
        <v>1539.7599999999993</v>
      </c>
      <c r="O11" s="36">
        <f t="shared" si="5"/>
        <v>0.44345282735863267</v>
      </c>
    </row>
    <row r="12" spans="2:15" x14ac:dyDescent="0.3">
      <c r="B12">
        <f t="shared" si="0"/>
        <v>8</v>
      </c>
      <c r="C12" s="54">
        <v>45352</v>
      </c>
      <c r="D12" s="106">
        <v>16769</v>
      </c>
      <c r="E12" s="36">
        <f t="shared" si="1"/>
        <v>2.8709895098460114E-2</v>
      </c>
      <c r="G12">
        <f t="shared" si="2"/>
        <v>8</v>
      </c>
      <c r="H12" s="54">
        <v>45352</v>
      </c>
      <c r="I12" s="106">
        <v>3260.44</v>
      </c>
      <c r="J12" s="36">
        <f t="shared" si="3"/>
        <v>0.22953811808006797</v>
      </c>
      <c r="L12">
        <f t="shared" si="4"/>
        <v>8</v>
      </c>
      <c r="M12" s="54">
        <v>45352</v>
      </c>
      <c r="N12" s="106">
        <v>2017.44</v>
      </c>
      <c r="O12" s="36">
        <f t="shared" si="5"/>
        <v>0.31023016574011586</v>
      </c>
    </row>
    <row r="13" spans="2:15" x14ac:dyDescent="0.3">
      <c r="B13">
        <f t="shared" si="0"/>
        <v>9</v>
      </c>
      <c r="C13" s="54">
        <v>45717</v>
      </c>
      <c r="D13" s="106">
        <v>17943</v>
      </c>
      <c r="E13" s="36">
        <f t="shared" si="1"/>
        <v>7.0010137754189294E-2</v>
      </c>
      <c r="G13">
        <f t="shared" si="2"/>
        <v>9</v>
      </c>
      <c r="H13" s="54">
        <v>45717</v>
      </c>
      <c r="I13" s="106">
        <v>3082.1100000000006</v>
      </c>
      <c r="J13" s="36">
        <f t="shared" si="3"/>
        <v>-5.4695071830795694E-2</v>
      </c>
      <c r="L13">
        <f t="shared" si="4"/>
        <v>9</v>
      </c>
      <c r="M13" s="54">
        <v>45717</v>
      </c>
      <c r="N13" s="106">
        <v>1881.1100000000006</v>
      </c>
      <c r="O13" s="36">
        <f t="shared" si="5"/>
        <v>-6.7575739551114067E-2</v>
      </c>
    </row>
    <row r="14" spans="2:15" x14ac:dyDescent="0.3">
      <c r="B14">
        <f t="shared" si="0"/>
        <v>10</v>
      </c>
      <c r="C14" s="54">
        <f>C13+365</f>
        <v>46082</v>
      </c>
      <c r="D14" s="106">
        <v>19152</v>
      </c>
      <c r="E14" s="36">
        <f t="shared" si="1"/>
        <v>6.7380036783146524E-2</v>
      </c>
      <c r="G14">
        <f t="shared" si="2"/>
        <v>10</v>
      </c>
      <c r="H14" s="54">
        <f>H13+365</f>
        <v>46082</v>
      </c>
      <c r="I14" s="106">
        <v>3378.5200000000004</v>
      </c>
      <c r="J14" s="36">
        <f t="shared" si="3"/>
        <v>9.6171129518414222E-2</v>
      </c>
      <c r="L14">
        <f t="shared" si="4"/>
        <v>10</v>
      </c>
      <c r="M14" s="54">
        <f>M13+365</f>
        <v>46082</v>
      </c>
      <c r="N14" s="106">
        <v>2176.5200000000004</v>
      </c>
      <c r="O14" s="36">
        <f t="shared" si="5"/>
        <v>0.15704025814545663</v>
      </c>
    </row>
    <row r="15" spans="2:15" x14ac:dyDescent="0.3">
      <c r="B15">
        <f t="shared" si="0"/>
        <v>11</v>
      </c>
      <c r="C15" s="55">
        <f>C14+365</f>
        <v>46447</v>
      </c>
      <c r="D15" s="106">
        <f>FORECAST(B15,$D$5:$D$14,$B$5:$B$14)</f>
        <v>20264.599999999999</v>
      </c>
      <c r="E15" s="36">
        <f t="shared" si="1"/>
        <v>5.8093149540517919E-2</v>
      </c>
      <c r="G15">
        <f t="shared" si="2"/>
        <v>11</v>
      </c>
      <c r="H15" s="55">
        <f>H14+365</f>
        <v>46447</v>
      </c>
      <c r="I15" s="106">
        <f>FORECAST(G15,$I$5:$I$14,$G$5:$G$14)</f>
        <v>3661.5533333333333</v>
      </c>
      <c r="J15" s="36">
        <f t="shared" si="3"/>
        <v>8.3774354845711274E-2</v>
      </c>
      <c r="L15">
        <f t="shared" si="4"/>
        <v>11</v>
      </c>
      <c r="M15" s="55">
        <f>M14+365</f>
        <v>46447</v>
      </c>
      <c r="N15" s="106">
        <f>FORECAST(L15,$N$5:$N$14,$L$5:$L$14)</f>
        <v>2290.2200000000003</v>
      </c>
      <c r="O15" s="36">
        <f t="shared" si="5"/>
        <v>5.2239354566004259E-2</v>
      </c>
    </row>
    <row r="16" spans="2:15" x14ac:dyDescent="0.3">
      <c r="B16">
        <f t="shared" si="0"/>
        <v>12</v>
      </c>
      <c r="C16" s="55">
        <f>C15+365</f>
        <v>46812</v>
      </c>
      <c r="D16" s="106">
        <f t="shared" ref="D16:D19" si="6">FORECAST(B16,$D$5:$D$14,$B$5:$B$14)</f>
        <v>21420.709090909091</v>
      </c>
      <c r="E16" s="36">
        <f t="shared" si="1"/>
        <v>5.7050674126757572E-2</v>
      </c>
      <c r="G16">
        <f t="shared" si="2"/>
        <v>12</v>
      </c>
      <c r="H16" s="55">
        <f>H15+365</f>
        <v>46812</v>
      </c>
      <c r="I16" s="106">
        <f t="shared" ref="I16:I19" si="7">FORECAST(G16,$I$5:$I$14,$G$5:$G$14)</f>
        <v>3904.9503030303031</v>
      </c>
      <c r="J16" s="36">
        <f t="shared" si="3"/>
        <v>6.6473692321010303E-2</v>
      </c>
      <c r="L16">
        <f t="shared" si="4"/>
        <v>12</v>
      </c>
      <c r="M16" s="55">
        <f>M15+365</f>
        <v>46812</v>
      </c>
      <c r="N16" s="106">
        <f t="shared" ref="N16:N19" si="8">FORECAST(L16,$N$5:$N$14,$L$5:$L$14)</f>
        <v>2454.1018181818185</v>
      </c>
      <c r="O16" s="36">
        <f t="shared" si="5"/>
        <v>7.1557238248647792E-2</v>
      </c>
    </row>
    <row r="17" spans="2:15" x14ac:dyDescent="0.3">
      <c r="B17">
        <f t="shared" si="0"/>
        <v>13</v>
      </c>
      <c r="C17" s="55">
        <f>C16+365</f>
        <v>47177</v>
      </c>
      <c r="D17" s="106">
        <f>FORECAST(B17,$D$5:$D$14,$B$5:$B$14)</f>
        <v>22576.81818181818</v>
      </c>
      <c r="E17" s="36">
        <f t="shared" si="1"/>
        <v>5.3971560231857119E-2</v>
      </c>
      <c r="G17">
        <f t="shared" si="2"/>
        <v>13</v>
      </c>
      <c r="H17" s="55">
        <f>H16+365</f>
        <v>47177</v>
      </c>
      <c r="I17" s="106">
        <f t="shared" si="7"/>
        <v>4148.3472727272729</v>
      </c>
      <c r="J17" s="36">
        <f t="shared" si="3"/>
        <v>6.2330362951889429E-2</v>
      </c>
      <c r="L17">
        <f t="shared" si="4"/>
        <v>13</v>
      </c>
      <c r="M17" s="55">
        <f>M16+365</f>
        <v>47177</v>
      </c>
      <c r="N17" s="106">
        <f t="shared" si="8"/>
        <v>2617.9836363636364</v>
      </c>
      <c r="O17" s="36">
        <f t="shared" si="5"/>
        <v>6.6778736304931918E-2</v>
      </c>
    </row>
    <row r="18" spans="2:15" x14ac:dyDescent="0.3">
      <c r="B18">
        <f t="shared" si="0"/>
        <v>14</v>
      </c>
      <c r="C18" s="55">
        <f>C17+365</f>
        <v>47542</v>
      </c>
      <c r="D18" s="106">
        <f t="shared" si="6"/>
        <v>23732.927272727273</v>
      </c>
      <c r="E18" s="36">
        <f t="shared" si="1"/>
        <v>5.1207795606917905E-2</v>
      </c>
      <c r="G18">
        <f t="shared" si="2"/>
        <v>14</v>
      </c>
      <c r="H18" s="55">
        <f>H17+365</f>
        <v>47542</v>
      </c>
      <c r="I18" s="106">
        <f t="shared" si="7"/>
        <v>4391.7442424242417</v>
      </c>
      <c r="J18" s="36">
        <f t="shared" si="3"/>
        <v>5.8673238688850438E-2</v>
      </c>
      <c r="L18">
        <f t="shared" si="4"/>
        <v>14</v>
      </c>
      <c r="M18" s="55">
        <f>M17+365</f>
        <v>47542</v>
      </c>
      <c r="N18" s="106">
        <f t="shared" si="8"/>
        <v>2781.8654545454547</v>
      </c>
      <c r="O18" s="36">
        <f t="shared" si="5"/>
        <v>6.2598488357799242E-2</v>
      </c>
    </row>
    <row r="19" spans="2:15" x14ac:dyDescent="0.3">
      <c r="B19">
        <f t="shared" si="0"/>
        <v>15</v>
      </c>
      <c r="C19" s="55">
        <f>C18+365</f>
        <v>47907</v>
      </c>
      <c r="D19" s="106">
        <f t="shared" si="6"/>
        <v>24889.036363636362</v>
      </c>
      <c r="E19" s="36">
        <f t="shared" si="1"/>
        <v>4.8713295145754509E-2</v>
      </c>
      <c r="G19">
        <f t="shared" si="2"/>
        <v>15</v>
      </c>
      <c r="H19" s="55">
        <f>H18+365</f>
        <v>47907</v>
      </c>
      <c r="I19" s="106">
        <f t="shared" si="7"/>
        <v>4635.1412121212124</v>
      </c>
      <c r="J19" s="36">
        <f t="shared" si="3"/>
        <v>5.5421480910877285E-2</v>
      </c>
      <c r="L19">
        <f t="shared" si="4"/>
        <v>15</v>
      </c>
      <c r="M19" s="55">
        <f>M18+365</f>
        <v>47907</v>
      </c>
      <c r="N19" s="106">
        <f t="shared" si="8"/>
        <v>2945.747272727273</v>
      </c>
      <c r="O19" s="36">
        <f t="shared" si="5"/>
        <v>5.8910763607938677E-2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BRITANNIA INDUSTRIES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0.65982264299259741</v>
      </c>
    </row>
    <row r="10" spans="1:15" x14ac:dyDescent="0.3">
      <c r="B10" s="34">
        <f>'Raw Data'!G6</f>
        <v>46288</v>
      </c>
      <c r="C10">
        <f>'Raw Data'!H6</f>
        <v>4929</v>
      </c>
      <c r="D10" s="45" t="s">
        <v>120</v>
      </c>
      <c r="F10" s="34">
        <f>'Raw Data'!G6</f>
        <v>46288</v>
      </c>
      <c r="G10">
        <f>'Raw Data'!J6</f>
        <v>23414.3</v>
      </c>
      <c r="H10" s="45" t="s">
        <v>120</v>
      </c>
      <c r="J10" t="s">
        <v>198</v>
      </c>
      <c r="L10" s="46">
        <v>0.75</v>
      </c>
    </row>
    <row r="11" spans="1:15" x14ac:dyDescent="0.3">
      <c r="B11" s="34">
        <f>'Raw Data'!G7</f>
        <v>46287</v>
      </c>
      <c r="C11">
        <f>'Raw Data'!H7</f>
        <v>4918</v>
      </c>
      <c r="D11" s="36">
        <f>C10/C11-1</f>
        <v>2.2366815778771532E-3</v>
      </c>
      <c r="F11" s="34">
        <f>'Raw Data'!G7</f>
        <v>46287</v>
      </c>
      <c r="G11">
        <f>'Raw Data'!J7</f>
        <v>23414.3</v>
      </c>
      <c r="H11" s="36">
        <f>G10/G11-1</f>
        <v>0</v>
      </c>
      <c r="N11" t="s">
        <v>194</v>
      </c>
      <c r="O11">
        <f>SLOPE(D10:D252, H10:H252)</f>
        <v>0.65982264299259741</v>
      </c>
    </row>
    <row r="12" spans="1:15" x14ac:dyDescent="0.3">
      <c r="B12" s="34">
        <f>'Raw Data'!G8</f>
        <v>46286</v>
      </c>
      <c r="C12">
        <f>'Raw Data'!H8</f>
        <v>5023</v>
      </c>
      <c r="D12" s="36">
        <f>C11/C12-1</f>
        <v>-2.0903842325303623E-2</v>
      </c>
      <c r="F12" s="34">
        <f>'Raw Data'!G8</f>
        <v>46286</v>
      </c>
      <c r="G12">
        <f>'Raw Data'!J8</f>
        <v>23414.3</v>
      </c>
      <c r="H12" s="36">
        <f>G11/G12-1</f>
        <v>0</v>
      </c>
      <c r="J12" t="s">
        <v>199</v>
      </c>
      <c r="L12" s="47">
        <v>1</v>
      </c>
      <c r="N12" t="s">
        <v>195</v>
      </c>
      <c r="O12">
        <f>_xlfn.COVARIANCE.S(D10:D252, H10:H252)/_xlfn.VAR.S(H10:H252)</f>
        <v>0.65982264299259741</v>
      </c>
    </row>
    <row r="13" spans="1:15" x14ac:dyDescent="0.3">
      <c r="B13" s="34">
        <f>'Raw Data'!G9</f>
        <v>46283</v>
      </c>
      <c r="C13">
        <f>'Raw Data'!H9</f>
        <v>4998</v>
      </c>
      <c r="D13" s="36">
        <f>C12/C13-1</f>
        <v>5.0020008003202054E-3</v>
      </c>
      <c r="F13" s="34">
        <f>'Raw Data'!G9</f>
        <v>46283</v>
      </c>
      <c r="G13">
        <f>'Raw Data'!J9</f>
        <v>23346.400000000001</v>
      </c>
      <c r="H13" s="36">
        <f>G12/G13-1</f>
        <v>2.9083713120652277E-3</v>
      </c>
      <c r="J13" t="s">
        <v>200</v>
      </c>
      <c r="L13" s="46">
        <v>0.25</v>
      </c>
    </row>
    <row r="14" spans="1:15" x14ac:dyDescent="0.3">
      <c r="B14" s="34">
        <f>'Raw Data'!G10</f>
        <v>46282</v>
      </c>
      <c r="C14">
        <f>'Raw Data'!H10</f>
        <v>4982</v>
      </c>
      <c r="D14" s="36">
        <f>C13/C14-1</f>
        <v>3.2115616218386656E-3</v>
      </c>
      <c r="F14" s="34">
        <f>'Raw Data'!G10</f>
        <v>46282</v>
      </c>
      <c r="G14">
        <f>'Raw Data'!J10</f>
        <v>23270.6</v>
      </c>
      <c r="H14" s="36">
        <f>G13/G14-1</f>
        <v>3.2573289902282365E-3</v>
      </c>
    </row>
    <row r="15" spans="1:15" x14ac:dyDescent="0.3">
      <c r="B15" s="34">
        <f>'Raw Data'!G11</f>
        <v>46281</v>
      </c>
      <c r="C15">
        <f>'Raw Data'!H11</f>
        <v>4999.5</v>
      </c>
      <c r="D15" s="36">
        <f>C14/C15-1</f>
        <v>-3.5003500350034855E-3</v>
      </c>
      <c r="F15" s="34">
        <f>'Raw Data'!G11</f>
        <v>46281</v>
      </c>
      <c r="G15">
        <f>'Raw Data'!J11</f>
        <v>23217.599999999999</v>
      </c>
      <c r="H15" s="36">
        <f>G14/G15-1</f>
        <v>2.2827510164702414E-3</v>
      </c>
      <c r="J15" s="79" t="s">
        <v>201</v>
      </c>
      <c r="K15" s="79"/>
      <c r="L15" s="79">
        <f>(L9*L10)+(L12*L13)</f>
        <v>0.74486698224444803</v>
      </c>
    </row>
    <row r="16" spans="1:15" x14ac:dyDescent="0.3">
      <c r="B16" s="34">
        <f>'Raw Data'!G12</f>
        <v>46280</v>
      </c>
      <c r="C16">
        <f>'Raw Data'!H12</f>
        <v>4947.5</v>
      </c>
      <c r="D16" s="36">
        <f>C15/C16-1</f>
        <v>1.0510358767054084E-2</v>
      </c>
      <c r="F16" s="34">
        <f>'Raw Data'!G12</f>
        <v>46280</v>
      </c>
      <c r="G16">
        <f>'Raw Data'!J12</f>
        <v>23118.6</v>
      </c>
      <c r="H16" s="36">
        <f>G15/G16-1</f>
        <v>4.2822662271937428E-3</v>
      </c>
    </row>
    <row r="17" spans="2:8" x14ac:dyDescent="0.3">
      <c r="B17" s="34">
        <f>'Raw Data'!G13</f>
        <v>46276</v>
      </c>
      <c r="C17">
        <f>'Raw Data'!H13</f>
        <v>4962</v>
      </c>
      <c r="D17" s="36">
        <f>C16/C17-1</f>
        <v>-2.9222087867795121E-3</v>
      </c>
      <c r="F17" s="34">
        <f>'Raw Data'!G13</f>
        <v>46276</v>
      </c>
      <c r="G17">
        <f>'Raw Data'!J13</f>
        <v>23398.1</v>
      </c>
      <c r="H17" s="36">
        <f>G16/G17-1</f>
        <v>-1.1945414371252405E-2</v>
      </c>
    </row>
    <row r="18" spans="2:8" x14ac:dyDescent="0.3">
      <c r="B18" s="34">
        <f>'Raw Data'!G14</f>
        <v>46275</v>
      </c>
      <c r="C18">
        <f>'Raw Data'!H14</f>
        <v>5009</v>
      </c>
      <c r="D18" s="36">
        <f>C17/C18-1</f>
        <v>-9.3831104012777056E-3</v>
      </c>
      <c r="F18" s="34">
        <f>'Raw Data'!G14</f>
        <v>46275</v>
      </c>
      <c r="G18">
        <f>'Raw Data'!J14</f>
        <v>23477.8</v>
      </c>
      <c r="H18" s="36">
        <f>G17/G18-1</f>
        <v>-3.3946962662600999E-3</v>
      </c>
    </row>
    <row r="19" spans="2:8" x14ac:dyDescent="0.3">
      <c r="B19" s="34">
        <f>'Raw Data'!G15</f>
        <v>46274</v>
      </c>
      <c r="C19">
        <f>'Raw Data'!H15</f>
        <v>5090</v>
      </c>
      <c r="D19" s="36">
        <f>C18/C19-1</f>
        <v>-1.5913555992141504E-2</v>
      </c>
      <c r="F19" s="34">
        <f>'Raw Data'!G15</f>
        <v>46274</v>
      </c>
      <c r="G19">
        <f>'Raw Data'!J15</f>
        <v>23431.5</v>
      </c>
      <c r="H19" s="36">
        <f>G18/G19-1</f>
        <v>1.9759725156305308E-3</v>
      </c>
    </row>
    <row r="20" spans="2:8" x14ac:dyDescent="0.3">
      <c r="B20" s="34">
        <f>'Raw Data'!G16</f>
        <v>46273</v>
      </c>
      <c r="C20">
        <f>'Raw Data'!H16</f>
        <v>5064</v>
      </c>
      <c r="D20" s="36">
        <f>C19/C20-1</f>
        <v>5.1342812006318628E-3</v>
      </c>
      <c r="F20" s="34">
        <f>'Raw Data'!G16</f>
        <v>46273</v>
      </c>
      <c r="G20">
        <f>'Raw Data'!J16</f>
        <v>23635.1</v>
      </c>
      <c r="H20" s="36">
        <f>G19/G20-1</f>
        <v>-8.6143066879343921E-3</v>
      </c>
    </row>
    <row r="21" spans="2:8" x14ac:dyDescent="0.3">
      <c r="B21" s="34">
        <f>'Raw Data'!G17</f>
        <v>46272</v>
      </c>
      <c r="C21">
        <f>'Raw Data'!H17</f>
        <v>5042.5</v>
      </c>
      <c r="D21" s="36">
        <f>C20/C21-1</f>
        <v>4.2637580565196842E-3</v>
      </c>
      <c r="F21" s="34">
        <f>'Raw Data'!G17</f>
        <v>46272</v>
      </c>
      <c r="G21">
        <f>'Raw Data'!J17</f>
        <v>23779.15</v>
      </c>
      <c r="H21" s="36">
        <f>G20/G21-1</f>
        <v>-6.0578279711429595E-3</v>
      </c>
    </row>
    <row r="22" spans="2:8" x14ac:dyDescent="0.3">
      <c r="B22" s="34">
        <f>'Raw Data'!G18</f>
        <v>46269</v>
      </c>
      <c r="C22">
        <f>'Raw Data'!H18</f>
        <v>5101.5</v>
      </c>
      <c r="D22" s="36">
        <f>C21/C22-1</f>
        <v>-1.156522591394693E-2</v>
      </c>
      <c r="F22" s="34">
        <f>'Raw Data'!G18</f>
        <v>46269</v>
      </c>
      <c r="G22">
        <f>'Raw Data'!J18</f>
        <v>23897.7</v>
      </c>
      <c r="H22" s="36">
        <f>G21/G22-1</f>
        <v>-4.9607284383015315E-3</v>
      </c>
    </row>
    <row r="23" spans="2:8" x14ac:dyDescent="0.3">
      <c r="B23" s="34">
        <f>'Raw Data'!G19</f>
        <v>46268</v>
      </c>
      <c r="C23">
        <f>'Raw Data'!H19</f>
        <v>5130</v>
      </c>
      <c r="D23" s="36">
        <f>C22/C23-1</f>
        <v>-5.5555555555555358E-3</v>
      </c>
      <c r="F23" s="34">
        <f>'Raw Data'!G19</f>
        <v>46268</v>
      </c>
      <c r="G23">
        <f>'Raw Data'!J19</f>
        <v>23873.45</v>
      </c>
      <c r="H23" s="36">
        <f>G22/G23-1</f>
        <v>1.0157727517388082E-3</v>
      </c>
    </row>
    <row r="24" spans="2:8" x14ac:dyDescent="0.3">
      <c r="B24" s="34">
        <f>'Raw Data'!G20</f>
        <v>46267</v>
      </c>
      <c r="C24">
        <f>'Raw Data'!H20</f>
        <v>5154</v>
      </c>
      <c r="D24" s="36">
        <f>C23/C24-1</f>
        <v>-4.6565774155995499E-3</v>
      </c>
      <c r="F24" s="34">
        <f>'Raw Data'!G20</f>
        <v>46267</v>
      </c>
      <c r="G24">
        <f>'Raw Data'!J20</f>
        <v>23914.45</v>
      </c>
      <c r="H24" s="36">
        <f>G23/G24-1</f>
        <v>-1.7144446140304748E-3</v>
      </c>
    </row>
    <row r="25" spans="2:8" x14ac:dyDescent="0.3">
      <c r="B25" s="34">
        <f>'Raw Data'!G21</f>
        <v>46266</v>
      </c>
      <c r="C25">
        <f>'Raw Data'!H21</f>
        <v>5187</v>
      </c>
      <c r="D25" s="36">
        <f>C24/C25-1</f>
        <v>-6.3620589936379535E-3</v>
      </c>
      <c r="F25" s="34">
        <f>'Raw Data'!G21</f>
        <v>46266</v>
      </c>
      <c r="G25">
        <f>'Raw Data'!J21</f>
        <v>24055.8</v>
      </c>
      <c r="H25" s="36">
        <f>G24/G25-1</f>
        <v>-5.8759218151130943E-3</v>
      </c>
    </row>
    <row r="26" spans="2:8" x14ac:dyDescent="0.3">
      <c r="B26" s="34">
        <f>'Raw Data'!G22</f>
        <v>46265</v>
      </c>
      <c r="C26">
        <f>'Raw Data'!H22</f>
        <v>5250</v>
      </c>
      <c r="D26" s="36">
        <f>C25/C26-1</f>
        <v>-1.2000000000000011E-2</v>
      </c>
      <c r="F26" s="34">
        <f>'Raw Data'!G22</f>
        <v>46265</v>
      </c>
      <c r="G26">
        <f>'Raw Data'!J22</f>
        <v>24080.400000000001</v>
      </c>
      <c r="H26" s="36">
        <f>G25/G26-1</f>
        <v>-1.0215777146559413E-3</v>
      </c>
    </row>
    <row r="27" spans="2:8" x14ac:dyDescent="0.3">
      <c r="B27" s="34">
        <f>'Raw Data'!G23</f>
        <v>46262</v>
      </c>
      <c r="C27">
        <f>'Raw Data'!H23</f>
        <v>5308.5</v>
      </c>
      <c r="D27" s="36">
        <f>C26/C27-1</f>
        <v>-1.1020062164453281E-2</v>
      </c>
      <c r="F27" s="34">
        <f>'Raw Data'!G23</f>
        <v>46262</v>
      </c>
      <c r="G27">
        <f>'Raw Data'!J23</f>
        <v>24175.65</v>
      </c>
      <c r="H27" s="36">
        <f>G26/G27-1</f>
        <v>-3.9399147489312947E-3</v>
      </c>
    </row>
    <row r="28" spans="2:8" x14ac:dyDescent="0.3">
      <c r="B28" s="34">
        <f>'Raw Data'!G24</f>
        <v>46261</v>
      </c>
      <c r="C28">
        <f>'Raw Data'!H24</f>
        <v>5298</v>
      </c>
      <c r="D28" s="36">
        <f>C27/C28-1</f>
        <v>1.9818799546997834E-3</v>
      </c>
      <c r="F28" s="34">
        <f>'Raw Data'!G24</f>
        <v>46261</v>
      </c>
      <c r="G28">
        <f>'Raw Data'!J24</f>
        <v>24090.85</v>
      </c>
      <c r="H28" s="36">
        <f>G27/G28-1</f>
        <v>3.5200086339834957E-3</v>
      </c>
    </row>
    <row r="29" spans="2:8" x14ac:dyDescent="0.3">
      <c r="B29" s="34">
        <f>'Raw Data'!G25</f>
        <v>46260</v>
      </c>
      <c r="C29">
        <f>'Raw Data'!H25</f>
        <v>5310</v>
      </c>
      <c r="D29" s="36">
        <f>C28/C29-1</f>
        <v>-2.2598870056497189E-3</v>
      </c>
      <c r="F29" s="34">
        <f>'Raw Data'!G25</f>
        <v>46260</v>
      </c>
      <c r="G29">
        <f>'Raw Data'!J25</f>
        <v>24207.75</v>
      </c>
      <c r="H29" s="36">
        <f>G28/G29-1</f>
        <v>-4.829032024868174E-3</v>
      </c>
    </row>
    <row r="30" spans="2:8" x14ac:dyDescent="0.3">
      <c r="B30" s="34">
        <f>'Raw Data'!G26</f>
        <v>46259</v>
      </c>
      <c r="C30">
        <f>'Raw Data'!H26</f>
        <v>5382.5</v>
      </c>
      <c r="D30" s="36">
        <f>C29/C30-1</f>
        <v>-1.3469577333952598E-2</v>
      </c>
      <c r="F30" s="34">
        <f>'Raw Data'!G26</f>
        <v>46259</v>
      </c>
      <c r="G30">
        <f>'Raw Data'!J26</f>
        <v>24334.55</v>
      </c>
      <c r="H30" s="36">
        <f>G29/G30-1</f>
        <v>-5.2106983691910802E-3</v>
      </c>
    </row>
    <row r="31" spans="2:8" x14ac:dyDescent="0.3">
      <c r="B31" s="34">
        <f>'Raw Data'!G27</f>
        <v>46258</v>
      </c>
      <c r="C31">
        <f>'Raw Data'!H27</f>
        <v>5311</v>
      </c>
      <c r="D31" s="36">
        <f>C30/C31-1</f>
        <v>1.3462624741103379E-2</v>
      </c>
      <c r="F31" s="34">
        <f>'Raw Data'!G27</f>
        <v>46258</v>
      </c>
      <c r="G31">
        <f>'Raw Data'!J27</f>
        <v>24219.05</v>
      </c>
      <c r="H31" s="36">
        <f>G30/G31-1</f>
        <v>4.7689731843321148E-3</v>
      </c>
    </row>
    <row r="32" spans="2:8" x14ac:dyDescent="0.3">
      <c r="B32" s="34">
        <f>'Raw Data'!G28</f>
        <v>46255</v>
      </c>
      <c r="C32">
        <f>'Raw Data'!H28</f>
        <v>5365</v>
      </c>
      <c r="D32" s="36">
        <f>C31/C32-1</f>
        <v>-1.0065237651444514E-2</v>
      </c>
      <c r="F32" s="34">
        <f>'Raw Data'!G28</f>
        <v>46255</v>
      </c>
      <c r="G32">
        <f>'Raw Data'!J28</f>
        <v>24252</v>
      </c>
      <c r="H32" s="36">
        <f>G31/G32-1</f>
        <v>-1.3586508329209712E-3</v>
      </c>
    </row>
    <row r="33" spans="2:8" x14ac:dyDescent="0.3">
      <c r="B33" s="34">
        <f>'Raw Data'!G29</f>
        <v>46254</v>
      </c>
      <c r="C33">
        <f>'Raw Data'!H29</f>
        <v>5548</v>
      </c>
      <c r="D33" s="36">
        <f>C32/C33-1</f>
        <v>-3.2984859408795919E-2</v>
      </c>
      <c r="F33" s="34">
        <f>'Raw Data'!G29</f>
        <v>46254</v>
      </c>
      <c r="G33">
        <f>'Raw Data'!J29</f>
        <v>24231.85</v>
      </c>
      <c r="H33" s="36">
        <f>G32/G33-1</f>
        <v>8.3155021180814082E-4</v>
      </c>
    </row>
    <row r="34" spans="2:8" x14ac:dyDescent="0.3">
      <c r="B34" s="34">
        <f>'Raw Data'!G30</f>
        <v>46253</v>
      </c>
      <c r="C34">
        <f>'Raw Data'!H30</f>
        <v>5453</v>
      </c>
      <c r="D34" s="36">
        <f>C33/C34-1</f>
        <v>1.7421602787456525E-2</v>
      </c>
      <c r="F34" s="34">
        <f>'Raw Data'!G30</f>
        <v>46253</v>
      </c>
      <c r="G34">
        <f>'Raw Data'!J30</f>
        <v>24078.3</v>
      </c>
      <c r="H34" s="36">
        <f>G33/G34-1</f>
        <v>6.3771113409167857E-3</v>
      </c>
    </row>
    <row r="35" spans="2:8" x14ac:dyDescent="0.3">
      <c r="B35" s="34">
        <f>'Raw Data'!G31</f>
        <v>46252</v>
      </c>
      <c r="C35">
        <f>'Raw Data'!H31</f>
        <v>5495</v>
      </c>
      <c r="D35" s="36">
        <f>C34/C35-1</f>
        <v>-7.6433121019108263E-3</v>
      </c>
      <c r="F35" s="34">
        <f>'Raw Data'!G31</f>
        <v>46252</v>
      </c>
      <c r="G35">
        <f>'Raw Data'!J31</f>
        <v>24154.9</v>
      </c>
      <c r="H35" s="36">
        <f>G34/G35-1</f>
        <v>-3.1711992183781623E-3</v>
      </c>
    </row>
    <row r="36" spans="2:8" x14ac:dyDescent="0.3">
      <c r="B36" s="34">
        <f>'Raw Data'!G32</f>
        <v>46251</v>
      </c>
      <c r="C36">
        <f>'Raw Data'!H32</f>
        <v>5521</v>
      </c>
      <c r="D36" s="36">
        <f>C35/C36-1</f>
        <v>-4.7092917949647095E-3</v>
      </c>
      <c r="F36" s="34">
        <f>'Raw Data'!G32</f>
        <v>46251</v>
      </c>
      <c r="G36">
        <f>'Raw Data'!J32</f>
        <v>24287.65</v>
      </c>
      <c r="H36" s="36">
        <f>G35/G36-1</f>
        <v>-5.4657408188935053E-3</v>
      </c>
    </row>
    <row r="37" spans="2:8" x14ac:dyDescent="0.3">
      <c r="B37" s="34">
        <f>'Raw Data'!G33</f>
        <v>46248</v>
      </c>
      <c r="C37">
        <f>'Raw Data'!H33</f>
        <v>5558</v>
      </c>
      <c r="D37" s="36">
        <f>C36/C37-1</f>
        <v>-6.657070888808958E-3</v>
      </c>
      <c r="F37" s="34">
        <f>'Raw Data'!G33</f>
        <v>46248</v>
      </c>
      <c r="G37">
        <f>'Raw Data'!J33</f>
        <v>24366</v>
      </c>
      <c r="H37" s="36">
        <f>G36/G37-1</f>
        <v>-3.2155462529753764E-3</v>
      </c>
    </row>
    <row r="38" spans="2:8" x14ac:dyDescent="0.3">
      <c r="B38" s="34">
        <f>'Raw Data'!G34</f>
        <v>46247</v>
      </c>
      <c r="C38">
        <f>'Raw Data'!H34</f>
        <v>5615</v>
      </c>
      <c r="D38" s="36">
        <f>C37/C38-1</f>
        <v>-1.0151380231522733E-2</v>
      </c>
      <c r="F38" s="34">
        <f>'Raw Data'!G34</f>
        <v>46247</v>
      </c>
      <c r="G38">
        <f>'Raw Data'!J34</f>
        <v>24395.85</v>
      </c>
      <c r="H38" s="36">
        <f>G37/G38-1</f>
        <v>-1.2235687627197844E-3</v>
      </c>
    </row>
    <row r="39" spans="2:8" x14ac:dyDescent="0.3">
      <c r="B39" s="34">
        <f>'Raw Data'!G35</f>
        <v>46246</v>
      </c>
      <c r="C39">
        <f>'Raw Data'!H35</f>
        <v>5645.5</v>
      </c>
      <c r="D39" s="36">
        <f>C38/C39-1</f>
        <v>-5.4025329908776731E-3</v>
      </c>
      <c r="F39" s="34">
        <f>'Raw Data'!G35</f>
        <v>46246</v>
      </c>
      <c r="G39">
        <f>'Raw Data'!J35</f>
        <v>24435.95</v>
      </c>
      <c r="H39" s="36">
        <f>G38/G39-1</f>
        <v>-1.6410248015731321E-3</v>
      </c>
    </row>
    <row r="40" spans="2:8" x14ac:dyDescent="0.3">
      <c r="B40" s="34">
        <f>'Raw Data'!G36</f>
        <v>46245</v>
      </c>
      <c r="C40">
        <f>'Raw Data'!H36</f>
        <v>5598</v>
      </c>
      <c r="D40" s="36">
        <f>C39/C40-1</f>
        <v>8.4851732761701548E-3</v>
      </c>
      <c r="F40" s="34">
        <f>'Raw Data'!G36</f>
        <v>46245</v>
      </c>
      <c r="G40">
        <f>'Raw Data'!J36</f>
        <v>24471.7</v>
      </c>
      <c r="H40" s="36">
        <f>G39/G40-1</f>
        <v>-1.4608711286915321E-3</v>
      </c>
    </row>
    <row r="41" spans="2:8" x14ac:dyDescent="0.3">
      <c r="B41" s="34">
        <f>'Raw Data'!G37</f>
        <v>46244</v>
      </c>
      <c r="C41">
        <f>'Raw Data'!H37</f>
        <v>5623.5</v>
      </c>
      <c r="D41" s="36">
        <f>C40/C41-1</f>
        <v>-4.5345425446785548E-3</v>
      </c>
      <c r="F41" s="34">
        <f>'Raw Data'!G37</f>
        <v>46244</v>
      </c>
      <c r="G41">
        <f>'Raw Data'!J37</f>
        <v>24583.8</v>
      </c>
      <c r="H41" s="36">
        <f>G40/G41-1</f>
        <v>-4.5599134389312512E-3</v>
      </c>
    </row>
    <row r="42" spans="2:8" x14ac:dyDescent="0.3">
      <c r="B42" s="34">
        <f>'Raw Data'!G38</f>
        <v>46241</v>
      </c>
      <c r="C42">
        <f>'Raw Data'!H38</f>
        <v>5510</v>
      </c>
      <c r="D42" s="36">
        <f>C41/C42-1</f>
        <v>2.059891107078049E-2</v>
      </c>
      <c r="F42" s="34">
        <f>'Raw Data'!G38</f>
        <v>46241</v>
      </c>
      <c r="G42">
        <f>'Raw Data'!J38</f>
        <v>24570.65</v>
      </c>
      <c r="H42" s="36">
        <f>G41/G42-1</f>
        <v>5.3519137670332562E-4</v>
      </c>
    </row>
    <row r="43" spans="2:8" x14ac:dyDescent="0.3">
      <c r="B43" s="34">
        <f>'Raw Data'!G39</f>
        <v>46240</v>
      </c>
      <c r="C43">
        <f>'Raw Data'!H39</f>
        <v>5404</v>
      </c>
      <c r="D43" s="36">
        <f>C42/C43-1</f>
        <v>1.9615099925980761E-2</v>
      </c>
      <c r="F43" s="34">
        <f>'Raw Data'!G39</f>
        <v>46240</v>
      </c>
      <c r="G43">
        <f>'Raw Data'!J39</f>
        <v>24636</v>
      </c>
      <c r="H43" s="36">
        <f>G42/G43-1</f>
        <v>-2.6526221789251458E-3</v>
      </c>
    </row>
    <row r="44" spans="2:8" x14ac:dyDescent="0.3">
      <c r="B44" s="34">
        <f>'Raw Data'!G40</f>
        <v>46239</v>
      </c>
      <c r="C44">
        <f>'Raw Data'!H40</f>
        <v>5440</v>
      </c>
      <c r="D44" s="36">
        <f>C43/C44-1</f>
        <v>-6.6176470588235059E-3</v>
      </c>
      <c r="F44" s="34">
        <f>'Raw Data'!G40</f>
        <v>46239</v>
      </c>
      <c r="G44">
        <f>'Raw Data'!J40</f>
        <v>24624.65</v>
      </c>
      <c r="H44" s="36">
        <f>G43/G44-1</f>
        <v>4.6092025673449832E-4</v>
      </c>
    </row>
    <row r="45" spans="2:8" x14ac:dyDescent="0.3">
      <c r="B45" s="34">
        <f>'Raw Data'!G41</f>
        <v>46238</v>
      </c>
      <c r="C45">
        <f>'Raw Data'!H41</f>
        <v>5478</v>
      </c>
      <c r="D45" s="36">
        <f>C44/C45-1</f>
        <v>-6.936838262139422E-3</v>
      </c>
      <c r="F45" s="34">
        <f>'Raw Data'!G41</f>
        <v>46238</v>
      </c>
      <c r="G45">
        <f>'Raw Data'!J41</f>
        <v>24614.9</v>
      </c>
      <c r="H45" s="36">
        <f>G44/G45-1</f>
        <v>3.9610154824920585E-4</v>
      </c>
    </row>
    <row r="46" spans="2:8" x14ac:dyDescent="0.3">
      <c r="B46" s="34">
        <f>'Raw Data'!G42</f>
        <v>46237</v>
      </c>
      <c r="C46">
        <f>'Raw Data'!H42</f>
        <v>5531</v>
      </c>
      <c r="D46" s="36">
        <f>C45/C46-1</f>
        <v>-9.5823540047007549E-3</v>
      </c>
      <c r="F46" s="34">
        <f>'Raw Data'!G42</f>
        <v>46237</v>
      </c>
      <c r="G46">
        <f>'Raw Data'!J42</f>
        <v>24774.3</v>
      </c>
      <c r="H46" s="36">
        <f>G45/G46-1</f>
        <v>-6.4340869368659792E-3</v>
      </c>
    </row>
    <row r="47" spans="2:8" x14ac:dyDescent="0.3">
      <c r="B47" s="34">
        <f>'Raw Data'!G43</f>
        <v>46234</v>
      </c>
      <c r="C47">
        <f>'Raw Data'!H43</f>
        <v>5416.5</v>
      </c>
      <c r="D47" s="36">
        <f>C46/C47-1</f>
        <v>2.1139111972676039E-2</v>
      </c>
      <c r="F47" s="34">
        <f>'Raw Data'!G43</f>
        <v>46234</v>
      </c>
      <c r="G47">
        <f>'Raw Data'!J43</f>
        <v>24383.599999999999</v>
      </c>
      <c r="H47" s="36">
        <f>G46/G47-1</f>
        <v>1.6023064682819665E-2</v>
      </c>
    </row>
    <row r="48" spans="2:8" x14ac:dyDescent="0.3">
      <c r="B48" s="34">
        <f>'Raw Data'!G44</f>
        <v>46233</v>
      </c>
      <c r="C48">
        <f>'Raw Data'!H44</f>
        <v>5524.5</v>
      </c>
      <c r="D48" s="36">
        <f>C47/C48-1</f>
        <v>-1.95492804778713E-2</v>
      </c>
      <c r="F48" s="34">
        <f>'Raw Data'!G44</f>
        <v>46233</v>
      </c>
      <c r="G48">
        <f>'Raw Data'!J44</f>
        <v>24317.15</v>
      </c>
      <c r="H48" s="36">
        <f>G47/G48-1</f>
        <v>2.7326393101163582E-3</v>
      </c>
    </row>
    <row r="49" spans="2:8" x14ac:dyDescent="0.3">
      <c r="B49" s="34">
        <f>'Raw Data'!G45</f>
        <v>46232</v>
      </c>
      <c r="C49">
        <f>'Raw Data'!H45</f>
        <v>5517.5</v>
      </c>
      <c r="D49" s="36">
        <f>C48/C49-1</f>
        <v>1.2686905301313445E-3</v>
      </c>
      <c r="F49" s="34">
        <f>'Raw Data'!G45</f>
        <v>46232</v>
      </c>
      <c r="G49">
        <f>'Raw Data'!J45</f>
        <v>24250.2</v>
      </c>
      <c r="H49" s="36">
        <f>G48/G49-1</f>
        <v>2.7608019727671795E-3</v>
      </c>
    </row>
    <row r="50" spans="2:8" x14ac:dyDescent="0.3">
      <c r="B50" s="34">
        <f>'Raw Data'!G46</f>
        <v>46231</v>
      </c>
      <c r="C50">
        <f>'Raw Data'!H46</f>
        <v>5478.5</v>
      </c>
      <c r="D50" s="36">
        <f>C49/C50-1</f>
        <v>7.1187368805329942E-3</v>
      </c>
      <c r="F50" s="34">
        <f>'Raw Data'!G46</f>
        <v>46231</v>
      </c>
      <c r="G50">
        <f>'Raw Data'!J46</f>
        <v>23985.35</v>
      </c>
      <c r="H50" s="36">
        <f>G49/G50-1</f>
        <v>1.1042156983325224E-2</v>
      </c>
    </row>
    <row r="51" spans="2:8" x14ac:dyDescent="0.3">
      <c r="B51" s="34">
        <f>'Raw Data'!G47</f>
        <v>46230</v>
      </c>
      <c r="C51">
        <f>'Raw Data'!H47</f>
        <v>5384.5</v>
      </c>
      <c r="D51" s="36">
        <f>C50/C51-1</f>
        <v>1.7457516946791651E-2</v>
      </c>
      <c r="F51" s="34">
        <f>'Raw Data'!G47</f>
        <v>46230</v>
      </c>
      <c r="G51">
        <f>'Raw Data'!J47</f>
        <v>23995.95</v>
      </c>
      <c r="H51" s="36">
        <f>G50/G51-1</f>
        <v>-4.4174121049600501E-4</v>
      </c>
    </row>
    <row r="52" spans="2:8" x14ac:dyDescent="0.3">
      <c r="B52" s="34">
        <f>'Raw Data'!G48</f>
        <v>46227</v>
      </c>
      <c r="C52">
        <f>'Raw Data'!H48</f>
        <v>5379.5</v>
      </c>
      <c r="D52" s="36">
        <f>C51/C52-1</f>
        <v>9.2945441026115461E-4</v>
      </c>
      <c r="F52" s="34">
        <f>'Raw Data'!G48</f>
        <v>46227</v>
      </c>
      <c r="G52">
        <f>'Raw Data'!J48</f>
        <v>23767.45</v>
      </c>
      <c r="H52" s="36">
        <f>G51/G52-1</f>
        <v>9.6139888797495132E-3</v>
      </c>
    </row>
    <row r="53" spans="2:8" x14ac:dyDescent="0.3">
      <c r="B53" s="34">
        <f>'Raw Data'!G49</f>
        <v>46226</v>
      </c>
      <c r="C53">
        <f>'Raw Data'!H49</f>
        <v>5388</v>
      </c>
      <c r="D53" s="36">
        <f>C52/C53-1</f>
        <v>-1.5775798069784797E-3</v>
      </c>
      <c r="F53" s="34">
        <f>'Raw Data'!G49</f>
        <v>46226</v>
      </c>
      <c r="G53">
        <f>'Raw Data'!J49</f>
        <v>23869.599999999999</v>
      </c>
      <c r="H53" s="36">
        <f>G52/G53-1</f>
        <v>-4.2795019606527429E-3</v>
      </c>
    </row>
    <row r="54" spans="2:8" x14ac:dyDescent="0.3">
      <c r="B54" s="34">
        <f>'Raw Data'!G50</f>
        <v>46225</v>
      </c>
      <c r="C54">
        <f>'Raw Data'!H50</f>
        <v>5485.5</v>
      </c>
      <c r="D54" s="36">
        <f>C53/C54-1</f>
        <v>-1.7774131802023474E-2</v>
      </c>
      <c r="F54" s="34">
        <f>'Raw Data'!G50</f>
        <v>46225</v>
      </c>
      <c r="G54">
        <f>'Raw Data'!J50</f>
        <v>23996.25</v>
      </c>
      <c r="H54" s="36">
        <f>G53/G54-1</f>
        <v>-5.2779080064594419E-3</v>
      </c>
    </row>
    <row r="55" spans="2:8" x14ac:dyDescent="0.3">
      <c r="B55" s="34">
        <f>'Raw Data'!G51</f>
        <v>46224</v>
      </c>
      <c r="C55">
        <f>'Raw Data'!H51</f>
        <v>5482</v>
      </c>
      <c r="D55" s="36">
        <f>C54/C55-1</f>
        <v>6.3845311929955351E-4</v>
      </c>
      <c r="F55" s="34">
        <f>'Raw Data'!G51</f>
        <v>46224</v>
      </c>
      <c r="G55">
        <f>'Raw Data'!J51</f>
        <v>24187.7</v>
      </c>
      <c r="H55" s="36">
        <f>G54/G55-1</f>
        <v>-7.9151800295191865E-3</v>
      </c>
    </row>
    <row r="56" spans="2:8" x14ac:dyDescent="0.3">
      <c r="B56" s="34">
        <f>'Raw Data'!G52</f>
        <v>46223</v>
      </c>
      <c r="C56">
        <f>'Raw Data'!H52</f>
        <v>5470</v>
      </c>
      <c r="D56" s="36">
        <f>C55/C56-1</f>
        <v>2.1937842778794181E-3</v>
      </c>
      <c r="F56" s="34">
        <f>'Raw Data'!G52</f>
        <v>46223</v>
      </c>
      <c r="G56">
        <f>'Raw Data'!J52</f>
        <v>24238.5</v>
      </c>
      <c r="H56" s="36">
        <f>G55/G56-1</f>
        <v>-2.0958392639808254E-3</v>
      </c>
    </row>
    <row r="57" spans="2:8" x14ac:dyDescent="0.3">
      <c r="B57" s="34">
        <f>'Raw Data'!G53</f>
        <v>46220</v>
      </c>
      <c r="C57">
        <f>'Raw Data'!H53</f>
        <v>5412.5</v>
      </c>
      <c r="D57" s="36">
        <f>C56/C57-1</f>
        <v>1.0623556581986104E-2</v>
      </c>
      <c r="F57" s="34">
        <f>'Raw Data'!G53</f>
        <v>46220</v>
      </c>
      <c r="G57">
        <f>'Raw Data'!J53</f>
        <v>24334.3</v>
      </c>
      <c r="H57" s="36">
        <f>G56/G57-1</f>
        <v>-3.9368299067571444E-3</v>
      </c>
    </row>
    <row r="58" spans="2:8" x14ac:dyDescent="0.3">
      <c r="B58" s="34">
        <f>'Raw Data'!G54</f>
        <v>46219</v>
      </c>
      <c r="C58">
        <f>'Raw Data'!H54</f>
        <v>5310.5</v>
      </c>
      <c r="D58" s="36">
        <f>C57/C58-1</f>
        <v>1.9207230957536847E-2</v>
      </c>
      <c r="F58" s="34">
        <f>'Raw Data'!G54</f>
        <v>46219</v>
      </c>
      <c r="G58">
        <f>'Raw Data'!J54</f>
        <v>24072.75</v>
      </c>
      <c r="H58" s="36">
        <f>G57/G58-1</f>
        <v>1.0864982189404904E-2</v>
      </c>
    </row>
    <row r="59" spans="2:8" x14ac:dyDescent="0.3">
      <c r="B59" s="34">
        <f>'Raw Data'!G55</f>
        <v>46218</v>
      </c>
      <c r="C59">
        <f>'Raw Data'!H55</f>
        <v>5315.5</v>
      </c>
      <c r="D59" s="36">
        <f>C58/C59-1</f>
        <v>-9.4064528266391001E-4</v>
      </c>
      <c r="F59" s="34">
        <f>'Raw Data'!G55</f>
        <v>46218</v>
      </c>
      <c r="G59">
        <f>'Raw Data'!J55</f>
        <v>24078.5</v>
      </c>
      <c r="H59" s="36">
        <f>G58/G59-1</f>
        <v>-2.3880225097083763E-4</v>
      </c>
    </row>
    <row r="60" spans="2:8" x14ac:dyDescent="0.3">
      <c r="B60" s="34">
        <f>'Raw Data'!G56</f>
        <v>46217</v>
      </c>
      <c r="C60">
        <f>'Raw Data'!H56</f>
        <v>5283.5</v>
      </c>
      <c r="D60" s="36">
        <f>C59/C60-1</f>
        <v>6.0565912747232442E-3</v>
      </c>
      <c r="F60" s="34">
        <f>'Raw Data'!G56</f>
        <v>46217</v>
      </c>
      <c r="G60">
        <f>'Raw Data'!J56</f>
        <v>24052.05</v>
      </c>
      <c r="H60" s="36">
        <f>G59/G60-1</f>
        <v>1.0996983625095602E-3</v>
      </c>
    </row>
    <row r="61" spans="2:8" x14ac:dyDescent="0.3">
      <c r="B61" s="34">
        <f>'Raw Data'!G57</f>
        <v>46216</v>
      </c>
      <c r="C61">
        <f>'Raw Data'!H57</f>
        <v>5348.5</v>
      </c>
      <c r="D61" s="36">
        <f>C60/C61-1</f>
        <v>-1.2152940076657015E-2</v>
      </c>
      <c r="F61" s="34">
        <f>'Raw Data'!G57</f>
        <v>46216</v>
      </c>
      <c r="G61">
        <f>'Raw Data'!J57</f>
        <v>24211</v>
      </c>
      <c r="H61" s="36">
        <f>G60/G61-1</f>
        <v>-6.5651976374375698E-3</v>
      </c>
    </row>
    <row r="62" spans="2:8" x14ac:dyDescent="0.3">
      <c r="B62" s="34">
        <f>'Raw Data'!G58</f>
        <v>46213</v>
      </c>
      <c r="C62">
        <f>'Raw Data'!H58</f>
        <v>5353</v>
      </c>
      <c r="D62" s="36">
        <f>C61/C62-1</f>
        <v>-8.4065010274614327E-4</v>
      </c>
      <c r="F62" s="34">
        <f>'Raw Data'!G58</f>
        <v>46213</v>
      </c>
      <c r="G62">
        <f>'Raw Data'!J58</f>
        <v>24206.9</v>
      </c>
      <c r="H62" s="36">
        <f>G61/G62-1</f>
        <v>1.6937319524590322E-4</v>
      </c>
    </row>
    <row r="63" spans="2:8" x14ac:dyDescent="0.3">
      <c r="B63" s="34">
        <f>'Raw Data'!G59</f>
        <v>46212</v>
      </c>
      <c r="C63">
        <f>'Raw Data'!H59</f>
        <v>5361.5</v>
      </c>
      <c r="D63" s="36">
        <f>C62/C63-1</f>
        <v>-1.5853772265224109E-3</v>
      </c>
      <c r="F63" s="34">
        <f>'Raw Data'!G59</f>
        <v>46212</v>
      </c>
      <c r="G63">
        <f>'Raw Data'!J59</f>
        <v>23962.799999999999</v>
      </c>
      <c r="H63" s="36">
        <f>G62/G63-1</f>
        <v>1.0186622598360895E-2</v>
      </c>
    </row>
    <row r="64" spans="2:8" x14ac:dyDescent="0.3">
      <c r="B64" s="34">
        <f>'Raw Data'!G60</f>
        <v>46211</v>
      </c>
      <c r="C64">
        <f>'Raw Data'!H60</f>
        <v>5315.5</v>
      </c>
      <c r="D64" s="36">
        <f>C63/C64-1</f>
        <v>8.6539366005078389E-3</v>
      </c>
      <c r="F64" s="34">
        <f>'Raw Data'!G60</f>
        <v>46211</v>
      </c>
      <c r="G64">
        <f>'Raw Data'!J60</f>
        <v>23882.05</v>
      </c>
      <c r="H64" s="36">
        <f>G63/G64-1</f>
        <v>3.3812005250806187E-3</v>
      </c>
    </row>
    <row r="65" spans="2:8" x14ac:dyDescent="0.3">
      <c r="B65" s="34">
        <f>'Raw Data'!G61</f>
        <v>46210</v>
      </c>
      <c r="C65">
        <f>'Raw Data'!H61</f>
        <v>5447</v>
      </c>
      <c r="D65" s="36">
        <f>C64/C65-1</f>
        <v>-2.4141729392326061E-2</v>
      </c>
      <c r="F65" s="34">
        <f>'Raw Data'!G61</f>
        <v>46210</v>
      </c>
      <c r="G65">
        <f>'Raw Data'!J61</f>
        <v>24398.7</v>
      </c>
      <c r="H65" s="36">
        <f>G64/G65-1</f>
        <v>-2.1175308520535951E-2</v>
      </c>
    </row>
    <row r="66" spans="2:8" x14ac:dyDescent="0.3">
      <c r="B66" s="34">
        <f>'Raw Data'!G62</f>
        <v>46209</v>
      </c>
      <c r="C66">
        <f>'Raw Data'!H62</f>
        <v>5454.5</v>
      </c>
      <c r="D66" s="36">
        <f>C65/C66-1</f>
        <v>-1.3750114584287765E-3</v>
      </c>
      <c r="F66" s="34">
        <f>'Raw Data'!G62</f>
        <v>46209</v>
      </c>
      <c r="G66">
        <f>'Raw Data'!J62</f>
        <v>24430.35</v>
      </c>
      <c r="H66" s="36">
        <f>G65/G66-1</f>
        <v>-1.2955197121612416E-3</v>
      </c>
    </row>
    <row r="67" spans="2:8" x14ac:dyDescent="0.3">
      <c r="B67" s="34">
        <f>'Raw Data'!G63</f>
        <v>46206</v>
      </c>
      <c r="C67">
        <f>'Raw Data'!H63</f>
        <v>5379</v>
      </c>
      <c r="D67" s="36">
        <f>C66/C67-1</f>
        <v>1.403606618330544E-2</v>
      </c>
      <c r="F67" s="34">
        <f>'Raw Data'!G63</f>
        <v>46206</v>
      </c>
      <c r="G67">
        <f>'Raw Data'!J63</f>
        <v>24270.85</v>
      </c>
      <c r="H67" s="36">
        <f>G66/G67-1</f>
        <v>6.5716693070081433E-3</v>
      </c>
    </row>
    <row r="68" spans="2:8" x14ac:dyDescent="0.3">
      <c r="B68" s="34">
        <f>'Raw Data'!G64</f>
        <v>46205</v>
      </c>
      <c r="C68">
        <f>'Raw Data'!H64</f>
        <v>5374</v>
      </c>
      <c r="D68" s="36">
        <f>C67/C68-1</f>
        <v>9.3040565686641763E-4</v>
      </c>
      <c r="F68" s="34">
        <f>'Raw Data'!G64</f>
        <v>46205</v>
      </c>
      <c r="G68">
        <f>'Raw Data'!J64</f>
        <v>24175.7</v>
      </c>
      <c r="H68" s="36">
        <f>G67/G68-1</f>
        <v>3.9357702155469187E-3</v>
      </c>
    </row>
    <row r="69" spans="2:8" x14ac:dyDescent="0.3">
      <c r="B69" s="34">
        <f>'Raw Data'!G65</f>
        <v>46204</v>
      </c>
      <c r="C69">
        <f>'Raw Data'!H65</f>
        <v>5262</v>
      </c>
      <c r="D69" s="36">
        <f>C68/C69-1</f>
        <v>2.1284682630178686E-2</v>
      </c>
      <c r="F69" s="34">
        <f>'Raw Data'!G65</f>
        <v>46204</v>
      </c>
      <c r="G69">
        <f>'Raw Data'!J65</f>
        <v>24005.85</v>
      </c>
      <c r="H69" s="36">
        <f>G68/G69-1</f>
        <v>7.0753587146468178E-3</v>
      </c>
    </row>
    <row r="70" spans="2:8" x14ac:dyDescent="0.3">
      <c r="B70" s="34">
        <f>'Raw Data'!G66</f>
        <v>46203</v>
      </c>
      <c r="C70">
        <f>'Raw Data'!H66</f>
        <v>5146.5</v>
      </c>
      <c r="D70" s="36">
        <f>C69/C70-1</f>
        <v>2.2442436607403193E-2</v>
      </c>
      <c r="F70" s="34">
        <f>'Raw Data'!G66</f>
        <v>46203</v>
      </c>
      <c r="G70">
        <f>'Raw Data'!J66</f>
        <v>23865.75</v>
      </c>
      <c r="H70" s="36">
        <f>G69/G70-1</f>
        <v>5.8703371987052222E-3</v>
      </c>
    </row>
    <row r="71" spans="2:8" x14ac:dyDescent="0.3">
      <c r="B71" s="34">
        <f>'Raw Data'!G67</f>
        <v>46202</v>
      </c>
      <c r="C71">
        <f>'Raw Data'!H67</f>
        <v>5102</v>
      </c>
      <c r="D71" s="36">
        <f>C70/C71-1</f>
        <v>8.7220697765582056E-3</v>
      </c>
      <c r="F71" s="34">
        <f>'Raw Data'!G67</f>
        <v>46202</v>
      </c>
      <c r="G71">
        <f>'Raw Data'!J67</f>
        <v>23946.25</v>
      </c>
      <c r="H71" s="36">
        <f>G70/G71-1</f>
        <v>-3.3616954637991636E-3</v>
      </c>
    </row>
    <row r="72" spans="2:8" x14ac:dyDescent="0.3">
      <c r="B72" s="34">
        <f>'Raw Data'!G68</f>
        <v>46198</v>
      </c>
      <c r="C72">
        <f>'Raw Data'!H68</f>
        <v>5237</v>
      </c>
      <c r="D72" s="36">
        <f>C71/C72-1</f>
        <v>-2.5778117242696186E-2</v>
      </c>
      <c r="F72" s="34">
        <f>'Raw Data'!G68</f>
        <v>46198</v>
      </c>
      <c r="G72">
        <f>'Raw Data'!J68</f>
        <v>24056</v>
      </c>
      <c r="H72" s="36">
        <f>G71/G72-1</f>
        <v>-4.5622713668107551E-3</v>
      </c>
    </row>
    <row r="73" spans="2:8" x14ac:dyDescent="0.3">
      <c r="B73" s="34">
        <f>'Raw Data'!G69</f>
        <v>46197</v>
      </c>
      <c r="C73">
        <f>'Raw Data'!H69</f>
        <v>5262.5</v>
      </c>
      <c r="D73" s="36">
        <f>C72/C73-1</f>
        <v>-4.8456057007125741E-3</v>
      </c>
      <c r="F73" s="34">
        <f>'Raw Data'!G69</f>
        <v>46197</v>
      </c>
      <c r="G73">
        <f>'Raw Data'!J69</f>
        <v>24021.65</v>
      </c>
      <c r="H73" s="36">
        <f>G72/G73-1</f>
        <v>1.4299600568652426E-3</v>
      </c>
    </row>
    <row r="74" spans="2:8" x14ac:dyDescent="0.3">
      <c r="B74" s="34">
        <f>'Raw Data'!G70</f>
        <v>46196</v>
      </c>
      <c r="C74">
        <f>'Raw Data'!H70</f>
        <v>5241</v>
      </c>
      <c r="D74" s="36">
        <f>C73/C74-1</f>
        <v>4.1022705590536557E-3</v>
      </c>
      <c r="F74" s="34">
        <f>'Raw Data'!G70</f>
        <v>46196</v>
      </c>
      <c r="G74">
        <f>'Raw Data'!J70</f>
        <v>23824.1</v>
      </c>
      <c r="H74" s="36">
        <f>G73/G74-1</f>
        <v>8.2920236231380784E-3</v>
      </c>
    </row>
    <row r="75" spans="2:8" x14ac:dyDescent="0.3">
      <c r="B75" s="34">
        <f>'Raw Data'!G71</f>
        <v>46195</v>
      </c>
      <c r="C75">
        <f>'Raw Data'!H71</f>
        <v>5217.5</v>
      </c>
      <c r="D75" s="36">
        <f>C74/C75-1</f>
        <v>4.5040728318159751E-3</v>
      </c>
      <c r="F75" s="34">
        <f>'Raw Data'!G71</f>
        <v>46195</v>
      </c>
      <c r="G75">
        <f>'Raw Data'!J71</f>
        <v>24102.9</v>
      </c>
      <c r="H75" s="36">
        <f>G74/G75-1</f>
        <v>-1.1567072841857318E-2</v>
      </c>
    </row>
    <row r="76" spans="2:8" x14ac:dyDescent="0.3">
      <c r="B76" s="34">
        <f>'Raw Data'!G72</f>
        <v>46192</v>
      </c>
      <c r="C76">
        <f>'Raw Data'!H72</f>
        <v>5195</v>
      </c>
      <c r="D76" s="36">
        <f>C75/C76-1</f>
        <v>4.3310875842155205E-3</v>
      </c>
      <c r="F76" s="34">
        <f>'Raw Data'!G72</f>
        <v>46192</v>
      </c>
      <c r="G76">
        <f>'Raw Data'!J72</f>
        <v>24013.1</v>
      </c>
      <c r="H76" s="36">
        <f>G75/G76-1</f>
        <v>3.7396254544395102E-3</v>
      </c>
    </row>
    <row r="77" spans="2:8" x14ac:dyDescent="0.3">
      <c r="B77" s="34">
        <f>'Raw Data'!G73</f>
        <v>46191</v>
      </c>
      <c r="C77">
        <f>'Raw Data'!H73</f>
        <v>5245</v>
      </c>
      <c r="D77" s="36">
        <f>C76/C77-1</f>
        <v>-9.5328884652049473E-3</v>
      </c>
      <c r="F77" s="34">
        <f>'Raw Data'!G73</f>
        <v>46191</v>
      </c>
      <c r="G77">
        <f>'Raw Data'!J73</f>
        <v>24168</v>
      </c>
      <c r="H77" s="36">
        <f>G76/G77-1</f>
        <v>-6.4093015557763477E-3</v>
      </c>
    </row>
    <row r="78" spans="2:8" x14ac:dyDescent="0.3">
      <c r="B78" s="34">
        <f>'Raw Data'!G74</f>
        <v>46190</v>
      </c>
      <c r="C78">
        <f>'Raw Data'!H74</f>
        <v>5232</v>
      </c>
      <c r="D78" s="36">
        <f>C77/C78-1</f>
        <v>2.4847094801223601E-3</v>
      </c>
      <c r="F78" s="34">
        <f>'Raw Data'!G74</f>
        <v>46190</v>
      </c>
      <c r="G78">
        <f>'Raw Data'!J74</f>
        <v>24085.7</v>
      </c>
      <c r="H78" s="36">
        <f>G77/G78-1</f>
        <v>3.4169652532414219E-3</v>
      </c>
    </row>
    <row r="79" spans="2:8" x14ac:dyDescent="0.3">
      <c r="B79" s="34">
        <f>'Raw Data'!G75</f>
        <v>46189</v>
      </c>
      <c r="C79">
        <f>'Raw Data'!H75</f>
        <v>5217.5</v>
      </c>
      <c r="D79" s="36">
        <f>C78/C79-1</f>
        <v>2.779108768567351E-3</v>
      </c>
      <c r="F79" s="34">
        <f>'Raw Data'!G75</f>
        <v>46189</v>
      </c>
      <c r="G79">
        <f>'Raw Data'!J75</f>
        <v>23989.15</v>
      </c>
      <c r="H79" s="36">
        <f>G78/G79-1</f>
        <v>4.0247361828158468E-3</v>
      </c>
    </row>
    <row r="80" spans="2:8" x14ac:dyDescent="0.3">
      <c r="B80" s="34">
        <f>'Raw Data'!G76</f>
        <v>46188</v>
      </c>
      <c r="C80">
        <f>'Raw Data'!H76</f>
        <v>5199.5</v>
      </c>
      <c r="D80" s="36">
        <f>C79/C80-1</f>
        <v>3.4618713337821738E-3</v>
      </c>
      <c r="F80" s="34">
        <f>'Raw Data'!G76</f>
        <v>46188</v>
      </c>
      <c r="G80">
        <f>'Raw Data'!J76</f>
        <v>23853.9</v>
      </c>
      <c r="H80" s="36">
        <f>G79/G80-1</f>
        <v>5.6699323800299961E-3</v>
      </c>
    </row>
    <row r="81" spans="2:8" x14ac:dyDescent="0.3">
      <c r="B81" s="34">
        <f>'Raw Data'!G77</f>
        <v>46185</v>
      </c>
      <c r="C81">
        <f>'Raw Data'!H77</f>
        <v>5165.5</v>
      </c>
      <c r="D81" s="36">
        <f>C80/C81-1</f>
        <v>6.5821314490368543E-3</v>
      </c>
      <c r="F81" s="34">
        <f>'Raw Data'!G77</f>
        <v>46185</v>
      </c>
      <c r="G81">
        <f>'Raw Data'!J77</f>
        <v>23622.9</v>
      </c>
      <c r="H81" s="36">
        <f>G80/G81-1</f>
        <v>9.7786469908436313E-3</v>
      </c>
    </row>
    <row r="82" spans="2:8" x14ac:dyDescent="0.3">
      <c r="B82" s="34">
        <f>'Raw Data'!G78</f>
        <v>46184</v>
      </c>
      <c r="C82">
        <f>'Raw Data'!H78</f>
        <v>5113</v>
      </c>
      <c r="D82" s="36">
        <f>C81/C82-1</f>
        <v>1.0267944455309985E-2</v>
      </c>
      <c r="F82" s="34">
        <f>'Raw Data'!G78</f>
        <v>46184</v>
      </c>
      <c r="G82">
        <f>'Raw Data'!J78</f>
        <v>23161.599999999999</v>
      </c>
      <c r="H82" s="36">
        <f>G81/G82-1</f>
        <v>1.9916586073501108E-2</v>
      </c>
    </row>
    <row r="83" spans="2:8" x14ac:dyDescent="0.3">
      <c r="B83" s="34">
        <f>'Raw Data'!G79</f>
        <v>46183</v>
      </c>
      <c r="C83">
        <f>'Raw Data'!H79</f>
        <v>5171</v>
      </c>
      <c r="D83" s="36">
        <f>C82/C83-1</f>
        <v>-1.1216399149100775E-2</v>
      </c>
      <c r="F83" s="34">
        <f>'Raw Data'!G79</f>
        <v>46183</v>
      </c>
      <c r="G83">
        <f>'Raw Data'!J79</f>
        <v>23214.95</v>
      </c>
      <c r="H83" s="36">
        <f>G82/G83-1</f>
        <v>-2.2980880854794883E-3</v>
      </c>
    </row>
    <row r="84" spans="2:8" x14ac:dyDescent="0.3">
      <c r="B84" s="34">
        <f>'Raw Data'!G80</f>
        <v>46182</v>
      </c>
      <c r="C84">
        <f>'Raw Data'!H80</f>
        <v>5107.5</v>
      </c>
      <c r="D84" s="36">
        <f>C83/C84-1</f>
        <v>1.2432697014194805E-2</v>
      </c>
      <c r="F84" s="34">
        <f>'Raw Data'!G80</f>
        <v>46182</v>
      </c>
      <c r="G84">
        <f>'Raw Data'!J80</f>
        <v>23242.1</v>
      </c>
      <c r="H84" s="36">
        <f>G83/G84-1</f>
        <v>-1.1681388514805935E-3</v>
      </c>
    </row>
    <row r="85" spans="2:8" x14ac:dyDescent="0.3">
      <c r="B85" s="34">
        <f>'Raw Data'!G81</f>
        <v>46181</v>
      </c>
      <c r="C85">
        <f>'Raw Data'!H81</f>
        <v>5078.5</v>
      </c>
      <c r="D85" s="36">
        <f>C84/C85-1</f>
        <v>5.71034754356603E-3</v>
      </c>
      <c r="F85" s="34">
        <f>'Raw Data'!G81</f>
        <v>46181</v>
      </c>
      <c r="G85">
        <f>'Raw Data'!J81</f>
        <v>23123</v>
      </c>
      <c r="H85" s="36">
        <f>G84/G85-1</f>
        <v>5.1507157375771939E-3</v>
      </c>
    </row>
    <row r="86" spans="2:8" x14ac:dyDescent="0.3">
      <c r="B86" s="34">
        <f>'Raw Data'!G82</f>
        <v>46178</v>
      </c>
      <c r="C86">
        <f>'Raw Data'!H82</f>
        <v>5120.5</v>
      </c>
      <c r="D86" s="36">
        <f>C85/C86-1</f>
        <v>-8.2023239917976554E-3</v>
      </c>
      <c r="F86" s="34">
        <f>'Raw Data'!G82</f>
        <v>46178</v>
      </c>
      <c r="G86">
        <f>'Raw Data'!J82</f>
        <v>23366.7</v>
      </c>
      <c r="H86" s="36">
        <f>G85/G86-1</f>
        <v>-1.0429371712736502E-2</v>
      </c>
    </row>
    <row r="87" spans="2:8" x14ac:dyDescent="0.3">
      <c r="B87" s="34">
        <f>'Raw Data'!G83</f>
        <v>46177</v>
      </c>
      <c r="C87">
        <f>'Raw Data'!H83</f>
        <v>5090</v>
      </c>
      <c r="D87" s="36">
        <f>C86/C87-1</f>
        <v>5.9921414538310902E-3</v>
      </c>
      <c r="F87" s="34">
        <f>'Raw Data'!G83</f>
        <v>46177</v>
      </c>
      <c r="G87">
        <f>'Raw Data'!J83</f>
        <v>23416.55</v>
      </c>
      <c r="H87" s="36">
        <f>G86/G87-1</f>
        <v>-2.1288362290772245E-3</v>
      </c>
    </row>
    <row r="88" spans="2:8" x14ac:dyDescent="0.3">
      <c r="B88" s="34">
        <f>'Raw Data'!G84</f>
        <v>46176</v>
      </c>
      <c r="C88">
        <f>'Raw Data'!H84</f>
        <v>5064</v>
      </c>
      <c r="D88" s="36">
        <f>C87/C88-1</f>
        <v>5.1342812006318628E-3</v>
      </c>
      <c r="F88" s="34">
        <f>'Raw Data'!G84</f>
        <v>46176</v>
      </c>
      <c r="G88">
        <f>'Raw Data'!J84</f>
        <v>23405.599999999999</v>
      </c>
      <c r="H88" s="36">
        <f>G87/G88-1</f>
        <v>4.6783675701544958E-4</v>
      </c>
    </row>
    <row r="89" spans="2:8" x14ac:dyDescent="0.3">
      <c r="B89" s="34">
        <f>'Raw Data'!G85</f>
        <v>46175</v>
      </c>
      <c r="C89">
        <f>'Raw Data'!H85</f>
        <v>5117</v>
      </c>
      <c r="D89" s="36">
        <f>C88/C89-1</f>
        <v>-1.0357631424662839E-2</v>
      </c>
      <c r="F89" s="34">
        <f>'Raw Data'!G85</f>
        <v>46175</v>
      </c>
      <c r="G89">
        <f>'Raw Data'!J85</f>
        <v>23483.55</v>
      </c>
      <c r="H89" s="36">
        <f>G88/G89-1</f>
        <v>-3.3193448179683616E-3</v>
      </c>
    </row>
    <row r="90" spans="2:8" x14ac:dyDescent="0.3">
      <c r="B90" s="34">
        <f>'Raw Data'!G86</f>
        <v>46174</v>
      </c>
      <c r="C90">
        <f>'Raw Data'!H86</f>
        <v>5157.5</v>
      </c>
      <c r="D90" s="36">
        <f>C89/C90-1</f>
        <v>-7.8526417838099549E-3</v>
      </c>
      <c r="F90" s="34">
        <f>'Raw Data'!G86</f>
        <v>46174</v>
      </c>
      <c r="G90">
        <f>'Raw Data'!J86</f>
        <v>23382.6</v>
      </c>
      <c r="H90" s="36">
        <f>G89/G90-1</f>
        <v>4.3173128736753164E-3</v>
      </c>
    </row>
    <row r="91" spans="2:8" x14ac:dyDescent="0.3">
      <c r="B91" s="34">
        <f>'Raw Data'!G87</f>
        <v>46171</v>
      </c>
      <c r="C91">
        <f>'Raw Data'!H87</f>
        <v>5204.5</v>
      </c>
      <c r="D91" s="36">
        <f>C90/C91-1</f>
        <v>-9.0306465558651627E-3</v>
      </c>
      <c r="F91" s="34">
        <f>'Raw Data'!G87</f>
        <v>46171</v>
      </c>
      <c r="G91">
        <f>'Raw Data'!J87</f>
        <v>23547.75</v>
      </c>
      <c r="H91" s="36">
        <f>G90/G91-1</f>
        <v>-7.0134089244195952E-3</v>
      </c>
    </row>
    <row r="92" spans="2:8" x14ac:dyDescent="0.3">
      <c r="B92" s="34">
        <f>'Raw Data'!G88</f>
        <v>46169</v>
      </c>
      <c r="C92">
        <f>'Raw Data'!H88</f>
        <v>5335.5</v>
      </c>
      <c r="D92" s="36">
        <f>C91/C92-1</f>
        <v>-2.455252553650078E-2</v>
      </c>
      <c r="F92" s="34">
        <f>'Raw Data'!G88</f>
        <v>46169</v>
      </c>
      <c r="G92">
        <f>'Raw Data'!J88</f>
        <v>23907.15</v>
      </c>
      <c r="H92" s="36">
        <f>G91/G92-1</f>
        <v>-1.5033159535954743E-2</v>
      </c>
    </row>
    <row r="93" spans="2:8" x14ac:dyDescent="0.3">
      <c r="B93" s="34">
        <f>'Raw Data'!G89</f>
        <v>46168</v>
      </c>
      <c r="C93">
        <f>'Raw Data'!H89</f>
        <v>5338</v>
      </c>
      <c r="D93" s="36">
        <f>C92/C93-1</f>
        <v>-4.6834020232300322E-4</v>
      </c>
      <c r="F93" s="34">
        <f>'Raw Data'!G89</f>
        <v>46168</v>
      </c>
      <c r="G93">
        <f>'Raw Data'!J89</f>
        <v>23913.7</v>
      </c>
      <c r="H93" s="36">
        <f>G92/G93-1</f>
        <v>-2.7390157106588209E-4</v>
      </c>
    </row>
    <row r="94" spans="2:8" x14ac:dyDescent="0.3">
      <c r="B94" s="34">
        <f>'Raw Data'!G90</f>
        <v>46167</v>
      </c>
      <c r="C94">
        <f>'Raw Data'!H90</f>
        <v>5327</v>
      </c>
      <c r="D94" s="36">
        <f>C93/C94-1</f>
        <v>2.0649521306550511E-3</v>
      </c>
      <c r="F94" s="34">
        <f>'Raw Data'!G90</f>
        <v>46167</v>
      </c>
      <c r="G94">
        <f>'Raw Data'!J90</f>
        <v>24031.7</v>
      </c>
      <c r="H94" s="36">
        <f>G93/G94-1</f>
        <v>-4.9101811357498137E-3</v>
      </c>
    </row>
    <row r="95" spans="2:8" x14ac:dyDescent="0.3">
      <c r="B95" s="34">
        <f>'Raw Data'!G91</f>
        <v>46164</v>
      </c>
      <c r="C95">
        <f>'Raw Data'!H91</f>
        <v>5331.5</v>
      </c>
      <c r="D95" s="36">
        <f>C94/C95-1</f>
        <v>-8.4404013879768591E-4</v>
      </c>
      <c r="F95" s="34">
        <f>'Raw Data'!G91</f>
        <v>46164</v>
      </c>
      <c r="G95">
        <f>'Raw Data'!J91</f>
        <v>23719.3</v>
      </c>
      <c r="H95" s="36">
        <f>G94/G95-1</f>
        <v>1.3170709085006838E-2</v>
      </c>
    </row>
    <row r="96" spans="2:8" x14ac:dyDescent="0.3">
      <c r="B96" s="34">
        <f>'Raw Data'!G92</f>
        <v>46163</v>
      </c>
      <c r="C96">
        <f>'Raw Data'!H92</f>
        <v>5333</v>
      </c>
      <c r="D96" s="36">
        <f>C95/C96-1</f>
        <v>-2.8126757922375401E-4</v>
      </c>
      <c r="F96" s="34">
        <f>'Raw Data'!G92</f>
        <v>46163</v>
      </c>
      <c r="G96">
        <f>'Raw Data'!J92</f>
        <v>23654.7</v>
      </c>
      <c r="H96" s="36">
        <f>G95/G96-1</f>
        <v>2.7309583296342144E-3</v>
      </c>
    </row>
    <row r="97" spans="2:8" x14ac:dyDescent="0.3">
      <c r="B97" s="34">
        <f>'Raw Data'!G93</f>
        <v>46162</v>
      </c>
      <c r="C97">
        <f>'Raw Data'!H93</f>
        <v>5344.5</v>
      </c>
      <c r="D97" s="36">
        <f>C96/C97-1</f>
        <v>-2.1517447843577564E-3</v>
      </c>
      <c r="F97" s="34">
        <f>'Raw Data'!G93</f>
        <v>46162</v>
      </c>
      <c r="G97">
        <f>'Raw Data'!J93</f>
        <v>23659</v>
      </c>
      <c r="H97" s="36">
        <f>G96/G97-1</f>
        <v>-1.8174901728729154E-4</v>
      </c>
    </row>
    <row r="98" spans="2:8" x14ac:dyDescent="0.3">
      <c r="B98" s="34">
        <f>'Raw Data'!G94</f>
        <v>46161</v>
      </c>
      <c r="C98">
        <f>'Raw Data'!H94</f>
        <v>5416.5</v>
      </c>
      <c r="D98" s="36">
        <f>C97/C98-1</f>
        <v>-1.329271669897536E-2</v>
      </c>
      <c r="F98" s="34">
        <f>'Raw Data'!G94</f>
        <v>46161</v>
      </c>
      <c r="G98">
        <f>'Raw Data'!J94</f>
        <v>23618</v>
      </c>
      <c r="H98" s="36">
        <f>G97/G98-1</f>
        <v>1.7359640951817301E-3</v>
      </c>
    </row>
    <row r="99" spans="2:8" x14ac:dyDescent="0.3">
      <c r="B99" s="34">
        <f>'Raw Data'!G95</f>
        <v>46160</v>
      </c>
      <c r="C99">
        <f>'Raw Data'!H95</f>
        <v>5380.5</v>
      </c>
      <c r="D99" s="36">
        <f>C98/C99-1</f>
        <v>6.6908279899637879E-3</v>
      </c>
      <c r="F99" s="34">
        <f>'Raw Data'!G95</f>
        <v>46160</v>
      </c>
      <c r="G99">
        <f>'Raw Data'!J95</f>
        <v>23649.95</v>
      </c>
      <c r="H99" s="36">
        <f>G98/G99-1</f>
        <v>-1.3509542303472566E-3</v>
      </c>
    </row>
    <row r="100" spans="2:8" x14ac:dyDescent="0.3">
      <c r="B100" s="34">
        <f>'Raw Data'!G96</f>
        <v>46157</v>
      </c>
      <c r="C100">
        <f>'Raw Data'!H96</f>
        <v>5406</v>
      </c>
      <c r="D100" s="36">
        <f>C99/C100-1</f>
        <v>-4.7169811320755262E-3</v>
      </c>
      <c r="F100" s="34">
        <f>'Raw Data'!G96</f>
        <v>46157</v>
      </c>
      <c r="G100">
        <f>'Raw Data'!J96</f>
        <v>23643.5</v>
      </c>
      <c r="H100" s="36">
        <f>G99/G100-1</f>
        <v>2.7280225008996517E-4</v>
      </c>
    </row>
    <row r="101" spans="2:8" x14ac:dyDescent="0.3">
      <c r="B101" s="34">
        <f>'Raw Data'!G97</f>
        <v>46156</v>
      </c>
      <c r="C101">
        <f>'Raw Data'!H97</f>
        <v>5372.5</v>
      </c>
      <c r="D101" s="36">
        <f>C100/C101-1</f>
        <v>6.2354583527222118E-3</v>
      </c>
      <c r="F101" s="34">
        <f>'Raw Data'!G97</f>
        <v>46156</v>
      </c>
      <c r="G101">
        <f>'Raw Data'!J97</f>
        <v>23689.599999999999</v>
      </c>
      <c r="H101" s="36">
        <f>G100/G101-1</f>
        <v>-1.946001620964366E-3</v>
      </c>
    </row>
    <row r="102" spans="2:8" x14ac:dyDescent="0.3">
      <c r="B102" s="34">
        <f>'Raw Data'!G98</f>
        <v>46155</v>
      </c>
      <c r="C102">
        <f>'Raw Data'!H98</f>
        <v>5336</v>
      </c>
      <c r="D102" s="36">
        <f>C101/C102-1</f>
        <v>6.840329835082537E-3</v>
      </c>
      <c r="F102" s="34">
        <f>'Raw Data'!G98</f>
        <v>46155</v>
      </c>
      <c r="G102">
        <f>'Raw Data'!J98</f>
        <v>23412.6</v>
      </c>
      <c r="H102" s="36">
        <f>G101/G102-1</f>
        <v>1.1831236171975679E-2</v>
      </c>
    </row>
    <row r="103" spans="2:8" x14ac:dyDescent="0.3">
      <c r="B103" s="34">
        <f>'Raw Data'!G99</f>
        <v>46154</v>
      </c>
      <c r="C103">
        <f>'Raw Data'!H99</f>
        <v>5334</v>
      </c>
      <c r="D103" s="36">
        <f>C102/C103-1</f>
        <v>3.7495313085855742E-4</v>
      </c>
      <c r="F103" s="34">
        <f>'Raw Data'!G99</f>
        <v>46154</v>
      </c>
      <c r="G103">
        <f>'Raw Data'!J99</f>
        <v>23379.55</v>
      </c>
      <c r="H103" s="36">
        <f>G102/G103-1</f>
        <v>1.4136285771111368E-3</v>
      </c>
    </row>
    <row r="104" spans="2:8" x14ac:dyDescent="0.3">
      <c r="B104" s="34">
        <f>'Raw Data'!G100</f>
        <v>46153</v>
      </c>
      <c r="C104">
        <f>'Raw Data'!H100</f>
        <v>5410.5</v>
      </c>
      <c r="D104" s="36">
        <f>C103/C104-1</f>
        <v>-1.4139173828666474E-2</v>
      </c>
      <c r="F104" s="34">
        <f>'Raw Data'!G100</f>
        <v>46153</v>
      </c>
      <c r="G104">
        <f>'Raw Data'!J100</f>
        <v>23815.85</v>
      </c>
      <c r="H104" s="36">
        <f>G103/G104-1</f>
        <v>-1.8319732447088732E-2</v>
      </c>
    </row>
    <row r="105" spans="2:8" x14ac:dyDescent="0.3">
      <c r="B105" s="34">
        <f>'Raw Data'!G101</f>
        <v>46150</v>
      </c>
      <c r="C105">
        <f>'Raw Data'!H101</f>
        <v>5520</v>
      </c>
      <c r="D105" s="36">
        <f>C104/C105-1</f>
        <v>-1.9836956521739113E-2</v>
      </c>
      <c r="F105" s="34">
        <f>'Raw Data'!G101</f>
        <v>46150</v>
      </c>
      <c r="G105">
        <f>'Raw Data'!J101</f>
        <v>24176.15</v>
      </c>
      <c r="H105" s="36">
        <f>G104/G105-1</f>
        <v>-1.4903117328441629E-2</v>
      </c>
    </row>
    <row r="106" spans="2:8" x14ac:dyDescent="0.3">
      <c r="B106" s="34">
        <f>'Raw Data'!G102</f>
        <v>46149</v>
      </c>
      <c r="C106">
        <f>'Raw Data'!H102</f>
        <v>5814</v>
      </c>
      <c r="D106" s="36">
        <f>C105/C106-1</f>
        <v>-5.0567595459236281E-2</v>
      </c>
      <c r="F106" s="34">
        <f>'Raw Data'!G102</f>
        <v>46149</v>
      </c>
      <c r="G106">
        <f>'Raw Data'!J102</f>
        <v>24326.65</v>
      </c>
      <c r="H106" s="36">
        <f>G105/G106-1</f>
        <v>-6.1866307115858721E-3</v>
      </c>
    </row>
    <row r="107" spans="2:8" x14ac:dyDescent="0.3">
      <c r="B107" s="34">
        <f>'Raw Data'!G103</f>
        <v>46148</v>
      </c>
      <c r="C107">
        <f>'Raw Data'!H103</f>
        <v>5783</v>
      </c>
      <c r="D107" s="36">
        <f>C106/C107-1</f>
        <v>5.3605395123639266E-3</v>
      </c>
      <c r="F107" s="34">
        <f>'Raw Data'!G103</f>
        <v>46148</v>
      </c>
      <c r="G107">
        <f>'Raw Data'!J103</f>
        <v>24330.95</v>
      </c>
      <c r="H107" s="36">
        <f>G106/G107-1</f>
        <v>-1.7672963858783586E-4</v>
      </c>
    </row>
    <row r="108" spans="2:8" x14ac:dyDescent="0.3">
      <c r="B108" s="34">
        <f>'Raw Data'!G104</f>
        <v>46147</v>
      </c>
      <c r="C108">
        <f>'Raw Data'!H104</f>
        <v>5834.5</v>
      </c>
      <c r="D108" s="36">
        <f>C107/C108-1</f>
        <v>-8.8268060673579729E-3</v>
      </c>
      <c r="F108" s="34">
        <f>'Raw Data'!G104</f>
        <v>46147</v>
      </c>
      <c r="G108">
        <f>'Raw Data'!J104</f>
        <v>24032.799999999999</v>
      </c>
      <c r="H108" s="36">
        <f>G107/G108-1</f>
        <v>1.2405961852135494E-2</v>
      </c>
    </row>
    <row r="109" spans="2:8" x14ac:dyDescent="0.3">
      <c r="B109" s="34">
        <f>'Raw Data'!G105</f>
        <v>46146</v>
      </c>
      <c r="C109">
        <f>'Raw Data'!H105</f>
        <v>5792.5</v>
      </c>
      <c r="D109" s="36">
        <f>C108/C109-1</f>
        <v>7.2507552870091363E-3</v>
      </c>
      <c r="F109" s="34">
        <f>'Raw Data'!G105</f>
        <v>46146</v>
      </c>
      <c r="G109">
        <f>'Raw Data'!J105</f>
        <v>24119.3</v>
      </c>
      <c r="H109" s="36">
        <f>G108/G109-1</f>
        <v>-3.5863395703855661E-3</v>
      </c>
    </row>
    <row r="110" spans="2:8" x14ac:dyDescent="0.3">
      <c r="B110" s="34">
        <f>'Raw Data'!G106</f>
        <v>46142</v>
      </c>
      <c r="C110">
        <f>'Raw Data'!H106</f>
        <v>5726</v>
      </c>
      <c r="D110" s="36">
        <f>C109/C110-1</f>
        <v>1.1613691931540382E-2</v>
      </c>
      <c r="F110" s="34">
        <f>'Raw Data'!G106</f>
        <v>46142</v>
      </c>
      <c r="G110">
        <f>'Raw Data'!J106</f>
        <v>23997.55</v>
      </c>
      <c r="H110" s="36">
        <f>G109/G110-1</f>
        <v>5.0734345797800451E-3</v>
      </c>
    </row>
    <row r="111" spans="2:8" x14ac:dyDescent="0.3">
      <c r="B111" s="34">
        <f>'Raw Data'!G107</f>
        <v>46141</v>
      </c>
      <c r="C111">
        <f>'Raw Data'!H107</f>
        <v>5709</v>
      </c>
      <c r="D111" s="36">
        <f>C110/C111-1</f>
        <v>2.9777544228410946E-3</v>
      </c>
      <c r="F111" s="34">
        <f>'Raw Data'!G107</f>
        <v>46141</v>
      </c>
      <c r="G111">
        <f>'Raw Data'!J107</f>
        <v>24177.65</v>
      </c>
      <c r="H111" s="36">
        <f>G110/G111-1</f>
        <v>-7.4490283381554168E-3</v>
      </c>
    </row>
    <row r="112" spans="2:8" x14ac:dyDescent="0.3">
      <c r="B112" s="34">
        <f>'Raw Data'!G108</f>
        <v>46140</v>
      </c>
      <c r="C112">
        <f>'Raw Data'!H108</f>
        <v>5662</v>
      </c>
      <c r="D112" s="36">
        <f>C111/C112-1</f>
        <v>8.3009537265983369E-3</v>
      </c>
      <c r="F112" s="34">
        <f>'Raw Data'!G108</f>
        <v>46140</v>
      </c>
      <c r="G112">
        <f>'Raw Data'!J108</f>
        <v>23995.7</v>
      </c>
      <c r="H112" s="36">
        <f>G111/G112-1</f>
        <v>7.5826085506986995E-3</v>
      </c>
    </row>
    <row r="113" spans="2:8" x14ac:dyDescent="0.3">
      <c r="B113" s="34">
        <f>'Raw Data'!G109</f>
        <v>46139</v>
      </c>
      <c r="C113">
        <f>'Raw Data'!H109</f>
        <v>5717.5</v>
      </c>
      <c r="D113" s="36">
        <f>C112/C113-1</f>
        <v>-9.7070397901181105E-3</v>
      </c>
      <c r="F113" s="34">
        <f>'Raw Data'!G109</f>
        <v>46139</v>
      </c>
      <c r="G113">
        <f>'Raw Data'!J109</f>
        <v>24092.7</v>
      </c>
      <c r="H113" s="36">
        <f>G112/G113-1</f>
        <v>-4.0261157944107007E-3</v>
      </c>
    </row>
    <row r="114" spans="2:8" x14ac:dyDescent="0.3">
      <c r="B114" s="34">
        <f>'Raw Data'!G110</f>
        <v>46136</v>
      </c>
      <c r="C114">
        <f>'Raw Data'!H110</f>
        <v>5730.5</v>
      </c>
      <c r="D114" s="36">
        <f>C113/C114-1</f>
        <v>-2.2685629526218998E-3</v>
      </c>
      <c r="F114" s="34">
        <f>'Raw Data'!G110</f>
        <v>46136</v>
      </c>
      <c r="G114">
        <f>'Raw Data'!J110</f>
        <v>23897.95</v>
      </c>
      <c r="H114" s="36">
        <f>G113/G114-1</f>
        <v>8.1492345577758307E-3</v>
      </c>
    </row>
    <row r="115" spans="2:8" x14ac:dyDescent="0.3">
      <c r="B115" s="34">
        <f>'Raw Data'!G111</f>
        <v>46135</v>
      </c>
      <c r="C115">
        <f>'Raw Data'!H111</f>
        <v>5671.5</v>
      </c>
      <c r="D115" s="36">
        <f>C114/C115-1</f>
        <v>1.0402891651238644E-2</v>
      </c>
      <c r="F115" s="34">
        <f>'Raw Data'!G111</f>
        <v>46135</v>
      </c>
      <c r="G115">
        <f>'Raw Data'!J111</f>
        <v>24173.05</v>
      </c>
      <c r="H115" s="36">
        <f>G114/G115-1</f>
        <v>-1.1380442269386726E-2</v>
      </c>
    </row>
    <row r="116" spans="2:8" x14ac:dyDescent="0.3">
      <c r="B116" s="34">
        <f>'Raw Data'!G112</f>
        <v>46134</v>
      </c>
      <c r="C116">
        <f>'Raw Data'!H112</f>
        <v>5729.5</v>
      </c>
      <c r="D116" s="36">
        <f>C115/C116-1</f>
        <v>-1.012304738633385E-2</v>
      </c>
      <c r="F116" s="34">
        <f>'Raw Data'!G112</f>
        <v>46134</v>
      </c>
      <c r="G116">
        <f>'Raw Data'!J112</f>
        <v>24378.1</v>
      </c>
      <c r="H116" s="36">
        <f>G115/G116-1</f>
        <v>-8.4112379553779038E-3</v>
      </c>
    </row>
    <row r="117" spans="2:8" x14ac:dyDescent="0.3">
      <c r="B117" s="34">
        <f>'Raw Data'!G113</f>
        <v>46133</v>
      </c>
      <c r="C117">
        <f>'Raw Data'!H113</f>
        <v>5837.5</v>
      </c>
      <c r="D117" s="36">
        <f>C116/C117-1</f>
        <v>-1.850107066381157E-2</v>
      </c>
      <c r="F117" s="34">
        <f>'Raw Data'!G113</f>
        <v>46133</v>
      </c>
      <c r="G117">
        <f>'Raw Data'!J113</f>
        <v>24576.6</v>
      </c>
      <c r="H117" s="36">
        <f>G116/G117-1</f>
        <v>-8.0767884898643727E-3</v>
      </c>
    </row>
    <row r="118" spans="2:8" x14ac:dyDescent="0.3">
      <c r="B118" s="34">
        <f>'Raw Data'!G114</f>
        <v>46132</v>
      </c>
      <c r="C118">
        <f>'Raw Data'!H114</f>
        <v>5700</v>
      </c>
      <c r="D118" s="36">
        <f>C117/C118-1</f>
        <v>2.4122807017543879E-2</v>
      </c>
      <c r="F118" s="34">
        <f>'Raw Data'!G114</f>
        <v>46132</v>
      </c>
      <c r="G118">
        <f>'Raw Data'!J114</f>
        <v>24364.85</v>
      </c>
      <c r="H118" s="36">
        <f>G117/G118-1</f>
        <v>8.690798424779933E-3</v>
      </c>
    </row>
    <row r="119" spans="2:8" x14ac:dyDescent="0.3">
      <c r="B119" s="34">
        <f>'Raw Data'!G115</f>
        <v>46129</v>
      </c>
      <c r="C119">
        <f>'Raw Data'!H115</f>
        <v>5735.5</v>
      </c>
      <c r="D119" s="36">
        <f>C118/C119-1</f>
        <v>-6.18952140179585E-3</v>
      </c>
      <c r="F119" s="34">
        <f>'Raw Data'!G115</f>
        <v>46129</v>
      </c>
      <c r="G119">
        <f>'Raw Data'!J115</f>
        <v>24353.55</v>
      </c>
      <c r="H119" s="36">
        <f>G118/G119-1</f>
        <v>4.6399806188412995E-4</v>
      </c>
    </row>
    <row r="120" spans="2:8" x14ac:dyDescent="0.3">
      <c r="B120" s="34">
        <f>'Raw Data'!G116</f>
        <v>46128</v>
      </c>
      <c r="C120">
        <f>'Raw Data'!H116</f>
        <v>5586</v>
      </c>
      <c r="D120" s="36">
        <f>C119/C120-1</f>
        <v>2.6763336913712799E-2</v>
      </c>
      <c r="F120" s="34">
        <f>'Raw Data'!G116</f>
        <v>46128</v>
      </c>
      <c r="G120">
        <f>'Raw Data'!J116</f>
        <v>24196.75</v>
      </c>
      <c r="H120" s="36">
        <f>G119/G120-1</f>
        <v>6.4802091189932742E-3</v>
      </c>
    </row>
    <row r="121" spans="2:8" x14ac:dyDescent="0.3">
      <c r="B121" s="34">
        <f>'Raw Data'!G117</f>
        <v>46127</v>
      </c>
      <c r="C121">
        <f>'Raw Data'!H117</f>
        <v>5654.5</v>
      </c>
      <c r="D121" s="36">
        <f>C120/C121-1</f>
        <v>-1.2114245291360848E-2</v>
      </c>
      <c r="F121" s="34">
        <f>'Raw Data'!G117</f>
        <v>46127</v>
      </c>
      <c r="G121">
        <f>'Raw Data'!J117</f>
        <v>24231.3</v>
      </c>
      <c r="H121" s="36">
        <f>G120/G121-1</f>
        <v>-1.4258417831481962E-3</v>
      </c>
    </row>
    <row r="122" spans="2:8" x14ac:dyDescent="0.3">
      <c r="B122" s="34">
        <f>'Raw Data'!G118</f>
        <v>46125</v>
      </c>
      <c r="C122">
        <f>'Raw Data'!H118</f>
        <v>5589</v>
      </c>
      <c r="D122" s="36">
        <f>C121/C122-1</f>
        <v>1.1719448917516528E-2</v>
      </c>
      <c r="F122" s="34">
        <f>'Raw Data'!G118</f>
        <v>46125</v>
      </c>
      <c r="G122">
        <f>'Raw Data'!J118</f>
        <v>23842.65</v>
      </c>
      <c r="H122" s="36">
        <f>G121/G122-1</f>
        <v>1.6300620946077649E-2</v>
      </c>
    </row>
    <row r="123" spans="2:8" x14ac:dyDescent="0.3">
      <c r="B123" s="34">
        <f>'Raw Data'!G119</f>
        <v>46122</v>
      </c>
      <c r="C123">
        <f>'Raw Data'!H119</f>
        <v>5557.5</v>
      </c>
      <c r="D123" s="36">
        <f>C122/C123-1</f>
        <v>5.6680161943318819E-3</v>
      </c>
      <c r="F123" s="34">
        <f>'Raw Data'!G119</f>
        <v>46122</v>
      </c>
      <c r="G123">
        <f>'Raw Data'!J119</f>
        <v>24050.6</v>
      </c>
      <c r="H123" s="36">
        <f>G122/G123-1</f>
        <v>-8.6463539371157694E-3</v>
      </c>
    </row>
    <row r="124" spans="2:8" x14ac:dyDescent="0.3">
      <c r="B124" s="34">
        <f>'Raw Data'!G120</f>
        <v>46121</v>
      </c>
      <c r="C124">
        <f>'Raw Data'!H120</f>
        <v>5475</v>
      </c>
      <c r="D124" s="36">
        <f>C123/C124-1</f>
        <v>1.5068493150685036E-2</v>
      </c>
      <c r="F124" s="34">
        <f>'Raw Data'!G120</f>
        <v>46121</v>
      </c>
      <c r="G124">
        <f>'Raw Data'!J120</f>
        <v>23775.1</v>
      </c>
      <c r="H124" s="36">
        <f>G123/G124-1</f>
        <v>1.1587753574117565E-2</v>
      </c>
    </row>
    <row r="125" spans="2:8" x14ac:dyDescent="0.3">
      <c r="B125" s="34">
        <f>'Raw Data'!G121</f>
        <v>46120</v>
      </c>
      <c r="C125">
        <f>'Raw Data'!H121</f>
        <v>5594.5</v>
      </c>
      <c r="D125" s="36">
        <f>C124/C125-1</f>
        <v>-2.1360264545535745E-2</v>
      </c>
      <c r="F125" s="34">
        <f>'Raw Data'!G121</f>
        <v>46120</v>
      </c>
      <c r="G125">
        <f>'Raw Data'!J121</f>
        <v>23997.35</v>
      </c>
      <c r="H125" s="36">
        <f>G124/G125-1</f>
        <v>-9.2614392839209803E-3</v>
      </c>
    </row>
    <row r="126" spans="2:8" x14ac:dyDescent="0.3">
      <c r="B126" s="34">
        <f>'Raw Data'!G122</f>
        <v>46119</v>
      </c>
      <c r="C126">
        <f>'Raw Data'!H122</f>
        <v>5542</v>
      </c>
      <c r="D126" s="36">
        <f>C125/C126-1</f>
        <v>9.4731143991337863E-3</v>
      </c>
      <c r="F126" s="34">
        <f>'Raw Data'!G122</f>
        <v>46119</v>
      </c>
      <c r="G126">
        <f>'Raw Data'!J122</f>
        <v>23123.65</v>
      </c>
      <c r="H126" s="36">
        <f>G125/G126-1</f>
        <v>3.7783827380192925E-2</v>
      </c>
    </row>
    <row r="127" spans="2:8" x14ac:dyDescent="0.3">
      <c r="B127" s="34">
        <f>'Raw Data'!G123</f>
        <v>46118</v>
      </c>
      <c r="C127">
        <f>'Raw Data'!H123</f>
        <v>5535</v>
      </c>
      <c r="D127" s="36">
        <f>C126/C127-1</f>
        <v>1.26467931345986E-3</v>
      </c>
      <c r="F127" s="34">
        <f>'Raw Data'!G123</f>
        <v>46118</v>
      </c>
      <c r="G127">
        <f>'Raw Data'!J123</f>
        <v>22968.25</v>
      </c>
      <c r="H127" s="36">
        <f>G126/G127-1</f>
        <v>6.7658615697756552E-3</v>
      </c>
    </row>
    <row r="128" spans="2:8" x14ac:dyDescent="0.3">
      <c r="B128" s="34">
        <f>'Raw Data'!G124</f>
        <v>46114</v>
      </c>
      <c r="C128">
        <f>'Raw Data'!H124</f>
        <v>5442</v>
      </c>
      <c r="D128" s="36">
        <f>C127/C128-1</f>
        <v>1.7089305402425481E-2</v>
      </c>
      <c r="F128" s="34">
        <f>'Raw Data'!G124</f>
        <v>46114</v>
      </c>
      <c r="G128">
        <f>'Raw Data'!J124</f>
        <v>22713.1</v>
      </c>
      <c r="H128" s="36">
        <f>G127/G128-1</f>
        <v>1.123360527625028E-2</v>
      </c>
    </row>
    <row r="129" spans="2:8" x14ac:dyDescent="0.3">
      <c r="B129" s="34">
        <f>'Raw Data'!G125</f>
        <v>46113</v>
      </c>
      <c r="C129">
        <f>'Raw Data'!H125</f>
        <v>5474</v>
      </c>
      <c r="D129" s="36">
        <f>C128/C129-1</f>
        <v>-5.8458165875046042E-3</v>
      </c>
      <c r="F129" s="34">
        <f>'Raw Data'!G125</f>
        <v>46113</v>
      </c>
      <c r="G129">
        <f>'Raw Data'!J125</f>
        <v>22679.4</v>
      </c>
      <c r="H129" s="36">
        <f>G128/G129-1</f>
        <v>1.4859299628737777E-3</v>
      </c>
    </row>
    <row r="130" spans="2:8" x14ac:dyDescent="0.3">
      <c r="B130" s="34">
        <f>'Raw Data'!G126</f>
        <v>46111</v>
      </c>
      <c r="C130">
        <f>'Raw Data'!H126</f>
        <v>5423</v>
      </c>
      <c r="D130" s="36">
        <f>C129/C130-1</f>
        <v>9.4043887147334804E-3</v>
      </c>
      <c r="F130" s="34">
        <f>'Raw Data'!G126</f>
        <v>46111</v>
      </c>
      <c r="G130">
        <f>'Raw Data'!J126</f>
        <v>22331.4</v>
      </c>
      <c r="H130" s="36">
        <f>G129/G130-1</f>
        <v>1.5583438566323604E-2</v>
      </c>
    </row>
    <row r="131" spans="2:8" x14ac:dyDescent="0.3">
      <c r="B131" s="34">
        <f>'Raw Data'!G127</f>
        <v>46108</v>
      </c>
      <c r="C131">
        <f>'Raw Data'!H127</f>
        <v>5500</v>
      </c>
      <c r="D131" s="36">
        <f>C130/C131-1</f>
        <v>-1.4000000000000012E-2</v>
      </c>
      <c r="F131" s="34">
        <f>'Raw Data'!G127</f>
        <v>46108</v>
      </c>
      <c r="G131">
        <f>'Raw Data'!J127</f>
        <v>22819.599999999999</v>
      </c>
      <c r="H131" s="36">
        <f>G130/G131-1</f>
        <v>-2.1393889463443561E-2</v>
      </c>
    </row>
    <row r="132" spans="2:8" x14ac:dyDescent="0.3">
      <c r="B132" s="34">
        <f>'Raw Data'!G128</f>
        <v>46106</v>
      </c>
      <c r="C132">
        <f>'Raw Data'!H128</f>
        <v>5647</v>
      </c>
      <c r="D132" s="36">
        <f>C131/C132-1</f>
        <v>-2.6031521161678728E-2</v>
      </c>
      <c r="F132" s="34">
        <f>'Raw Data'!G128</f>
        <v>46106</v>
      </c>
      <c r="G132">
        <f>'Raw Data'!J128</f>
        <v>23306.45</v>
      </c>
      <c r="H132" s="36">
        <f>G131/G132-1</f>
        <v>-2.0889067189554966E-2</v>
      </c>
    </row>
    <row r="133" spans="2:8" x14ac:dyDescent="0.3">
      <c r="B133" s="34">
        <f>'Raw Data'!G129</f>
        <v>46105</v>
      </c>
      <c r="C133">
        <f>'Raw Data'!H129</f>
        <v>5513.5</v>
      </c>
      <c r="D133" s="36">
        <f>C132/C133-1</f>
        <v>2.4213294640428096E-2</v>
      </c>
      <c r="F133" s="34">
        <f>'Raw Data'!G129</f>
        <v>46105</v>
      </c>
      <c r="G133">
        <f>'Raw Data'!J129</f>
        <v>22912.400000000001</v>
      </c>
      <c r="H133" s="36">
        <f>G132/G133-1</f>
        <v>1.7198111066496713E-2</v>
      </c>
    </row>
    <row r="134" spans="2:8" x14ac:dyDescent="0.3">
      <c r="B134" s="34">
        <f>'Raw Data'!G130</f>
        <v>46104</v>
      </c>
      <c r="C134">
        <f>'Raw Data'!H130</f>
        <v>5490</v>
      </c>
      <c r="D134" s="36">
        <f>C133/C134-1</f>
        <v>4.2805100182148337E-3</v>
      </c>
      <c r="F134" s="34">
        <f>'Raw Data'!G130</f>
        <v>46104</v>
      </c>
      <c r="G134">
        <f>'Raw Data'!J130</f>
        <v>22512.65</v>
      </c>
      <c r="H134" s="36">
        <f>G133/G134-1</f>
        <v>1.7756683464629885E-2</v>
      </c>
    </row>
    <row r="135" spans="2:8" x14ac:dyDescent="0.3">
      <c r="B135" s="34">
        <f>'Raw Data'!G131</f>
        <v>46101</v>
      </c>
      <c r="C135">
        <f>'Raw Data'!H131</f>
        <v>5618.5</v>
      </c>
      <c r="D135" s="36">
        <f>C134/C135-1</f>
        <v>-2.2870873008810189E-2</v>
      </c>
      <c r="F135" s="34">
        <f>'Raw Data'!G131</f>
        <v>46101</v>
      </c>
      <c r="G135">
        <f>'Raw Data'!J131</f>
        <v>23114.5</v>
      </c>
      <c r="H135" s="36">
        <f>G134/G135-1</f>
        <v>-2.6037768500291936E-2</v>
      </c>
    </row>
    <row r="136" spans="2:8" x14ac:dyDescent="0.3">
      <c r="B136" s="34">
        <f>'Raw Data'!G132</f>
        <v>46100</v>
      </c>
      <c r="C136">
        <f>'Raw Data'!H132</f>
        <v>5673.5</v>
      </c>
      <c r="D136" s="36">
        <f>C135/C136-1</f>
        <v>-9.6941922975235517E-3</v>
      </c>
      <c r="F136" s="34">
        <f>'Raw Data'!G132</f>
        <v>46100</v>
      </c>
      <c r="G136">
        <f>'Raw Data'!J132</f>
        <v>23002.15</v>
      </c>
      <c r="H136" s="36">
        <f>G135/G136-1</f>
        <v>4.8843260303927938E-3</v>
      </c>
    </row>
    <row r="137" spans="2:8" x14ac:dyDescent="0.3">
      <c r="B137" s="34">
        <f>'Raw Data'!G133</f>
        <v>46099</v>
      </c>
      <c r="C137">
        <f>'Raw Data'!H133</f>
        <v>5885</v>
      </c>
      <c r="D137" s="36">
        <f>C136/C137-1</f>
        <v>-3.5938827527612571E-2</v>
      </c>
      <c r="F137" s="34">
        <f>'Raw Data'!G133</f>
        <v>46099</v>
      </c>
      <c r="G137">
        <f>'Raw Data'!J133</f>
        <v>23777.8</v>
      </c>
      <c r="H137" s="36">
        <f>G136/G137-1</f>
        <v>-3.2620763905828021E-2</v>
      </c>
    </row>
    <row r="138" spans="2:8" x14ac:dyDescent="0.3">
      <c r="B138" s="34">
        <f>'Raw Data'!G134</f>
        <v>46098</v>
      </c>
      <c r="C138">
        <f>'Raw Data'!H134</f>
        <v>5857.5</v>
      </c>
      <c r="D138" s="36">
        <f>C137/C138-1</f>
        <v>4.6948356807512415E-3</v>
      </c>
      <c r="F138" s="34">
        <f>'Raw Data'!G134</f>
        <v>46098</v>
      </c>
      <c r="G138">
        <f>'Raw Data'!J134</f>
        <v>23581.15</v>
      </c>
      <c r="H138" s="36">
        <f>G137/G138-1</f>
        <v>8.3392879482127036E-3</v>
      </c>
    </row>
    <row r="139" spans="2:8" x14ac:dyDescent="0.3">
      <c r="B139" s="34">
        <f>'Raw Data'!G135</f>
        <v>46097</v>
      </c>
      <c r="C139">
        <f>'Raw Data'!H135</f>
        <v>5842</v>
      </c>
      <c r="D139" s="36">
        <f>C138/C139-1</f>
        <v>2.6532009585757965E-3</v>
      </c>
      <c r="F139" s="34">
        <f>'Raw Data'!G135</f>
        <v>46097</v>
      </c>
      <c r="G139">
        <f>'Raw Data'!J135</f>
        <v>23408.799999999999</v>
      </c>
      <c r="H139" s="36">
        <f>G138/G139-1</f>
        <v>7.3626157684290039E-3</v>
      </c>
    </row>
    <row r="140" spans="2:8" x14ac:dyDescent="0.3">
      <c r="B140" s="34">
        <f>'Raw Data'!G136</f>
        <v>46094</v>
      </c>
      <c r="C140">
        <f>'Raw Data'!H136</f>
        <v>5808.5</v>
      </c>
      <c r="D140" s="36">
        <f>C139/C140-1</f>
        <v>5.7674098304210109E-3</v>
      </c>
      <c r="F140" s="34">
        <f>'Raw Data'!G136</f>
        <v>46094</v>
      </c>
      <c r="G140">
        <f>'Raw Data'!J136</f>
        <v>23151.1</v>
      </c>
      <c r="H140" s="36">
        <f>G139/G140-1</f>
        <v>1.1131220546755971E-2</v>
      </c>
    </row>
    <row r="141" spans="2:8" x14ac:dyDescent="0.3">
      <c r="B141" s="34">
        <f>'Raw Data'!G137</f>
        <v>46093</v>
      </c>
      <c r="C141">
        <f>'Raw Data'!H137</f>
        <v>5787</v>
      </c>
      <c r="D141" s="36">
        <f>C140/C141-1</f>
        <v>3.7152237774322749E-3</v>
      </c>
      <c r="F141" s="34">
        <f>'Raw Data'!G137</f>
        <v>46093</v>
      </c>
      <c r="G141">
        <f>'Raw Data'!J137</f>
        <v>23639.15</v>
      </c>
      <c r="H141" s="36">
        <f>G140/G141-1</f>
        <v>-2.0645835404403456E-2</v>
      </c>
    </row>
    <row r="142" spans="2:8" x14ac:dyDescent="0.3">
      <c r="B142" s="34">
        <f>'Raw Data'!G138</f>
        <v>46092</v>
      </c>
      <c r="C142">
        <f>'Raw Data'!H138</f>
        <v>5921.5</v>
      </c>
      <c r="D142" s="36">
        <f>C141/C142-1</f>
        <v>-2.2713839398801006E-2</v>
      </c>
      <c r="F142" s="34">
        <f>'Raw Data'!G138</f>
        <v>46092</v>
      </c>
      <c r="G142">
        <f>'Raw Data'!J138</f>
        <v>23866.85</v>
      </c>
      <c r="H142" s="36">
        <f>G141/G142-1</f>
        <v>-9.5404295078738155E-3</v>
      </c>
    </row>
    <row r="143" spans="2:8" x14ac:dyDescent="0.3">
      <c r="B143" s="34">
        <f>'Raw Data'!G139</f>
        <v>46091</v>
      </c>
      <c r="C143">
        <f>'Raw Data'!H139</f>
        <v>5968</v>
      </c>
      <c r="D143" s="36">
        <f>C142/C143-1</f>
        <v>-7.7915549597855627E-3</v>
      </c>
      <c r="F143" s="34">
        <f>'Raw Data'!G139</f>
        <v>46091</v>
      </c>
      <c r="G143">
        <f>'Raw Data'!J139</f>
        <v>24261.599999999999</v>
      </c>
      <c r="H143" s="36">
        <f>G142/G143-1</f>
        <v>-1.6270567481122433E-2</v>
      </c>
    </row>
    <row r="144" spans="2:8" x14ac:dyDescent="0.3">
      <c r="B144" s="34">
        <f>'Raw Data'!G140</f>
        <v>46090</v>
      </c>
      <c r="C144">
        <f>'Raw Data'!H140</f>
        <v>5890</v>
      </c>
      <c r="D144" s="36">
        <f>C143/C144-1</f>
        <v>1.3242784380305572E-2</v>
      </c>
      <c r="F144" s="34">
        <f>'Raw Data'!G140</f>
        <v>46090</v>
      </c>
      <c r="G144">
        <f>'Raw Data'!J140</f>
        <v>24028.05</v>
      </c>
      <c r="H144" s="36">
        <f>G143/G144-1</f>
        <v>9.7198898787043131E-3</v>
      </c>
    </row>
    <row r="145" spans="2:8" x14ac:dyDescent="0.3">
      <c r="B145" s="34">
        <f>'Raw Data'!G141</f>
        <v>46087</v>
      </c>
      <c r="C145">
        <f>'Raw Data'!H141</f>
        <v>5983</v>
      </c>
      <c r="D145" s="36">
        <f>C144/C145-1</f>
        <v>-1.5544041450777257E-2</v>
      </c>
      <c r="F145" s="34">
        <f>'Raw Data'!G141</f>
        <v>46087</v>
      </c>
      <c r="G145">
        <f>'Raw Data'!J141</f>
        <v>24450.45</v>
      </c>
      <c r="H145" s="36">
        <f>G144/G145-1</f>
        <v>-1.7275755660938863E-2</v>
      </c>
    </row>
    <row r="146" spans="2:8" x14ac:dyDescent="0.3">
      <c r="B146" s="34">
        <f>'Raw Data'!G142</f>
        <v>46086</v>
      </c>
      <c r="C146">
        <f>'Raw Data'!H142</f>
        <v>5963</v>
      </c>
      <c r="D146" s="36">
        <f>C145/C146-1</f>
        <v>3.3540164346805845E-3</v>
      </c>
      <c r="F146" s="34">
        <f>'Raw Data'!G142</f>
        <v>46086</v>
      </c>
      <c r="G146">
        <f>'Raw Data'!J142</f>
        <v>24765.9</v>
      </c>
      <c r="H146" s="36">
        <f>G145/G146-1</f>
        <v>-1.2737271813259343E-2</v>
      </c>
    </row>
    <row r="147" spans="2:8" x14ac:dyDescent="0.3">
      <c r="B147" s="34">
        <f>'Raw Data'!G143</f>
        <v>46085</v>
      </c>
      <c r="C147">
        <f>'Raw Data'!H143</f>
        <v>5889.5</v>
      </c>
      <c r="D147" s="36">
        <f>C146/C147-1</f>
        <v>1.2479836998047444E-2</v>
      </c>
      <c r="F147" s="34">
        <f>'Raw Data'!G143</f>
        <v>46085</v>
      </c>
      <c r="G147">
        <f>'Raw Data'!J143</f>
        <v>24480.5</v>
      </c>
      <c r="H147" s="36">
        <f>G146/G147-1</f>
        <v>1.1658258613999051E-2</v>
      </c>
    </row>
    <row r="148" spans="2:8" x14ac:dyDescent="0.3">
      <c r="B148" s="34">
        <f>'Raw Data'!G144</f>
        <v>46083</v>
      </c>
      <c r="C148">
        <f>'Raw Data'!H144</f>
        <v>5959</v>
      </c>
      <c r="D148" s="36">
        <f>C147/C148-1</f>
        <v>-1.1663030709850641E-2</v>
      </c>
      <c r="F148" s="34">
        <f>'Raw Data'!G144</f>
        <v>46083</v>
      </c>
      <c r="G148">
        <f>'Raw Data'!J144</f>
        <v>24865.7</v>
      </c>
      <c r="H148" s="36">
        <f>G147/G148-1</f>
        <v>-1.5491218827541564E-2</v>
      </c>
    </row>
    <row r="149" spans="2:8" x14ac:dyDescent="0.3">
      <c r="B149" s="34">
        <f>'Raw Data'!G145</f>
        <v>46080</v>
      </c>
      <c r="C149">
        <f>'Raw Data'!H145</f>
        <v>6002.5</v>
      </c>
      <c r="D149" s="36">
        <f>C148/C149-1</f>
        <v>-7.2469804248229686E-3</v>
      </c>
      <c r="F149" s="34">
        <f>'Raw Data'!G145</f>
        <v>46080</v>
      </c>
      <c r="G149">
        <f>'Raw Data'!J145</f>
        <v>25178.65</v>
      </c>
      <c r="H149" s="36">
        <f>G148/G149-1</f>
        <v>-1.2429181072059148E-2</v>
      </c>
    </row>
    <row r="150" spans="2:8" x14ac:dyDescent="0.3">
      <c r="B150" s="34">
        <f>'Raw Data'!G146</f>
        <v>46079</v>
      </c>
      <c r="C150">
        <f>'Raw Data'!H146</f>
        <v>6137</v>
      </c>
      <c r="D150" s="36">
        <f>C149/C150-1</f>
        <v>-2.1916245722665817E-2</v>
      </c>
      <c r="F150" s="34">
        <f>'Raw Data'!G146</f>
        <v>46079</v>
      </c>
      <c r="G150">
        <f>'Raw Data'!J146</f>
        <v>25496.55</v>
      </c>
      <c r="H150" s="36">
        <f>G149/G150-1</f>
        <v>-1.2468353561560175E-2</v>
      </c>
    </row>
    <row r="151" spans="2:8" x14ac:dyDescent="0.3">
      <c r="B151" s="34">
        <f>'Raw Data'!G147</f>
        <v>46078</v>
      </c>
      <c r="C151">
        <f>'Raw Data'!H147</f>
        <v>6158</v>
      </c>
      <c r="D151" s="36">
        <f>C150/C151-1</f>
        <v>-3.4101981162715234E-3</v>
      </c>
      <c r="F151" s="34">
        <f>'Raw Data'!G147</f>
        <v>46078</v>
      </c>
      <c r="G151">
        <f>'Raw Data'!J147</f>
        <v>25482.5</v>
      </c>
      <c r="H151" s="36">
        <f>G150/G151-1</f>
        <v>5.5135877563028401E-4</v>
      </c>
    </row>
    <row r="152" spans="2:8" x14ac:dyDescent="0.3">
      <c r="B152" s="34">
        <f>'Raw Data'!G148</f>
        <v>46077</v>
      </c>
      <c r="C152">
        <f>'Raw Data'!H148</f>
        <v>6162.5</v>
      </c>
      <c r="D152" s="36">
        <f>C151/C152-1</f>
        <v>-7.3022312373227649E-4</v>
      </c>
      <c r="F152" s="34">
        <f>'Raw Data'!G148</f>
        <v>46077</v>
      </c>
      <c r="G152">
        <f>'Raw Data'!J148</f>
        <v>25424.65</v>
      </c>
      <c r="H152" s="36">
        <f>G151/G152-1</f>
        <v>2.275350889786143E-3</v>
      </c>
    </row>
    <row r="153" spans="2:8" x14ac:dyDescent="0.3">
      <c r="B153" s="34">
        <f>'Raw Data'!G149</f>
        <v>46076</v>
      </c>
      <c r="C153">
        <f>'Raw Data'!H149</f>
        <v>6122.5</v>
      </c>
      <c r="D153" s="36">
        <f>C152/C153-1</f>
        <v>6.5332788893426308E-3</v>
      </c>
      <c r="F153" s="34">
        <f>'Raw Data'!G149</f>
        <v>46076</v>
      </c>
      <c r="G153">
        <f>'Raw Data'!J149</f>
        <v>25713</v>
      </c>
      <c r="H153" s="36">
        <f>G152/G153-1</f>
        <v>-1.1214171819702079E-2</v>
      </c>
    </row>
    <row r="154" spans="2:8" x14ac:dyDescent="0.3">
      <c r="B154" s="34">
        <f>'Raw Data'!G150</f>
        <v>46073</v>
      </c>
      <c r="C154">
        <f>'Raw Data'!H150</f>
        <v>6098.5</v>
      </c>
      <c r="D154" s="36">
        <f>C153/C154-1</f>
        <v>3.9353939493318446E-3</v>
      </c>
      <c r="F154" s="34">
        <f>'Raw Data'!G150</f>
        <v>46073</v>
      </c>
      <c r="G154">
        <f>'Raw Data'!J150</f>
        <v>25571.25</v>
      </c>
      <c r="H154" s="36">
        <f>G153/G154-1</f>
        <v>5.5433347998239402E-3</v>
      </c>
    </row>
    <row r="155" spans="2:8" x14ac:dyDescent="0.3">
      <c r="B155" s="34">
        <f>'Raw Data'!G151</f>
        <v>46072</v>
      </c>
      <c r="C155">
        <f>'Raw Data'!H151</f>
        <v>6108.5</v>
      </c>
      <c r="D155" s="36">
        <f>C154/C155-1</f>
        <v>-1.6370631087828658E-3</v>
      </c>
      <c r="F155" s="34">
        <f>'Raw Data'!G151</f>
        <v>46072</v>
      </c>
      <c r="G155">
        <f>'Raw Data'!J151</f>
        <v>25454.35</v>
      </c>
      <c r="H155" s="36">
        <f>G154/G155-1</f>
        <v>4.5925352641100758E-3</v>
      </c>
    </row>
    <row r="156" spans="2:8" x14ac:dyDescent="0.3">
      <c r="B156" s="34">
        <f>'Raw Data'!G152</f>
        <v>46071</v>
      </c>
      <c r="C156">
        <f>'Raw Data'!H152</f>
        <v>6176</v>
      </c>
      <c r="D156" s="36">
        <f>C155/C156-1</f>
        <v>-1.0929404145077704E-2</v>
      </c>
      <c r="F156" s="34">
        <f>'Raw Data'!G152</f>
        <v>46071</v>
      </c>
      <c r="G156">
        <f>'Raw Data'!J152</f>
        <v>25819.35</v>
      </c>
      <c r="H156" s="36">
        <f>G155/G156-1</f>
        <v>-1.4136684308474035E-2</v>
      </c>
    </row>
    <row r="157" spans="2:8" x14ac:dyDescent="0.3">
      <c r="B157" s="34">
        <f>'Raw Data'!G153</f>
        <v>46070</v>
      </c>
      <c r="C157">
        <f>'Raw Data'!H153</f>
        <v>6145.5</v>
      </c>
      <c r="D157" s="36">
        <f>C156/C157-1</f>
        <v>4.9629810430396049E-3</v>
      </c>
      <c r="F157" s="34">
        <f>'Raw Data'!G153</f>
        <v>46070</v>
      </c>
      <c r="G157">
        <f>'Raw Data'!J153</f>
        <v>25725.4</v>
      </c>
      <c r="H157" s="36">
        <f>G156/G157-1</f>
        <v>3.6520326214557475E-3</v>
      </c>
    </row>
    <row r="158" spans="2:8" x14ac:dyDescent="0.3">
      <c r="B158" s="34">
        <f>'Raw Data'!G154</f>
        <v>46069</v>
      </c>
      <c r="C158">
        <f>'Raw Data'!H154</f>
        <v>6106</v>
      </c>
      <c r="D158" s="36">
        <f>C157/C158-1</f>
        <v>6.469046839174597E-3</v>
      </c>
      <c r="F158" s="34">
        <f>'Raw Data'!G154</f>
        <v>46069</v>
      </c>
      <c r="G158">
        <f>'Raw Data'!J154</f>
        <v>25682.75</v>
      </c>
      <c r="H158" s="36">
        <f>G157/G158-1</f>
        <v>1.6606477110123752E-3</v>
      </c>
    </row>
    <row r="159" spans="2:8" x14ac:dyDescent="0.3">
      <c r="B159" s="34">
        <f>'Raw Data'!G155</f>
        <v>46066</v>
      </c>
      <c r="C159">
        <f>'Raw Data'!H155</f>
        <v>5980.5</v>
      </c>
      <c r="D159" s="36">
        <f>C158/C159-1</f>
        <v>2.0984867485996261E-2</v>
      </c>
      <c r="F159" s="34">
        <f>'Raw Data'!G155</f>
        <v>46066</v>
      </c>
      <c r="G159">
        <f>'Raw Data'!J155</f>
        <v>25471.1</v>
      </c>
      <c r="H159" s="36">
        <f>G158/G159-1</f>
        <v>8.3094173396516258E-3</v>
      </c>
    </row>
    <row r="160" spans="2:8" x14ac:dyDescent="0.3">
      <c r="B160" s="34">
        <f>'Raw Data'!G156</f>
        <v>46065</v>
      </c>
      <c r="C160">
        <f>'Raw Data'!H156</f>
        <v>6102</v>
      </c>
      <c r="D160" s="36">
        <f>C159/C160-1</f>
        <v>-1.9911504424778736E-2</v>
      </c>
      <c r="F160" s="34">
        <f>'Raw Data'!G156</f>
        <v>46065</v>
      </c>
      <c r="G160">
        <f>'Raw Data'!J156</f>
        <v>25807.200000000001</v>
      </c>
      <c r="H160" s="36">
        <f>G159/G160-1</f>
        <v>-1.3023497318577881E-2</v>
      </c>
    </row>
    <row r="161" spans="2:8" x14ac:dyDescent="0.3">
      <c r="B161" s="34">
        <f>'Raw Data'!G157</f>
        <v>46064</v>
      </c>
      <c r="C161">
        <f>'Raw Data'!H157</f>
        <v>6019</v>
      </c>
      <c r="D161" s="36">
        <f>C160/C161-1</f>
        <v>1.3789666057484551E-2</v>
      </c>
      <c r="F161" s="34">
        <f>'Raw Data'!G157</f>
        <v>46064</v>
      </c>
      <c r="G161">
        <f>'Raw Data'!J157</f>
        <v>25953.85</v>
      </c>
      <c r="H161" s="36">
        <f>G160/G161-1</f>
        <v>-5.6504141004127817E-3</v>
      </c>
    </row>
    <row r="162" spans="2:8" x14ac:dyDescent="0.3">
      <c r="B162" s="34">
        <f>'Raw Data'!G158</f>
        <v>46063</v>
      </c>
      <c r="C162">
        <f>'Raw Data'!H158</f>
        <v>5873.5</v>
      </c>
      <c r="D162" s="36">
        <f>C161/C162-1</f>
        <v>2.4772282284838631E-2</v>
      </c>
      <c r="F162" s="34">
        <f>'Raw Data'!G158</f>
        <v>46063</v>
      </c>
      <c r="G162">
        <f>'Raw Data'!J158</f>
        <v>25935.15</v>
      </c>
      <c r="H162" s="36">
        <f>G161/G162-1</f>
        <v>7.2102918240291025E-4</v>
      </c>
    </row>
    <row r="163" spans="2:8" x14ac:dyDescent="0.3">
      <c r="B163" s="34">
        <f>'Raw Data'!G159</f>
        <v>46062</v>
      </c>
      <c r="C163">
        <f>'Raw Data'!H159</f>
        <v>5843</v>
      </c>
      <c r="D163" s="36">
        <f>C162/C163-1</f>
        <v>5.2199212733186062E-3</v>
      </c>
      <c r="F163" s="34">
        <f>'Raw Data'!G159</f>
        <v>46062</v>
      </c>
      <c r="G163">
        <f>'Raw Data'!J159</f>
        <v>25867.3</v>
      </c>
      <c r="H163" s="36">
        <f>G162/G163-1</f>
        <v>2.6230027873028749E-3</v>
      </c>
    </row>
    <row r="164" spans="2:8" x14ac:dyDescent="0.3">
      <c r="B164" s="34">
        <f>'Raw Data'!G160</f>
        <v>46059</v>
      </c>
      <c r="C164">
        <f>'Raw Data'!H160</f>
        <v>5911</v>
      </c>
      <c r="D164" s="36">
        <f>C163/C164-1</f>
        <v>-1.1503975638639807E-2</v>
      </c>
      <c r="F164" s="34">
        <f>'Raw Data'!G160</f>
        <v>46059</v>
      </c>
      <c r="G164">
        <f>'Raw Data'!J160</f>
        <v>25693.7</v>
      </c>
      <c r="H164" s="36">
        <f>G163/G164-1</f>
        <v>6.7565200807979675E-3</v>
      </c>
    </row>
    <row r="165" spans="2:8" x14ac:dyDescent="0.3">
      <c r="B165" s="34">
        <f>'Raw Data'!G161</f>
        <v>46058</v>
      </c>
      <c r="C165">
        <f>'Raw Data'!H161</f>
        <v>5870.5</v>
      </c>
      <c r="D165" s="36">
        <f>C164/C165-1</f>
        <v>6.8989012860913856E-3</v>
      </c>
      <c r="F165" s="34">
        <f>'Raw Data'!G161</f>
        <v>46058</v>
      </c>
      <c r="G165">
        <f>'Raw Data'!J161</f>
        <v>25642.799999999999</v>
      </c>
      <c r="H165" s="36">
        <f>G164/G165-1</f>
        <v>1.9849626405852305E-3</v>
      </c>
    </row>
    <row r="166" spans="2:8" x14ac:dyDescent="0.3">
      <c r="B166" s="34">
        <f>'Raw Data'!G162</f>
        <v>46057</v>
      </c>
      <c r="C166">
        <f>'Raw Data'!H162</f>
        <v>5879</v>
      </c>
      <c r="D166" s="36">
        <f>C165/C166-1</f>
        <v>-1.4458241197482513E-3</v>
      </c>
      <c r="F166" s="34">
        <f>'Raw Data'!G162</f>
        <v>46057</v>
      </c>
      <c r="G166">
        <f>'Raw Data'!J162</f>
        <v>25776</v>
      </c>
      <c r="H166" s="36">
        <f>G165/G166-1</f>
        <v>-5.16759776536313E-3</v>
      </c>
    </row>
    <row r="167" spans="2:8" x14ac:dyDescent="0.3">
      <c r="B167" s="34">
        <f>'Raw Data'!G163</f>
        <v>46056</v>
      </c>
      <c r="C167">
        <f>'Raw Data'!H163</f>
        <v>5882</v>
      </c>
      <c r="D167" s="36">
        <f>C166/C167-1</f>
        <v>-5.1003060183607563E-4</v>
      </c>
      <c r="F167" s="34">
        <f>'Raw Data'!G163</f>
        <v>46056</v>
      </c>
      <c r="G167">
        <f>'Raw Data'!J163</f>
        <v>25727.55</v>
      </c>
      <c r="H167" s="36">
        <f>G166/G167-1</f>
        <v>1.8831952517825989E-3</v>
      </c>
    </row>
    <row r="168" spans="2:8" x14ac:dyDescent="0.3">
      <c r="B168" s="34">
        <f>'Raw Data'!G164</f>
        <v>46055</v>
      </c>
      <c r="C168">
        <f>'Raw Data'!H164</f>
        <v>5888.5</v>
      </c>
      <c r="D168" s="36">
        <f>C167/C168-1</f>
        <v>-1.1038464804279391E-3</v>
      </c>
      <c r="F168" s="34">
        <f>'Raw Data'!G164</f>
        <v>46055</v>
      </c>
      <c r="G168">
        <f>'Raw Data'!J164</f>
        <v>25088.400000000001</v>
      </c>
      <c r="H168" s="36">
        <f>G167/G168-1</f>
        <v>2.5475917156932981E-2</v>
      </c>
    </row>
    <row r="169" spans="2:8" x14ac:dyDescent="0.3">
      <c r="B169" s="34">
        <f>'Raw Data'!G165</f>
        <v>46054</v>
      </c>
      <c r="C169">
        <f>'Raw Data'!H165</f>
        <v>5757.5</v>
      </c>
      <c r="D169" s="36">
        <f>C168/C169-1</f>
        <v>2.2752930959617945E-2</v>
      </c>
      <c r="F169" s="34">
        <f>'Raw Data'!G165</f>
        <v>46054</v>
      </c>
      <c r="G169">
        <f>'Raw Data'!J165</f>
        <v>25320.65</v>
      </c>
      <c r="H169" s="36">
        <f>G168/G169-1</f>
        <v>-9.1723553700240323E-3</v>
      </c>
    </row>
    <row r="170" spans="2:8" x14ac:dyDescent="0.3">
      <c r="B170" s="34">
        <f>'Raw Data'!G166</f>
        <v>46052</v>
      </c>
      <c r="C170">
        <f>'Raw Data'!H166</f>
        <v>5860.5</v>
      </c>
      <c r="D170" s="36">
        <f>C169/C170-1</f>
        <v>-1.7575292210562199E-2</v>
      </c>
      <c r="F170" s="34">
        <f>'Raw Data'!G166</f>
        <v>46052</v>
      </c>
      <c r="G170">
        <f>'Raw Data'!J166</f>
        <v>25320.65</v>
      </c>
      <c r="H170" s="36">
        <f>G169/G170-1</f>
        <v>0</v>
      </c>
    </row>
    <row r="171" spans="2:8" x14ac:dyDescent="0.3">
      <c r="B171" s="34">
        <f>'Raw Data'!G167</f>
        <v>46051</v>
      </c>
      <c r="C171">
        <f>'Raw Data'!H167</f>
        <v>5723</v>
      </c>
      <c r="D171" s="36">
        <f>C170/C171-1</f>
        <v>2.4025860562641999E-2</v>
      </c>
      <c r="F171" s="34">
        <f>'Raw Data'!G167</f>
        <v>46051</v>
      </c>
      <c r="G171">
        <f>'Raw Data'!J167</f>
        <v>25418.9</v>
      </c>
      <c r="H171" s="36">
        <f>G170/G171-1</f>
        <v>-3.8652341368037302E-3</v>
      </c>
    </row>
    <row r="172" spans="2:8" x14ac:dyDescent="0.3">
      <c r="B172" s="34">
        <f>'Raw Data'!G168</f>
        <v>46050</v>
      </c>
      <c r="C172">
        <f>'Raw Data'!H168</f>
        <v>5748.5</v>
      </c>
      <c r="D172" s="36">
        <f>C171/C172-1</f>
        <v>-4.4359398103853698E-3</v>
      </c>
      <c r="F172" s="34">
        <f>'Raw Data'!G168</f>
        <v>46050</v>
      </c>
      <c r="G172">
        <f>'Raw Data'!J168</f>
        <v>25342.75</v>
      </c>
      <c r="H172" s="36">
        <f>G171/G172-1</f>
        <v>3.004804135305017E-3</v>
      </c>
    </row>
    <row r="173" spans="2:8" x14ac:dyDescent="0.3">
      <c r="B173" s="34">
        <f>'Raw Data'!G169</f>
        <v>46049</v>
      </c>
      <c r="C173">
        <f>'Raw Data'!H169</f>
        <v>5886</v>
      </c>
      <c r="D173" s="36">
        <f>C172/C173-1</f>
        <v>-2.3360516479782545E-2</v>
      </c>
      <c r="F173" s="34">
        <f>'Raw Data'!G169</f>
        <v>46049</v>
      </c>
      <c r="G173">
        <f>'Raw Data'!J169</f>
        <v>25175.4</v>
      </c>
      <c r="H173" s="36">
        <f>G172/G173-1</f>
        <v>6.6473621074540912E-3</v>
      </c>
    </row>
    <row r="174" spans="2:8" x14ac:dyDescent="0.3">
      <c r="B174" s="34">
        <f>'Raw Data'!G170</f>
        <v>46045</v>
      </c>
      <c r="C174">
        <f>'Raw Data'!H170</f>
        <v>5835</v>
      </c>
      <c r="D174" s="36">
        <f>C173/C174-1</f>
        <v>8.7403598971722563E-3</v>
      </c>
      <c r="F174" s="34">
        <f>'Raw Data'!G170</f>
        <v>46045</v>
      </c>
      <c r="G174">
        <f>'Raw Data'!J170</f>
        <v>25048.65</v>
      </c>
      <c r="H174" s="36">
        <f>G173/G174-1</f>
        <v>5.0601529423741631E-3</v>
      </c>
    </row>
    <row r="175" spans="2:8" x14ac:dyDescent="0.3">
      <c r="B175" s="34">
        <f>'Raw Data'!G171</f>
        <v>46044</v>
      </c>
      <c r="C175">
        <f>'Raw Data'!H171</f>
        <v>5932</v>
      </c>
      <c r="D175" s="36">
        <f>C174/C175-1</f>
        <v>-1.6351989211058626E-2</v>
      </c>
      <c r="F175" s="34">
        <f>'Raw Data'!G171</f>
        <v>46044</v>
      </c>
      <c r="G175">
        <f>'Raw Data'!J171</f>
        <v>25289.9</v>
      </c>
      <c r="H175" s="36">
        <f>G174/G175-1</f>
        <v>-9.5393813340503009E-3</v>
      </c>
    </row>
    <row r="176" spans="2:8" x14ac:dyDescent="0.3">
      <c r="B176" s="34">
        <f>'Raw Data'!G172</f>
        <v>46043</v>
      </c>
      <c r="C176">
        <f>'Raw Data'!H172</f>
        <v>5802.5</v>
      </c>
      <c r="D176" s="36">
        <f>C175/C176-1</f>
        <v>2.2317966393795796E-2</v>
      </c>
      <c r="F176" s="34">
        <f>'Raw Data'!G172</f>
        <v>46043</v>
      </c>
      <c r="G176">
        <f>'Raw Data'!J172</f>
        <v>25157.5</v>
      </c>
      <c r="H176" s="36">
        <f>G175/G176-1</f>
        <v>5.2628440822817257E-3</v>
      </c>
    </row>
    <row r="177" spans="2:8" x14ac:dyDescent="0.3">
      <c r="B177" s="34">
        <f>'Raw Data'!G173</f>
        <v>46042</v>
      </c>
      <c r="C177">
        <f>'Raw Data'!H173</f>
        <v>5884</v>
      </c>
      <c r="D177" s="36">
        <f>C176/C177-1</f>
        <v>-1.3851121685927947E-2</v>
      </c>
      <c r="F177" s="34">
        <f>'Raw Data'!G173</f>
        <v>46042</v>
      </c>
      <c r="G177">
        <f>'Raw Data'!J173</f>
        <v>25232.5</v>
      </c>
      <c r="H177" s="36">
        <f>G176/G177-1</f>
        <v>-2.9723570791637677E-3</v>
      </c>
    </row>
    <row r="178" spans="2:8" x14ac:dyDescent="0.3">
      <c r="B178" s="34">
        <f>'Raw Data'!G174</f>
        <v>46041</v>
      </c>
      <c r="C178">
        <f>'Raw Data'!H174</f>
        <v>5943.5</v>
      </c>
      <c r="D178" s="36">
        <f>C177/C178-1</f>
        <v>-1.0010936316984909E-2</v>
      </c>
      <c r="F178" s="34">
        <f>'Raw Data'!G174</f>
        <v>46041</v>
      </c>
      <c r="G178">
        <f>'Raw Data'!J174</f>
        <v>25585.5</v>
      </c>
      <c r="H178" s="36">
        <f>G177/G178-1</f>
        <v>-1.3796877137441155E-2</v>
      </c>
    </row>
    <row r="179" spans="2:8" x14ac:dyDescent="0.3">
      <c r="B179" s="34">
        <f>'Raw Data'!G175</f>
        <v>46038</v>
      </c>
      <c r="C179">
        <f>'Raw Data'!H175</f>
        <v>5898.5</v>
      </c>
      <c r="D179" s="36">
        <f>C178/C179-1</f>
        <v>7.6290582351445924E-3</v>
      </c>
      <c r="F179" s="34">
        <f>'Raw Data'!G175</f>
        <v>46038</v>
      </c>
      <c r="G179">
        <f>'Raw Data'!J175</f>
        <v>25694.35</v>
      </c>
      <c r="H179" s="36">
        <f>G178/G179-1</f>
        <v>-4.2363398957357967E-3</v>
      </c>
    </row>
    <row r="180" spans="2:8" x14ac:dyDescent="0.3">
      <c r="B180" s="34">
        <f>'Raw Data'!G176</f>
        <v>46036</v>
      </c>
      <c r="C180">
        <f>'Raw Data'!H176</f>
        <v>5906.5</v>
      </c>
      <c r="D180" s="36">
        <f>C179/C180-1</f>
        <v>-1.3544400237026633E-3</v>
      </c>
      <c r="F180" s="34">
        <f>'Raw Data'!G176</f>
        <v>46036</v>
      </c>
      <c r="G180">
        <f>'Raw Data'!J176</f>
        <v>25665.599999999999</v>
      </c>
      <c r="H180" s="36">
        <f>G179/G180-1</f>
        <v>1.1201764229162858E-3</v>
      </c>
    </row>
    <row r="181" spans="2:8" x14ac:dyDescent="0.3">
      <c r="B181" s="34">
        <f>'Raw Data'!G177</f>
        <v>46035</v>
      </c>
      <c r="C181">
        <f>'Raw Data'!H177</f>
        <v>5918</v>
      </c>
      <c r="D181" s="36">
        <f>C180/C181-1</f>
        <v>-1.9432240621831687E-3</v>
      </c>
      <c r="F181" s="34">
        <f>'Raw Data'!G177</f>
        <v>46035</v>
      </c>
      <c r="G181">
        <f>'Raw Data'!J177</f>
        <v>25732.3</v>
      </c>
      <c r="H181" s="36">
        <f>G180/G181-1</f>
        <v>-2.5920729977498835E-3</v>
      </c>
    </row>
    <row r="182" spans="2:8" x14ac:dyDescent="0.3">
      <c r="B182" s="34">
        <f>'Raw Data'!G178</f>
        <v>46034</v>
      </c>
      <c r="C182">
        <f>'Raw Data'!H178</f>
        <v>5943.5</v>
      </c>
      <c r="D182" s="36">
        <f>C181/C182-1</f>
        <v>-4.2904012787078338E-3</v>
      </c>
      <c r="F182" s="34">
        <f>'Raw Data'!G178</f>
        <v>46034</v>
      </c>
      <c r="G182">
        <f>'Raw Data'!J178</f>
        <v>25790.25</v>
      </c>
      <c r="H182" s="36">
        <f>G181/G182-1</f>
        <v>-2.2469731778482771E-3</v>
      </c>
    </row>
    <row r="183" spans="2:8" x14ac:dyDescent="0.3">
      <c r="B183" s="34">
        <f>'Raw Data'!G179</f>
        <v>46031</v>
      </c>
      <c r="C183">
        <f>'Raw Data'!H179</f>
        <v>5977.5</v>
      </c>
      <c r="D183" s="36">
        <f>C182/C183-1</f>
        <v>-5.6879966541195648E-3</v>
      </c>
      <c r="F183" s="34">
        <f>'Raw Data'!G179</f>
        <v>46031</v>
      </c>
      <c r="G183">
        <f>'Raw Data'!J179</f>
        <v>25683.3</v>
      </c>
      <c r="H183" s="36">
        <f>G182/G183-1</f>
        <v>4.164184509000135E-3</v>
      </c>
    </row>
    <row r="184" spans="2:8" x14ac:dyDescent="0.3">
      <c r="B184" s="34">
        <f>'Raw Data'!G180</f>
        <v>46030</v>
      </c>
      <c r="C184">
        <f>'Raw Data'!H180</f>
        <v>6033.5</v>
      </c>
      <c r="D184" s="36">
        <f>C183/C184-1</f>
        <v>-9.2815115604540921E-3</v>
      </c>
      <c r="F184" s="34">
        <f>'Raw Data'!G180</f>
        <v>46030</v>
      </c>
      <c r="G184">
        <f>'Raw Data'!J180</f>
        <v>25876.85</v>
      </c>
      <c r="H184" s="36">
        <f>G183/G184-1</f>
        <v>-7.4796584592019544E-3</v>
      </c>
    </row>
    <row r="185" spans="2:8" x14ac:dyDescent="0.3">
      <c r="B185" s="34">
        <f>'Raw Data'!G181</f>
        <v>46029</v>
      </c>
      <c r="C185">
        <f>'Raw Data'!H181</f>
        <v>6185</v>
      </c>
      <c r="D185" s="36">
        <f>C184/C185-1</f>
        <v>-2.4494745351657188E-2</v>
      </c>
      <c r="F185" s="34">
        <f>'Raw Data'!G181</f>
        <v>46029</v>
      </c>
      <c r="G185">
        <f>'Raw Data'!J181</f>
        <v>26140.75</v>
      </c>
      <c r="H185" s="36">
        <f>G184/G185-1</f>
        <v>-1.0095349215305638E-2</v>
      </c>
    </row>
    <row r="186" spans="2:8" x14ac:dyDescent="0.3">
      <c r="B186" s="34">
        <f>'Raw Data'!G182</f>
        <v>46028</v>
      </c>
      <c r="C186">
        <f>'Raw Data'!H182</f>
        <v>6129.5</v>
      </c>
      <c r="D186" s="36">
        <f>C185/C186-1</f>
        <v>9.0545721510726374E-3</v>
      </c>
      <c r="F186" s="34">
        <f>'Raw Data'!G182</f>
        <v>46028</v>
      </c>
      <c r="G186">
        <f>'Raw Data'!J182</f>
        <v>26178.7</v>
      </c>
      <c r="H186" s="36">
        <f>G185/G186-1</f>
        <v>-1.4496518161711824E-3</v>
      </c>
    </row>
    <row r="187" spans="2:8" x14ac:dyDescent="0.3">
      <c r="B187" s="34">
        <f>'Raw Data'!G183</f>
        <v>46027</v>
      </c>
      <c r="C187">
        <f>'Raw Data'!H183</f>
        <v>6026.5</v>
      </c>
      <c r="D187" s="36">
        <f>C186/C187-1</f>
        <v>1.7091180618933111E-2</v>
      </c>
      <c r="F187" s="34">
        <f>'Raw Data'!G183</f>
        <v>46027</v>
      </c>
      <c r="G187">
        <f>'Raw Data'!J183</f>
        <v>26250.3</v>
      </c>
      <c r="H187" s="36">
        <f>G186/G187-1</f>
        <v>-2.7275878751861216E-3</v>
      </c>
    </row>
    <row r="188" spans="2:8" x14ac:dyDescent="0.3">
      <c r="B188" s="34">
        <f>'Raw Data'!G184</f>
        <v>46024</v>
      </c>
      <c r="C188">
        <f>'Raw Data'!H184</f>
        <v>5984.5</v>
      </c>
      <c r="D188" s="36">
        <f>C187/C188-1</f>
        <v>7.0181301696048415E-3</v>
      </c>
      <c r="F188" s="34">
        <f>'Raw Data'!G184</f>
        <v>46024</v>
      </c>
      <c r="G188">
        <f>'Raw Data'!J184</f>
        <v>26328.55</v>
      </c>
      <c r="H188" s="36">
        <f>G187/G188-1</f>
        <v>-2.9720588486642496E-3</v>
      </c>
    </row>
    <row r="189" spans="2:8" x14ac:dyDescent="0.3">
      <c r="B189" s="34">
        <f>'Raw Data'!G185</f>
        <v>46023</v>
      </c>
      <c r="C189">
        <f>'Raw Data'!H185</f>
        <v>6009.5</v>
      </c>
      <c r="D189" s="36">
        <f>C188/C189-1</f>
        <v>-4.1600798735336175E-3</v>
      </c>
      <c r="F189" s="34">
        <f>'Raw Data'!G185</f>
        <v>46023</v>
      </c>
      <c r="G189">
        <f>'Raw Data'!J185</f>
        <v>26146.55</v>
      </c>
      <c r="H189" s="36">
        <f>G188/G189-1</f>
        <v>6.9607653782239876E-3</v>
      </c>
    </row>
    <row r="190" spans="2:8" x14ac:dyDescent="0.3">
      <c r="B190" s="34">
        <f>'Raw Data'!G186</f>
        <v>46022</v>
      </c>
      <c r="C190">
        <f>'Raw Data'!H186</f>
        <v>6031</v>
      </c>
      <c r="D190" s="36">
        <f>C189/C190-1</f>
        <v>-3.5649146078593485E-3</v>
      </c>
      <c r="F190" s="34">
        <f>'Raw Data'!G186</f>
        <v>46022</v>
      </c>
      <c r="G190">
        <f>'Raw Data'!J186</f>
        <v>26129.599999999999</v>
      </c>
      <c r="H190" s="36">
        <f>G189/G190-1</f>
        <v>6.4868960871966586E-4</v>
      </c>
    </row>
    <row r="191" spans="2:8" x14ac:dyDescent="0.3">
      <c r="B191" s="34">
        <f>'Raw Data'!G187</f>
        <v>46021</v>
      </c>
      <c r="C191">
        <f>'Raw Data'!H187</f>
        <v>6013</v>
      </c>
      <c r="D191" s="36">
        <f>C190/C191-1</f>
        <v>2.9935140528853932E-3</v>
      </c>
      <c r="F191" s="34">
        <f>'Raw Data'!G187</f>
        <v>46021</v>
      </c>
      <c r="G191">
        <f>'Raw Data'!J187</f>
        <v>25938.85</v>
      </c>
      <c r="H191" s="36">
        <f>G190/G191-1</f>
        <v>7.3538341136942798E-3</v>
      </c>
    </row>
    <row r="192" spans="2:8" x14ac:dyDescent="0.3">
      <c r="B192" s="34">
        <f>'Raw Data'!G188</f>
        <v>46020</v>
      </c>
      <c r="C192">
        <f>'Raw Data'!H188</f>
        <v>6041.5</v>
      </c>
      <c r="D192" s="36">
        <f>C191/C192-1</f>
        <v>-4.7173715136968886E-3</v>
      </c>
      <c r="F192" s="34">
        <f>'Raw Data'!G188</f>
        <v>46020</v>
      </c>
      <c r="G192">
        <f>'Raw Data'!J188</f>
        <v>25942.1</v>
      </c>
      <c r="H192" s="36">
        <f>G191/G192-1</f>
        <v>-1.2527898666647719E-4</v>
      </c>
    </row>
    <row r="193" spans="2:8" x14ac:dyDescent="0.3">
      <c r="B193" s="34">
        <f>'Raw Data'!G189</f>
        <v>46017</v>
      </c>
      <c r="C193">
        <f>'Raw Data'!H189</f>
        <v>6032.5</v>
      </c>
      <c r="D193" s="36">
        <f>C192/C193-1</f>
        <v>1.4919187733113404E-3</v>
      </c>
      <c r="F193" s="34">
        <f>'Raw Data'!G189</f>
        <v>46017</v>
      </c>
      <c r="G193">
        <f>'Raw Data'!J189</f>
        <v>26042.3</v>
      </c>
      <c r="H193" s="36">
        <f>G192/G193-1</f>
        <v>-3.8475864266981352E-3</v>
      </c>
    </row>
    <row r="194" spans="2:8" x14ac:dyDescent="0.3">
      <c r="B194" s="34">
        <f>'Raw Data'!G190</f>
        <v>46015</v>
      </c>
      <c r="C194">
        <f>'Raw Data'!H190</f>
        <v>6030</v>
      </c>
      <c r="D194" s="36">
        <f>C193/C194-1</f>
        <v>4.1459369817586911E-4</v>
      </c>
      <c r="F194" s="34">
        <f>'Raw Data'!G190</f>
        <v>46015</v>
      </c>
      <c r="G194">
        <f>'Raw Data'!J190</f>
        <v>26142.1</v>
      </c>
      <c r="H194" s="36">
        <f>G193/G194-1</f>
        <v>-3.8175969030797008E-3</v>
      </c>
    </row>
    <row r="195" spans="2:8" x14ac:dyDescent="0.3">
      <c r="B195" s="34">
        <f>'Raw Data'!G191</f>
        <v>46014</v>
      </c>
      <c r="C195">
        <f>'Raw Data'!H191</f>
        <v>6061</v>
      </c>
      <c r="D195" s="36">
        <f>C194/C195-1</f>
        <v>-5.1146675466094971E-3</v>
      </c>
      <c r="F195" s="34">
        <f>'Raw Data'!G191</f>
        <v>46014</v>
      </c>
      <c r="G195">
        <f>'Raw Data'!J191</f>
        <v>26177.15</v>
      </c>
      <c r="H195" s="36">
        <f>G194/G195-1</f>
        <v>-1.3389540114184806E-3</v>
      </c>
    </row>
    <row r="196" spans="2:8" x14ac:dyDescent="0.3">
      <c r="B196" s="34">
        <f>'Raw Data'!G192</f>
        <v>46013</v>
      </c>
      <c r="C196">
        <f>'Raw Data'!H192</f>
        <v>6083</v>
      </c>
      <c r="D196" s="36">
        <f>C195/C196-1</f>
        <v>-3.6166365280289048E-3</v>
      </c>
      <c r="F196" s="34">
        <f>'Raw Data'!G192</f>
        <v>46013</v>
      </c>
      <c r="G196">
        <f>'Raw Data'!J192</f>
        <v>26172.400000000001</v>
      </c>
      <c r="H196" s="36">
        <f>G195/G196-1</f>
        <v>1.8148889670044355E-4</v>
      </c>
    </row>
    <row r="197" spans="2:8" x14ac:dyDescent="0.3">
      <c r="B197" s="34">
        <f>'Raw Data'!G193</f>
        <v>46010</v>
      </c>
      <c r="C197">
        <f>'Raw Data'!H193</f>
        <v>6103</v>
      </c>
      <c r="D197" s="36">
        <f>C196/C197-1</f>
        <v>-3.2770768474520429E-3</v>
      </c>
      <c r="F197" s="34">
        <f>'Raw Data'!G193</f>
        <v>46010</v>
      </c>
      <c r="G197">
        <f>'Raw Data'!J193</f>
        <v>25966.400000000001</v>
      </c>
      <c r="H197" s="36">
        <f>G196/G197-1</f>
        <v>7.9333292254606391E-3</v>
      </c>
    </row>
    <row r="198" spans="2:8" x14ac:dyDescent="0.3">
      <c r="B198" s="34">
        <f>'Raw Data'!G194</f>
        <v>46009</v>
      </c>
      <c r="C198">
        <f>'Raw Data'!H194</f>
        <v>6040.5</v>
      </c>
      <c r="D198" s="36">
        <f>C197/C198-1</f>
        <v>1.0346825593907871E-2</v>
      </c>
      <c r="F198" s="34">
        <f>'Raw Data'!G194</f>
        <v>46009</v>
      </c>
      <c r="G198">
        <f>'Raw Data'!J194</f>
        <v>25815.55</v>
      </c>
      <c r="H198" s="36">
        <f>G197/G198-1</f>
        <v>5.8433773442752024E-3</v>
      </c>
    </row>
    <row r="199" spans="2:8" x14ac:dyDescent="0.3">
      <c r="B199" s="34">
        <f>'Raw Data'!G195</f>
        <v>46008</v>
      </c>
      <c r="C199">
        <f>'Raw Data'!H195</f>
        <v>6096</v>
      </c>
      <c r="D199" s="36">
        <f>C198/C199-1</f>
        <v>-9.1043307086614567E-3</v>
      </c>
      <c r="F199" s="34">
        <f>'Raw Data'!G195</f>
        <v>46008</v>
      </c>
      <c r="G199">
        <f>'Raw Data'!J195</f>
        <v>25818.55</v>
      </c>
      <c r="H199" s="36">
        <f>G198/G199-1</f>
        <v>-1.1619552608488348E-4</v>
      </c>
    </row>
    <row r="200" spans="2:8" x14ac:dyDescent="0.3">
      <c r="B200" s="34">
        <f>'Raw Data'!G196</f>
        <v>46007</v>
      </c>
      <c r="C200">
        <f>'Raw Data'!H196</f>
        <v>6066</v>
      </c>
      <c r="D200" s="36">
        <f>C199/C200-1</f>
        <v>4.9455984174084922E-3</v>
      </c>
      <c r="F200" s="34">
        <f>'Raw Data'!G196</f>
        <v>46007</v>
      </c>
      <c r="G200">
        <f>'Raw Data'!J196</f>
        <v>25860.1</v>
      </c>
      <c r="H200" s="36">
        <f>G199/G200-1</f>
        <v>-1.6067223251263751E-3</v>
      </c>
    </row>
    <row r="201" spans="2:8" x14ac:dyDescent="0.3">
      <c r="B201" s="34">
        <f>'Raw Data'!G197</f>
        <v>46006</v>
      </c>
      <c r="C201">
        <f>'Raw Data'!H197</f>
        <v>6038</v>
      </c>
      <c r="D201" s="36">
        <f>C200/C201-1</f>
        <v>4.6372971182511158E-3</v>
      </c>
      <c r="F201" s="34">
        <f>'Raw Data'!G197</f>
        <v>46006</v>
      </c>
      <c r="G201">
        <f>'Raw Data'!J197</f>
        <v>26027.3</v>
      </c>
      <c r="H201" s="36">
        <f>G200/G201-1</f>
        <v>-6.4240240055634112E-3</v>
      </c>
    </row>
    <row r="202" spans="2:8" x14ac:dyDescent="0.3">
      <c r="B202" s="34">
        <f>'Raw Data'!G198</f>
        <v>46003</v>
      </c>
      <c r="C202">
        <f>'Raw Data'!H198</f>
        <v>5915.5</v>
      </c>
      <c r="D202" s="36">
        <f>C201/C202-1</f>
        <v>2.0708308680584819E-2</v>
      </c>
      <c r="F202" s="34">
        <f>'Raw Data'!G198</f>
        <v>46003</v>
      </c>
      <c r="G202">
        <f>'Raw Data'!J198</f>
        <v>26046.95</v>
      </c>
      <c r="H202" s="36">
        <f>G201/G202-1</f>
        <v>-7.5440694591888402E-4</v>
      </c>
    </row>
    <row r="203" spans="2:8" x14ac:dyDescent="0.3">
      <c r="B203" s="34">
        <f>'Raw Data'!G199</f>
        <v>46002</v>
      </c>
      <c r="C203">
        <f>'Raw Data'!H199</f>
        <v>5847</v>
      </c>
      <c r="D203" s="36">
        <f>C202/C203-1</f>
        <v>1.1715409611766647E-2</v>
      </c>
      <c r="F203" s="34">
        <f>'Raw Data'!G199</f>
        <v>46002</v>
      </c>
      <c r="G203">
        <f>'Raw Data'!J199</f>
        <v>25898.55</v>
      </c>
      <c r="H203" s="36">
        <f>G202/G203-1</f>
        <v>5.7300505240640565E-3</v>
      </c>
    </row>
    <row r="204" spans="2:8" x14ac:dyDescent="0.3">
      <c r="B204" s="34">
        <f>'Raw Data'!G200</f>
        <v>46001</v>
      </c>
      <c r="C204">
        <f>'Raw Data'!H200</f>
        <v>5828.5</v>
      </c>
      <c r="D204" s="36">
        <f>C203/C204-1</f>
        <v>3.1740585056190262E-3</v>
      </c>
      <c r="F204" s="34">
        <f>'Raw Data'!G200</f>
        <v>46001</v>
      </c>
      <c r="G204">
        <f>'Raw Data'!J200</f>
        <v>25758</v>
      </c>
      <c r="H204" s="36">
        <f>G203/G204-1</f>
        <v>5.4565571861169282E-3</v>
      </c>
    </row>
    <row r="205" spans="2:8" x14ac:dyDescent="0.3">
      <c r="B205" s="34">
        <f>'Raw Data'!G201</f>
        <v>46000</v>
      </c>
      <c r="C205">
        <f>'Raw Data'!H201</f>
        <v>5884</v>
      </c>
      <c r="D205" s="36">
        <f>C204/C205-1</f>
        <v>-9.4323589394968987E-3</v>
      </c>
      <c r="F205" s="34">
        <f>'Raw Data'!G201</f>
        <v>46000</v>
      </c>
      <c r="G205">
        <f>'Raw Data'!J201</f>
        <v>25839.65</v>
      </c>
      <c r="H205" s="36">
        <f>G204/G205-1</f>
        <v>-3.15987252149319E-3</v>
      </c>
    </row>
    <row r="206" spans="2:8" x14ac:dyDescent="0.3">
      <c r="B206" s="34">
        <f>'Raw Data'!G202</f>
        <v>45999</v>
      </c>
      <c r="C206">
        <f>'Raw Data'!H202</f>
        <v>5847.5</v>
      </c>
      <c r="D206" s="36">
        <f>C205/C206-1</f>
        <v>6.241983753740854E-3</v>
      </c>
      <c r="F206" s="34">
        <f>'Raw Data'!G202</f>
        <v>45999</v>
      </c>
      <c r="G206">
        <f>'Raw Data'!J202</f>
        <v>25960.55</v>
      </c>
      <c r="H206" s="36">
        <f>G205/G206-1</f>
        <v>-4.6570662023723841E-3</v>
      </c>
    </row>
    <row r="207" spans="2:8" x14ac:dyDescent="0.3">
      <c r="B207" s="34">
        <f>'Raw Data'!G203</f>
        <v>45996</v>
      </c>
      <c r="C207">
        <f>'Raw Data'!H203</f>
        <v>5961</v>
      </c>
      <c r="D207" s="36">
        <f>C206/C207-1</f>
        <v>-1.9040429458144659E-2</v>
      </c>
      <c r="F207" s="34">
        <f>'Raw Data'!G203</f>
        <v>45996</v>
      </c>
      <c r="G207">
        <f>'Raw Data'!J203</f>
        <v>26186.45</v>
      </c>
      <c r="H207" s="36">
        <f>G206/G207-1</f>
        <v>-8.626598870790092E-3</v>
      </c>
    </row>
    <row r="208" spans="2:8" x14ac:dyDescent="0.3">
      <c r="B208" s="34">
        <f>'Raw Data'!G204</f>
        <v>45995</v>
      </c>
      <c r="C208">
        <f>'Raw Data'!H204</f>
        <v>5876.5</v>
      </c>
      <c r="D208" s="36">
        <f>C207/C208-1</f>
        <v>1.4379307410873787E-2</v>
      </c>
      <c r="F208" s="34">
        <f>'Raw Data'!G204</f>
        <v>45995</v>
      </c>
      <c r="G208">
        <f>'Raw Data'!J204</f>
        <v>26033.75</v>
      </c>
      <c r="H208" s="36">
        <f>G207/G208-1</f>
        <v>5.8654631007826197E-3</v>
      </c>
    </row>
    <row r="209" spans="2:8" x14ac:dyDescent="0.3">
      <c r="B209" s="34">
        <f>'Raw Data'!G205</f>
        <v>45994</v>
      </c>
      <c r="C209">
        <f>'Raw Data'!H205</f>
        <v>5824.5</v>
      </c>
      <c r="D209" s="36">
        <f>C208/C209-1</f>
        <v>8.927804961799346E-3</v>
      </c>
      <c r="F209" s="34">
        <f>'Raw Data'!G205</f>
        <v>45994</v>
      </c>
      <c r="G209">
        <f>'Raw Data'!J205</f>
        <v>25986</v>
      </c>
      <c r="H209" s="36">
        <f>G208/G209-1</f>
        <v>1.8375278996383138E-3</v>
      </c>
    </row>
    <row r="210" spans="2:8" x14ac:dyDescent="0.3">
      <c r="B210" s="34">
        <f>'Raw Data'!G206</f>
        <v>45993</v>
      </c>
      <c r="C210">
        <f>'Raw Data'!H206</f>
        <v>5875.5</v>
      </c>
      <c r="D210" s="36">
        <f>C209/C210-1</f>
        <v>-8.6801123308654082E-3</v>
      </c>
      <c r="F210" s="34">
        <f>'Raw Data'!G206</f>
        <v>45993</v>
      </c>
      <c r="G210">
        <f>'Raw Data'!J206</f>
        <v>26032.2</v>
      </c>
      <c r="H210" s="36">
        <f>G209/G210-1</f>
        <v>-1.7747251480858539E-3</v>
      </c>
    </row>
    <row r="211" spans="2:8" x14ac:dyDescent="0.3">
      <c r="B211" s="34">
        <f>'Raw Data'!G207</f>
        <v>45992</v>
      </c>
      <c r="C211">
        <f>'Raw Data'!H207</f>
        <v>5813.5</v>
      </c>
      <c r="D211" s="36">
        <f>C210/C211-1</f>
        <v>1.0664831856884938E-2</v>
      </c>
      <c r="F211" s="34">
        <f>'Raw Data'!G207</f>
        <v>45992</v>
      </c>
      <c r="G211">
        <f>'Raw Data'!J207</f>
        <v>26175.75</v>
      </c>
      <c r="H211" s="36">
        <f>G210/G211-1</f>
        <v>-5.4840835506145824E-3</v>
      </c>
    </row>
    <row r="212" spans="2:8" x14ac:dyDescent="0.3">
      <c r="B212" s="34">
        <f>'Raw Data'!G208</f>
        <v>45989</v>
      </c>
      <c r="C212">
        <f>'Raw Data'!H208</f>
        <v>5846</v>
      </c>
      <c r="D212" s="36">
        <f>C211/C212-1</f>
        <v>-5.5593568251796066E-3</v>
      </c>
      <c r="F212" s="34">
        <f>'Raw Data'!G208</f>
        <v>45989</v>
      </c>
      <c r="G212">
        <f>'Raw Data'!J208</f>
        <v>26202.95</v>
      </c>
      <c r="H212" s="36">
        <f>G211/G212-1</f>
        <v>-1.0380510591364578E-3</v>
      </c>
    </row>
    <row r="213" spans="2:8" x14ac:dyDescent="0.3">
      <c r="B213" s="34">
        <f>'Raw Data'!G209</f>
        <v>45988</v>
      </c>
      <c r="C213">
        <f>'Raw Data'!H209</f>
        <v>5826.5</v>
      </c>
      <c r="D213" s="36">
        <f>C212/C213-1</f>
        <v>3.3467776538229632E-3</v>
      </c>
      <c r="F213" s="34">
        <f>'Raw Data'!G209</f>
        <v>45988</v>
      </c>
      <c r="G213">
        <f>'Raw Data'!J209</f>
        <v>26215.55</v>
      </c>
      <c r="H213" s="36">
        <f>G212/G213-1</f>
        <v>-4.806307706685109E-4</v>
      </c>
    </row>
    <row r="214" spans="2:8" x14ac:dyDescent="0.3">
      <c r="B214" s="34">
        <f>'Raw Data'!G210</f>
        <v>45987</v>
      </c>
      <c r="C214">
        <f>'Raw Data'!H210</f>
        <v>5880.5</v>
      </c>
      <c r="D214" s="36">
        <f>C213/C214-1</f>
        <v>-9.1828926111725551E-3</v>
      </c>
      <c r="F214" s="34">
        <f>'Raw Data'!G210</f>
        <v>45987</v>
      </c>
      <c r="G214">
        <f>'Raw Data'!J210</f>
        <v>26205.3</v>
      </c>
      <c r="H214" s="36">
        <f>G213/G214-1</f>
        <v>3.9114224985015156E-4</v>
      </c>
    </row>
    <row r="215" spans="2:8" x14ac:dyDescent="0.3">
      <c r="B215" s="34">
        <f>'Raw Data'!G211</f>
        <v>45986</v>
      </c>
      <c r="C215">
        <f>'Raw Data'!H211</f>
        <v>5867</v>
      </c>
      <c r="D215" s="36">
        <f>C214/C215-1</f>
        <v>2.3010056246803856E-3</v>
      </c>
      <c r="F215" s="34">
        <f>'Raw Data'!G211</f>
        <v>45986</v>
      </c>
      <c r="G215">
        <f>'Raw Data'!J211</f>
        <v>25884.799999999999</v>
      </c>
      <c r="H215" s="36">
        <f>G214/G215-1</f>
        <v>1.238178390406719E-2</v>
      </c>
    </row>
    <row r="216" spans="2:8" x14ac:dyDescent="0.3">
      <c r="B216" s="34">
        <f>'Raw Data'!G212</f>
        <v>45985</v>
      </c>
      <c r="C216">
        <f>'Raw Data'!H212</f>
        <v>5815.5</v>
      </c>
      <c r="D216" s="36">
        <f>C215/C216-1</f>
        <v>8.8556443985898792E-3</v>
      </c>
      <c r="F216" s="34">
        <f>'Raw Data'!G212</f>
        <v>45985</v>
      </c>
      <c r="G216">
        <f>'Raw Data'!J212</f>
        <v>25959.5</v>
      </c>
      <c r="H216" s="36">
        <f>G215/G216-1</f>
        <v>-2.8775592750245327E-3</v>
      </c>
    </row>
    <row r="217" spans="2:8" x14ac:dyDescent="0.3">
      <c r="B217" s="34">
        <f>'Raw Data'!G213</f>
        <v>45982</v>
      </c>
      <c r="C217">
        <f>'Raw Data'!H213</f>
        <v>5813</v>
      </c>
      <c r="D217" s="36">
        <f>C216/C217-1</f>
        <v>4.3007053156718378E-4</v>
      </c>
      <c r="F217" s="34">
        <f>'Raw Data'!G213</f>
        <v>45982</v>
      </c>
      <c r="G217">
        <f>'Raw Data'!J213</f>
        <v>26068.15</v>
      </c>
      <c r="H217" s="36">
        <f>G216/G217-1</f>
        <v>-4.1679213906625767E-3</v>
      </c>
    </row>
    <row r="218" spans="2:8" x14ac:dyDescent="0.3">
      <c r="B218" s="34">
        <f>'Raw Data'!G214</f>
        <v>45981</v>
      </c>
      <c r="C218">
        <f>'Raw Data'!H214</f>
        <v>5819</v>
      </c>
      <c r="D218" s="36">
        <f>C217/C218-1</f>
        <v>-1.0311050008592337E-3</v>
      </c>
      <c r="F218" s="34">
        <f>'Raw Data'!G214</f>
        <v>45981</v>
      </c>
      <c r="G218">
        <f>'Raw Data'!J214</f>
        <v>26192.15</v>
      </c>
      <c r="H218" s="36">
        <f>G217/G218-1</f>
        <v>-4.7342428933859759E-3</v>
      </c>
    </row>
    <row r="219" spans="2:8" x14ac:dyDescent="0.3">
      <c r="B219" s="34">
        <f>'Raw Data'!G215</f>
        <v>45980</v>
      </c>
      <c r="C219">
        <f>'Raw Data'!H215</f>
        <v>5874.5</v>
      </c>
      <c r="D219" s="36">
        <f>C218/C219-1</f>
        <v>-9.4476125627712682E-3</v>
      </c>
      <c r="F219" s="34">
        <f>'Raw Data'!G215</f>
        <v>45980</v>
      </c>
      <c r="G219">
        <f>'Raw Data'!J215</f>
        <v>26052.65</v>
      </c>
      <c r="H219" s="36">
        <f>G218/G219-1</f>
        <v>5.3545416685059077E-3</v>
      </c>
    </row>
    <row r="220" spans="2:8" x14ac:dyDescent="0.3">
      <c r="B220" s="34">
        <f>'Raw Data'!G216</f>
        <v>45979</v>
      </c>
      <c r="C220">
        <f>'Raw Data'!H216</f>
        <v>5840</v>
      </c>
      <c r="D220" s="36">
        <f>C219/C220-1</f>
        <v>5.9075342465753078E-3</v>
      </c>
      <c r="F220" s="34">
        <f>'Raw Data'!G216</f>
        <v>45979</v>
      </c>
      <c r="G220">
        <f>'Raw Data'!J216</f>
        <v>25910.05</v>
      </c>
      <c r="H220" s="36">
        <f>G219/G220-1</f>
        <v>5.5036559172985111E-3</v>
      </c>
    </row>
    <row r="221" spans="2:8" x14ac:dyDescent="0.3">
      <c r="B221" s="34">
        <f>'Raw Data'!G217</f>
        <v>45978</v>
      </c>
      <c r="C221">
        <f>'Raw Data'!H217</f>
        <v>5830.5</v>
      </c>
      <c r="D221" s="36">
        <f>C220/C221-1</f>
        <v>1.6293628333761134E-3</v>
      </c>
      <c r="F221" s="34">
        <f>'Raw Data'!G217</f>
        <v>45978</v>
      </c>
      <c r="G221">
        <f>'Raw Data'!J217</f>
        <v>26013.45</v>
      </c>
      <c r="H221" s="36">
        <f>G220/G221-1</f>
        <v>-3.9748668477268545E-3</v>
      </c>
    </row>
    <row r="222" spans="2:8" x14ac:dyDescent="0.3">
      <c r="B222" s="34">
        <f>'Raw Data'!G218</f>
        <v>45975</v>
      </c>
      <c r="C222">
        <f>'Raw Data'!H218</f>
        <v>5803.5</v>
      </c>
      <c r="D222" s="36">
        <f>C221/C222-1</f>
        <v>4.6523649521841293E-3</v>
      </c>
      <c r="F222" s="34">
        <f>'Raw Data'!G218</f>
        <v>45975</v>
      </c>
      <c r="G222">
        <f>'Raw Data'!J218</f>
        <v>25910.05</v>
      </c>
      <c r="H222" s="36">
        <f>G221/G222-1</f>
        <v>3.9907294659795589E-3</v>
      </c>
    </row>
    <row r="223" spans="2:8" x14ac:dyDescent="0.3">
      <c r="B223" s="34">
        <f>'Raw Data'!G219</f>
        <v>45974</v>
      </c>
      <c r="C223">
        <f>'Raw Data'!H219</f>
        <v>5851.5</v>
      </c>
      <c r="D223" s="36">
        <f>C222/C223-1</f>
        <v>-8.2030248654191285E-3</v>
      </c>
      <c r="F223" s="34">
        <f>'Raw Data'!G219</f>
        <v>45974</v>
      </c>
      <c r="G223">
        <f>'Raw Data'!J219</f>
        <v>25879.15</v>
      </c>
      <c r="H223" s="36">
        <f>G222/G223-1</f>
        <v>1.194011395273753E-3</v>
      </c>
    </row>
    <row r="224" spans="2:8" x14ac:dyDescent="0.3">
      <c r="B224" s="34">
        <f>'Raw Data'!G220</f>
        <v>45973</v>
      </c>
      <c r="C224">
        <f>'Raw Data'!H220</f>
        <v>5880</v>
      </c>
      <c r="D224" s="36">
        <f>C223/C224-1</f>
        <v>-4.8469387755102344E-3</v>
      </c>
      <c r="F224" s="34">
        <f>'Raw Data'!G220</f>
        <v>45973</v>
      </c>
      <c r="G224">
        <f>'Raw Data'!J220</f>
        <v>25875.8</v>
      </c>
      <c r="H224" s="36">
        <f>G223/G224-1</f>
        <v>1.2946459626372864E-4</v>
      </c>
    </row>
    <row r="225" spans="2:8" x14ac:dyDescent="0.3">
      <c r="B225" s="34">
        <f>'Raw Data'!G221</f>
        <v>45972</v>
      </c>
      <c r="C225">
        <f>'Raw Data'!H221</f>
        <v>5950.5</v>
      </c>
      <c r="D225" s="36">
        <f>C224/C225-1</f>
        <v>-1.1847743887068329E-2</v>
      </c>
      <c r="F225" s="34">
        <f>'Raw Data'!G221</f>
        <v>45972</v>
      </c>
      <c r="G225">
        <f>'Raw Data'!J221</f>
        <v>25694.95</v>
      </c>
      <c r="H225" s="36">
        <f>G224/G225-1</f>
        <v>7.0383480022337963E-3</v>
      </c>
    </row>
    <row r="226" spans="2:8" x14ac:dyDescent="0.3">
      <c r="B226" s="34">
        <f>'Raw Data'!G222</f>
        <v>45971</v>
      </c>
      <c r="C226">
        <f>'Raw Data'!H222</f>
        <v>6133.5</v>
      </c>
      <c r="D226" s="36">
        <f>C225/C226-1</f>
        <v>-2.9836145756908738E-2</v>
      </c>
      <c r="F226" s="34">
        <f>'Raw Data'!G222</f>
        <v>45971</v>
      </c>
      <c r="G226">
        <f>'Raw Data'!J222</f>
        <v>25574.35</v>
      </c>
      <c r="H226" s="36">
        <f>G225/G226-1</f>
        <v>4.7156623726507529E-3</v>
      </c>
    </row>
    <row r="227" spans="2:8" x14ac:dyDescent="0.3">
      <c r="B227" s="34">
        <f>'Raw Data'!G223</f>
        <v>45968</v>
      </c>
      <c r="C227">
        <f>'Raw Data'!H223</f>
        <v>6157.5</v>
      </c>
      <c r="D227" s="36">
        <f>C226/C227-1</f>
        <v>-3.8976857490864436E-3</v>
      </c>
      <c r="F227" s="34">
        <f>'Raw Data'!G223</f>
        <v>45968</v>
      </c>
      <c r="G227">
        <f>'Raw Data'!J223</f>
        <v>25492.3</v>
      </c>
      <c r="H227" s="36">
        <f>G226/G227-1</f>
        <v>3.2186189555276634E-3</v>
      </c>
    </row>
    <row r="228" spans="2:8" x14ac:dyDescent="0.3">
      <c r="B228" s="34">
        <f>'Raw Data'!G224</f>
        <v>45967</v>
      </c>
      <c r="C228">
        <f>'Raw Data'!H224</f>
        <v>6013.5</v>
      </c>
      <c r="D228" s="36">
        <f>C227/C228-1</f>
        <v>2.3946121227238715E-2</v>
      </c>
      <c r="F228" s="34">
        <f>'Raw Data'!G224</f>
        <v>45967</v>
      </c>
      <c r="G228">
        <f>'Raw Data'!J224</f>
        <v>25509.7</v>
      </c>
      <c r="H228" s="36">
        <f>G227/G228-1</f>
        <v>-6.8209347816716726E-4</v>
      </c>
    </row>
    <row r="229" spans="2:8" x14ac:dyDescent="0.3">
      <c r="B229" s="34">
        <f>'Raw Data'!G225</f>
        <v>45965</v>
      </c>
      <c r="C229">
        <f>'Raw Data'!H225</f>
        <v>5892.5</v>
      </c>
      <c r="D229" s="36">
        <f>C228/C229-1</f>
        <v>2.0534577853203118E-2</v>
      </c>
      <c r="F229" s="34">
        <f>'Raw Data'!G225</f>
        <v>45965</v>
      </c>
      <c r="G229">
        <f>'Raw Data'!J225</f>
        <v>25597.65</v>
      </c>
      <c r="H229" s="36">
        <f>G228/G229-1</f>
        <v>-3.4358622764198987E-3</v>
      </c>
    </row>
    <row r="230" spans="2:8" x14ac:dyDescent="0.3">
      <c r="B230" s="34">
        <f>'Raw Data'!G226</f>
        <v>45964</v>
      </c>
      <c r="C230">
        <f>'Raw Data'!H226</f>
        <v>5820.5</v>
      </c>
      <c r="D230" s="36">
        <f>C229/C230-1</f>
        <v>1.2370071299716567E-2</v>
      </c>
      <c r="F230" s="34">
        <f>'Raw Data'!G226</f>
        <v>45964</v>
      </c>
      <c r="G230">
        <f>'Raw Data'!J226</f>
        <v>25763.35</v>
      </c>
      <c r="H230" s="36">
        <f>G229/G230-1</f>
        <v>-6.4316170063286604E-3</v>
      </c>
    </row>
    <row r="231" spans="2:8" x14ac:dyDescent="0.3">
      <c r="B231" s="34">
        <f>'Raw Data'!G227</f>
        <v>45961</v>
      </c>
      <c r="C231">
        <f>'Raw Data'!H227</f>
        <v>5836.5</v>
      </c>
      <c r="D231" s="36">
        <f>C230/C231-1</f>
        <v>-2.741368971129976E-3</v>
      </c>
      <c r="F231" s="34">
        <f>'Raw Data'!G227</f>
        <v>45961</v>
      </c>
      <c r="G231">
        <f>'Raw Data'!J227</f>
        <v>25722.1</v>
      </c>
      <c r="H231" s="36">
        <f>G230/G231-1</f>
        <v>1.6036793263380922E-3</v>
      </c>
    </row>
    <row r="232" spans="2:8" x14ac:dyDescent="0.3">
      <c r="B232" s="34">
        <f>'Raw Data'!G228</f>
        <v>45960</v>
      </c>
      <c r="C232">
        <f>'Raw Data'!H228</f>
        <v>5859.5</v>
      </c>
      <c r="D232" s="36">
        <f>C231/C232-1</f>
        <v>-3.9252495946753285E-3</v>
      </c>
      <c r="F232" s="34">
        <f>'Raw Data'!G228</f>
        <v>45960</v>
      </c>
      <c r="G232">
        <f>'Raw Data'!J228</f>
        <v>25877.85</v>
      </c>
      <c r="H232" s="36">
        <f>G231/G232-1</f>
        <v>-6.0186607465457787E-3</v>
      </c>
    </row>
    <row r="233" spans="2:8" x14ac:dyDescent="0.3">
      <c r="B233" s="34">
        <f>'Raw Data'!G229</f>
        <v>45959</v>
      </c>
      <c r="C233">
        <f>'Raw Data'!H229</f>
        <v>5852.5</v>
      </c>
      <c r="D233" s="36">
        <f>C232/C233-1</f>
        <v>1.1960700555317949E-3</v>
      </c>
      <c r="F233" s="34">
        <f>'Raw Data'!G229</f>
        <v>45959</v>
      </c>
      <c r="G233">
        <f>'Raw Data'!J229</f>
        <v>26053.9</v>
      </c>
      <c r="H233" s="36">
        <f>G232/G233-1</f>
        <v>-6.7571457632064069E-3</v>
      </c>
    </row>
    <row r="234" spans="2:8" x14ac:dyDescent="0.3">
      <c r="B234" s="34">
        <f>'Raw Data'!G230</f>
        <v>45958</v>
      </c>
      <c r="C234">
        <f>'Raw Data'!H230</f>
        <v>5861</v>
      </c>
      <c r="D234" s="36">
        <f>C233/C234-1</f>
        <v>-1.4502644599897474E-3</v>
      </c>
      <c r="F234" s="34">
        <f>'Raw Data'!G230</f>
        <v>45958</v>
      </c>
      <c r="G234">
        <f>'Raw Data'!J230</f>
        <v>25936.2</v>
      </c>
      <c r="H234" s="36">
        <f>G233/G234-1</f>
        <v>4.5380587749941359E-3</v>
      </c>
    </row>
    <row r="235" spans="2:8" x14ac:dyDescent="0.3">
      <c r="B235" s="34">
        <f>'Raw Data'!G231</f>
        <v>45957</v>
      </c>
      <c r="C235">
        <f>'Raw Data'!H231</f>
        <v>5912</v>
      </c>
      <c r="D235" s="36">
        <f>C234/C235-1</f>
        <v>-8.6265223274695213E-3</v>
      </c>
      <c r="F235" s="34">
        <f>'Raw Data'!G231</f>
        <v>45957</v>
      </c>
      <c r="G235">
        <f>'Raw Data'!J231</f>
        <v>25966.05</v>
      </c>
      <c r="H235" s="36">
        <f>G234/G235-1</f>
        <v>-1.1495780066663741E-3</v>
      </c>
    </row>
    <row r="236" spans="2:8" x14ac:dyDescent="0.3">
      <c r="B236" s="34">
        <f>'Raw Data'!G232</f>
        <v>45954</v>
      </c>
      <c r="C236">
        <f>'Raw Data'!H232</f>
        <v>6053</v>
      </c>
      <c r="D236" s="36">
        <f>C235/C236-1</f>
        <v>-2.3294234264001346E-2</v>
      </c>
      <c r="F236" s="34">
        <f>'Raw Data'!G232</f>
        <v>45954</v>
      </c>
      <c r="G236">
        <f>'Raw Data'!J232</f>
        <v>25795.15</v>
      </c>
      <c r="H236" s="36">
        <f>G235/G236-1</f>
        <v>6.6252764570082778E-3</v>
      </c>
    </row>
    <row r="237" spans="2:8" x14ac:dyDescent="0.3">
      <c r="B237" s="34">
        <f>'Raw Data'!G233</f>
        <v>45953</v>
      </c>
      <c r="C237">
        <f>'Raw Data'!H233</f>
        <v>6068</v>
      </c>
      <c r="D237" s="36">
        <f>C236/C237-1</f>
        <v>-2.4719841793012787E-3</v>
      </c>
      <c r="F237" s="34">
        <f>'Raw Data'!G233</f>
        <v>45953</v>
      </c>
      <c r="G237">
        <f>'Raw Data'!J233</f>
        <v>25891.4</v>
      </c>
      <c r="H237" s="36">
        <f>G236/G237-1</f>
        <v>-3.7174505820465331E-3</v>
      </c>
    </row>
    <row r="238" spans="2:8" x14ac:dyDescent="0.3">
      <c r="B238" s="34">
        <f>'Raw Data'!G234</f>
        <v>45951</v>
      </c>
      <c r="C238">
        <f>'Raw Data'!H234</f>
        <v>6075</v>
      </c>
      <c r="D238" s="36">
        <f>C237/C238-1</f>
        <v>-1.1522633744855959E-3</v>
      </c>
      <c r="F238" s="34">
        <f>'Raw Data'!G234</f>
        <v>45951</v>
      </c>
      <c r="G238">
        <f>'Raw Data'!J234</f>
        <v>25868.6</v>
      </c>
      <c r="H238" s="36">
        <f>G237/G238-1</f>
        <v>8.8137742282157205E-4</v>
      </c>
    </row>
    <row r="239" spans="2:8" x14ac:dyDescent="0.3">
      <c r="B239" s="34">
        <f>'Raw Data'!G235</f>
        <v>45950</v>
      </c>
      <c r="C239">
        <f>'Raw Data'!H235</f>
        <v>6070</v>
      </c>
      <c r="D239" s="36">
        <f>C238/C239-1</f>
        <v>8.237232289951546E-4</v>
      </c>
      <c r="F239" s="34">
        <f>'Raw Data'!G235</f>
        <v>45950</v>
      </c>
      <c r="G239">
        <f>'Raw Data'!J235</f>
        <v>25843.15</v>
      </c>
      <c r="H239" s="36">
        <f>G238/G239-1</f>
        <v>9.8478707123539344E-4</v>
      </c>
    </row>
    <row r="240" spans="2:8" x14ac:dyDescent="0.3">
      <c r="B240" s="34">
        <f>'Raw Data'!G236</f>
        <v>45947</v>
      </c>
      <c r="C240">
        <f>'Raw Data'!H236</f>
        <v>6083</v>
      </c>
      <c r="D240" s="36">
        <f>C239/C240-1</f>
        <v>-2.137103402926166E-3</v>
      </c>
      <c r="F240" s="34">
        <f>'Raw Data'!G236</f>
        <v>45947</v>
      </c>
      <c r="G240">
        <f>'Raw Data'!J236</f>
        <v>25709.85</v>
      </c>
      <c r="H240" s="36">
        <f>G239/G240-1</f>
        <v>5.1847832640019575E-3</v>
      </c>
    </row>
    <row r="241" spans="2:8" x14ac:dyDescent="0.3">
      <c r="B241" s="34">
        <f>'Raw Data'!G237</f>
        <v>45946</v>
      </c>
      <c r="C241">
        <f>'Raw Data'!H237</f>
        <v>6025.5</v>
      </c>
      <c r="D241" s="36">
        <f>C240/C241-1</f>
        <v>9.5427765330677872E-3</v>
      </c>
      <c r="F241" s="34">
        <f>'Raw Data'!G237</f>
        <v>45946</v>
      </c>
      <c r="G241">
        <f>'Raw Data'!J237</f>
        <v>25585.3</v>
      </c>
      <c r="H241" s="36">
        <f>G240/G241-1</f>
        <v>4.8680296889229702E-3</v>
      </c>
    </row>
    <row r="242" spans="2:8" x14ac:dyDescent="0.3">
      <c r="B242" s="34">
        <f>'Raw Data'!G238</f>
        <v>45945</v>
      </c>
      <c r="C242">
        <f>'Raw Data'!H238</f>
        <v>5857.5</v>
      </c>
      <c r="D242" s="36">
        <f>C241/C242-1</f>
        <v>2.8681177976952688E-2</v>
      </c>
      <c r="F242" s="34">
        <f>'Raw Data'!G238</f>
        <v>45945</v>
      </c>
      <c r="G242">
        <f>'Raw Data'!J238</f>
        <v>25323.55</v>
      </c>
      <c r="H242" s="36">
        <f>G241/G242-1</f>
        <v>1.0336228530360092E-2</v>
      </c>
    </row>
    <row r="243" spans="2:8" x14ac:dyDescent="0.3">
      <c r="B243" s="34">
        <f>'Raw Data'!G239</f>
        <v>45944</v>
      </c>
      <c r="C243">
        <f>'Raw Data'!H239</f>
        <v>5800.5</v>
      </c>
      <c r="D243" s="36">
        <f>C242/C243-1</f>
        <v>9.8267390742177163E-3</v>
      </c>
      <c r="F243" s="34">
        <f>'Raw Data'!G239</f>
        <v>45944</v>
      </c>
      <c r="G243">
        <f>'Raw Data'!J239</f>
        <v>25145.5</v>
      </c>
      <c r="H243" s="36">
        <f>G242/G243-1</f>
        <v>7.0807898033444783E-3</v>
      </c>
    </row>
    <row r="244" spans="2:8" x14ac:dyDescent="0.3">
      <c r="B244" s="34">
        <f>'Raw Data'!G240</f>
        <v>45943</v>
      </c>
      <c r="C244">
        <f>'Raw Data'!H240</f>
        <v>5862</v>
      </c>
      <c r="D244" s="36">
        <f>C243/C244-1</f>
        <v>-1.0491299897645856E-2</v>
      </c>
      <c r="F244" s="34">
        <f>'Raw Data'!G240</f>
        <v>45943</v>
      </c>
      <c r="G244">
        <f>'Raw Data'!J240</f>
        <v>25227.35</v>
      </c>
      <c r="H244" s="36">
        <f>G243/G244-1</f>
        <v>-3.2444945664129587E-3</v>
      </c>
    </row>
    <row r="245" spans="2:8" x14ac:dyDescent="0.3">
      <c r="B245" s="34">
        <f>'Raw Data'!G241</f>
        <v>45940</v>
      </c>
      <c r="C245">
        <f>'Raw Data'!H241</f>
        <v>5871.5</v>
      </c>
      <c r="D245" s="36">
        <f>C244/C245-1</f>
        <v>-1.6179851826619851E-3</v>
      </c>
      <c r="F245" s="34">
        <f>'Raw Data'!G241</f>
        <v>45940</v>
      </c>
      <c r="G245">
        <f>'Raw Data'!J241</f>
        <v>25285.35</v>
      </c>
      <c r="H245" s="36">
        <f>G244/G245-1</f>
        <v>-2.2938183572701609E-3</v>
      </c>
    </row>
    <row r="246" spans="2:8" x14ac:dyDescent="0.3">
      <c r="B246" s="34">
        <f>'Raw Data'!G242</f>
        <v>45939</v>
      </c>
      <c r="C246">
        <f>'Raw Data'!H242</f>
        <v>5876</v>
      </c>
      <c r="D246" s="36">
        <f>C245/C246-1</f>
        <v>-7.6582709326067366E-4</v>
      </c>
      <c r="F246" s="34">
        <f>'Raw Data'!G242</f>
        <v>45939</v>
      </c>
      <c r="G246">
        <f>'Raw Data'!J242</f>
        <v>25181.8</v>
      </c>
      <c r="H246" s="36">
        <f>G245/G246-1</f>
        <v>4.1120968318388851E-3</v>
      </c>
    </row>
    <row r="247" spans="2:8" x14ac:dyDescent="0.3">
      <c r="B247" s="34">
        <f>'Raw Data'!G243</f>
        <v>45938</v>
      </c>
      <c r="C247">
        <f>'Raw Data'!H243</f>
        <v>5836</v>
      </c>
      <c r="D247" s="36">
        <f>C246/C247-1</f>
        <v>6.8540095956133307E-3</v>
      </c>
      <c r="F247" s="34">
        <f>'Raw Data'!G243</f>
        <v>45938</v>
      </c>
      <c r="G247">
        <f>'Raw Data'!J243</f>
        <v>25046.15</v>
      </c>
      <c r="H247" s="36">
        <f>G246/G247-1</f>
        <v>5.4160020601967673E-3</v>
      </c>
    </row>
    <row r="248" spans="2:8" x14ac:dyDescent="0.3">
      <c r="B248" s="34">
        <f>'Raw Data'!G244</f>
        <v>45937</v>
      </c>
      <c r="C248">
        <f>'Raw Data'!H244</f>
        <v>5887</v>
      </c>
      <c r="D248" s="36">
        <f>C247/C248-1</f>
        <v>-8.6631561066756735E-3</v>
      </c>
      <c r="F248" s="34">
        <f>'Raw Data'!G244</f>
        <v>45937</v>
      </c>
      <c r="G248">
        <f>'Raw Data'!J244</f>
        <v>25108.3</v>
      </c>
      <c r="H248" s="36">
        <f>G247/G248-1</f>
        <v>-2.4752770996043783E-3</v>
      </c>
    </row>
    <row r="249" spans="2:8" x14ac:dyDescent="0.3">
      <c r="B249" s="34">
        <f>'Raw Data'!G245</f>
        <v>45936</v>
      </c>
      <c r="C249">
        <f>'Raw Data'!H245</f>
        <v>6011</v>
      </c>
      <c r="D249" s="36">
        <f>C248/C249-1</f>
        <v>-2.0628847113625004E-2</v>
      </c>
      <c r="F249" s="34">
        <f>'Raw Data'!G245</f>
        <v>45936</v>
      </c>
      <c r="G249">
        <f>'Raw Data'!J245</f>
        <v>25077.65</v>
      </c>
      <c r="H249" s="36">
        <f>G248/G249-1</f>
        <v>1.222203834888802E-3</v>
      </c>
    </row>
    <row r="250" spans="2:8" x14ac:dyDescent="0.3">
      <c r="B250" s="34">
        <f>'Raw Data'!G246</f>
        <v>45933</v>
      </c>
      <c r="C250">
        <f>'Raw Data'!H246</f>
        <v>5992.5</v>
      </c>
      <c r="D250" s="36">
        <f>C249/C250-1</f>
        <v>3.0871923237381083E-3</v>
      </c>
      <c r="F250" s="34">
        <f>'Raw Data'!G246</f>
        <v>45933</v>
      </c>
      <c r="G250">
        <f>'Raw Data'!J246</f>
        <v>24894.25</v>
      </c>
      <c r="H250" s="36">
        <f>G249/G250-1</f>
        <v>7.3671630999125881E-3</v>
      </c>
    </row>
    <row r="251" spans="2:8" x14ac:dyDescent="0.3">
      <c r="B251" s="34">
        <f>'Raw Data'!G247</f>
        <v>45931</v>
      </c>
      <c r="C251">
        <f>'Raw Data'!H247</f>
        <v>5966.5</v>
      </c>
      <c r="D251" s="36">
        <f>C250/C251-1</f>
        <v>4.3576636218889409E-3</v>
      </c>
      <c r="F251" s="34">
        <f>'Raw Data'!G247</f>
        <v>45931</v>
      </c>
      <c r="G251">
        <f>'Raw Data'!J247</f>
        <v>24836.3</v>
      </c>
      <c r="H251" s="36">
        <f>G250/G251-1</f>
        <v>2.3332783063501061E-3</v>
      </c>
    </row>
    <row r="252" spans="2:8" x14ac:dyDescent="0.3">
      <c r="B252" s="34">
        <f>'Raw Data'!G248</f>
        <v>45930</v>
      </c>
      <c r="C252">
        <f>'Raw Data'!H248</f>
        <v>5991</v>
      </c>
      <c r="D252" s="36">
        <f>C251/C252-1</f>
        <v>-4.0894675346352383E-3</v>
      </c>
      <c r="F252" s="34">
        <f>'Raw Data'!G248</f>
        <v>45930</v>
      </c>
      <c r="G252">
        <f>'Raw Data'!J248</f>
        <v>24611.1</v>
      </c>
      <c r="H252" s="36">
        <f>G251/G252-1</f>
        <v>9.1503427315318131E-3</v>
      </c>
    </row>
    <row r="253" spans="2:8" x14ac:dyDescent="0.3">
      <c r="B253" s="34">
        <f>'Raw Data'!G249</f>
        <v>45929</v>
      </c>
      <c r="C253">
        <f>'Raw Data'!H249</f>
        <v>5929</v>
      </c>
      <c r="D253">
        <f t="shared" ref="D253:D256" si="0">C252/C253-1</f>
        <v>1.0457075392140247E-2</v>
      </c>
      <c r="F253">
        <f>'Raw Data'!G249</f>
        <v>45929</v>
      </c>
      <c r="G253">
        <f>'Raw Data'!J249</f>
        <v>24634.9</v>
      </c>
      <c r="H253">
        <f t="shared" ref="H253:H256" si="1">G252/G253-1</f>
        <v>-9.6610905666361102E-4</v>
      </c>
    </row>
    <row r="254" spans="2:8" x14ac:dyDescent="0.3">
      <c r="B254" s="34">
        <f>'Raw Data'!G250</f>
        <v>45926</v>
      </c>
      <c r="C254">
        <f>'Raw Data'!H250</f>
        <v>5920.5</v>
      </c>
      <c r="D254">
        <f t="shared" si="0"/>
        <v>1.4356895532472436E-3</v>
      </c>
      <c r="F254">
        <f>'Raw Data'!G250</f>
        <v>45926</v>
      </c>
      <c r="G254">
        <f>'Raw Data'!J250</f>
        <v>24654.7</v>
      </c>
      <c r="H254">
        <f t="shared" si="1"/>
        <v>-8.0309231099950917E-4</v>
      </c>
    </row>
    <row r="255" spans="2:8" x14ac:dyDescent="0.3">
      <c r="B255" s="34">
        <f>'Raw Data'!G251</f>
        <v>45925</v>
      </c>
      <c r="C255">
        <f>'Raw Data'!H251</f>
        <v>5953.5</v>
      </c>
      <c r="D255">
        <f t="shared" si="0"/>
        <v>-5.5429579239103521E-3</v>
      </c>
      <c r="F255">
        <f>'Raw Data'!G251</f>
        <v>45925</v>
      </c>
      <c r="G255">
        <f>'Raw Data'!J251</f>
        <v>24890.85</v>
      </c>
      <c r="H255">
        <f t="shared" si="1"/>
        <v>-9.4874220848222279E-3</v>
      </c>
    </row>
    <row r="256" spans="2:8" x14ac:dyDescent="0.3">
      <c r="B256" s="34">
        <f>'Raw Data'!G252</f>
        <v>45924</v>
      </c>
      <c r="C256">
        <f>'Raw Data'!H252</f>
        <v>5970.5</v>
      </c>
      <c r="D256">
        <f t="shared" si="0"/>
        <v>-2.8473327192027886E-3</v>
      </c>
      <c r="F256">
        <f>'Raw Data'!G252</f>
        <v>45924</v>
      </c>
      <c r="G256">
        <f>'Raw Data'!J252</f>
        <v>25056.9</v>
      </c>
      <c r="H256">
        <f t="shared" si="1"/>
        <v>-6.6269171365972435E-3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Nestle India</v>
      </c>
      <c r="C14" s="119"/>
      <c r="D14" s="119" t="str">
        <f>'Raw Data'!Q24</f>
        <v>India</v>
      </c>
      <c r="E14" s="124">
        <f>'Raw Data'!R24</f>
        <v>66815.199999999997</v>
      </c>
      <c r="F14" s="124">
        <f>'Raw Data'!S24</f>
        <v>267260.59999999998</v>
      </c>
      <c r="G14" s="120">
        <f>'Raw Data'!T24</f>
        <v>0.25</v>
      </c>
      <c r="H14" s="36">
        <f>E14/F14</f>
        <v>0.25000018708331867</v>
      </c>
      <c r="I14" s="36">
        <f>E14/SUM(E14:F14)</f>
        <v>0.20000011973330603</v>
      </c>
      <c r="J14" s="47">
        <v>0.57999999999999996</v>
      </c>
      <c r="K14" s="47">
        <f>J14/(1+(1-G14)*H14)</f>
        <v>0.48842099492078694</v>
      </c>
    </row>
    <row r="15" spans="1:12" x14ac:dyDescent="0.3">
      <c r="B15" s="119" t="str">
        <f>'Raw Data'!O25</f>
        <v>Bikaji Foods</v>
      </c>
      <c r="C15" s="119"/>
      <c r="D15" s="119" t="str">
        <f>'Raw Data'!Q25</f>
        <v>India</v>
      </c>
      <c r="E15" s="124">
        <f>'Raw Data'!R25</f>
        <v>3708.9</v>
      </c>
      <c r="F15" s="124">
        <f>'Raw Data'!S25</f>
        <v>14835.8</v>
      </c>
      <c r="G15" s="120">
        <f>'Raw Data'!T25</f>
        <v>0.25</v>
      </c>
      <c r="H15" s="36">
        <f t="shared" ref="H15:H18" si="0">E15/F15</f>
        <v>0.24999662977392526</v>
      </c>
      <c r="I15" s="36">
        <f t="shared" ref="I15:I18" si="1">E15/SUM(E15:F15)</f>
        <v>0.19999784304949661</v>
      </c>
      <c r="J15" s="47">
        <v>0.95</v>
      </c>
      <c r="K15" s="47">
        <f>J15/(1+(1-G15)*H15)</f>
        <v>0.80000170285469396</v>
      </c>
    </row>
    <row r="16" spans="1:12" x14ac:dyDescent="0.3">
      <c r="B16" s="119" t="str">
        <f>'Raw Data'!O26</f>
        <v>Milky Mist Dairy</v>
      </c>
      <c r="C16" s="119"/>
      <c r="D16" s="119" t="str">
        <f>'Raw Data'!Q26</f>
        <v>India</v>
      </c>
      <c r="E16" s="124">
        <f>'Raw Data'!R26</f>
        <v>6104.8</v>
      </c>
      <c r="F16" s="124">
        <f>'Raw Data'!S26</f>
        <v>24419.200000000001</v>
      </c>
      <c r="G16" s="120">
        <f>'Raw Data'!T26</f>
        <v>0.25</v>
      </c>
      <c r="H16" s="36">
        <f t="shared" si="0"/>
        <v>0.25</v>
      </c>
      <c r="I16" s="36">
        <f t="shared" si="1"/>
        <v>0.2</v>
      </c>
      <c r="J16">
        <v>0.95</v>
      </c>
      <c r="K16" s="47">
        <f>J16/(1+(1-G16)*H16)</f>
        <v>0.79999999999999993</v>
      </c>
    </row>
    <row r="17" spans="2:11" x14ac:dyDescent="0.3">
      <c r="B17" s="119" t="str">
        <f>'Raw Data'!O27</f>
        <v>Marico</v>
      </c>
      <c r="C17" s="119"/>
      <c r="D17" s="119" t="str">
        <f>'Raw Data'!Q27</f>
        <v>India</v>
      </c>
      <c r="E17" s="124">
        <f>'Raw Data'!R27</f>
        <v>27065.1</v>
      </c>
      <c r="F17" s="124">
        <f>'Raw Data'!S27</f>
        <v>108260.3</v>
      </c>
      <c r="G17" s="120">
        <f>'Raw Data'!T27</f>
        <v>0.25</v>
      </c>
      <c r="H17" s="36">
        <f t="shared" si="0"/>
        <v>0.25000023092490964</v>
      </c>
      <c r="I17" s="36">
        <f t="shared" si="1"/>
        <v>0.20000014779191488</v>
      </c>
      <c r="J17" s="47">
        <v>0.62</v>
      </c>
      <c r="K17" s="47">
        <f>J17/(1+(1-G17)*H17)</f>
        <v>0.52210518701025699</v>
      </c>
    </row>
    <row r="18" spans="2:11" x14ac:dyDescent="0.3">
      <c r="B18" s="119" t="str">
        <f>'Raw Data'!O28</f>
        <v>Varun Beverages</v>
      </c>
      <c r="C18" s="119"/>
      <c r="D18" s="119" t="str">
        <f>'Raw Data'!Q28</f>
        <v>India</v>
      </c>
      <c r="E18" s="124">
        <f>'Raw Data'!R28</f>
        <v>36864.699999999997</v>
      </c>
      <c r="F18" s="124">
        <f>'Raw Data'!S28</f>
        <v>147458.9</v>
      </c>
      <c r="G18" s="120">
        <f>'Raw Data'!T28</f>
        <v>0.25</v>
      </c>
      <c r="H18" s="36">
        <f t="shared" si="0"/>
        <v>0.24999983046123359</v>
      </c>
      <c r="I18" s="36">
        <f t="shared" si="1"/>
        <v>0.1999998914951748</v>
      </c>
      <c r="J18">
        <v>0.72</v>
      </c>
      <c r="K18" s="47">
        <f>J18/(1+(1-G18)*H18)</f>
        <v>0.60631585439623703</v>
      </c>
    </row>
    <row r="20" spans="2:11" x14ac:dyDescent="0.3">
      <c r="F20" s="122" t="s">
        <v>344</v>
      </c>
      <c r="G20" s="69">
        <f>AVERAGE(G14:G18)</f>
        <v>0.25</v>
      </c>
      <c r="H20" s="69">
        <f t="shared" ref="H20:K20" si="2">AVERAGE(H14:H18)</f>
        <v>0.24999937564867744</v>
      </c>
      <c r="I20" s="69">
        <f t="shared" si="2"/>
        <v>0.19999960041397849</v>
      </c>
      <c r="J20" s="69">
        <f t="shared" si="2"/>
        <v>0.7639999999999999</v>
      </c>
      <c r="K20" s="69">
        <f t="shared" si="2"/>
        <v>0.64336874783639497</v>
      </c>
    </row>
    <row r="21" spans="2:11" x14ac:dyDescent="0.3">
      <c r="F21" s="68" t="s">
        <v>160</v>
      </c>
      <c r="G21" s="70">
        <f>MEDIAN(G14:G18)</f>
        <v>0.25</v>
      </c>
      <c r="H21" s="70">
        <f t="shared" ref="H21:K21" si="3">MEDIAN(H14:H18)</f>
        <v>0.25</v>
      </c>
      <c r="I21" s="70">
        <f t="shared" si="3"/>
        <v>0.2</v>
      </c>
      <c r="J21" s="70">
        <f t="shared" si="3"/>
        <v>0.72</v>
      </c>
      <c r="K21" s="70">
        <f t="shared" si="3"/>
        <v>0.60631585439623703</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v>0.25</v>
      </c>
      <c r="G27" t="s">
        <v>231</v>
      </c>
      <c r="K27" s="121">
        <v>6.5000000000000002E-2</v>
      </c>
    </row>
    <row r="28" spans="2:11" x14ac:dyDescent="0.3">
      <c r="B28" s="67" t="s">
        <v>229</v>
      </c>
      <c r="C28" s="64"/>
      <c r="D28" s="64"/>
      <c r="E28" s="66">
        <f>E26*(1-E27)</f>
        <v>6.0374999999999998E-2</v>
      </c>
      <c r="G28" t="s">
        <v>224</v>
      </c>
      <c r="K28" s="47">
        <f>K36</f>
        <v>0.60631585439623703</v>
      </c>
    </row>
    <row r="29" spans="2:11" x14ac:dyDescent="0.3">
      <c r="G29" s="67" t="s">
        <v>227</v>
      </c>
      <c r="H29" s="64"/>
      <c r="I29" s="64"/>
      <c r="J29" s="64"/>
      <c r="K29" s="66">
        <f>K26+K27*K28</f>
        <v>0.10941053053575542</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0.60631585439623703</v>
      </c>
    </row>
    <row r="34" spans="2:11" x14ac:dyDescent="0.3">
      <c r="B34" t="s">
        <v>220</v>
      </c>
      <c r="C34" s="106">
        <v>0</v>
      </c>
      <c r="D34" s="36">
        <f>C34/C$36</f>
        <v>0</v>
      </c>
      <c r="E34" s="46">
        <f>I20</f>
        <v>0.19999960041397849</v>
      </c>
      <c r="G34" t="s">
        <v>234</v>
      </c>
      <c r="K34" s="46">
        <f>D38</f>
        <v>0</v>
      </c>
    </row>
    <row r="35" spans="2:11" x14ac:dyDescent="0.3">
      <c r="B35" t="s">
        <v>79</v>
      </c>
      <c r="C35" s="106">
        <v>118555</v>
      </c>
      <c r="D35" s="36">
        <f t="shared" ref="D35:D36" si="4">C35/C$36</f>
        <v>1</v>
      </c>
      <c r="E35" s="46">
        <f>E36-E34</f>
        <v>0.80000039958602154</v>
      </c>
      <c r="G35" t="s">
        <v>111</v>
      </c>
      <c r="K35" s="46">
        <f>E27</f>
        <v>0.25</v>
      </c>
    </row>
    <row r="36" spans="2:11" x14ac:dyDescent="0.3">
      <c r="B36" t="s">
        <v>237</v>
      </c>
      <c r="C36" s="125">
        <f>SUM(C34:C35)</f>
        <v>118555</v>
      </c>
      <c r="D36" s="63">
        <f t="shared" si="4"/>
        <v>1</v>
      </c>
      <c r="E36" s="62">
        <f>D36</f>
        <v>1</v>
      </c>
      <c r="G36" s="67" t="s">
        <v>224</v>
      </c>
      <c r="H36" s="64"/>
      <c r="I36" s="64"/>
      <c r="J36" s="64"/>
      <c r="K36" s="126">
        <f>K33*(1+(1-K35)*K34)</f>
        <v>0.60631585439623703</v>
      </c>
    </row>
    <row r="38" spans="2:11" x14ac:dyDescent="0.3">
      <c r="B38" t="s">
        <v>222</v>
      </c>
      <c r="D38" s="65">
        <f>D34/D35</f>
        <v>0</v>
      </c>
      <c r="E38" s="65">
        <f>E34/E35</f>
        <v>0.24999937564715324</v>
      </c>
      <c r="G38" s="37" t="s">
        <v>238</v>
      </c>
    </row>
    <row r="39" spans="2:11" x14ac:dyDescent="0.3">
      <c r="G39" s="60"/>
      <c r="H39" s="60"/>
      <c r="I39" s="60"/>
      <c r="J39" s="60"/>
      <c r="K39" s="60"/>
    </row>
    <row r="40" spans="2:11" x14ac:dyDescent="0.3">
      <c r="G40" s="18" t="s">
        <v>240</v>
      </c>
      <c r="K40" s="46">
        <f>K29</f>
        <v>0.10941053053575542</v>
      </c>
    </row>
    <row r="41" spans="2:11" x14ac:dyDescent="0.3">
      <c r="G41" s="18" t="s">
        <v>239</v>
      </c>
      <c r="K41" s="46">
        <f>D35</f>
        <v>1</v>
      </c>
    </row>
    <row r="43" spans="2:11" x14ac:dyDescent="0.3">
      <c r="G43" t="s">
        <v>226</v>
      </c>
      <c r="K43" s="46">
        <f>E28</f>
        <v>6.0374999999999998E-2</v>
      </c>
    </row>
    <row r="44" spans="2:11" x14ac:dyDescent="0.3">
      <c r="G44" t="s">
        <v>241</v>
      </c>
      <c r="K44" s="46">
        <f>D34</f>
        <v>0</v>
      </c>
    </row>
    <row r="45" spans="2:11" ht="3.6" customHeight="1" x14ac:dyDescent="0.3"/>
    <row r="46" spans="2:11" x14ac:dyDescent="0.3">
      <c r="G46" s="67" t="s">
        <v>238</v>
      </c>
      <c r="H46" s="64"/>
      <c r="I46" s="64"/>
      <c r="J46" s="64"/>
      <c r="K46" s="66">
        <f>(K40*K41)+(K43*K44)</f>
        <v>0.10941053053575542</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1367</v>
      </c>
      <c r="I9" s="130">
        <f>'Raw FS'!K39</f>
        <v>1193</v>
      </c>
      <c r="J9" s="130">
        <f>'Raw FS'!L39</f>
        <v>1181</v>
      </c>
      <c r="K9" s="130">
        <f>'Raw FS'!M39</f>
        <v>1237</v>
      </c>
      <c r="L9" s="130">
        <f>'Raw FS'!N39</f>
        <v>1346</v>
      </c>
    </row>
    <row r="10" spans="1:12" x14ac:dyDescent="0.3">
      <c r="B10" s="72" t="s">
        <v>273</v>
      </c>
      <c r="C10" s="72"/>
      <c r="D10" s="72"/>
      <c r="E10" s="72"/>
      <c r="F10" s="72"/>
      <c r="G10" s="72"/>
      <c r="H10" s="130">
        <f>'Raw FS'!J40</f>
        <v>332</v>
      </c>
      <c r="I10" s="130">
        <f>'Raw FS'!K40</f>
        <v>329</v>
      </c>
      <c r="J10" s="130">
        <f>'Raw FS'!L40</f>
        <v>393</v>
      </c>
      <c r="K10" s="130">
        <f>'Raw FS'!M40</f>
        <v>449</v>
      </c>
      <c r="L10" s="130">
        <f>'Raw FS'!N40</f>
        <v>469</v>
      </c>
    </row>
    <row r="11" spans="1:12" x14ac:dyDescent="0.3">
      <c r="B11" s="72" t="str">
        <f>'Raw FS'!B42</f>
        <v>Loans n Advances</v>
      </c>
      <c r="C11" s="72"/>
      <c r="D11" s="72"/>
      <c r="E11" s="72"/>
      <c r="F11" s="72"/>
      <c r="G11" s="72"/>
      <c r="H11" s="130">
        <f>'Raw FS'!J42</f>
        <v>63</v>
      </c>
      <c r="I11" s="130">
        <f>'Raw FS'!K42</f>
        <v>83</v>
      </c>
      <c r="J11" s="130">
        <f>'Raw FS'!L42</f>
        <v>62</v>
      </c>
      <c r="K11" s="130">
        <f>'Raw FS'!M42</f>
        <v>67</v>
      </c>
      <c r="L11" s="130">
        <f>'Raw FS'!N42</f>
        <v>55</v>
      </c>
    </row>
    <row r="12" spans="1:12" ht="15" thickBot="1" x14ac:dyDescent="0.35">
      <c r="B12" t="str">
        <f>'Raw FS'!B43</f>
        <v>Other asset items</v>
      </c>
      <c r="H12" s="106">
        <f>'Raw FS'!J43</f>
        <v>1528</v>
      </c>
      <c r="I12" s="106">
        <f>'Raw FS'!K43</f>
        <v>1463</v>
      </c>
      <c r="J12" s="106">
        <f>'Raw FS'!L43</f>
        <v>1263</v>
      </c>
      <c r="K12" s="106">
        <f>'Raw FS'!M43</f>
        <v>914</v>
      </c>
      <c r="L12" s="106">
        <f>'Raw FS'!N43</f>
        <v>1009</v>
      </c>
    </row>
    <row r="13" spans="1:12" x14ac:dyDescent="0.3">
      <c r="B13" s="137" t="s">
        <v>126</v>
      </c>
      <c r="C13" s="137"/>
      <c r="D13" s="137"/>
      <c r="E13" s="137"/>
      <c r="F13" s="137"/>
      <c r="G13" s="137"/>
      <c r="H13" s="138">
        <f>SUM(H9:H12)</f>
        <v>3290</v>
      </c>
      <c r="I13" s="138">
        <f t="shared" ref="I13:L13" si="0">SUM(I9:I12)</f>
        <v>3068</v>
      </c>
      <c r="J13" s="138">
        <f t="shared" si="0"/>
        <v>2899</v>
      </c>
      <c r="K13" s="138">
        <f t="shared" si="0"/>
        <v>2667</v>
      </c>
      <c r="L13" s="138">
        <f t="shared" si="0"/>
        <v>2879</v>
      </c>
    </row>
    <row r="15" spans="1:12" x14ac:dyDescent="0.3">
      <c r="B15" s="37" t="s">
        <v>274</v>
      </c>
    </row>
    <row r="16" spans="1:12" x14ac:dyDescent="0.3">
      <c r="B16" s="72" t="str">
        <f>'Raw FS'!B14</f>
        <v>Trade Payables</v>
      </c>
      <c r="C16" s="72"/>
      <c r="D16" s="72"/>
      <c r="E16" s="72"/>
      <c r="F16" s="72"/>
      <c r="G16" s="72"/>
      <c r="H16" s="130">
        <f>'Raw FS'!J14</f>
        <v>1323</v>
      </c>
      <c r="I16" s="130">
        <f>'Raw FS'!K14</f>
        <v>1449</v>
      </c>
      <c r="J16" s="130">
        <f>'Raw FS'!L14</f>
        <v>1627</v>
      </c>
      <c r="K16" s="130">
        <f>'Raw FS'!M14</f>
        <v>1752</v>
      </c>
      <c r="L16" s="130">
        <f>'Raw FS'!N14</f>
        <v>1896</v>
      </c>
    </row>
    <row r="17" spans="1:12" x14ac:dyDescent="0.3">
      <c r="B17" s="72" t="str">
        <f>'Raw FS'!B15</f>
        <v>Advance from Customers</v>
      </c>
      <c r="C17" s="72"/>
      <c r="D17" s="72"/>
      <c r="E17" s="72"/>
      <c r="F17" s="72"/>
      <c r="G17" s="72"/>
      <c r="H17" s="130">
        <f>'Raw FS'!J15</f>
        <v>34</v>
      </c>
      <c r="I17" s="130">
        <f>'Raw FS'!K15</f>
        <v>55</v>
      </c>
      <c r="J17" s="130">
        <f>'Raw FS'!L15</f>
        <v>42</v>
      </c>
      <c r="K17" s="130">
        <f>'Raw FS'!M15</f>
        <v>46</v>
      </c>
      <c r="L17" s="130">
        <f>'Raw FS'!N15</f>
        <v>53</v>
      </c>
    </row>
    <row r="18" spans="1:12" ht="15" thickBot="1" x14ac:dyDescent="0.35">
      <c r="B18" t="str">
        <f>'Raw FS'!B16</f>
        <v>Other liability items</v>
      </c>
      <c r="H18" s="106">
        <f>'Raw FS'!J16</f>
        <v>1103</v>
      </c>
      <c r="I18" s="106">
        <f>'Raw FS'!K16</f>
        <v>1285</v>
      </c>
      <c r="J18" s="106">
        <f>'Raw FS'!L16</f>
        <v>1371</v>
      </c>
      <c r="K18" s="106">
        <f>'Raw FS'!M16</f>
        <v>1410</v>
      </c>
      <c r="L18" s="106">
        <f>'Raw FS'!N16</f>
        <v>1265</v>
      </c>
    </row>
    <row r="19" spans="1:12" ht="15" thickTop="1" x14ac:dyDescent="0.3">
      <c r="B19" s="139" t="s">
        <v>275</v>
      </c>
      <c r="C19" s="139"/>
      <c r="D19" s="139"/>
      <c r="E19" s="139"/>
      <c r="F19" s="139"/>
      <c r="G19" s="139"/>
      <c r="H19" s="140">
        <f>SUM(H16:H18)</f>
        <v>2460</v>
      </c>
      <c r="I19" s="140">
        <f t="shared" ref="I19:L19" si="1">SUM(I16:I18)</f>
        <v>2789</v>
      </c>
      <c r="J19" s="140">
        <f t="shared" si="1"/>
        <v>3040</v>
      </c>
      <c r="K19" s="140">
        <f t="shared" si="1"/>
        <v>3208</v>
      </c>
      <c r="L19" s="140">
        <f t="shared" si="1"/>
        <v>3214</v>
      </c>
    </row>
    <row r="20" spans="1:12" ht="15" thickBot="1" x14ac:dyDescent="0.35"/>
    <row r="21" spans="1:12" ht="15" thickBot="1" x14ac:dyDescent="0.35">
      <c r="A21" t="s">
        <v>121</v>
      </c>
      <c r="B21" s="141" t="s">
        <v>276</v>
      </c>
      <c r="C21" s="141"/>
      <c r="D21" s="141"/>
      <c r="E21" s="141"/>
      <c r="F21" s="141"/>
      <c r="G21" s="141"/>
      <c r="H21" s="142">
        <f>H13-H19</f>
        <v>830</v>
      </c>
      <c r="I21" s="142">
        <f t="shared" ref="I21:L21" si="2">I13-I19</f>
        <v>279</v>
      </c>
      <c r="J21" s="142">
        <f t="shared" si="2"/>
        <v>-141</v>
      </c>
      <c r="K21" s="142">
        <f t="shared" si="2"/>
        <v>-541</v>
      </c>
      <c r="L21" s="142">
        <f t="shared" si="2"/>
        <v>-335</v>
      </c>
    </row>
    <row r="23" spans="1:12" x14ac:dyDescent="0.3">
      <c r="B23" s="37" t="s">
        <v>278</v>
      </c>
    </row>
    <row r="24" spans="1:12" x14ac:dyDescent="0.3">
      <c r="B24" s="72" t="str">
        <f>'Raw FS'!B22</f>
        <v>Land</v>
      </c>
      <c r="C24" s="72"/>
      <c r="D24" s="72"/>
      <c r="E24" s="72"/>
      <c r="F24" s="72"/>
      <c r="G24" s="72"/>
      <c r="H24" s="130">
        <f>'Raw FS'!J22</f>
        <v>334</v>
      </c>
      <c r="I24" s="130">
        <f>'Raw FS'!K22</f>
        <v>376</v>
      </c>
      <c r="J24" s="130">
        <f>'Raw FS'!L22</f>
        <v>384</v>
      </c>
      <c r="K24" s="130">
        <f>'Raw FS'!M22</f>
        <v>395</v>
      </c>
      <c r="L24" s="130">
        <f>'Raw FS'!N22</f>
        <v>397</v>
      </c>
    </row>
    <row r="25" spans="1:12" x14ac:dyDescent="0.3">
      <c r="B25" s="72" t="str">
        <f>'Raw FS'!B23</f>
        <v>Building</v>
      </c>
      <c r="C25" s="72"/>
      <c r="D25" s="72"/>
      <c r="E25" s="72"/>
      <c r="F25" s="72"/>
      <c r="G25" s="72"/>
      <c r="H25" s="130">
        <f>'Raw FS'!J23</f>
        <v>782</v>
      </c>
      <c r="I25" s="130">
        <f>'Raw FS'!K23</f>
        <v>1143</v>
      </c>
      <c r="J25" s="130">
        <f>'Raw FS'!L23</f>
        <v>1298</v>
      </c>
      <c r="K25" s="130">
        <f>'Raw FS'!M23</f>
        <v>1395</v>
      </c>
      <c r="L25" s="130">
        <f>'Raw FS'!N23</f>
        <v>1429</v>
      </c>
    </row>
    <row r="26" spans="1:12" x14ac:dyDescent="0.3">
      <c r="B26" s="72" t="str">
        <f>'Raw FS'!B24</f>
        <v>Plant Machinery</v>
      </c>
      <c r="C26" s="72"/>
      <c r="D26" s="72"/>
      <c r="E26" s="72"/>
      <c r="F26" s="72"/>
      <c r="G26" s="72"/>
      <c r="H26" s="130">
        <f>'Raw FS'!J24</f>
        <v>1546</v>
      </c>
      <c r="I26" s="130">
        <f>'Raw FS'!K24</f>
        <v>2303</v>
      </c>
      <c r="J26" s="130">
        <f>'Raw FS'!L24</f>
        <v>2543</v>
      </c>
      <c r="K26" s="130">
        <f>'Raw FS'!M24</f>
        <v>2844</v>
      </c>
      <c r="L26" s="130">
        <f>'Raw FS'!N24</f>
        <v>3028</v>
      </c>
    </row>
    <row r="27" spans="1:12" x14ac:dyDescent="0.3">
      <c r="B27" s="72" t="str">
        <f>'Raw FS'!B25</f>
        <v>Equipments</v>
      </c>
      <c r="C27" s="72"/>
      <c r="D27" s="72"/>
      <c r="E27" s="72"/>
      <c r="F27" s="72"/>
      <c r="G27" s="72"/>
      <c r="H27" s="130">
        <f>'Raw FS'!J25</f>
        <v>52</v>
      </c>
      <c r="I27" s="130">
        <f>'Raw FS'!K25</f>
        <v>61</v>
      </c>
      <c r="J27" s="130">
        <f>'Raw FS'!L25</f>
        <v>75</v>
      </c>
      <c r="K27" s="130">
        <f>'Raw FS'!M25</f>
        <v>81</v>
      </c>
      <c r="L27" s="130">
        <f>'Raw FS'!N25</f>
        <v>79</v>
      </c>
    </row>
    <row r="28" spans="1:12" x14ac:dyDescent="0.3">
      <c r="B28" s="72" t="str">
        <f>'Raw FS'!B26</f>
        <v>Furniture n fittings</v>
      </c>
      <c r="C28" s="72"/>
      <c r="D28" s="72"/>
      <c r="E28" s="72"/>
      <c r="F28" s="72"/>
      <c r="G28" s="72"/>
      <c r="H28" s="130">
        <f>'Raw FS'!J26</f>
        <v>32</v>
      </c>
      <c r="I28" s="130">
        <f>'Raw FS'!K26</f>
        <v>43</v>
      </c>
      <c r="J28" s="130">
        <f>'Raw FS'!L26</f>
        <v>46</v>
      </c>
      <c r="K28" s="130">
        <f>'Raw FS'!M26</f>
        <v>49</v>
      </c>
      <c r="L28" s="130">
        <f>'Raw FS'!N26</f>
        <v>50</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6</v>
      </c>
      <c r="I30" s="130">
        <f>'Raw FS'!K28</f>
        <v>10</v>
      </c>
      <c r="J30" s="130">
        <f>'Raw FS'!L28</f>
        <v>10</v>
      </c>
      <c r="K30" s="130">
        <f>'Raw FS'!M28</f>
        <v>9</v>
      </c>
      <c r="L30" s="130">
        <f>'Raw FS'!N28</f>
        <v>9</v>
      </c>
    </row>
    <row r="31" spans="1:12" x14ac:dyDescent="0.3">
      <c r="B31" s="72" t="str">
        <f>'Raw FS'!B29</f>
        <v>Intangible Assets</v>
      </c>
      <c r="C31" s="72"/>
      <c r="D31" s="72"/>
      <c r="E31" s="72"/>
      <c r="F31" s="72"/>
      <c r="G31" s="72"/>
      <c r="H31" s="130">
        <f>'Raw FS'!J29</f>
        <v>140</v>
      </c>
      <c r="I31" s="130">
        <f>'Raw FS'!K29</f>
        <v>130</v>
      </c>
      <c r="J31" s="130">
        <f>'Raw FS'!L29</f>
        <v>131</v>
      </c>
      <c r="K31" s="130">
        <f>'Raw FS'!M29</f>
        <v>134</v>
      </c>
      <c r="L31" s="130">
        <f>'Raw FS'!N29</f>
        <v>146</v>
      </c>
    </row>
    <row r="32" spans="1:12" x14ac:dyDescent="0.3">
      <c r="B32" s="72" t="str">
        <f>'Raw FS'!B30</f>
        <v>Other fixed assets</v>
      </c>
      <c r="C32" s="72"/>
      <c r="D32" s="72"/>
      <c r="E32" s="72"/>
      <c r="F32" s="72"/>
      <c r="G32" s="72"/>
      <c r="H32" s="130">
        <f>'Raw FS'!J30</f>
        <v>57</v>
      </c>
      <c r="I32" s="130">
        <f>'Raw FS'!K30</f>
        <v>86</v>
      </c>
      <c r="J32" s="130">
        <f>'Raw FS'!L30</f>
        <v>72</v>
      </c>
      <c r="K32" s="130">
        <f>'Raw FS'!M30</f>
        <v>67</v>
      </c>
      <c r="L32" s="130">
        <f>'Raw FS'!N30</f>
        <v>67</v>
      </c>
    </row>
    <row r="33" spans="2:12" x14ac:dyDescent="0.3">
      <c r="B33" s="122" t="str">
        <f>'Raw FS'!B31</f>
        <v>Gross Block</v>
      </c>
      <c r="C33" s="122"/>
      <c r="D33" s="122"/>
      <c r="E33" s="122"/>
      <c r="F33" s="122"/>
      <c r="G33" s="122"/>
      <c r="H33" s="136">
        <f>'Raw FS'!J31</f>
        <v>2948</v>
      </c>
      <c r="I33" s="136">
        <f>'Raw FS'!K31</f>
        <v>4150</v>
      </c>
      <c r="J33" s="136">
        <f>'Raw FS'!L31</f>
        <v>4559</v>
      </c>
      <c r="K33" s="136">
        <f>'Raw FS'!M31</f>
        <v>4974</v>
      </c>
      <c r="L33" s="136">
        <f>'Raw FS'!N31</f>
        <v>5206</v>
      </c>
    </row>
    <row r="34" spans="2:12" ht="15" thickBot="1" x14ac:dyDescent="0.35">
      <c r="B34" t="str">
        <f>'Raw FS'!B32</f>
        <v>Accumulated Depreciation</v>
      </c>
      <c r="H34" s="106">
        <f>'Raw FS'!J32</f>
        <v>1195</v>
      </c>
      <c r="I34" s="106">
        <f>'Raw FS'!K32</f>
        <v>1495</v>
      </c>
      <c r="J34" s="106">
        <f>'Raw FS'!L32</f>
        <v>1788</v>
      </c>
      <c r="K34" s="106">
        <f>'Raw FS'!M32</f>
        <v>2070</v>
      </c>
      <c r="L34" s="106">
        <f>'Raw FS'!N32</f>
        <v>2356</v>
      </c>
    </row>
    <row r="35" spans="2:12" ht="15" thickBot="1" x14ac:dyDescent="0.35">
      <c r="B35" s="141" t="s">
        <v>277</v>
      </c>
      <c r="C35" s="141"/>
      <c r="D35" s="141"/>
      <c r="E35" s="141"/>
      <c r="F35" s="141"/>
      <c r="G35" s="141"/>
      <c r="H35" s="142">
        <f>'Raw FS'!J33</f>
        <v>1753</v>
      </c>
      <c r="I35" s="142">
        <f>'Raw FS'!K33</f>
        <v>2655</v>
      </c>
      <c r="J35" s="142">
        <f>'Raw FS'!L33</f>
        <v>2771</v>
      </c>
      <c r="K35" s="142">
        <f>'Raw FS'!M33</f>
        <v>2904</v>
      </c>
      <c r="L35" s="142">
        <f>'Raw FS'!N33</f>
        <v>2850</v>
      </c>
    </row>
    <row r="37" spans="2:12" x14ac:dyDescent="0.3">
      <c r="B37" s="145" t="s">
        <v>279</v>
      </c>
      <c r="C37" s="145"/>
      <c r="D37" s="145"/>
      <c r="E37" s="145"/>
      <c r="F37" s="145"/>
      <c r="G37" s="145"/>
      <c r="H37" s="146">
        <f>H35+H21</f>
        <v>2583</v>
      </c>
      <c r="I37" s="146">
        <f t="shared" ref="I37:L37" si="3">I35+I21</f>
        <v>2934</v>
      </c>
      <c r="J37" s="146">
        <f t="shared" si="3"/>
        <v>2630</v>
      </c>
      <c r="K37" s="146">
        <f t="shared" si="3"/>
        <v>2363</v>
      </c>
      <c r="L37" s="146">
        <f t="shared" si="3"/>
        <v>2515</v>
      </c>
    </row>
    <row r="38" spans="2:12" x14ac:dyDescent="0.3">
      <c r="B38" s="145" t="s">
        <v>106</v>
      </c>
      <c r="C38" s="145"/>
      <c r="D38" s="145"/>
      <c r="E38" s="145"/>
      <c r="F38" s="145"/>
      <c r="G38" s="145"/>
      <c r="H38" s="146">
        <f>'Raw FS'!Z11+'Raw FS'!Z9</f>
        <v>2222</v>
      </c>
      <c r="I38" s="146">
        <f>'Raw FS'!AA11+'Raw FS'!AA9</f>
        <v>3202</v>
      </c>
      <c r="J38" s="146">
        <f>'Raw FS'!AB11+'Raw FS'!AB9</f>
        <v>3077</v>
      </c>
      <c r="K38" s="146">
        <f>'Raw FS'!AC11+'Raw FS'!AC9</f>
        <v>3066</v>
      </c>
      <c r="L38" s="146">
        <f>'Raw FS'!AD11+'Raw FS'!AD9</f>
        <v>3402</v>
      </c>
    </row>
    <row r="39" spans="2:12" ht="7.8" customHeight="1" thickBot="1" x14ac:dyDescent="0.35"/>
    <row r="40" spans="2:12" ht="15" thickBot="1" x14ac:dyDescent="0.35">
      <c r="B40" s="141" t="s">
        <v>287</v>
      </c>
      <c r="C40" s="141"/>
      <c r="D40" s="141"/>
      <c r="E40" s="141"/>
      <c r="F40" s="141"/>
      <c r="G40" s="141"/>
      <c r="H40" s="144">
        <f>H38/H37</f>
        <v>0.86024003097173829</v>
      </c>
      <c r="I40" s="144">
        <f t="shared" ref="I40:L40" si="4">I38/I37</f>
        <v>1.0913428766189501</v>
      </c>
      <c r="J40" s="144">
        <f t="shared" si="4"/>
        <v>1.1699619771863119</v>
      </c>
      <c r="K40" s="144">
        <f t="shared" si="4"/>
        <v>1.2975031739314431</v>
      </c>
      <c r="L40" s="144">
        <f t="shared" si="4"/>
        <v>1.3526838966202783</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547</v>
      </c>
      <c r="I44" s="130">
        <f>-SUM('Raw FS'!AA27:AA28)</f>
        <v>633</v>
      </c>
      <c r="J44" s="130">
        <f>-SUM('Raw FS'!AB27:AB28)</f>
        <v>488</v>
      </c>
      <c r="K44" s="130">
        <f>-SUM('Raw FS'!AC27:AC28)</f>
        <v>370</v>
      </c>
      <c r="L44" s="130">
        <f>-SUM('Raw FS'!AD27:AD28)</f>
        <v>204</v>
      </c>
    </row>
    <row r="45" spans="2:12" x14ac:dyDescent="0.3">
      <c r="B45" s="72" t="s">
        <v>290</v>
      </c>
      <c r="C45" s="72"/>
      <c r="D45" s="72"/>
      <c r="E45" s="72"/>
      <c r="F45" s="72"/>
      <c r="G45" s="72"/>
      <c r="H45" s="132" t="s">
        <v>120</v>
      </c>
      <c r="I45" s="133">
        <f>I21-H21</f>
        <v>-551</v>
      </c>
      <c r="J45" s="133">
        <f t="shared" ref="J45:L45" si="5">J21-I21</f>
        <v>-420</v>
      </c>
      <c r="K45" s="133">
        <f t="shared" si="5"/>
        <v>-400</v>
      </c>
      <c r="L45" s="133">
        <f t="shared" si="5"/>
        <v>206</v>
      </c>
    </row>
    <row r="47" spans="2:12" x14ac:dyDescent="0.3">
      <c r="B47" s="72" t="s">
        <v>106</v>
      </c>
      <c r="C47" s="72"/>
      <c r="D47" s="72"/>
      <c r="E47" s="72"/>
      <c r="F47" s="72"/>
      <c r="G47" s="72"/>
      <c r="H47" s="130">
        <f>H38</f>
        <v>2222</v>
      </c>
      <c r="I47" s="130">
        <f t="shared" ref="I47:L47" si="6">I38</f>
        <v>3202</v>
      </c>
      <c r="J47" s="130">
        <f t="shared" si="6"/>
        <v>3077</v>
      </c>
      <c r="K47" s="130">
        <f t="shared" si="6"/>
        <v>3066</v>
      </c>
      <c r="L47" s="130">
        <f t="shared" si="6"/>
        <v>3402</v>
      </c>
    </row>
    <row r="48" spans="2:12" x14ac:dyDescent="0.3">
      <c r="B48" s="72" t="s">
        <v>111</v>
      </c>
      <c r="C48" s="72"/>
      <c r="D48" s="72"/>
      <c r="E48" s="72"/>
      <c r="F48" s="72"/>
      <c r="G48" s="72"/>
      <c r="H48" s="81">
        <f>WACC!E27</f>
        <v>0.25</v>
      </c>
      <c r="I48" s="81">
        <f>H48</f>
        <v>0.25</v>
      </c>
      <c r="J48" s="81">
        <f t="shared" ref="J48:L48" si="7">I48</f>
        <v>0.25</v>
      </c>
      <c r="K48" s="81">
        <f t="shared" si="7"/>
        <v>0.25</v>
      </c>
      <c r="L48" s="81">
        <f t="shared" si="7"/>
        <v>0.25</v>
      </c>
    </row>
    <row r="49" spans="2:12" x14ac:dyDescent="0.3">
      <c r="B49" s="72" t="s">
        <v>291</v>
      </c>
      <c r="C49" s="72"/>
      <c r="D49" s="72"/>
      <c r="E49" s="72"/>
      <c r="F49" s="72"/>
      <c r="G49" s="72"/>
      <c r="H49" s="130">
        <f>H47*(1-H48)</f>
        <v>1666.5</v>
      </c>
      <c r="I49" s="130">
        <f t="shared" ref="I49:L49" si="8">I47*(1-I48)</f>
        <v>2401.5</v>
      </c>
      <c r="J49" s="130">
        <f t="shared" si="8"/>
        <v>2307.75</v>
      </c>
      <c r="K49" s="130">
        <f t="shared" si="8"/>
        <v>2299.5</v>
      </c>
      <c r="L49" s="130">
        <f t="shared" si="8"/>
        <v>2551.5</v>
      </c>
    </row>
    <row r="51" spans="2:12" x14ac:dyDescent="0.3">
      <c r="B51" t="s">
        <v>292</v>
      </c>
      <c r="H51" s="45" t="s">
        <v>120</v>
      </c>
      <c r="I51" s="106">
        <f>SUM(I44:I45)</f>
        <v>82</v>
      </c>
      <c r="J51" s="106">
        <f t="shared" ref="J51:L51" si="9">SUM(J44:J45)</f>
        <v>68</v>
      </c>
      <c r="K51" s="106">
        <f t="shared" si="9"/>
        <v>-30</v>
      </c>
      <c r="L51" s="106">
        <f t="shared" si="9"/>
        <v>410</v>
      </c>
    </row>
    <row r="52" spans="2:12" ht="15" thickBot="1" x14ac:dyDescent="0.35">
      <c r="B52" s="127" t="s">
        <v>293</v>
      </c>
      <c r="C52" s="127"/>
      <c r="D52" s="127"/>
      <c r="E52" s="127"/>
      <c r="F52" s="127"/>
      <c r="G52" s="127"/>
      <c r="H52" s="147" t="s">
        <v>120</v>
      </c>
      <c r="I52" s="143">
        <f>I51/I49</f>
        <v>3.4145325838017902E-2</v>
      </c>
      <c r="J52" s="143">
        <f t="shared" ref="J52:L52" si="10">J51/J49</f>
        <v>2.9465930018416207E-2</v>
      </c>
      <c r="K52" s="143">
        <f t="shared" si="10"/>
        <v>-1.3046314416177429E-2</v>
      </c>
      <c r="L52" s="143">
        <f t="shared" si="10"/>
        <v>0.16068979031941996</v>
      </c>
    </row>
    <row r="54" spans="2:12" x14ac:dyDescent="0.3">
      <c r="J54" s="37" t="s">
        <v>294</v>
      </c>
      <c r="K54" s="37"/>
      <c r="L54" s="114">
        <f>AVERAGE(I52:L52)</f>
        <v>5.2813682939919157E-2</v>
      </c>
    </row>
    <row r="55" spans="2:12" x14ac:dyDescent="0.3">
      <c r="J55" s="37" t="s">
        <v>295</v>
      </c>
      <c r="K55" s="37"/>
      <c r="L55" s="114">
        <f>MEDIAN(I52:L52)</f>
        <v>3.1805627928217055E-2</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0.86024003097173829</v>
      </c>
      <c r="I59" s="81">
        <f t="shared" ref="I59:L59" si="11">I40</f>
        <v>1.0913428766189501</v>
      </c>
      <c r="J59" s="81">
        <f t="shared" si="11"/>
        <v>1.1699619771863119</v>
      </c>
      <c r="K59" s="81">
        <f t="shared" si="11"/>
        <v>1.2975031739314431</v>
      </c>
      <c r="L59" s="81">
        <f t="shared" si="11"/>
        <v>1.3526838966202783</v>
      </c>
    </row>
    <row r="60" spans="2:12" x14ac:dyDescent="0.3">
      <c r="B60" s="72" t="s">
        <v>293</v>
      </c>
      <c r="C60" s="72"/>
      <c r="D60" s="72"/>
      <c r="E60" s="72"/>
      <c r="F60" s="72"/>
      <c r="G60" s="72"/>
      <c r="H60" s="82" t="s">
        <v>120</v>
      </c>
      <c r="I60" s="134">
        <f>I52</f>
        <v>3.4145325838017902E-2</v>
      </c>
      <c r="J60" s="134">
        <f t="shared" ref="J60:L60" si="12">J52</f>
        <v>2.9465930018416207E-2</v>
      </c>
      <c r="K60" s="134">
        <f t="shared" si="12"/>
        <v>-1.3046314416177429E-2</v>
      </c>
      <c r="L60" s="134">
        <f t="shared" si="12"/>
        <v>0.16068979031941996</v>
      </c>
    </row>
    <row r="61" spans="2:12" ht="4.2" customHeight="1" x14ac:dyDescent="0.3"/>
    <row r="62" spans="2:12" ht="15" thickBot="1" x14ac:dyDescent="0.35">
      <c r="B62" s="74" t="s">
        <v>297</v>
      </c>
      <c r="C62" s="74"/>
      <c r="D62" s="74"/>
      <c r="E62" s="74"/>
      <c r="F62" s="74"/>
      <c r="G62" s="74"/>
      <c r="H62" s="74"/>
      <c r="I62" s="135">
        <f>I59*I60</f>
        <v>3.7264258123153822E-2</v>
      </c>
      <c r="J62" s="135">
        <f t="shared" ref="J62:L62" si="13">J59*J60</f>
        <v>3.4474017743979728E-2</v>
      </c>
      <c r="K62" s="135">
        <f t="shared" si="13"/>
        <v>-1.6927634363097757E-2</v>
      </c>
      <c r="L62" s="135">
        <f t="shared" si="13"/>
        <v>0.21736249171636848</v>
      </c>
    </row>
    <row r="64" spans="2:12" x14ac:dyDescent="0.3">
      <c r="J64" s="37" t="s">
        <v>294</v>
      </c>
      <c r="K64" s="37"/>
      <c r="L64" s="114">
        <f>AVERAGE(I62:L62)</f>
        <v>6.8043283305101065E-2</v>
      </c>
    </row>
    <row r="65" spans="10:12" x14ac:dyDescent="0.3">
      <c r="J65" s="37" t="s">
        <v>295</v>
      </c>
      <c r="K65" s="37"/>
      <c r="L65" s="114">
        <f>MEDIAN(I62:L62)</f>
        <v>3.5869137933566775E-2</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6"/>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3402</v>
      </c>
      <c r="I8" s="130">
        <f>H8*(1+$D$18)</f>
        <v>3578.904</v>
      </c>
      <c r="J8" s="130">
        <f>I8*(1+$D$18)</f>
        <v>3765.007008</v>
      </c>
      <c r="K8" s="130">
        <f>J8*(1+$D$18)</f>
        <v>3960.7873724160004</v>
      </c>
      <c r="L8" s="130">
        <f>K8*(1+$D$18)</f>
        <v>4166.7483157816323</v>
      </c>
      <c r="M8" s="130">
        <f>L8*(1+$D$18)</f>
        <v>4383.4192282022777</v>
      </c>
    </row>
    <row r="9" spans="1:13" x14ac:dyDescent="0.3">
      <c r="B9" s="72" t="s">
        <v>111</v>
      </c>
      <c r="C9" s="72"/>
      <c r="D9" s="72"/>
      <c r="E9" s="72"/>
      <c r="F9" s="72"/>
      <c r="G9" s="72"/>
      <c r="H9" s="81">
        <f>WACC!G14</f>
        <v>0.25</v>
      </c>
      <c r="I9" s="81">
        <f>H9</f>
        <v>0.25</v>
      </c>
      <c r="J9" s="81">
        <f t="shared" ref="J9:M9" si="1">I9</f>
        <v>0.25</v>
      </c>
      <c r="K9" s="81">
        <f t="shared" si="1"/>
        <v>0.25</v>
      </c>
      <c r="L9" s="81">
        <f t="shared" si="1"/>
        <v>0.25</v>
      </c>
      <c r="M9" s="81">
        <f t="shared" si="1"/>
        <v>0.25</v>
      </c>
    </row>
    <row r="10" spans="1:13" x14ac:dyDescent="0.3">
      <c r="B10" s="72" t="s">
        <v>291</v>
      </c>
      <c r="C10" s="72"/>
      <c r="D10" s="72"/>
      <c r="E10" s="72"/>
      <c r="F10" s="72"/>
      <c r="G10" s="72"/>
      <c r="H10" s="130">
        <f>H8*(1-H9)</f>
        <v>2551.5</v>
      </c>
      <c r="I10" s="130">
        <f t="shared" ref="I10:M10" si="2">I8*(1-I9)</f>
        <v>2684.1779999999999</v>
      </c>
      <c r="J10" s="130">
        <f t="shared" si="2"/>
        <v>2823.7552559999999</v>
      </c>
      <c r="K10" s="130">
        <f t="shared" si="2"/>
        <v>2970.5905293120004</v>
      </c>
      <c r="L10" s="130">
        <f t="shared" si="2"/>
        <v>3125.0612368362245</v>
      </c>
      <c r="M10" s="130">
        <f t="shared" si="2"/>
        <v>3287.5644211517083</v>
      </c>
    </row>
    <row r="11" spans="1:13" x14ac:dyDescent="0.3">
      <c r="B11" s="72" t="s">
        <v>303</v>
      </c>
      <c r="C11" s="72"/>
      <c r="D11" s="72"/>
      <c r="E11" s="72"/>
      <c r="F11" s="72"/>
      <c r="G11" s="72"/>
      <c r="H11" s="81">
        <f>'Intrinsic Valuation'!$L$55</f>
        <v>3.1805627928217055E-2</v>
      </c>
      <c r="I11" s="81">
        <f>'Intrinsic Valuation'!$L$55</f>
        <v>3.1805627928217055E-2</v>
      </c>
      <c r="J11" s="81">
        <f>$I$11+($M$11-$I$11)/4*1</f>
        <v>0.11525310139242839</v>
      </c>
      <c r="K11" s="81">
        <f>$I$11+($M$11-$I$11)/4*2</f>
        <v>0.19870057485663972</v>
      </c>
      <c r="L11" s="81">
        <f>$I$11+($M$11-$I$11)/4*3</f>
        <v>0.28214804832085105</v>
      </c>
      <c r="M11" s="81">
        <f>D21</f>
        <v>0.36559552178506238</v>
      </c>
    </row>
    <row r="12" spans="1:13" x14ac:dyDescent="0.3">
      <c r="B12" s="72" t="s">
        <v>304</v>
      </c>
      <c r="C12" s="72"/>
      <c r="D12" s="72"/>
      <c r="E12" s="72"/>
      <c r="F12" s="72"/>
      <c r="G12" s="72"/>
      <c r="H12" s="130">
        <f>H10*(1-H11)</f>
        <v>2470.3479403411543</v>
      </c>
      <c r="I12" s="130">
        <f>I10*(1-I11)</f>
        <v>2598.8060332388941</v>
      </c>
      <c r="J12" s="130">
        <f>J10*(1-J11)</f>
        <v>2498.3087051728294</v>
      </c>
      <c r="K12" s="130">
        <f>K10*(1-K11)</f>
        <v>2380.332483474016</v>
      </c>
      <c r="L12" s="130">
        <f>L10*(1-L11)</f>
        <v>2243.331307979739</v>
      </c>
      <c r="M12" s="130">
        <f>M10*(1-M11)</f>
        <v>2085.6455911987427</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0.94941012304849948</v>
      </c>
      <c r="J14" s="72">
        <f t="shared" ref="J14:M14" si="4">1/(1+$D$20)^J13</f>
        <v>0.85577889961979314</v>
      </c>
      <c r="K14" s="72">
        <f t="shared" si="4"/>
        <v>0.7713816266071688</v>
      </c>
      <c r="L14" s="72">
        <f t="shared" si="4"/>
        <v>0.695307647958465</v>
      </c>
      <c r="M14" s="72">
        <f t="shared" si="4"/>
        <v>0.6267361169022686</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2467.3327557965213</v>
      </c>
      <c r="J16" s="131">
        <f t="shared" ref="J16:M16" si="5">J12*J14</f>
        <v>2137.9998746233541</v>
      </c>
      <c r="K16" s="131">
        <f t="shared" si="5"/>
        <v>1836.1447429680682</v>
      </c>
      <c r="L16" s="131">
        <f t="shared" si="5"/>
        <v>1559.8054153429791</v>
      </c>
      <c r="M16" s="131">
        <f t="shared" si="5"/>
        <v>1307.1494190622363</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0.10941053053575542</v>
      </c>
    </row>
    <row r="21" spans="2:4" x14ac:dyDescent="0.3">
      <c r="B21" s="79" t="s">
        <v>307</v>
      </c>
      <c r="C21" s="79"/>
      <c r="D21" s="80">
        <f>D19/D20</f>
        <v>0.36559552178506238</v>
      </c>
    </row>
    <row r="23" spans="2:4" x14ac:dyDescent="0.3">
      <c r="B23" s="32" t="s">
        <v>308</v>
      </c>
      <c r="C23" s="32"/>
      <c r="D23" s="32"/>
    </row>
    <row r="25" spans="2:4" x14ac:dyDescent="0.3">
      <c r="B25" t="s">
        <v>309</v>
      </c>
      <c r="D25" s="106">
        <f>M12*(1+D19)</f>
        <v>2169.0714148466927</v>
      </c>
    </row>
    <row r="26" spans="2:4" x14ac:dyDescent="0.3">
      <c r="B26" t="s">
        <v>238</v>
      </c>
      <c r="D26" s="46">
        <f>D20</f>
        <v>0.10941053053575542</v>
      </c>
    </row>
    <row r="27" spans="2:4" x14ac:dyDescent="0.3">
      <c r="B27" t="s">
        <v>306</v>
      </c>
      <c r="D27" s="46">
        <f>D19</f>
        <v>0.04</v>
      </c>
    </row>
    <row r="28" spans="2:4" x14ac:dyDescent="0.3">
      <c r="D28" s="46"/>
    </row>
    <row r="29" spans="2:4" ht="15" thickBot="1" x14ac:dyDescent="0.35">
      <c r="B29" s="127" t="s">
        <v>310</v>
      </c>
      <c r="C29" s="127"/>
      <c r="D29" s="128">
        <f>D25/(D26-D27)</f>
        <v>31249.8895787771</v>
      </c>
    </row>
    <row r="31" spans="2:4" x14ac:dyDescent="0.3">
      <c r="B31" s="32" t="s">
        <v>311</v>
      </c>
      <c r="C31" s="32"/>
      <c r="D31" s="32"/>
    </row>
    <row r="33" spans="2:4" x14ac:dyDescent="0.3">
      <c r="B33" t="s">
        <v>302</v>
      </c>
      <c r="D33" s="106">
        <f>SUM(I16:M16)</f>
        <v>9308.4322077931593</v>
      </c>
    </row>
    <row r="34" spans="2:4" x14ac:dyDescent="0.3">
      <c r="B34" t="s">
        <v>310</v>
      </c>
      <c r="D34" s="106">
        <f>D29*M14</f>
        <v>19585.434448227428</v>
      </c>
    </row>
    <row r="35" spans="2:4" x14ac:dyDescent="0.3">
      <c r="B35" s="37" t="s">
        <v>314</v>
      </c>
      <c r="C35" s="37"/>
      <c r="D35" s="129">
        <f>SUM(D33:D34)</f>
        <v>28893.866656020589</v>
      </c>
    </row>
    <row r="37" spans="2:4" x14ac:dyDescent="0.3">
      <c r="B37" t="s">
        <v>312</v>
      </c>
      <c r="D37" s="106">
        <f>'Data Sheet'!K69</f>
        <v>352</v>
      </c>
    </row>
    <row r="38" spans="2:4" x14ac:dyDescent="0.3">
      <c r="B38" t="s">
        <v>313</v>
      </c>
      <c r="D38" s="106">
        <f>'Data Sheet'!K59</f>
        <v>1380</v>
      </c>
    </row>
    <row r="39" spans="2:4" x14ac:dyDescent="0.3">
      <c r="B39" t="s">
        <v>8621</v>
      </c>
      <c r="D39" s="106">
        <f>'Data Sheet'!K73</f>
        <v>29</v>
      </c>
    </row>
    <row r="40" spans="2:4" x14ac:dyDescent="0.3">
      <c r="B40" s="37" t="s">
        <v>315</v>
      </c>
      <c r="C40" s="37"/>
      <c r="D40" s="129">
        <f>D35+D37-D38-D39</f>
        <v>27836.866656020589</v>
      </c>
    </row>
    <row r="41" spans="2:4" x14ac:dyDescent="0.3">
      <c r="B41" t="s">
        <v>316</v>
      </c>
      <c r="D41">
        <f>'Data Sheet'!K70/10000000</f>
        <v>24</v>
      </c>
    </row>
    <row r="43" spans="2:4" ht="15" thickBot="1" x14ac:dyDescent="0.35">
      <c r="B43" s="127" t="s">
        <v>317</v>
      </c>
      <c r="C43" s="127"/>
      <c r="D43" s="128">
        <f>D40/D41</f>
        <v>1159.8694440008578</v>
      </c>
    </row>
    <row r="45" spans="2:4" x14ac:dyDescent="0.3">
      <c r="B45" t="s">
        <v>318</v>
      </c>
      <c r="D45" s="106">
        <f>'Data Sheet'!B8</f>
        <v>4929</v>
      </c>
    </row>
    <row r="46" spans="2:4" x14ac:dyDescent="0.3">
      <c r="B46" t="s">
        <v>319</v>
      </c>
      <c r="D46" s="83">
        <f>D45/D43</f>
        <v>4.249616218009753</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46288</v>
      </c>
      <c r="H6">
        <v>4929</v>
      </c>
      <c r="J6">
        <v>23414.3</v>
      </c>
    </row>
    <row r="7" spans="2:24" x14ac:dyDescent="0.3">
      <c r="B7">
        <v>2024</v>
      </c>
      <c r="C7" s="46">
        <v>8.7499999999999994E-2</v>
      </c>
      <c r="G7" s="34">
        <v>46287</v>
      </c>
      <c r="H7">
        <v>4918</v>
      </c>
      <c r="J7">
        <v>23414.3</v>
      </c>
    </row>
    <row r="8" spans="2:24" x14ac:dyDescent="0.3">
      <c r="B8">
        <v>2023</v>
      </c>
      <c r="C8" s="46">
        <v>0.19420000000000001</v>
      </c>
      <c r="G8" s="34">
        <v>46286</v>
      </c>
      <c r="H8">
        <v>5023</v>
      </c>
      <c r="J8">
        <v>23414.3</v>
      </c>
    </row>
    <row r="9" spans="2:24" x14ac:dyDescent="0.3">
      <c r="B9">
        <v>2022</v>
      </c>
      <c r="C9" s="46">
        <v>4.3200000000000002E-2</v>
      </c>
      <c r="G9" s="34">
        <v>46283</v>
      </c>
      <c r="H9">
        <v>4998</v>
      </c>
      <c r="J9">
        <v>23346.400000000001</v>
      </c>
    </row>
    <row r="10" spans="2:24" x14ac:dyDescent="0.3">
      <c r="B10">
        <v>2021</v>
      </c>
      <c r="C10" s="46">
        <v>0.2412</v>
      </c>
      <c r="G10" s="34">
        <v>46282</v>
      </c>
      <c r="H10">
        <v>4982</v>
      </c>
      <c r="J10">
        <v>23270.6</v>
      </c>
    </row>
    <row r="11" spans="2:24" x14ac:dyDescent="0.3">
      <c r="B11">
        <v>2020</v>
      </c>
      <c r="C11" s="46">
        <v>0.14899999999999999</v>
      </c>
      <c r="G11" s="34">
        <v>46281</v>
      </c>
      <c r="H11">
        <v>4999.5</v>
      </c>
      <c r="J11">
        <v>23217.599999999999</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46280</v>
      </c>
      <c r="H12">
        <v>4947.5</v>
      </c>
      <c r="J12">
        <v>23118.6</v>
      </c>
      <c r="N12">
        <v>1</v>
      </c>
      <c r="O12" t="s">
        <v>336</v>
      </c>
      <c r="P12">
        <v>1387.2</v>
      </c>
      <c r="Q12">
        <v>192.66</v>
      </c>
      <c r="R12">
        <v>267260.59999999998</v>
      </c>
      <c r="S12">
        <v>66815.199999999997</v>
      </c>
      <c r="T12">
        <v>13363</v>
      </c>
      <c r="U12">
        <v>320712.7</v>
      </c>
      <c r="V12">
        <v>66052</v>
      </c>
      <c r="W12">
        <v>30.61</v>
      </c>
      <c r="X12">
        <v>14971</v>
      </c>
    </row>
    <row r="13" spans="2:24" x14ac:dyDescent="0.3">
      <c r="B13">
        <v>2018</v>
      </c>
      <c r="C13" s="46">
        <v>3.15E-2</v>
      </c>
      <c r="G13" s="34">
        <v>46276</v>
      </c>
      <c r="H13">
        <v>4962</v>
      </c>
      <c r="J13">
        <v>23398.1</v>
      </c>
      <c r="N13">
        <v>2</v>
      </c>
      <c r="O13" t="s">
        <v>8616</v>
      </c>
      <c r="P13">
        <v>591.1</v>
      </c>
      <c r="Q13">
        <v>25.1</v>
      </c>
      <c r="R13">
        <v>14835.8</v>
      </c>
      <c r="S13">
        <v>3708.9</v>
      </c>
      <c r="T13">
        <v>741.8</v>
      </c>
      <c r="U13">
        <v>17802.900000000001</v>
      </c>
      <c r="V13">
        <v>76487.98</v>
      </c>
      <c r="W13">
        <v>12.44</v>
      </c>
      <c r="X13">
        <v>20183.53</v>
      </c>
    </row>
    <row r="14" spans="2:24" x14ac:dyDescent="0.3">
      <c r="B14">
        <v>2017</v>
      </c>
      <c r="C14" s="46">
        <v>0.28649999999999998</v>
      </c>
      <c r="G14" s="34">
        <v>46275</v>
      </c>
      <c r="H14">
        <v>5009</v>
      </c>
      <c r="J14">
        <v>23477.8</v>
      </c>
      <c r="N14">
        <v>3</v>
      </c>
      <c r="O14" t="s">
        <v>8617</v>
      </c>
      <c r="P14">
        <v>317.25</v>
      </c>
      <c r="Q14">
        <v>76.97</v>
      </c>
      <c r="R14">
        <v>24419.200000000001</v>
      </c>
      <c r="S14">
        <v>6104.8</v>
      </c>
      <c r="T14">
        <v>1221</v>
      </c>
      <c r="U14">
        <v>29303.1</v>
      </c>
      <c r="V14">
        <v>4400.1899999999996</v>
      </c>
      <c r="W14">
        <v>20.53</v>
      </c>
      <c r="X14">
        <v>158.30000000000001</v>
      </c>
    </row>
    <row r="15" spans="2:24" x14ac:dyDescent="0.3">
      <c r="B15">
        <v>2016</v>
      </c>
      <c r="C15" s="46">
        <v>3.0099999999999998E-2</v>
      </c>
      <c r="G15" s="34">
        <v>46274</v>
      </c>
      <c r="H15">
        <v>5090</v>
      </c>
      <c r="J15">
        <v>23431.5</v>
      </c>
      <c r="N15">
        <v>4</v>
      </c>
      <c r="O15" t="s">
        <v>338</v>
      </c>
      <c r="P15">
        <v>832.3</v>
      </c>
      <c r="Q15">
        <v>130.07</v>
      </c>
      <c r="R15">
        <v>108260.3</v>
      </c>
      <c r="S15">
        <v>27065.1</v>
      </c>
      <c r="T15">
        <v>5413</v>
      </c>
      <c r="U15">
        <v>129912.4</v>
      </c>
      <c r="V15">
        <v>2012.58</v>
      </c>
      <c r="W15">
        <v>12.74</v>
      </c>
      <c r="X15">
        <v>0.22</v>
      </c>
    </row>
    <row r="16" spans="2:24" x14ac:dyDescent="0.3">
      <c r="B16">
        <v>2015</v>
      </c>
      <c r="C16" s="46">
        <v>-4.0599999999999997E-2</v>
      </c>
      <c r="G16" s="34">
        <v>46273</v>
      </c>
      <c r="H16">
        <v>5064</v>
      </c>
      <c r="J16">
        <v>23635.1</v>
      </c>
      <c r="N16">
        <v>5</v>
      </c>
      <c r="O16" t="s">
        <v>337</v>
      </c>
      <c r="P16">
        <v>436.15</v>
      </c>
      <c r="Q16">
        <v>338.09</v>
      </c>
      <c r="R16">
        <v>147458.9</v>
      </c>
      <c r="S16">
        <v>36864.699999999997</v>
      </c>
      <c r="T16">
        <v>7372.9</v>
      </c>
      <c r="U16">
        <v>176950.7</v>
      </c>
      <c r="V16">
        <v>238.77</v>
      </c>
      <c r="W16">
        <v>13.43</v>
      </c>
      <c r="X16">
        <v>8.51</v>
      </c>
    </row>
    <row r="17" spans="2:21" x14ac:dyDescent="0.3">
      <c r="B17">
        <v>2014</v>
      </c>
      <c r="C17" s="46">
        <v>0.31390000000000001</v>
      </c>
      <c r="G17" s="34">
        <v>46272</v>
      </c>
      <c r="H17">
        <v>5042.5</v>
      </c>
      <c r="J17">
        <v>23779.15</v>
      </c>
      <c r="N17">
        <v>6</v>
      </c>
      <c r="O17" t="s">
        <v>339</v>
      </c>
      <c r="P17">
        <v>879.75</v>
      </c>
      <c r="Q17">
        <v>102.28</v>
      </c>
      <c r="R17">
        <v>89984.1</v>
      </c>
      <c r="S17">
        <v>22496</v>
      </c>
      <c r="T17">
        <v>4499.2</v>
      </c>
      <c r="U17">
        <v>107980.9</v>
      </c>
    </row>
    <row r="18" spans="2:21" x14ac:dyDescent="0.3">
      <c r="B18">
        <v>2013</v>
      </c>
      <c r="C18" s="46">
        <v>6.7599999999999993E-2</v>
      </c>
      <c r="G18" s="34">
        <v>46269</v>
      </c>
      <c r="H18">
        <v>5101.5</v>
      </c>
      <c r="J18">
        <v>23897.7</v>
      </c>
      <c r="N18">
        <v>7</v>
      </c>
      <c r="O18" t="s">
        <v>340</v>
      </c>
      <c r="P18">
        <v>387.4</v>
      </c>
      <c r="Q18">
        <v>177.28</v>
      </c>
      <c r="R18">
        <v>68678.899999999994</v>
      </c>
      <c r="S18">
        <v>17169.7</v>
      </c>
      <c r="T18">
        <v>3433.9</v>
      </c>
      <c r="U18">
        <v>82414.600000000006</v>
      </c>
    </row>
    <row r="19" spans="2:21" x14ac:dyDescent="0.3">
      <c r="B19">
        <v>2012</v>
      </c>
      <c r="C19" s="46">
        <v>0.27700000000000002</v>
      </c>
      <c r="G19" s="34">
        <v>46268</v>
      </c>
      <c r="H19">
        <v>5130</v>
      </c>
      <c r="J19">
        <v>23873.45</v>
      </c>
      <c r="N19">
        <v>8</v>
      </c>
      <c r="O19" t="s">
        <v>8618</v>
      </c>
      <c r="P19">
        <v>409.45</v>
      </c>
      <c r="Q19">
        <v>108.68</v>
      </c>
      <c r="R19">
        <v>44497.5</v>
      </c>
      <c r="S19">
        <v>11124.4</v>
      </c>
      <c r="T19">
        <v>2224.9</v>
      </c>
      <c r="U19">
        <v>53397</v>
      </c>
    </row>
    <row r="20" spans="2:21" x14ac:dyDescent="0.3">
      <c r="B20">
        <v>2011</v>
      </c>
      <c r="C20" s="46">
        <v>-0.2462</v>
      </c>
      <c r="G20" s="34">
        <v>46267</v>
      </c>
      <c r="H20">
        <v>5154</v>
      </c>
      <c r="J20">
        <v>23914.45</v>
      </c>
    </row>
    <row r="21" spans="2:21" x14ac:dyDescent="0.3">
      <c r="B21">
        <v>2010</v>
      </c>
      <c r="C21" s="46">
        <v>0.17949999999999999</v>
      </c>
      <c r="G21" s="34">
        <v>46266</v>
      </c>
      <c r="H21">
        <v>5187</v>
      </c>
      <c r="J21">
        <v>24055.8</v>
      </c>
    </row>
    <row r="22" spans="2:21" x14ac:dyDescent="0.3">
      <c r="B22">
        <v>2009</v>
      </c>
      <c r="C22" s="46">
        <v>0.75760000000000005</v>
      </c>
      <c r="G22" s="34">
        <v>46265</v>
      </c>
      <c r="H22">
        <v>5250</v>
      </c>
      <c r="J22">
        <v>24080.400000000001</v>
      </c>
    </row>
    <row r="23" spans="2:21" x14ac:dyDescent="0.3">
      <c r="B23">
        <v>2008</v>
      </c>
      <c r="C23" s="46">
        <v>-0.51790000000000003</v>
      </c>
      <c r="G23" s="34">
        <v>46262</v>
      </c>
      <c r="H23">
        <v>5308.5</v>
      </c>
      <c r="J23">
        <v>24175.65</v>
      </c>
    </row>
    <row r="24" spans="2:21" x14ac:dyDescent="0.3">
      <c r="B24">
        <v>2007</v>
      </c>
      <c r="C24" s="46">
        <v>0.54769999999999996</v>
      </c>
      <c r="G24" s="34">
        <v>46261</v>
      </c>
      <c r="H24">
        <v>5298</v>
      </c>
      <c r="J24">
        <v>24090.85</v>
      </c>
      <c r="O24" t="s">
        <v>336</v>
      </c>
      <c r="Q24" t="s">
        <v>214</v>
      </c>
      <c r="R24">
        <v>66815.199999999997</v>
      </c>
      <c r="S24">
        <v>267260.59999999998</v>
      </c>
      <c r="T24" s="46">
        <v>0.25</v>
      </c>
    </row>
    <row r="25" spans="2:21" x14ac:dyDescent="0.3">
      <c r="B25">
        <v>2006</v>
      </c>
      <c r="C25" s="46">
        <v>0.39829999999999999</v>
      </c>
      <c r="G25" s="34">
        <v>46260</v>
      </c>
      <c r="H25">
        <v>5310</v>
      </c>
      <c r="J25">
        <v>24207.75</v>
      </c>
      <c r="O25" t="s">
        <v>8616</v>
      </c>
      <c r="Q25" t="str">
        <f>Q24</f>
        <v>India</v>
      </c>
      <c r="R25">
        <v>3708.9</v>
      </c>
      <c r="S25">
        <v>14835.8</v>
      </c>
      <c r="T25" s="46">
        <f>T24</f>
        <v>0.25</v>
      </c>
    </row>
    <row r="26" spans="2:21" x14ac:dyDescent="0.3">
      <c r="B26">
        <v>2005</v>
      </c>
      <c r="C26" s="46">
        <v>0.3634</v>
      </c>
      <c r="G26" s="34">
        <v>46259</v>
      </c>
      <c r="H26">
        <v>5382.5</v>
      </c>
      <c r="J26">
        <v>24334.55</v>
      </c>
      <c r="O26" t="s">
        <v>8617</v>
      </c>
      <c r="Q26" t="str">
        <f>Q25</f>
        <v>India</v>
      </c>
      <c r="R26">
        <v>6104.8</v>
      </c>
      <c r="S26">
        <v>24419.200000000001</v>
      </c>
      <c r="T26" s="46">
        <f>T25</f>
        <v>0.25</v>
      </c>
    </row>
    <row r="27" spans="2:21" x14ac:dyDescent="0.3">
      <c r="B27">
        <v>2004</v>
      </c>
      <c r="C27" s="46">
        <v>0.10680000000000001</v>
      </c>
      <c r="G27" s="34">
        <v>46258</v>
      </c>
      <c r="H27">
        <v>5311</v>
      </c>
      <c r="J27">
        <v>24219.05</v>
      </c>
      <c r="O27" t="s">
        <v>338</v>
      </c>
      <c r="Q27" t="str">
        <f>Q26</f>
        <v>India</v>
      </c>
      <c r="R27">
        <v>27065.1</v>
      </c>
      <c r="S27">
        <v>108260.3</v>
      </c>
      <c r="T27" s="46">
        <f>T26</f>
        <v>0.25</v>
      </c>
    </row>
    <row r="28" spans="2:21" x14ac:dyDescent="0.3">
      <c r="B28">
        <v>2003</v>
      </c>
      <c r="C28" s="46">
        <v>0.71899999999999997</v>
      </c>
      <c r="G28" s="34">
        <v>46255</v>
      </c>
      <c r="H28">
        <v>5365</v>
      </c>
      <c r="J28">
        <v>24252</v>
      </c>
      <c r="O28" t="s">
        <v>337</v>
      </c>
      <c r="Q28" t="str">
        <f>Q27</f>
        <v>India</v>
      </c>
      <c r="R28">
        <v>36864.699999999997</v>
      </c>
      <c r="S28">
        <v>147458.9</v>
      </c>
      <c r="T28" s="46">
        <f>T27</f>
        <v>0.25</v>
      </c>
    </row>
    <row r="29" spans="2:21" x14ac:dyDescent="0.3">
      <c r="B29">
        <v>2002</v>
      </c>
      <c r="C29" s="46">
        <v>3.2500000000000001E-2</v>
      </c>
      <c r="G29" s="34">
        <v>46254</v>
      </c>
      <c r="H29">
        <v>5548</v>
      </c>
      <c r="J29">
        <v>24231.85</v>
      </c>
    </row>
    <row r="30" spans="2:21" x14ac:dyDescent="0.3">
      <c r="G30" s="34">
        <v>46253</v>
      </c>
      <c r="H30">
        <v>5453</v>
      </c>
      <c r="J30">
        <v>24078.3</v>
      </c>
    </row>
    <row r="31" spans="2:21" x14ac:dyDescent="0.3">
      <c r="G31" s="34">
        <v>46252</v>
      </c>
      <c r="H31">
        <v>5495</v>
      </c>
      <c r="J31">
        <v>24154.9</v>
      </c>
    </row>
    <row r="32" spans="2:21" x14ac:dyDescent="0.3">
      <c r="G32" s="34">
        <v>46251</v>
      </c>
      <c r="H32">
        <v>5521</v>
      </c>
      <c r="J32">
        <v>24287.65</v>
      </c>
    </row>
    <row r="33" spans="7:10" x14ac:dyDescent="0.3">
      <c r="G33" s="34">
        <v>46248</v>
      </c>
      <c r="H33">
        <v>5558</v>
      </c>
      <c r="J33">
        <v>24366</v>
      </c>
    </row>
    <row r="34" spans="7:10" x14ac:dyDescent="0.3">
      <c r="G34" s="34">
        <v>46247</v>
      </c>
      <c r="H34">
        <v>5615</v>
      </c>
      <c r="J34">
        <v>24395.85</v>
      </c>
    </row>
    <row r="35" spans="7:10" x14ac:dyDescent="0.3">
      <c r="G35" s="34">
        <v>46246</v>
      </c>
      <c r="H35">
        <v>5645.5</v>
      </c>
      <c r="J35">
        <v>24435.95</v>
      </c>
    </row>
    <row r="36" spans="7:10" x14ac:dyDescent="0.3">
      <c r="G36" s="34">
        <v>46245</v>
      </c>
      <c r="H36">
        <v>5598</v>
      </c>
      <c r="J36">
        <v>24471.7</v>
      </c>
    </row>
    <row r="37" spans="7:10" x14ac:dyDescent="0.3">
      <c r="G37" s="34">
        <v>46244</v>
      </c>
      <c r="H37">
        <v>5623.5</v>
      </c>
      <c r="J37">
        <v>24583.8</v>
      </c>
    </row>
    <row r="38" spans="7:10" x14ac:dyDescent="0.3">
      <c r="G38" s="34">
        <v>46241</v>
      </c>
      <c r="H38">
        <v>5510</v>
      </c>
      <c r="J38">
        <v>24570.65</v>
      </c>
    </row>
    <row r="39" spans="7:10" x14ac:dyDescent="0.3">
      <c r="G39" s="34">
        <v>46240</v>
      </c>
      <c r="H39">
        <v>5404</v>
      </c>
      <c r="J39">
        <v>24636</v>
      </c>
    </row>
    <row r="40" spans="7:10" x14ac:dyDescent="0.3">
      <c r="G40" s="34">
        <v>46239</v>
      </c>
      <c r="H40">
        <v>5440</v>
      </c>
      <c r="J40">
        <v>24624.65</v>
      </c>
    </row>
    <row r="41" spans="7:10" x14ac:dyDescent="0.3">
      <c r="G41" s="34">
        <v>46238</v>
      </c>
      <c r="H41">
        <v>5478</v>
      </c>
      <c r="J41">
        <v>24614.9</v>
      </c>
    </row>
    <row r="42" spans="7:10" x14ac:dyDescent="0.3">
      <c r="G42" s="34">
        <v>46237</v>
      </c>
      <c r="H42">
        <v>5531</v>
      </c>
      <c r="J42">
        <v>24774.3</v>
      </c>
    </row>
    <row r="43" spans="7:10" x14ac:dyDescent="0.3">
      <c r="G43" s="34">
        <v>46234</v>
      </c>
      <c r="H43">
        <v>5416.5</v>
      </c>
      <c r="J43">
        <v>24383.599999999999</v>
      </c>
    </row>
    <row r="44" spans="7:10" x14ac:dyDescent="0.3">
      <c r="G44" s="34">
        <v>46233</v>
      </c>
      <c r="H44">
        <v>5524.5</v>
      </c>
      <c r="J44">
        <v>24317.15</v>
      </c>
    </row>
    <row r="45" spans="7:10" x14ac:dyDescent="0.3">
      <c r="G45" s="34">
        <v>46232</v>
      </c>
      <c r="H45">
        <v>5517.5</v>
      </c>
      <c r="J45">
        <v>24250.2</v>
      </c>
    </row>
    <row r="46" spans="7:10" x14ac:dyDescent="0.3">
      <c r="G46" s="34">
        <v>46231</v>
      </c>
      <c r="H46">
        <v>5478.5</v>
      </c>
      <c r="J46">
        <v>23985.35</v>
      </c>
    </row>
    <row r="47" spans="7:10" x14ac:dyDescent="0.3">
      <c r="G47" s="34">
        <v>46230</v>
      </c>
      <c r="H47">
        <v>5384.5</v>
      </c>
      <c r="J47">
        <v>23995.95</v>
      </c>
    </row>
    <row r="48" spans="7:10" x14ac:dyDescent="0.3">
      <c r="G48" s="34">
        <v>46227</v>
      </c>
      <c r="H48">
        <v>5379.5</v>
      </c>
      <c r="J48">
        <v>23767.45</v>
      </c>
    </row>
    <row r="49" spans="7:10" x14ac:dyDescent="0.3">
      <c r="G49" s="34">
        <v>46226</v>
      </c>
      <c r="H49">
        <v>5388</v>
      </c>
      <c r="J49">
        <v>23869.599999999999</v>
      </c>
    </row>
    <row r="50" spans="7:10" x14ac:dyDescent="0.3">
      <c r="G50" s="34">
        <v>46225</v>
      </c>
      <c r="H50">
        <v>5485.5</v>
      </c>
      <c r="J50">
        <v>23996.25</v>
      </c>
    </row>
    <row r="51" spans="7:10" x14ac:dyDescent="0.3">
      <c r="G51" s="34">
        <v>46224</v>
      </c>
      <c r="H51">
        <v>5482</v>
      </c>
      <c r="J51">
        <v>24187.7</v>
      </c>
    </row>
    <row r="52" spans="7:10" x14ac:dyDescent="0.3">
      <c r="G52" s="34">
        <v>46223</v>
      </c>
      <c r="H52">
        <v>5470</v>
      </c>
      <c r="J52">
        <v>24238.5</v>
      </c>
    </row>
    <row r="53" spans="7:10" x14ac:dyDescent="0.3">
      <c r="G53" s="34">
        <v>46220</v>
      </c>
      <c r="H53">
        <v>5412.5</v>
      </c>
      <c r="J53">
        <v>24334.3</v>
      </c>
    </row>
    <row r="54" spans="7:10" x14ac:dyDescent="0.3">
      <c r="G54" s="34">
        <v>46219</v>
      </c>
      <c r="H54">
        <v>5310.5</v>
      </c>
      <c r="J54">
        <v>24072.75</v>
      </c>
    </row>
    <row r="55" spans="7:10" x14ac:dyDescent="0.3">
      <c r="G55" s="34">
        <v>46218</v>
      </c>
      <c r="H55">
        <v>5315.5</v>
      </c>
      <c r="J55">
        <v>24078.5</v>
      </c>
    </row>
    <row r="56" spans="7:10" x14ac:dyDescent="0.3">
      <c r="G56" s="34">
        <v>46217</v>
      </c>
      <c r="H56">
        <v>5283.5</v>
      </c>
      <c r="J56">
        <v>24052.05</v>
      </c>
    </row>
    <row r="57" spans="7:10" x14ac:dyDescent="0.3">
      <c r="G57" s="34">
        <v>46216</v>
      </c>
      <c r="H57">
        <v>5348.5</v>
      </c>
      <c r="J57">
        <v>24211</v>
      </c>
    </row>
    <row r="58" spans="7:10" x14ac:dyDescent="0.3">
      <c r="G58" s="34">
        <v>46213</v>
      </c>
      <c r="H58">
        <v>5353</v>
      </c>
      <c r="J58">
        <v>24206.9</v>
      </c>
    </row>
    <row r="59" spans="7:10" x14ac:dyDescent="0.3">
      <c r="G59" s="34">
        <v>46212</v>
      </c>
      <c r="H59">
        <v>5361.5</v>
      </c>
      <c r="J59">
        <v>23962.799999999999</v>
      </c>
    </row>
    <row r="60" spans="7:10" x14ac:dyDescent="0.3">
      <c r="G60" s="34">
        <v>46211</v>
      </c>
      <c r="H60">
        <v>5315.5</v>
      </c>
      <c r="J60">
        <v>23882.05</v>
      </c>
    </row>
    <row r="61" spans="7:10" x14ac:dyDescent="0.3">
      <c r="G61" s="34">
        <v>46210</v>
      </c>
      <c r="H61">
        <v>5447</v>
      </c>
      <c r="J61">
        <v>24398.7</v>
      </c>
    </row>
    <row r="62" spans="7:10" x14ac:dyDescent="0.3">
      <c r="G62" s="34">
        <v>46209</v>
      </c>
      <c r="H62">
        <v>5454.5</v>
      </c>
      <c r="J62">
        <v>24430.35</v>
      </c>
    </row>
    <row r="63" spans="7:10" x14ac:dyDescent="0.3">
      <c r="G63" s="34">
        <v>46206</v>
      </c>
      <c r="H63">
        <v>5379</v>
      </c>
      <c r="J63">
        <v>24270.85</v>
      </c>
    </row>
    <row r="64" spans="7:10" x14ac:dyDescent="0.3">
      <c r="G64" s="34">
        <v>46205</v>
      </c>
      <c r="H64">
        <v>5374</v>
      </c>
      <c r="J64">
        <v>24175.7</v>
      </c>
    </row>
    <row r="65" spans="7:10" x14ac:dyDescent="0.3">
      <c r="G65" s="34">
        <v>46204</v>
      </c>
      <c r="H65">
        <v>5262</v>
      </c>
      <c r="J65">
        <v>24005.85</v>
      </c>
    </row>
    <row r="66" spans="7:10" x14ac:dyDescent="0.3">
      <c r="G66" s="34">
        <v>46203</v>
      </c>
      <c r="H66">
        <v>5146.5</v>
      </c>
      <c r="J66">
        <v>23865.75</v>
      </c>
    </row>
    <row r="67" spans="7:10" x14ac:dyDescent="0.3">
      <c r="G67" s="34">
        <v>46202</v>
      </c>
      <c r="H67">
        <v>5102</v>
      </c>
      <c r="J67">
        <v>23946.25</v>
      </c>
    </row>
    <row r="68" spans="7:10" x14ac:dyDescent="0.3">
      <c r="G68" s="34">
        <v>46198</v>
      </c>
      <c r="H68">
        <v>5237</v>
      </c>
      <c r="J68">
        <v>24056</v>
      </c>
    </row>
    <row r="69" spans="7:10" x14ac:dyDescent="0.3">
      <c r="G69" s="34">
        <v>46197</v>
      </c>
      <c r="H69">
        <v>5262.5</v>
      </c>
      <c r="J69">
        <v>24021.65</v>
      </c>
    </row>
    <row r="70" spans="7:10" x14ac:dyDescent="0.3">
      <c r="G70" s="34">
        <v>46196</v>
      </c>
      <c r="H70">
        <v>5241</v>
      </c>
      <c r="J70">
        <v>23824.1</v>
      </c>
    </row>
    <row r="71" spans="7:10" x14ac:dyDescent="0.3">
      <c r="G71" s="34">
        <v>46195</v>
      </c>
      <c r="H71">
        <v>5217.5</v>
      </c>
      <c r="J71">
        <v>24102.9</v>
      </c>
    </row>
    <row r="72" spans="7:10" x14ac:dyDescent="0.3">
      <c r="G72" s="34">
        <v>46192</v>
      </c>
      <c r="H72">
        <v>5195</v>
      </c>
      <c r="J72">
        <v>24013.1</v>
      </c>
    </row>
    <row r="73" spans="7:10" x14ac:dyDescent="0.3">
      <c r="G73" s="34">
        <v>46191</v>
      </c>
      <c r="H73">
        <v>5245</v>
      </c>
      <c r="J73">
        <v>24168</v>
      </c>
    </row>
    <row r="74" spans="7:10" x14ac:dyDescent="0.3">
      <c r="G74" s="34">
        <v>46190</v>
      </c>
      <c r="H74">
        <v>5232</v>
      </c>
      <c r="J74">
        <v>24085.7</v>
      </c>
    </row>
    <row r="75" spans="7:10" x14ac:dyDescent="0.3">
      <c r="G75" s="34">
        <v>46189</v>
      </c>
      <c r="H75">
        <v>5217.5</v>
      </c>
      <c r="J75">
        <v>23989.15</v>
      </c>
    </row>
    <row r="76" spans="7:10" x14ac:dyDescent="0.3">
      <c r="G76" s="34">
        <v>46188</v>
      </c>
      <c r="H76">
        <v>5199.5</v>
      </c>
      <c r="J76">
        <v>23853.9</v>
      </c>
    </row>
    <row r="77" spans="7:10" x14ac:dyDescent="0.3">
      <c r="G77" s="34">
        <v>46185</v>
      </c>
      <c r="H77">
        <v>5165.5</v>
      </c>
      <c r="J77">
        <v>23622.9</v>
      </c>
    </row>
    <row r="78" spans="7:10" x14ac:dyDescent="0.3">
      <c r="G78" s="34">
        <v>46184</v>
      </c>
      <c r="H78">
        <v>5113</v>
      </c>
      <c r="J78">
        <v>23161.599999999999</v>
      </c>
    </row>
    <row r="79" spans="7:10" x14ac:dyDescent="0.3">
      <c r="G79" s="34">
        <v>46183</v>
      </c>
      <c r="H79">
        <v>5171</v>
      </c>
      <c r="J79">
        <v>23214.95</v>
      </c>
    </row>
    <row r="80" spans="7:10" x14ac:dyDescent="0.3">
      <c r="G80" s="34">
        <v>46182</v>
      </c>
      <c r="H80">
        <v>5107.5</v>
      </c>
      <c r="J80">
        <v>23242.1</v>
      </c>
    </row>
    <row r="81" spans="7:10" x14ac:dyDescent="0.3">
      <c r="G81" s="34">
        <v>46181</v>
      </c>
      <c r="H81">
        <v>5078.5</v>
      </c>
      <c r="J81">
        <v>23123</v>
      </c>
    </row>
    <row r="82" spans="7:10" x14ac:dyDescent="0.3">
      <c r="G82" s="34">
        <v>46178</v>
      </c>
      <c r="H82">
        <v>5120.5</v>
      </c>
      <c r="J82">
        <v>23366.7</v>
      </c>
    </row>
    <row r="83" spans="7:10" x14ac:dyDescent="0.3">
      <c r="G83" s="34">
        <v>46177</v>
      </c>
      <c r="H83">
        <v>5090</v>
      </c>
      <c r="J83">
        <v>23416.55</v>
      </c>
    </row>
    <row r="84" spans="7:10" x14ac:dyDescent="0.3">
      <c r="G84" s="34">
        <v>46176</v>
      </c>
      <c r="H84">
        <v>5064</v>
      </c>
      <c r="J84">
        <v>23405.599999999999</v>
      </c>
    </row>
    <row r="85" spans="7:10" x14ac:dyDescent="0.3">
      <c r="G85" s="34">
        <v>46175</v>
      </c>
      <c r="H85">
        <v>5117</v>
      </c>
      <c r="J85">
        <v>23483.55</v>
      </c>
    </row>
    <row r="86" spans="7:10" x14ac:dyDescent="0.3">
      <c r="G86" s="34">
        <v>46174</v>
      </c>
      <c r="H86">
        <v>5157.5</v>
      </c>
      <c r="J86">
        <v>23382.6</v>
      </c>
    </row>
    <row r="87" spans="7:10" x14ac:dyDescent="0.3">
      <c r="G87" s="34">
        <v>46171</v>
      </c>
      <c r="H87">
        <v>5204.5</v>
      </c>
      <c r="J87">
        <v>23547.75</v>
      </c>
    </row>
    <row r="88" spans="7:10" x14ac:dyDescent="0.3">
      <c r="G88" s="34">
        <v>46169</v>
      </c>
      <c r="H88">
        <v>5335.5</v>
      </c>
      <c r="J88">
        <v>23907.15</v>
      </c>
    </row>
    <row r="89" spans="7:10" x14ac:dyDescent="0.3">
      <c r="G89" s="34">
        <v>46168</v>
      </c>
      <c r="H89">
        <v>5338</v>
      </c>
      <c r="J89">
        <v>23913.7</v>
      </c>
    </row>
    <row r="90" spans="7:10" x14ac:dyDescent="0.3">
      <c r="G90" s="34">
        <v>46167</v>
      </c>
      <c r="H90">
        <v>5327</v>
      </c>
      <c r="J90">
        <v>24031.7</v>
      </c>
    </row>
    <row r="91" spans="7:10" x14ac:dyDescent="0.3">
      <c r="G91" s="34">
        <v>46164</v>
      </c>
      <c r="H91">
        <v>5331.5</v>
      </c>
      <c r="J91">
        <v>23719.3</v>
      </c>
    </row>
    <row r="92" spans="7:10" x14ac:dyDescent="0.3">
      <c r="G92" s="34">
        <v>46163</v>
      </c>
      <c r="H92">
        <v>5333</v>
      </c>
      <c r="J92">
        <v>23654.7</v>
      </c>
    </row>
    <row r="93" spans="7:10" x14ac:dyDescent="0.3">
      <c r="G93" s="34">
        <v>46162</v>
      </c>
      <c r="H93">
        <v>5344.5</v>
      </c>
      <c r="J93">
        <v>23659</v>
      </c>
    </row>
    <row r="94" spans="7:10" x14ac:dyDescent="0.3">
      <c r="G94" s="34">
        <v>46161</v>
      </c>
      <c r="H94">
        <v>5416.5</v>
      </c>
      <c r="J94">
        <v>23618</v>
      </c>
    </row>
    <row r="95" spans="7:10" x14ac:dyDescent="0.3">
      <c r="G95" s="34">
        <v>46160</v>
      </c>
      <c r="H95">
        <v>5380.5</v>
      </c>
      <c r="J95">
        <v>23649.95</v>
      </c>
    </row>
    <row r="96" spans="7:10" x14ac:dyDescent="0.3">
      <c r="G96" s="34">
        <v>46157</v>
      </c>
      <c r="H96">
        <v>5406</v>
      </c>
      <c r="J96">
        <v>23643.5</v>
      </c>
    </row>
    <row r="97" spans="7:10" x14ac:dyDescent="0.3">
      <c r="G97" s="34">
        <v>46156</v>
      </c>
      <c r="H97">
        <v>5372.5</v>
      </c>
      <c r="J97">
        <v>23689.599999999999</v>
      </c>
    </row>
    <row r="98" spans="7:10" x14ac:dyDescent="0.3">
      <c r="G98" s="34">
        <v>46155</v>
      </c>
      <c r="H98">
        <v>5336</v>
      </c>
      <c r="J98">
        <v>23412.6</v>
      </c>
    </row>
    <row r="99" spans="7:10" x14ac:dyDescent="0.3">
      <c r="G99" s="34">
        <v>46154</v>
      </c>
      <c r="H99">
        <v>5334</v>
      </c>
      <c r="J99">
        <v>23379.55</v>
      </c>
    </row>
    <row r="100" spans="7:10" x14ac:dyDescent="0.3">
      <c r="G100" s="34">
        <v>46153</v>
      </c>
      <c r="H100">
        <v>5410.5</v>
      </c>
      <c r="J100">
        <v>23815.85</v>
      </c>
    </row>
    <row r="101" spans="7:10" x14ac:dyDescent="0.3">
      <c r="G101" s="34">
        <v>46150</v>
      </c>
      <c r="H101">
        <v>5520</v>
      </c>
      <c r="J101">
        <v>24176.15</v>
      </c>
    </row>
    <row r="102" spans="7:10" x14ac:dyDescent="0.3">
      <c r="G102" s="34">
        <v>46149</v>
      </c>
      <c r="H102">
        <v>5814</v>
      </c>
      <c r="J102">
        <v>24326.65</v>
      </c>
    </row>
    <row r="103" spans="7:10" x14ac:dyDescent="0.3">
      <c r="G103" s="34">
        <v>46148</v>
      </c>
      <c r="H103">
        <v>5783</v>
      </c>
      <c r="J103">
        <v>24330.95</v>
      </c>
    </row>
    <row r="104" spans="7:10" x14ac:dyDescent="0.3">
      <c r="G104" s="34">
        <v>46147</v>
      </c>
      <c r="H104">
        <v>5834.5</v>
      </c>
      <c r="J104">
        <v>24032.799999999999</v>
      </c>
    </row>
    <row r="105" spans="7:10" x14ac:dyDescent="0.3">
      <c r="G105" s="34">
        <v>46146</v>
      </c>
      <c r="H105">
        <v>5792.5</v>
      </c>
      <c r="J105">
        <v>24119.3</v>
      </c>
    </row>
    <row r="106" spans="7:10" x14ac:dyDescent="0.3">
      <c r="G106" s="34">
        <v>46142</v>
      </c>
      <c r="H106">
        <v>5726</v>
      </c>
      <c r="J106">
        <v>23997.55</v>
      </c>
    </row>
    <row r="107" spans="7:10" x14ac:dyDescent="0.3">
      <c r="G107" s="34">
        <v>46141</v>
      </c>
      <c r="H107">
        <v>5709</v>
      </c>
      <c r="J107">
        <v>24177.65</v>
      </c>
    </row>
    <row r="108" spans="7:10" x14ac:dyDescent="0.3">
      <c r="G108" s="34">
        <v>46140</v>
      </c>
      <c r="H108">
        <v>5662</v>
      </c>
      <c r="J108">
        <v>23995.7</v>
      </c>
    </row>
    <row r="109" spans="7:10" x14ac:dyDescent="0.3">
      <c r="G109" s="34">
        <v>46139</v>
      </c>
      <c r="H109">
        <v>5717.5</v>
      </c>
      <c r="J109">
        <v>24092.7</v>
      </c>
    </row>
    <row r="110" spans="7:10" x14ac:dyDescent="0.3">
      <c r="G110" s="34">
        <v>46136</v>
      </c>
      <c r="H110">
        <v>5730.5</v>
      </c>
      <c r="J110">
        <v>23897.95</v>
      </c>
    </row>
    <row r="111" spans="7:10" x14ac:dyDescent="0.3">
      <c r="G111" s="34">
        <v>46135</v>
      </c>
      <c r="H111">
        <v>5671.5</v>
      </c>
      <c r="J111">
        <v>24173.05</v>
      </c>
    </row>
    <row r="112" spans="7:10" x14ac:dyDescent="0.3">
      <c r="G112" s="34">
        <v>46134</v>
      </c>
      <c r="H112">
        <v>5729.5</v>
      </c>
      <c r="J112">
        <v>24378.1</v>
      </c>
    </row>
    <row r="113" spans="7:10" x14ac:dyDescent="0.3">
      <c r="G113" s="34">
        <v>46133</v>
      </c>
      <c r="H113">
        <v>5837.5</v>
      </c>
      <c r="J113">
        <v>24576.6</v>
      </c>
    </row>
    <row r="114" spans="7:10" x14ac:dyDescent="0.3">
      <c r="G114" s="34">
        <v>46132</v>
      </c>
      <c r="H114">
        <v>5700</v>
      </c>
      <c r="J114">
        <v>24364.85</v>
      </c>
    </row>
    <row r="115" spans="7:10" x14ac:dyDescent="0.3">
      <c r="G115" s="34">
        <v>46129</v>
      </c>
      <c r="H115">
        <v>5735.5</v>
      </c>
      <c r="J115">
        <v>24353.55</v>
      </c>
    </row>
    <row r="116" spans="7:10" x14ac:dyDescent="0.3">
      <c r="G116" s="34">
        <v>46128</v>
      </c>
      <c r="H116">
        <v>5586</v>
      </c>
      <c r="J116">
        <v>24196.75</v>
      </c>
    </row>
    <row r="117" spans="7:10" x14ac:dyDescent="0.3">
      <c r="G117" s="34">
        <v>46127</v>
      </c>
      <c r="H117">
        <v>5654.5</v>
      </c>
      <c r="J117">
        <v>24231.3</v>
      </c>
    </row>
    <row r="118" spans="7:10" x14ac:dyDescent="0.3">
      <c r="G118" s="34">
        <v>46125</v>
      </c>
      <c r="H118">
        <v>5589</v>
      </c>
      <c r="J118">
        <v>23842.65</v>
      </c>
    </row>
    <row r="119" spans="7:10" x14ac:dyDescent="0.3">
      <c r="G119" s="34">
        <v>46122</v>
      </c>
      <c r="H119">
        <v>5557.5</v>
      </c>
      <c r="J119">
        <v>24050.6</v>
      </c>
    </row>
    <row r="120" spans="7:10" x14ac:dyDescent="0.3">
      <c r="G120" s="34">
        <v>46121</v>
      </c>
      <c r="H120">
        <v>5475</v>
      </c>
      <c r="J120">
        <v>23775.1</v>
      </c>
    </row>
    <row r="121" spans="7:10" x14ac:dyDescent="0.3">
      <c r="G121" s="34">
        <v>46120</v>
      </c>
      <c r="H121">
        <v>5594.5</v>
      </c>
      <c r="J121">
        <v>23997.35</v>
      </c>
    </row>
    <row r="122" spans="7:10" x14ac:dyDescent="0.3">
      <c r="G122" s="34">
        <v>46119</v>
      </c>
      <c r="H122">
        <v>5542</v>
      </c>
      <c r="J122">
        <v>23123.65</v>
      </c>
    </row>
    <row r="123" spans="7:10" x14ac:dyDescent="0.3">
      <c r="G123" s="34">
        <v>46118</v>
      </c>
      <c r="H123">
        <v>5535</v>
      </c>
      <c r="J123">
        <v>22968.25</v>
      </c>
    </row>
    <row r="124" spans="7:10" x14ac:dyDescent="0.3">
      <c r="G124" s="34">
        <v>46114</v>
      </c>
      <c r="H124">
        <v>5442</v>
      </c>
      <c r="J124">
        <v>22713.1</v>
      </c>
    </row>
    <row r="125" spans="7:10" x14ac:dyDescent="0.3">
      <c r="G125" s="34">
        <v>46113</v>
      </c>
      <c r="H125">
        <v>5474</v>
      </c>
      <c r="J125">
        <v>22679.4</v>
      </c>
    </row>
    <row r="126" spans="7:10" x14ac:dyDescent="0.3">
      <c r="G126" s="34">
        <v>46111</v>
      </c>
      <c r="H126">
        <v>5423</v>
      </c>
      <c r="J126">
        <v>22331.4</v>
      </c>
    </row>
    <row r="127" spans="7:10" x14ac:dyDescent="0.3">
      <c r="G127" s="34">
        <v>46108</v>
      </c>
      <c r="H127">
        <v>5500</v>
      </c>
      <c r="J127">
        <v>22819.599999999999</v>
      </c>
    </row>
    <row r="128" spans="7:10" x14ac:dyDescent="0.3">
      <c r="G128" s="34">
        <v>46106</v>
      </c>
      <c r="H128">
        <v>5647</v>
      </c>
      <c r="J128">
        <v>23306.45</v>
      </c>
    </row>
    <row r="129" spans="7:10" x14ac:dyDescent="0.3">
      <c r="G129" s="34">
        <v>46105</v>
      </c>
      <c r="H129">
        <v>5513.5</v>
      </c>
      <c r="J129">
        <v>22912.400000000001</v>
      </c>
    </row>
    <row r="130" spans="7:10" x14ac:dyDescent="0.3">
      <c r="G130" s="34">
        <v>46104</v>
      </c>
      <c r="H130">
        <v>5490</v>
      </c>
      <c r="J130">
        <v>22512.65</v>
      </c>
    </row>
    <row r="131" spans="7:10" x14ac:dyDescent="0.3">
      <c r="G131" s="34">
        <v>46101</v>
      </c>
      <c r="H131">
        <v>5618.5</v>
      </c>
      <c r="J131">
        <v>23114.5</v>
      </c>
    </row>
    <row r="132" spans="7:10" x14ac:dyDescent="0.3">
      <c r="G132" s="34">
        <v>46100</v>
      </c>
      <c r="H132">
        <v>5673.5</v>
      </c>
      <c r="J132">
        <v>23002.15</v>
      </c>
    </row>
    <row r="133" spans="7:10" x14ac:dyDescent="0.3">
      <c r="G133" s="34">
        <v>46099</v>
      </c>
      <c r="H133">
        <v>5885</v>
      </c>
      <c r="J133">
        <v>23777.8</v>
      </c>
    </row>
    <row r="134" spans="7:10" x14ac:dyDescent="0.3">
      <c r="G134" s="34">
        <v>46098</v>
      </c>
      <c r="H134">
        <v>5857.5</v>
      </c>
      <c r="J134">
        <v>23581.15</v>
      </c>
    </row>
    <row r="135" spans="7:10" x14ac:dyDescent="0.3">
      <c r="G135" s="34">
        <v>46097</v>
      </c>
      <c r="H135">
        <v>5842</v>
      </c>
      <c r="J135">
        <v>23408.799999999999</v>
      </c>
    </row>
    <row r="136" spans="7:10" x14ac:dyDescent="0.3">
      <c r="G136" s="34">
        <v>46094</v>
      </c>
      <c r="H136">
        <v>5808.5</v>
      </c>
      <c r="J136">
        <v>23151.1</v>
      </c>
    </row>
    <row r="137" spans="7:10" x14ac:dyDescent="0.3">
      <c r="G137" s="34">
        <v>46093</v>
      </c>
      <c r="H137">
        <v>5787</v>
      </c>
      <c r="J137">
        <v>23639.15</v>
      </c>
    </row>
    <row r="138" spans="7:10" x14ac:dyDescent="0.3">
      <c r="G138" s="34">
        <v>46092</v>
      </c>
      <c r="H138">
        <v>5921.5</v>
      </c>
      <c r="J138">
        <v>23866.85</v>
      </c>
    </row>
    <row r="139" spans="7:10" x14ac:dyDescent="0.3">
      <c r="G139" s="34">
        <v>46091</v>
      </c>
      <c r="H139">
        <v>5968</v>
      </c>
      <c r="J139">
        <v>24261.599999999999</v>
      </c>
    </row>
    <row r="140" spans="7:10" x14ac:dyDescent="0.3">
      <c r="G140" s="34">
        <v>46090</v>
      </c>
      <c r="H140">
        <v>5890</v>
      </c>
      <c r="J140">
        <v>24028.05</v>
      </c>
    </row>
    <row r="141" spans="7:10" x14ac:dyDescent="0.3">
      <c r="G141" s="34">
        <v>46087</v>
      </c>
      <c r="H141">
        <v>5983</v>
      </c>
      <c r="J141">
        <v>24450.45</v>
      </c>
    </row>
    <row r="142" spans="7:10" x14ac:dyDescent="0.3">
      <c r="G142" s="34">
        <v>46086</v>
      </c>
      <c r="H142">
        <v>5963</v>
      </c>
      <c r="J142">
        <v>24765.9</v>
      </c>
    </row>
    <row r="143" spans="7:10" x14ac:dyDescent="0.3">
      <c r="G143" s="34">
        <v>46085</v>
      </c>
      <c r="H143">
        <v>5889.5</v>
      </c>
      <c r="J143">
        <v>24480.5</v>
      </c>
    </row>
    <row r="144" spans="7:10" x14ac:dyDescent="0.3">
      <c r="G144" s="34">
        <v>46083</v>
      </c>
      <c r="H144">
        <v>5959</v>
      </c>
      <c r="J144">
        <v>24865.7</v>
      </c>
    </row>
    <row r="145" spans="7:10" x14ac:dyDescent="0.3">
      <c r="G145" s="34">
        <v>46080</v>
      </c>
      <c r="H145">
        <v>6002.5</v>
      </c>
      <c r="J145">
        <v>25178.65</v>
      </c>
    </row>
    <row r="146" spans="7:10" x14ac:dyDescent="0.3">
      <c r="G146" s="34">
        <v>46079</v>
      </c>
      <c r="H146">
        <v>6137</v>
      </c>
      <c r="J146">
        <v>25496.55</v>
      </c>
    </row>
    <row r="147" spans="7:10" x14ac:dyDescent="0.3">
      <c r="G147" s="34">
        <v>46078</v>
      </c>
      <c r="H147">
        <v>6158</v>
      </c>
      <c r="J147">
        <v>25482.5</v>
      </c>
    </row>
    <row r="148" spans="7:10" x14ac:dyDescent="0.3">
      <c r="G148" s="34">
        <v>46077</v>
      </c>
      <c r="H148">
        <v>6162.5</v>
      </c>
      <c r="J148">
        <v>25424.65</v>
      </c>
    </row>
    <row r="149" spans="7:10" x14ac:dyDescent="0.3">
      <c r="G149" s="34">
        <v>46076</v>
      </c>
      <c r="H149">
        <v>6122.5</v>
      </c>
      <c r="J149">
        <v>25713</v>
      </c>
    </row>
    <row r="150" spans="7:10" x14ac:dyDescent="0.3">
      <c r="G150" s="34">
        <v>46073</v>
      </c>
      <c r="H150">
        <v>6098.5</v>
      </c>
      <c r="J150">
        <v>25571.25</v>
      </c>
    </row>
    <row r="151" spans="7:10" x14ac:dyDescent="0.3">
      <c r="G151" s="34">
        <v>46072</v>
      </c>
      <c r="H151">
        <v>6108.5</v>
      </c>
      <c r="J151">
        <v>25454.35</v>
      </c>
    </row>
    <row r="152" spans="7:10" x14ac:dyDescent="0.3">
      <c r="G152" s="34">
        <v>46071</v>
      </c>
      <c r="H152">
        <v>6176</v>
      </c>
      <c r="J152">
        <v>25819.35</v>
      </c>
    </row>
    <row r="153" spans="7:10" x14ac:dyDescent="0.3">
      <c r="G153" s="34">
        <v>46070</v>
      </c>
      <c r="H153">
        <v>6145.5</v>
      </c>
      <c r="J153">
        <v>25725.4</v>
      </c>
    </row>
    <row r="154" spans="7:10" x14ac:dyDescent="0.3">
      <c r="G154" s="34">
        <v>46069</v>
      </c>
      <c r="H154">
        <v>6106</v>
      </c>
      <c r="J154">
        <v>25682.75</v>
      </c>
    </row>
    <row r="155" spans="7:10" x14ac:dyDescent="0.3">
      <c r="G155" s="34">
        <v>46066</v>
      </c>
      <c r="H155">
        <v>5980.5</v>
      </c>
      <c r="J155">
        <v>25471.1</v>
      </c>
    </row>
    <row r="156" spans="7:10" x14ac:dyDescent="0.3">
      <c r="G156" s="34">
        <v>46065</v>
      </c>
      <c r="H156">
        <v>6102</v>
      </c>
      <c r="J156">
        <v>25807.200000000001</v>
      </c>
    </row>
    <row r="157" spans="7:10" x14ac:dyDescent="0.3">
      <c r="G157" s="34">
        <v>46064</v>
      </c>
      <c r="H157">
        <v>6019</v>
      </c>
      <c r="J157">
        <v>25953.85</v>
      </c>
    </row>
    <row r="158" spans="7:10" x14ac:dyDescent="0.3">
      <c r="G158" s="34">
        <v>46063</v>
      </c>
      <c r="H158">
        <v>5873.5</v>
      </c>
      <c r="J158">
        <v>25935.15</v>
      </c>
    </row>
    <row r="159" spans="7:10" x14ac:dyDescent="0.3">
      <c r="G159" s="34">
        <v>46062</v>
      </c>
      <c r="H159">
        <v>5843</v>
      </c>
      <c r="J159">
        <v>25867.3</v>
      </c>
    </row>
    <row r="160" spans="7:10" x14ac:dyDescent="0.3">
      <c r="G160" s="34">
        <v>46059</v>
      </c>
      <c r="H160">
        <v>5911</v>
      </c>
      <c r="J160">
        <v>25693.7</v>
      </c>
    </row>
    <row r="161" spans="7:10" x14ac:dyDescent="0.3">
      <c r="G161" s="34">
        <v>46058</v>
      </c>
      <c r="H161">
        <v>5870.5</v>
      </c>
      <c r="J161">
        <v>25642.799999999999</v>
      </c>
    </row>
    <row r="162" spans="7:10" x14ac:dyDescent="0.3">
      <c r="G162" s="34">
        <v>46057</v>
      </c>
      <c r="H162">
        <v>5879</v>
      </c>
      <c r="J162">
        <v>25776</v>
      </c>
    </row>
    <row r="163" spans="7:10" x14ac:dyDescent="0.3">
      <c r="G163" s="34">
        <v>46056</v>
      </c>
      <c r="H163">
        <v>5882</v>
      </c>
      <c r="J163">
        <v>25727.55</v>
      </c>
    </row>
    <row r="164" spans="7:10" x14ac:dyDescent="0.3">
      <c r="G164" s="34">
        <v>46055</v>
      </c>
      <c r="H164">
        <v>5888.5</v>
      </c>
      <c r="J164">
        <v>25088.400000000001</v>
      </c>
    </row>
    <row r="165" spans="7:10" x14ac:dyDescent="0.3">
      <c r="G165" s="34">
        <v>46054</v>
      </c>
      <c r="H165">
        <v>5757.5</v>
      </c>
      <c r="J165">
        <v>25320.65</v>
      </c>
    </row>
    <row r="166" spans="7:10" x14ac:dyDescent="0.3">
      <c r="G166" s="34">
        <v>46052</v>
      </c>
      <c r="H166">
        <v>5860.5</v>
      </c>
      <c r="J166">
        <v>25320.65</v>
      </c>
    </row>
    <row r="167" spans="7:10" x14ac:dyDescent="0.3">
      <c r="G167" s="34">
        <v>46051</v>
      </c>
      <c r="H167">
        <v>5723</v>
      </c>
      <c r="J167">
        <v>25418.9</v>
      </c>
    </row>
    <row r="168" spans="7:10" x14ac:dyDescent="0.3">
      <c r="G168" s="34">
        <v>46050</v>
      </c>
      <c r="H168">
        <v>5748.5</v>
      </c>
      <c r="J168">
        <v>25342.75</v>
      </c>
    </row>
    <row r="169" spans="7:10" x14ac:dyDescent="0.3">
      <c r="G169" s="34">
        <v>46049</v>
      </c>
      <c r="H169">
        <v>5886</v>
      </c>
      <c r="J169">
        <v>25175.4</v>
      </c>
    </row>
    <row r="170" spans="7:10" x14ac:dyDescent="0.3">
      <c r="G170" s="34">
        <v>46045</v>
      </c>
      <c r="H170">
        <v>5835</v>
      </c>
      <c r="J170">
        <v>25048.65</v>
      </c>
    </row>
    <row r="171" spans="7:10" x14ac:dyDescent="0.3">
      <c r="G171" s="34">
        <v>46044</v>
      </c>
      <c r="H171">
        <v>5932</v>
      </c>
      <c r="J171">
        <v>25289.9</v>
      </c>
    </row>
    <row r="172" spans="7:10" x14ac:dyDescent="0.3">
      <c r="G172" s="34">
        <v>46043</v>
      </c>
      <c r="H172">
        <v>5802.5</v>
      </c>
      <c r="J172">
        <v>25157.5</v>
      </c>
    </row>
    <row r="173" spans="7:10" x14ac:dyDescent="0.3">
      <c r="G173" s="34">
        <v>46042</v>
      </c>
      <c r="H173">
        <v>5884</v>
      </c>
      <c r="J173">
        <v>25232.5</v>
      </c>
    </row>
    <row r="174" spans="7:10" x14ac:dyDescent="0.3">
      <c r="G174" s="34">
        <v>46041</v>
      </c>
      <c r="H174">
        <v>5943.5</v>
      </c>
      <c r="J174">
        <v>25585.5</v>
      </c>
    </row>
    <row r="175" spans="7:10" x14ac:dyDescent="0.3">
      <c r="G175" s="34">
        <v>46038</v>
      </c>
      <c r="H175">
        <v>5898.5</v>
      </c>
      <c r="J175">
        <v>25694.35</v>
      </c>
    </row>
    <row r="176" spans="7:10" x14ac:dyDescent="0.3">
      <c r="G176" s="34">
        <v>46036</v>
      </c>
      <c r="H176">
        <v>5906.5</v>
      </c>
      <c r="J176">
        <v>25665.599999999999</v>
      </c>
    </row>
    <row r="177" spans="7:10" x14ac:dyDescent="0.3">
      <c r="G177" s="34">
        <v>46035</v>
      </c>
      <c r="H177">
        <v>5918</v>
      </c>
      <c r="J177">
        <v>25732.3</v>
      </c>
    </row>
    <row r="178" spans="7:10" x14ac:dyDescent="0.3">
      <c r="G178" s="34">
        <v>46034</v>
      </c>
      <c r="H178">
        <v>5943.5</v>
      </c>
      <c r="J178">
        <v>25790.25</v>
      </c>
    </row>
    <row r="179" spans="7:10" x14ac:dyDescent="0.3">
      <c r="G179" s="34">
        <v>46031</v>
      </c>
      <c r="H179">
        <v>5977.5</v>
      </c>
      <c r="J179">
        <v>25683.3</v>
      </c>
    </row>
    <row r="180" spans="7:10" x14ac:dyDescent="0.3">
      <c r="G180" s="34">
        <v>46030</v>
      </c>
      <c r="H180">
        <v>6033.5</v>
      </c>
      <c r="J180">
        <v>25876.85</v>
      </c>
    </row>
    <row r="181" spans="7:10" x14ac:dyDescent="0.3">
      <c r="G181" s="34">
        <v>46029</v>
      </c>
      <c r="H181">
        <v>6185</v>
      </c>
      <c r="J181">
        <v>26140.75</v>
      </c>
    </row>
    <row r="182" spans="7:10" x14ac:dyDescent="0.3">
      <c r="G182" s="34">
        <v>46028</v>
      </c>
      <c r="H182">
        <v>6129.5</v>
      </c>
      <c r="J182">
        <v>26178.7</v>
      </c>
    </row>
    <row r="183" spans="7:10" x14ac:dyDescent="0.3">
      <c r="G183" s="34">
        <v>46027</v>
      </c>
      <c r="H183">
        <v>6026.5</v>
      </c>
      <c r="J183">
        <v>26250.3</v>
      </c>
    </row>
    <row r="184" spans="7:10" x14ac:dyDescent="0.3">
      <c r="G184" s="34">
        <v>46024</v>
      </c>
      <c r="H184">
        <v>5984.5</v>
      </c>
      <c r="J184">
        <v>26328.55</v>
      </c>
    </row>
    <row r="185" spans="7:10" x14ac:dyDescent="0.3">
      <c r="G185" s="34">
        <v>46023</v>
      </c>
      <c r="H185">
        <v>6009.5</v>
      </c>
      <c r="J185">
        <v>26146.55</v>
      </c>
    </row>
    <row r="186" spans="7:10" x14ac:dyDescent="0.3">
      <c r="G186" s="34">
        <v>46022</v>
      </c>
      <c r="H186">
        <v>6031</v>
      </c>
      <c r="J186">
        <v>26129.599999999999</v>
      </c>
    </row>
    <row r="187" spans="7:10" x14ac:dyDescent="0.3">
      <c r="G187" s="34">
        <v>46021</v>
      </c>
      <c r="H187">
        <v>6013</v>
      </c>
      <c r="J187">
        <v>25938.85</v>
      </c>
    </row>
    <row r="188" spans="7:10" x14ac:dyDescent="0.3">
      <c r="G188" s="34">
        <v>46020</v>
      </c>
      <c r="H188">
        <v>6041.5</v>
      </c>
      <c r="J188">
        <v>25942.1</v>
      </c>
    </row>
    <row r="189" spans="7:10" x14ac:dyDescent="0.3">
      <c r="G189" s="34">
        <v>46017</v>
      </c>
      <c r="H189">
        <v>6032.5</v>
      </c>
      <c r="J189">
        <v>26042.3</v>
      </c>
    </row>
    <row r="190" spans="7:10" x14ac:dyDescent="0.3">
      <c r="G190" s="34">
        <v>46015</v>
      </c>
      <c r="H190">
        <v>6030</v>
      </c>
      <c r="J190">
        <v>26142.1</v>
      </c>
    </row>
    <row r="191" spans="7:10" x14ac:dyDescent="0.3">
      <c r="G191" s="34">
        <v>46014</v>
      </c>
      <c r="H191">
        <v>6061</v>
      </c>
      <c r="J191">
        <v>26177.15</v>
      </c>
    </row>
    <row r="192" spans="7:10" x14ac:dyDescent="0.3">
      <c r="G192" s="34">
        <v>46013</v>
      </c>
      <c r="H192">
        <v>6083</v>
      </c>
      <c r="J192">
        <v>26172.400000000001</v>
      </c>
    </row>
    <row r="193" spans="7:10" x14ac:dyDescent="0.3">
      <c r="G193" s="34">
        <v>46010</v>
      </c>
      <c r="H193">
        <v>6103</v>
      </c>
      <c r="J193">
        <v>25966.400000000001</v>
      </c>
    </row>
    <row r="194" spans="7:10" x14ac:dyDescent="0.3">
      <c r="G194" s="34">
        <v>46009</v>
      </c>
      <c r="H194">
        <v>6040.5</v>
      </c>
      <c r="J194">
        <v>25815.55</v>
      </c>
    </row>
    <row r="195" spans="7:10" x14ac:dyDescent="0.3">
      <c r="G195" s="34">
        <v>46008</v>
      </c>
      <c r="H195">
        <v>6096</v>
      </c>
      <c r="J195">
        <v>25818.55</v>
      </c>
    </row>
    <row r="196" spans="7:10" x14ac:dyDescent="0.3">
      <c r="G196" s="34">
        <v>46007</v>
      </c>
      <c r="H196">
        <v>6066</v>
      </c>
      <c r="J196">
        <v>25860.1</v>
      </c>
    </row>
    <row r="197" spans="7:10" x14ac:dyDescent="0.3">
      <c r="G197" s="34">
        <v>46006</v>
      </c>
      <c r="H197">
        <v>6038</v>
      </c>
      <c r="J197">
        <v>26027.3</v>
      </c>
    </row>
    <row r="198" spans="7:10" x14ac:dyDescent="0.3">
      <c r="G198" s="34">
        <v>46003</v>
      </c>
      <c r="H198">
        <v>5915.5</v>
      </c>
      <c r="J198">
        <v>26046.95</v>
      </c>
    </row>
    <row r="199" spans="7:10" x14ac:dyDescent="0.3">
      <c r="G199" s="34">
        <v>46002</v>
      </c>
      <c r="H199">
        <v>5847</v>
      </c>
      <c r="J199">
        <v>25898.55</v>
      </c>
    </row>
    <row r="200" spans="7:10" x14ac:dyDescent="0.3">
      <c r="G200" s="34">
        <v>46001</v>
      </c>
      <c r="H200">
        <v>5828.5</v>
      </c>
      <c r="J200">
        <v>25758</v>
      </c>
    </row>
    <row r="201" spans="7:10" x14ac:dyDescent="0.3">
      <c r="G201" s="34">
        <v>46000</v>
      </c>
      <c r="H201">
        <v>5884</v>
      </c>
      <c r="J201">
        <v>25839.65</v>
      </c>
    </row>
    <row r="202" spans="7:10" x14ac:dyDescent="0.3">
      <c r="G202" s="34">
        <v>45999</v>
      </c>
      <c r="H202">
        <v>5847.5</v>
      </c>
      <c r="J202">
        <v>25960.55</v>
      </c>
    </row>
    <row r="203" spans="7:10" x14ac:dyDescent="0.3">
      <c r="G203" s="34">
        <v>45996</v>
      </c>
      <c r="H203">
        <v>5961</v>
      </c>
      <c r="J203">
        <v>26186.45</v>
      </c>
    </row>
    <row r="204" spans="7:10" x14ac:dyDescent="0.3">
      <c r="G204" s="34">
        <v>45995</v>
      </c>
      <c r="H204">
        <v>5876.5</v>
      </c>
      <c r="J204">
        <v>26033.75</v>
      </c>
    </row>
    <row r="205" spans="7:10" x14ac:dyDescent="0.3">
      <c r="G205" s="34">
        <v>45994</v>
      </c>
      <c r="H205">
        <v>5824.5</v>
      </c>
      <c r="J205">
        <v>25986</v>
      </c>
    </row>
    <row r="206" spans="7:10" x14ac:dyDescent="0.3">
      <c r="G206" s="34">
        <v>45993</v>
      </c>
      <c r="H206">
        <v>5875.5</v>
      </c>
      <c r="J206">
        <v>26032.2</v>
      </c>
    </row>
    <row r="207" spans="7:10" x14ac:dyDescent="0.3">
      <c r="G207" s="34">
        <v>45992</v>
      </c>
      <c r="H207">
        <v>5813.5</v>
      </c>
      <c r="J207">
        <v>26175.75</v>
      </c>
    </row>
    <row r="208" spans="7:10" x14ac:dyDescent="0.3">
      <c r="G208" s="34">
        <v>45989</v>
      </c>
      <c r="H208">
        <v>5846</v>
      </c>
      <c r="J208">
        <v>26202.95</v>
      </c>
    </row>
    <row r="209" spans="7:10" x14ac:dyDescent="0.3">
      <c r="G209" s="34">
        <v>45988</v>
      </c>
      <c r="H209">
        <v>5826.5</v>
      </c>
      <c r="J209">
        <v>26215.55</v>
      </c>
    </row>
    <row r="210" spans="7:10" x14ac:dyDescent="0.3">
      <c r="G210" s="34">
        <v>45987</v>
      </c>
      <c r="H210">
        <v>5880.5</v>
      </c>
      <c r="J210">
        <v>26205.3</v>
      </c>
    </row>
    <row r="211" spans="7:10" x14ac:dyDescent="0.3">
      <c r="G211" s="34">
        <v>45986</v>
      </c>
      <c r="H211">
        <v>5867</v>
      </c>
      <c r="J211">
        <v>25884.799999999999</v>
      </c>
    </row>
    <row r="212" spans="7:10" x14ac:dyDescent="0.3">
      <c r="G212" s="34">
        <v>45985</v>
      </c>
      <c r="H212">
        <v>5815.5</v>
      </c>
      <c r="J212">
        <v>25959.5</v>
      </c>
    </row>
    <row r="213" spans="7:10" x14ac:dyDescent="0.3">
      <c r="G213" s="34">
        <v>45982</v>
      </c>
      <c r="H213">
        <v>5813</v>
      </c>
      <c r="J213">
        <v>26068.15</v>
      </c>
    </row>
    <row r="214" spans="7:10" x14ac:dyDescent="0.3">
      <c r="G214" s="34">
        <v>45981</v>
      </c>
      <c r="H214">
        <v>5819</v>
      </c>
      <c r="J214">
        <v>26192.15</v>
      </c>
    </row>
    <row r="215" spans="7:10" x14ac:dyDescent="0.3">
      <c r="G215" s="34">
        <v>45980</v>
      </c>
      <c r="H215">
        <v>5874.5</v>
      </c>
      <c r="J215">
        <v>26052.65</v>
      </c>
    </row>
    <row r="216" spans="7:10" x14ac:dyDescent="0.3">
      <c r="G216" s="34">
        <v>45979</v>
      </c>
      <c r="H216">
        <v>5840</v>
      </c>
      <c r="J216">
        <v>25910.05</v>
      </c>
    </row>
    <row r="217" spans="7:10" x14ac:dyDescent="0.3">
      <c r="G217" s="34">
        <v>45978</v>
      </c>
      <c r="H217">
        <v>5830.5</v>
      </c>
      <c r="J217">
        <v>26013.45</v>
      </c>
    </row>
    <row r="218" spans="7:10" x14ac:dyDescent="0.3">
      <c r="G218" s="34">
        <v>45975</v>
      </c>
      <c r="H218">
        <v>5803.5</v>
      </c>
      <c r="J218">
        <v>25910.05</v>
      </c>
    </row>
    <row r="219" spans="7:10" x14ac:dyDescent="0.3">
      <c r="G219" s="34">
        <v>45974</v>
      </c>
      <c r="H219">
        <v>5851.5</v>
      </c>
      <c r="J219">
        <v>25879.15</v>
      </c>
    </row>
    <row r="220" spans="7:10" x14ac:dyDescent="0.3">
      <c r="G220" s="34">
        <v>45973</v>
      </c>
      <c r="H220">
        <v>5880</v>
      </c>
      <c r="J220">
        <v>25875.8</v>
      </c>
    </row>
    <row r="221" spans="7:10" x14ac:dyDescent="0.3">
      <c r="G221" s="34">
        <v>45972</v>
      </c>
      <c r="H221">
        <v>5950.5</v>
      </c>
      <c r="J221">
        <v>25694.95</v>
      </c>
    </row>
    <row r="222" spans="7:10" x14ac:dyDescent="0.3">
      <c r="G222" s="34">
        <v>45971</v>
      </c>
      <c r="H222">
        <v>6133.5</v>
      </c>
      <c r="J222">
        <v>25574.35</v>
      </c>
    </row>
    <row r="223" spans="7:10" x14ac:dyDescent="0.3">
      <c r="G223" s="34">
        <v>45968</v>
      </c>
      <c r="H223">
        <v>6157.5</v>
      </c>
      <c r="J223">
        <v>25492.3</v>
      </c>
    </row>
    <row r="224" spans="7:10" x14ac:dyDescent="0.3">
      <c r="G224" s="34">
        <v>45967</v>
      </c>
      <c r="H224">
        <v>6013.5</v>
      </c>
      <c r="J224">
        <v>25509.7</v>
      </c>
    </row>
    <row r="225" spans="7:10" x14ac:dyDescent="0.3">
      <c r="G225" s="34">
        <v>45965</v>
      </c>
      <c r="H225">
        <v>5892.5</v>
      </c>
      <c r="J225">
        <v>25597.65</v>
      </c>
    </row>
    <row r="226" spans="7:10" x14ac:dyDescent="0.3">
      <c r="G226" s="34">
        <v>45964</v>
      </c>
      <c r="H226">
        <v>5820.5</v>
      </c>
      <c r="J226">
        <v>25763.35</v>
      </c>
    </row>
    <row r="227" spans="7:10" x14ac:dyDescent="0.3">
      <c r="G227" s="34">
        <v>45961</v>
      </c>
      <c r="H227">
        <v>5836.5</v>
      </c>
      <c r="J227">
        <v>25722.1</v>
      </c>
    </row>
    <row r="228" spans="7:10" x14ac:dyDescent="0.3">
      <c r="G228" s="34">
        <v>45960</v>
      </c>
      <c r="H228">
        <v>5859.5</v>
      </c>
      <c r="J228">
        <v>25877.85</v>
      </c>
    </row>
    <row r="229" spans="7:10" x14ac:dyDescent="0.3">
      <c r="G229" s="34">
        <v>45959</v>
      </c>
      <c r="H229">
        <v>5852.5</v>
      </c>
      <c r="J229">
        <v>26053.9</v>
      </c>
    </row>
    <row r="230" spans="7:10" x14ac:dyDescent="0.3">
      <c r="G230" s="34">
        <v>45958</v>
      </c>
      <c r="H230">
        <v>5861</v>
      </c>
      <c r="J230">
        <v>25936.2</v>
      </c>
    </row>
    <row r="231" spans="7:10" x14ac:dyDescent="0.3">
      <c r="G231" s="34">
        <v>45957</v>
      </c>
      <c r="H231">
        <v>5912</v>
      </c>
      <c r="J231">
        <v>25966.05</v>
      </c>
    </row>
    <row r="232" spans="7:10" x14ac:dyDescent="0.3">
      <c r="G232" s="34">
        <v>45954</v>
      </c>
      <c r="H232">
        <v>6053</v>
      </c>
      <c r="J232">
        <v>25795.15</v>
      </c>
    </row>
    <row r="233" spans="7:10" x14ac:dyDescent="0.3">
      <c r="G233" s="34">
        <v>45953</v>
      </c>
      <c r="H233">
        <v>6068</v>
      </c>
      <c r="J233">
        <v>25891.4</v>
      </c>
    </row>
    <row r="234" spans="7:10" x14ac:dyDescent="0.3">
      <c r="G234" s="34">
        <v>45951</v>
      </c>
      <c r="H234">
        <v>6075</v>
      </c>
      <c r="J234">
        <v>25868.6</v>
      </c>
    </row>
    <row r="235" spans="7:10" x14ac:dyDescent="0.3">
      <c r="G235" s="34">
        <v>45950</v>
      </c>
      <c r="H235">
        <v>6070</v>
      </c>
      <c r="J235">
        <v>25843.15</v>
      </c>
    </row>
    <row r="236" spans="7:10" x14ac:dyDescent="0.3">
      <c r="G236" s="34">
        <v>45947</v>
      </c>
      <c r="H236">
        <v>6083</v>
      </c>
      <c r="J236">
        <v>25709.85</v>
      </c>
    </row>
    <row r="237" spans="7:10" x14ac:dyDescent="0.3">
      <c r="G237" s="34">
        <v>45946</v>
      </c>
      <c r="H237">
        <v>6025.5</v>
      </c>
      <c r="J237">
        <v>25585.3</v>
      </c>
    </row>
    <row r="238" spans="7:10" x14ac:dyDescent="0.3">
      <c r="G238" s="34">
        <v>45945</v>
      </c>
      <c r="H238">
        <v>5857.5</v>
      </c>
      <c r="J238">
        <v>25323.55</v>
      </c>
    </row>
    <row r="239" spans="7:10" x14ac:dyDescent="0.3">
      <c r="G239" s="34">
        <v>45944</v>
      </c>
      <c r="H239">
        <v>5800.5</v>
      </c>
      <c r="J239">
        <v>25145.5</v>
      </c>
    </row>
    <row r="240" spans="7:10" x14ac:dyDescent="0.3">
      <c r="G240" s="34">
        <v>45943</v>
      </c>
      <c r="H240">
        <v>5862</v>
      </c>
      <c r="J240">
        <v>25227.35</v>
      </c>
    </row>
    <row r="241" spans="7:10" x14ac:dyDescent="0.3">
      <c r="G241" s="34">
        <v>45940</v>
      </c>
      <c r="H241">
        <v>5871.5</v>
      </c>
      <c r="J241">
        <v>25285.35</v>
      </c>
    </row>
    <row r="242" spans="7:10" x14ac:dyDescent="0.3">
      <c r="G242" s="34">
        <v>45939</v>
      </c>
      <c r="H242">
        <v>5876</v>
      </c>
      <c r="J242">
        <v>25181.8</v>
      </c>
    </row>
    <row r="243" spans="7:10" x14ac:dyDescent="0.3">
      <c r="G243" s="34">
        <v>45938</v>
      </c>
      <c r="H243">
        <v>5836</v>
      </c>
      <c r="J243">
        <v>25046.15</v>
      </c>
    </row>
    <row r="244" spans="7:10" x14ac:dyDescent="0.3">
      <c r="G244" s="34">
        <v>45937</v>
      </c>
      <c r="H244">
        <v>5887</v>
      </c>
      <c r="J244">
        <v>25108.3</v>
      </c>
    </row>
    <row r="245" spans="7:10" x14ac:dyDescent="0.3">
      <c r="G245" s="34">
        <v>45936</v>
      </c>
      <c r="H245">
        <v>6011</v>
      </c>
      <c r="J245">
        <v>25077.65</v>
      </c>
    </row>
    <row r="246" spans="7:10" x14ac:dyDescent="0.3">
      <c r="G246" s="34">
        <v>45933</v>
      </c>
      <c r="H246">
        <v>5992.5</v>
      </c>
      <c r="J246">
        <v>24894.25</v>
      </c>
    </row>
    <row r="247" spans="7:10" x14ac:dyDescent="0.3">
      <c r="G247" s="34">
        <v>45931</v>
      </c>
      <c r="H247">
        <v>5966.5</v>
      </c>
      <c r="J247">
        <v>24836.3</v>
      </c>
    </row>
    <row r="248" spans="7:10" x14ac:dyDescent="0.3">
      <c r="G248" s="34">
        <v>45930</v>
      </c>
      <c r="H248">
        <v>5991</v>
      </c>
      <c r="J248">
        <v>24611.1</v>
      </c>
    </row>
    <row r="249" spans="7:10" x14ac:dyDescent="0.3">
      <c r="G249" s="171">
        <v>45929</v>
      </c>
      <c r="H249">
        <v>5929</v>
      </c>
      <c r="J249">
        <v>24634.9</v>
      </c>
    </row>
    <row r="250" spans="7:10" x14ac:dyDescent="0.3">
      <c r="G250" s="171">
        <v>45926</v>
      </c>
      <c r="H250">
        <v>5920.5</v>
      </c>
      <c r="J250">
        <v>24654.7</v>
      </c>
    </row>
    <row r="251" spans="7:10" x14ac:dyDescent="0.3">
      <c r="G251" s="171">
        <v>45925</v>
      </c>
      <c r="H251">
        <v>5953.5</v>
      </c>
      <c r="J251">
        <v>24890.85</v>
      </c>
    </row>
    <row r="252" spans="7:10" x14ac:dyDescent="0.3">
      <c r="G252" s="171">
        <v>45924</v>
      </c>
      <c r="H252">
        <v>5970.5</v>
      </c>
      <c r="J252">
        <v>25056.9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Nestle India</v>
      </c>
      <c r="C12" s="150" t="s">
        <v>4508</v>
      </c>
      <c r="D12" s="155">
        <f>'Raw FS'!M57</f>
        <v>1387.2</v>
      </c>
      <c r="E12" s="155">
        <f>'Raw FS'!N57</f>
        <v>192.66</v>
      </c>
      <c r="F12" s="155">
        <f>D12*E12</f>
        <v>267257.95199999999</v>
      </c>
      <c r="G12" s="155">
        <f>'Raw FS'!AS57</f>
        <v>53452.2</v>
      </c>
      <c r="H12" s="155">
        <f>'Raw FS'!AT57</f>
        <v>320712.8</v>
      </c>
      <c r="I12" s="150">
        <f>IF(OR(ISBLANK(K12), K12&lt;=0), "N/A", IFERROR($H12/K12, "N/A"))</f>
        <v>12.570711841553422</v>
      </c>
      <c r="J12" s="150">
        <f>IF(OR(ISBLANK(L12), L12&lt;=0), "N/A", IFERROR($H12/L12, "N/A"))</f>
        <v>54.816141658263113</v>
      </c>
      <c r="K12" s="155">
        <f>'Raw FS'!AU57</f>
        <v>25512.7</v>
      </c>
      <c r="L12" s="155">
        <f>'Raw FS'!AV57</f>
        <v>5850.7</v>
      </c>
      <c r="M12" s="155">
        <f>'Raw FS'!AW57</f>
        <v>13363.03</v>
      </c>
      <c r="N12" s="150"/>
      <c r="O12" s="151">
        <f>IF(OR(ISBLANK(K12), K12&lt;=0), "N/A", IFERROR($H12/K12, "N/A"))</f>
        <v>12.570711841553422</v>
      </c>
      <c r="P12" s="151">
        <f>IF(OR(ISBLANK(L12), L12&lt;=0), "N/A", IFERROR($H12/L12, "N/A"))</f>
        <v>54.816141658263113</v>
      </c>
      <c r="Q12" s="151">
        <f>IF(OR(ISBLANK(M12), M12&lt;=0), "N/A", IFERROR(F12/M12, "N/A"))</f>
        <v>19.999801841348855</v>
      </c>
    </row>
    <row r="13" spans="1:17" x14ac:dyDescent="0.3">
      <c r="B13" s="150" t="str">
        <f>'Raw FS'!L58</f>
        <v>Bikaji Foods</v>
      </c>
      <c r="C13" s="150" t="s">
        <v>8623</v>
      </c>
      <c r="D13" s="155">
        <f>'Raw FS'!M58</f>
        <v>591.1</v>
      </c>
      <c r="E13" s="155">
        <f>'Raw FS'!N58</f>
        <v>25.1</v>
      </c>
      <c r="F13" s="155">
        <f>D13*E13</f>
        <v>14836.61</v>
      </c>
      <c r="G13" s="155">
        <f>'Raw FS'!AS58</f>
        <v>2967.1000000000004</v>
      </c>
      <c r="H13" s="155">
        <f>'Raw FS'!AT58</f>
        <v>17802.900000000001</v>
      </c>
      <c r="I13" s="150">
        <f>IF(OR(ISBLANK(K13), K13&lt;=0), "N/A", IFERROR($H13/K13, "N/A"))</f>
        <v>6.5627972131087118</v>
      </c>
      <c r="J13" s="150">
        <f>IF(OR(ISBLANK(L13), L13&lt;=0), "N/A", IFERROR($H13/L13, "N/A"))</f>
        <v>45.954827052142498</v>
      </c>
      <c r="K13" s="155">
        <f>'Raw FS'!AU58</f>
        <v>2712.7</v>
      </c>
      <c r="L13" s="155">
        <f>'Raw FS'!AV58</f>
        <v>387.4</v>
      </c>
      <c r="M13" s="155">
        <f>'Raw FS'!AW58</f>
        <v>741.79</v>
      </c>
      <c r="N13" s="150"/>
      <c r="O13" s="151">
        <f>IF(OR(ISBLANK(K13), K13&lt;=0), "N/A", IFERROR($H13/K13, "N/A"))</f>
        <v>6.5627972131087118</v>
      </c>
      <c r="P13" s="151">
        <f>IF(OR(ISBLANK(L13), L13&lt;=0), "N/A", IFERROR($H13/L13, "N/A"))</f>
        <v>45.954827052142498</v>
      </c>
      <c r="Q13" s="151">
        <f>IF(OR(ISBLANK(M13), M13&lt;=0), "N/A", IFERROR(F13/M13, "N/A"))</f>
        <v>20.001091953248224</v>
      </c>
    </row>
    <row r="14" spans="1:17" x14ac:dyDescent="0.3">
      <c r="B14" s="150" t="str">
        <f>'Raw FS'!L59</f>
        <v>Milky Mist Dairy</v>
      </c>
      <c r="C14" s="150" t="s">
        <v>8624</v>
      </c>
      <c r="D14" s="155">
        <f>'Raw FS'!M59</f>
        <v>317.25</v>
      </c>
      <c r="E14" s="155">
        <f>'Raw FS'!N59</f>
        <v>76.97</v>
      </c>
      <c r="F14" s="155">
        <f>D14*E14</f>
        <v>24418.732499999998</v>
      </c>
      <c r="G14" s="155">
        <f>'Raw FS'!AS59</f>
        <v>4883.8</v>
      </c>
      <c r="H14" s="155">
        <f>'Raw FS'!AT59</f>
        <v>29303</v>
      </c>
      <c r="I14" s="150">
        <f>IF(OR(ISBLANK(K14), K14&lt;=0), "N/A", IFERROR($H14/K14, "N/A"))</f>
        <v>7.5259400041093079</v>
      </c>
      <c r="J14" s="150">
        <f>IF(OR(ISBLANK(L14), L14&lt;=0), "N/A", IFERROR($H14/L14, "N/A"))</f>
        <v>75.777088182053276</v>
      </c>
      <c r="K14" s="155">
        <f>'Raw FS'!AU59</f>
        <v>3893.6</v>
      </c>
      <c r="L14" s="155">
        <f>'Raw FS'!AV59</f>
        <v>386.7</v>
      </c>
      <c r="M14" s="155">
        <f>'Raw FS'!AW59</f>
        <v>1220.96</v>
      </c>
      <c r="N14" s="150"/>
      <c r="O14" s="151">
        <f>IF(OR(ISBLANK(K14), K14&lt;=0), "N/A", IFERROR($H14/K14, "N/A"))</f>
        <v>7.5259400041093079</v>
      </c>
      <c r="P14" s="151">
        <f>IF(OR(ISBLANK(L14), L14&lt;=0), "N/A", IFERROR($H14/L14, "N/A"))</f>
        <v>75.777088182053276</v>
      </c>
      <c r="Q14" s="151">
        <f>IF(OR(ISBLANK(M14), M14&lt;=0), "N/A", IFERROR(F14/M14, "N/A"))</f>
        <v>19.999617104573449</v>
      </c>
    </row>
    <row r="15" spans="1:17" x14ac:dyDescent="0.3">
      <c r="B15" s="150" t="str">
        <f>'Raw FS'!L60</f>
        <v>Marico</v>
      </c>
      <c r="C15" s="150" t="s">
        <v>4066</v>
      </c>
      <c r="D15" s="155">
        <f>'Raw FS'!M60</f>
        <v>832.3</v>
      </c>
      <c r="E15" s="155">
        <f>'Raw FS'!N60</f>
        <v>130.07</v>
      </c>
      <c r="F15" s="155">
        <f>D15*E15</f>
        <v>108257.26099999998</v>
      </c>
      <c r="G15" s="155">
        <f>'Raw FS'!AS60</f>
        <v>21652.1</v>
      </c>
      <c r="H15" s="155">
        <f>'Raw FS'!AT60</f>
        <v>129912.4</v>
      </c>
      <c r="I15" s="150">
        <f>IF(OR(ISBLANK(K15), K15&lt;=0), "N/A", IFERROR($H15/K15, "N/A"))</f>
        <v>8.2077584028304269</v>
      </c>
      <c r="J15" s="150">
        <f>IF(OR(ISBLANK(L15), L15&lt;=0), "N/A", IFERROR($H15/L15, "N/A"))</f>
        <v>33.208691206543968</v>
      </c>
      <c r="K15" s="155">
        <f>'Raw FS'!AU60</f>
        <v>15828</v>
      </c>
      <c r="L15" s="155">
        <f>'Raw FS'!AV60</f>
        <v>3912</v>
      </c>
      <c r="M15" s="155">
        <f>'Raw FS'!AW60</f>
        <v>5413.02</v>
      </c>
      <c r="N15" s="150"/>
      <c r="O15" s="151">
        <f>IF(OR(ISBLANK(K15), K15&lt;=0), "N/A", IFERROR($H15/K15, "N/A"))</f>
        <v>8.2077584028304269</v>
      </c>
      <c r="P15" s="151">
        <f>IF(OR(ISBLANK(L15), L15&lt;=0), "N/A", IFERROR($H15/L15, "N/A"))</f>
        <v>33.208691206543968</v>
      </c>
      <c r="Q15" s="151">
        <f>IF(OR(ISBLANK(M15), M15&lt;=0), "N/A", IFERROR(F15/M15, "N/A"))</f>
        <v>19.999420101902444</v>
      </c>
    </row>
    <row r="16" spans="1:17" x14ac:dyDescent="0.3">
      <c r="B16" s="150" t="str">
        <f>'Raw FS'!L61</f>
        <v>Varun Beverages</v>
      </c>
      <c r="C16" s="150" t="s">
        <v>6996</v>
      </c>
      <c r="D16" s="155">
        <f>'Raw FS'!M61</f>
        <v>436.15</v>
      </c>
      <c r="E16" s="155">
        <f>'Raw FS'!N61</f>
        <v>338.09</v>
      </c>
      <c r="F16" s="155">
        <f>D16*E16</f>
        <v>147457.95349999997</v>
      </c>
      <c r="G16" s="155">
        <f>'Raw FS'!AS61</f>
        <v>29491.799999999996</v>
      </c>
      <c r="H16" s="155">
        <f>'Raw FS'!AT61</f>
        <v>176950.69999999998</v>
      </c>
      <c r="I16" s="150">
        <f>IF(OR(ISBLANK(K16), K16&lt;=0), "N/A", IFERROR($H16/K16, "N/A"))</f>
        <v>5.234468967516543</v>
      </c>
      <c r="J16" s="150">
        <f>IF(OR(ISBLANK(L16), L16&lt;=0), "N/A", IFERROR($H16/L16, "N/A"))</f>
        <v>19.334225650663225</v>
      </c>
      <c r="K16" s="155">
        <f>'Raw FS'!AU61</f>
        <v>33804.9</v>
      </c>
      <c r="L16" s="155">
        <f>'Raw FS'!AV61</f>
        <v>9152.2000000000007</v>
      </c>
      <c r="M16" s="155">
        <f>'Raw FS'!AW61</f>
        <v>7372.94</v>
      </c>
      <c r="N16" s="150"/>
      <c r="O16" s="151">
        <f>IF(OR(ISBLANK(K16), K16&lt;=0), "N/A", IFERROR($H16/K16, "N/A"))</f>
        <v>5.234468967516543</v>
      </c>
      <c r="P16" s="151">
        <f>IF(OR(ISBLANK(L16), L16&lt;=0), "N/A", IFERROR($H16/L16, "N/A"))</f>
        <v>19.334225650663225</v>
      </c>
      <c r="Q16" s="151">
        <f>IF(OR(ISBLANK(M16), M16&lt;=0), "N/A", IFERROR(F16/M16, "N/A"))</f>
        <v>19.999885188269534</v>
      </c>
    </row>
    <row r="17" spans="2:17" x14ac:dyDescent="0.3">
      <c r="B17" s="150" t="str">
        <f>'Raw FS'!L62</f>
        <v>Godrej Consumer</v>
      </c>
      <c r="C17" s="150" t="s">
        <v>2565</v>
      </c>
      <c r="D17" s="155">
        <f>'Raw FS'!M62</f>
        <v>879.75</v>
      </c>
      <c r="E17" s="155">
        <f>'Raw FS'!N62</f>
        <v>102.28</v>
      </c>
      <c r="F17" s="155">
        <f>D17*E17</f>
        <v>89980.83</v>
      </c>
      <c r="G17" s="155">
        <f>'Raw FS'!AS62</f>
        <v>17996.8</v>
      </c>
      <c r="H17" s="155">
        <f>'Raw FS'!AT62</f>
        <v>107980.90000000001</v>
      </c>
      <c r="I17" s="150">
        <f>IF(OR(ISBLANK(K17), K17&lt;=0), "N/A", IFERROR($H17/K17, "N/A"))</f>
        <v>6.3886841124370637</v>
      </c>
      <c r="J17" s="150">
        <f>IF(OR(ISBLANK(L17), L17&lt;=0), "N/A", IFERROR($H17/L17, "N/A"))</f>
        <v>35.671401671566848</v>
      </c>
      <c r="K17" s="155">
        <f>'Raw FS'!AU62</f>
        <v>16901.900000000001</v>
      </c>
      <c r="L17" s="155">
        <f>'Raw FS'!AV62</f>
        <v>3027.1</v>
      </c>
      <c r="M17" s="155">
        <f>'Raw FS'!AW62</f>
        <v>4499.21</v>
      </c>
      <c r="N17" s="150"/>
      <c r="O17" s="151">
        <f>IF(OR(ISBLANK(K17), K17&lt;=0), "N/A", IFERROR($H17/K17, "N/A"))</f>
        <v>6.3886841124370637</v>
      </c>
      <c r="P17" s="151">
        <f>IF(OR(ISBLANK(L17), L17&lt;=0), "N/A", IFERROR($H17/L17, "N/A"))</f>
        <v>35.671401671566848</v>
      </c>
      <c r="Q17" s="151">
        <f>IF(OR(ISBLANK(M17), M17&lt;=0), "N/A", IFERROR(F17/M17, "N/A"))</f>
        <v>19.999250979616424</v>
      </c>
    </row>
    <row r="18" spans="2:17" x14ac:dyDescent="0.3">
      <c r="B18" s="150" t="str">
        <f>'Raw FS'!L63</f>
        <v>Dabur India</v>
      </c>
      <c r="C18" s="150" t="s">
        <v>1841</v>
      </c>
      <c r="D18" s="155">
        <f>'Raw FS'!M63</f>
        <v>387.4</v>
      </c>
      <c r="E18" s="155">
        <f>'Raw FS'!N63</f>
        <v>177.28</v>
      </c>
      <c r="F18" s="155">
        <f>D18*E18</f>
        <v>68678.271999999997</v>
      </c>
      <c r="G18" s="155">
        <f>'Raw FS'!AS63</f>
        <v>13735.800000000001</v>
      </c>
      <c r="H18" s="155">
        <f>'Raw FS'!AT63</f>
        <v>82414.7</v>
      </c>
      <c r="I18" s="150">
        <f>IF(OR(ISBLANK(K18), K18&lt;=0), "N/A", IFERROR($H18/K18, "N/A"))</f>
        <v>5.4732958771650191</v>
      </c>
      <c r="J18" s="150">
        <f>IF(OR(ISBLANK(L18), L18&lt;=0), "N/A", IFERROR($H18/L18, "N/A"))</f>
        <v>23.433238555587149</v>
      </c>
      <c r="K18" s="155">
        <f>'Raw FS'!AU63</f>
        <v>15057.6</v>
      </c>
      <c r="L18" s="155">
        <f>'Raw FS'!AV63</f>
        <v>3517</v>
      </c>
      <c r="M18" s="155">
        <f>'Raw FS'!AW63</f>
        <v>3433.94</v>
      </c>
      <c r="N18" s="150"/>
      <c r="O18" s="151">
        <f>IF(OR(ISBLANK(K18), K18&lt;=0), "N/A", IFERROR($H18/K18, "N/A"))</f>
        <v>5.4732958771650191</v>
      </c>
      <c r="P18" s="151">
        <f>IF(OR(ISBLANK(L18), L18&lt;=0), "N/A", IFERROR($H18/L18, "N/A"))</f>
        <v>23.433238555587149</v>
      </c>
      <c r="Q18" s="151">
        <f>IF(OR(ISBLANK(M18), M18&lt;=0), "N/A", IFERROR(F18/M18, "N/A"))</f>
        <v>19.99984624076134</v>
      </c>
    </row>
    <row r="19" spans="2:17" x14ac:dyDescent="0.3">
      <c r="B19" s="150" t="str">
        <f>'Raw FS'!L64</f>
        <v>Patanjali Foods</v>
      </c>
      <c r="C19" s="150" t="s">
        <v>8625</v>
      </c>
      <c r="D19" s="155">
        <f>'Raw FS'!M64</f>
        <v>409.45</v>
      </c>
      <c r="E19" s="155">
        <f>'Raw FS'!N64</f>
        <v>108.68</v>
      </c>
      <c r="F19" s="155">
        <f>D19*E19</f>
        <v>44499.025999999998</v>
      </c>
      <c r="G19" s="155">
        <f>'Raw FS'!AS64</f>
        <v>8899.5</v>
      </c>
      <c r="H19" s="155">
        <f>'Raw FS'!AT64</f>
        <v>53397</v>
      </c>
      <c r="I19" s="150">
        <f>IF(OR(ISBLANK(K19), K19&lt;=0), "N/A", IFERROR($H19/K19, "N/A"))</f>
        <v>1.1774473095801965</v>
      </c>
      <c r="J19" s="150">
        <f>IF(OR(ISBLANK(L19), L19&lt;=0), "N/A", IFERROR($H19/L19, "N/A"))</f>
        <v>26.497121873759429</v>
      </c>
      <c r="K19" s="155">
        <f>'Raw FS'!AU64</f>
        <v>45349.8</v>
      </c>
      <c r="L19" s="155">
        <f>'Raw FS'!AV64</f>
        <v>2015.2</v>
      </c>
      <c r="M19" s="155">
        <f>'Raw FS'!AW64</f>
        <v>2224.88</v>
      </c>
      <c r="N19" s="150"/>
      <c r="O19" s="151">
        <f>IF(OR(ISBLANK(K19), K19&lt;=0), "N/A", IFERROR($H19/K19, "N/A"))</f>
        <v>1.1774473095801965</v>
      </c>
      <c r="P19" s="151">
        <f>IF(OR(ISBLANK(L19), L19&lt;=0), "N/A", IFERROR($H19/L19, "N/A"))</f>
        <v>26.497121873759429</v>
      </c>
      <c r="Q19" s="151">
        <f>IF(OR(ISBLANK(M19), M19&lt;=0), "N/A", IFERROR(F19/M19, "N/A"))</f>
        <v>20.000640933443599</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342</v>
      </c>
      <c r="C23" s="79"/>
      <c r="D23" s="79"/>
      <c r="E23" s="79"/>
      <c r="F23" s="79"/>
      <c r="G23" s="79"/>
      <c r="H23" s="79"/>
      <c r="I23" s="79">
        <f>MAX(I12:I19)</f>
        <v>12.570711841553422</v>
      </c>
      <c r="J23" s="79">
        <f>MAX(J12:J19)</f>
        <v>75.777088182053276</v>
      </c>
      <c r="K23" s="79"/>
      <c r="L23" s="79"/>
      <c r="M23" s="79"/>
      <c r="N23" s="79"/>
      <c r="O23" s="86">
        <f>MAX(O12:O19)</f>
        <v>12.570711841553422</v>
      </c>
      <c r="P23" s="86">
        <f>MAX(P12:P19)</f>
        <v>75.777088182053276</v>
      </c>
      <c r="Q23" s="86">
        <f>MAX(Q12:Q19)</f>
        <v>20.001091953248224</v>
      </c>
    </row>
    <row r="24" spans="2:17" x14ac:dyDescent="0.3">
      <c r="B24" s="79" t="s">
        <v>343</v>
      </c>
      <c r="C24" s="79"/>
      <c r="D24" s="79"/>
      <c r="E24" s="79"/>
      <c r="F24" s="79"/>
      <c r="G24" s="79"/>
      <c r="H24" s="79"/>
      <c r="I24" s="79">
        <f>_xlfn.QUARTILE.INC(I12:I19,1)</f>
        <v>5.4135891497528998</v>
      </c>
      <c r="J24" s="79">
        <f>_xlfn.QUARTILE.INC(J12:J19,1)</f>
        <v>25.731151044216361</v>
      </c>
      <c r="K24" s="79"/>
      <c r="L24" s="79"/>
      <c r="M24" s="79"/>
      <c r="N24" s="79"/>
      <c r="O24" s="87">
        <f>_xlfn.QUARTILE.INC(O12:O19,1)</f>
        <v>5.4135891497528998</v>
      </c>
      <c r="P24" s="87">
        <f>_xlfn.QUARTILE.INC(P12:P19,1)</f>
        <v>25.731151044216361</v>
      </c>
      <c r="Q24" s="87">
        <f>_xlfn.QUARTILE.INC(Q12:Q19,1)</f>
        <v>19.999567853905699</v>
      </c>
    </row>
    <row r="25" spans="2:17" x14ac:dyDescent="0.3">
      <c r="B25" s="152" t="s">
        <v>160</v>
      </c>
      <c r="C25" s="152"/>
      <c r="D25" s="152"/>
      <c r="E25" s="152"/>
      <c r="F25" s="152"/>
      <c r="G25" s="152"/>
      <c r="H25" s="152"/>
      <c r="I25" s="152">
        <f>MEDIAN(I12:I19)</f>
        <v>6.4757406627728873</v>
      </c>
      <c r="J25" s="152">
        <f>MEDIAN(J12:J19)</f>
        <v>34.440046439055408</v>
      </c>
      <c r="K25" s="152"/>
      <c r="L25" s="152"/>
      <c r="M25" s="152"/>
      <c r="N25" s="152"/>
      <c r="O25" s="153">
        <f>MEDIAN(O12:O19)</f>
        <v>6.4757406627728873</v>
      </c>
      <c r="P25" s="153">
        <f>MEDIAN(P12:P19)</f>
        <v>34.440046439055408</v>
      </c>
      <c r="Q25" s="153">
        <f>MEDIAN(Q12:Q19)</f>
        <v>19.999824041055099</v>
      </c>
    </row>
    <row r="26" spans="2:17" x14ac:dyDescent="0.3">
      <c r="B26" s="152" t="s">
        <v>344</v>
      </c>
      <c r="C26" s="152"/>
      <c r="D26" s="152"/>
      <c r="E26" s="152"/>
      <c r="F26" s="152"/>
      <c r="G26" s="152"/>
      <c r="H26" s="152"/>
      <c r="I26" s="152">
        <f>AVERAGE(I12:I19)</f>
        <v>6.6426379660375865</v>
      </c>
      <c r="J26" s="152">
        <f>AVERAGE(J12:J19)</f>
        <v>39.336591981322435</v>
      </c>
      <c r="K26" s="152"/>
      <c r="L26" s="152"/>
      <c r="M26" s="152"/>
      <c r="N26" s="152"/>
      <c r="O26" s="153">
        <f>AVERAGE(O12:O19)</f>
        <v>6.6426379660375865</v>
      </c>
      <c r="P26" s="153">
        <f>AVERAGE(P12:P19)</f>
        <v>39.336591981322435</v>
      </c>
      <c r="Q26" s="153">
        <f>AVERAGE(Q12:Q19)</f>
        <v>19.999944292895481</v>
      </c>
    </row>
    <row r="27" spans="2:17" x14ac:dyDescent="0.3">
      <c r="B27" s="79" t="s">
        <v>345</v>
      </c>
      <c r="C27" s="79"/>
      <c r="D27" s="79"/>
      <c r="E27" s="79"/>
      <c r="F27" s="79"/>
      <c r="G27" s="79"/>
      <c r="H27" s="79"/>
      <c r="I27" s="79">
        <f>_xlfn.QUARTILE.INC(I12:I19,3)</f>
        <v>7.6963946037895878</v>
      </c>
      <c r="J27" s="79">
        <f>_xlfn.QUARTILE.INC(J12:J19,3)</f>
        <v>48.170155703672648</v>
      </c>
      <c r="K27" s="79"/>
      <c r="L27" s="79"/>
      <c r="M27" s="79"/>
      <c r="N27" s="79"/>
      <c r="O27" s="87">
        <f>_xlfn.QUARTILE.INC(O12:O19,3)</f>
        <v>7.6963946037895878</v>
      </c>
      <c r="P27" s="87">
        <f>_xlfn.QUARTILE.INC(P12:P19,3)</f>
        <v>48.170155703672648</v>
      </c>
      <c r="Q27" s="87">
        <f>_xlfn.QUARTILE.INC(Q12:Q19,3)</f>
        <v>20.000074124563049</v>
      </c>
    </row>
    <row r="28" spans="2:17" x14ac:dyDescent="0.3">
      <c r="B28" s="79" t="s">
        <v>8607</v>
      </c>
      <c r="C28" s="79"/>
      <c r="D28" s="79"/>
      <c r="E28" s="79"/>
      <c r="F28" s="79"/>
      <c r="G28" s="79"/>
      <c r="H28" s="79"/>
      <c r="I28" s="79">
        <f>MIN(I12:I19)</f>
        <v>1.1774473095801965</v>
      </c>
      <c r="J28" s="79">
        <f>MIN(J12:J19)</f>
        <v>19.334225650663225</v>
      </c>
      <c r="K28" s="79"/>
      <c r="L28" s="79"/>
      <c r="M28" s="79"/>
      <c r="N28" s="79"/>
      <c r="O28" s="86">
        <f>MIN(O12:O19)</f>
        <v>1.1774473095801965</v>
      </c>
      <c r="P28" s="86">
        <f>MIN(P12:P19)</f>
        <v>19.334225650663225</v>
      </c>
      <c r="Q28" s="86">
        <f>MIN(Q12:Q19)</f>
        <v>19.999250979616424</v>
      </c>
    </row>
    <row r="30" spans="2:17" x14ac:dyDescent="0.3">
      <c r="B30" s="32" t="s">
        <v>8622</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346</v>
      </c>
      <c r="C32" s="150"/>
      <c r="D32" s="150"/>
      <c r="E32" s="150"/>
      <c r="F32" s="150"/>
      <c r="G32" s="150"/>
      <c r="H32" s="150"/>
      <c r="I32" s="150">
        <f>'Raw FS'!AU56*I25</f>
        <v>124023.38517342634</v>
      </c>
      <c r="J32" s="150">
        <f>'Raw FS'!AV56*J25</f>
        <v>128771.33363562817</v>
      </c>
      <c r="K32" s="150"/>
      <c r="L32" s="150"/>
      <c r="M32" s="150"/>
      <c r="N32" s="150"/>
      <c r="O32" s="155">
        <f>'Raw FS'!AU56*O25</f>
        <v>124023.38517342634</v>
      </c>
      <c r="P32" s="155">
        <f>'Raw FS'!AV56*P25</f>
        <v>128771.33363562817</v>
      </c>
      <c r="Q32" s="155">
        <f>'Raw FS'!AW56*Q25</f>
        <v>50739.553592156786</v>
      </c>
    </row>
    <row r="33" spans="2:17" x14ac:dyDescent="0.3">
      <c r="B33" s="150" t="s">
        <v>348</v>
      </c>
      <c r="C33" s="150"/>
      <c r="D33" s="150"/>
      <c r="E33" s="150"/>
      <c r="F33" s="150"/>
      <c r="G33" s="150"/>
      <c r="H33" s="150"/>
      <c r="I33" s="150">
        <f>'Raw FS'!AS56</f>
        <v>1028</v>
      </c>
      <c r="J33" s="150">
        <f>'Raw FS'!AS56</f>
        <v>1028</v>
      </c>
      <c r="K33" s="150"/>
      <c r="L33" s="150"/>
      <c r="M33" s="150"/>
      <c r="N33" s="150"/>
      <c r="O33" s="155">
        <f>'Raw FS'!AS56</f>
        <v>1028</v>
      </c>
      <c r="P33" s="155">
        <f>'Raw FS'!AS56</f>
        <v>1028</v>
      </c>
      <c r="Q33" s="155">
        <v>0</v>
      </c>
    </row>
    <row r="34" spans="2:17" x14ac:dyDescent="0.3">
      <c r="B34" s="150" t="s">
        <v>347</v>
      </c>
      <c r="C34" s="150"/>
      <c r="D34" s="150"/>
      <c r="E34" s="150"/>
      <c r="F34" s="150"/>
      <c r="G34" s="150"/>
      <c r="H34" s="150"/>
      <c r="I34" s="150">
        <f>I32-I33</f>
        <v>122995.38517342634</v>
      </c>
      <c r="J34" s="150">
        <f>J32-J33</f>
        <v>127743.33363562817</v>
      </c>
      <c r="K34" s="150"/>
      <c r="L34" s="150"/>
      <c r="M34" s="150"/>
      <c r="N34" s="150"/>
      <c r="O34" s="155">
        <f>O32-O33</f>
        <v>122995.38517342634</v>
      </c>
      <c r="P34" s="155">
        <f>P32-P33</f>
        <v>127743.33363562817</v>
      </c>
      <c r="Q34" s="155">
        <f>Q32</f>
        <v>50739.553592156786</v>
      </c>
    </row>
    <row r="35" spans="2:17" x14ac:dyDescent="0.3">
      <c r="B35" s="150" t="s">
        <v>324</v>
      </c>
      <c r="C35" s="150"/>
      <c r="D35" s="150"/>
      <c r="E35" s="150"/>
      <c r="F35" s="150"/>
      <c r="G35" s="150"/>
      <c r="H35" s="150"/>
      <c r="I35" s="172">
        <f>'Raw FS'!N56</f>
        <v>24.052546155406777</v>
      </c>
      <c r="J35" s="172">
        <f>'Raw FS'!N56</f>
        <v>24.052546155406777</v>
      </c>
      <c r="K35" s="150"/>
      <c r="L35" s="150"/>
      <c r="M35" s="150"/>
      <c r="N35" s="150"/>
      <c r="O35" s="155">
        <f>'Raw FS'!N56</f>
        <v>24.052546155406777</v>
      </c>
      <c r="P35" s="155">
        <f>'Raw FS'!N56</f>
        <v>24.052546155406777</v>
      </c>
      <c r="Q35" s="155">
        <f>'Raw FS'!N56</f>
        <v>24.052546155406777</v>
      </c>
    </row>
    <row r="36" spans="2:17" s="93" customFormat="1" ht="3.6" customHeight="1" x14ac:dyDescent="0.3">
      <c r="O36" s="156"/>
      <c r="P36" s="156"/>
      <c r="Q36" s="156"/>
    </row>
    <row r="37" spans="2:17" x14ac:dyDescent="0.3">
      <c r="B37" s="152" t="s">
        <v>349</v>
      </c>
      <c r="C37" s="152"/>
      <c r="D37" s="152"/>
      <c r="E37" s="152"/>
      <c r="F37" s="152"/>
      <c r="G37" s="152"/>
      <c r="H37" s="152"/>
      <c r="I37" s="152">
        <f>I34/I35</f>
        <v>5113.6118554242203</v>
      </c>
      <c r="J37" s="152">
        <f>J34/J35</f>
        <v>5311.0108514192671</v>
      </c>
      <c r="K37" s="152"/>
      <c r="L37" s="152"/>
      <c r="M37" s="152"/>
      <c r="N37" s="152"/>
      <c r="O37" s="157">
        <f>O34/O35</f>
        <v>5113.6118554242203</v>
      </c>
      <c r="P37" s="157">
        <f>P34/P35</f>
        <v>5311.0108514192671</v>
      </c>
      <c r="Q37" s="157">
        <f>Q34/Q35</f>
        <v>2109.5294138226209</v>
      </c>
    </row>
    <row r="38" spans="2:17" x14ac:dyDescent="0.3">
      <c r="B38" s="52" t="s">
        <v>350</v>
      </c>
    </row>
    <row r="39" spans="2:17" x14ac:dyDescent="0.3">
      <c r="B39" t="s">
        <v>8626</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BRITANNIA INDUSTRIES LTD</v>
      </c>
      <c r="C2" s="93"/>
      <c r="D2" s="93"/>
      <c r="E2" s="93"/>
      <c r="F2" s="93"/>
      <c r="G2" s="93"/>
      <c r="H2" s="93"/>
      <c r="I2" s="93"/>
    </row>
    <row r="3" spans="1:9" x14ac:dyDescent="0.3">
      <c r="A3" s="93"/>
      <c r="B3" s="93" t="str">
        <f>CONCATENATE("(",VLOOKUP(B2,'List of Stocks'!B2:E5442,3,FALSE)," | ","BSE Code: ",VLOOKUP('Dupont Analysis'!B2,'List of Stocks'!B2:E5442,2,FALSE))</f>
        <v>(BRITANNIA | BSE Code: 500825</v>
      </c>
      <c r="C3" s="93"/>
      <c r="D3" s="93"/>
      <c r="E3" s="93"/>
      <c r="F3" s="93"/>
      <c r="H3" s="93"/>
      <c r="I3" s="93"/>
    </row>
    <row r="4" spans="1:9" ht="21" x14ac:dyDescent="0.4">
      <c r="A4" s="93"/>
      <c r="B4" s="98" t="str">
        <f>CONCATENATE(" ","INR "&amp;'Data Sheet'!B8)</f>
        <v xml:space="preserve"> INR 4929</v>
      </c>
      <c r="C4" s="93"/>
      <c r="D4" s="93"/>
      <c r="E4" s="93"/>
      <c r="F4" s="93"/>
      <c r="H4" s="93"/>
      <c r="I4" s="93"/>
    </row>
    <row r="5" spans="1:9" x14ac:dyDescent="0.3">
      <c r="B5" s="58" t="s">
        <v>8627</v>
      </c>
      <c r="C5" s="58"/>
      <c r="D5" s="58"/>
      <c r="E5" s="58"/>
      <c r="F5" s="58"/>
      <c r="G5" s="58"/>
      <c r="H5" s="58"/>
      <c r="I5" s="58"/>
    </row>
    <row r="6" spans="1:9" x14ac:dyDescent="0.3">
      <c r="B6" s="37" t="s">
        <v>8587</v>
      </c>
    </row>
    <row r="7" spans="1:9" ht="4.2" customHeight="1" x14ac:dyDescent="0.3">
      <c r="B7" s="37"/>
    </row>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8588</v>
      </c>
    </row>
    <row r="35" spans="1:9" ht="18" x14ac:dyDescent="0.35">
      <c r="B35" s="101" t="s">
        <v>8589</v>
      </c>
    </row>
    <row r="37" spans="1:9" x14ac:dyDescent="0.3">
      <c r="A37" t="s">
        <v>8590</v>
      </c>
      <c r="B37" s="169" t="s">
        <v>8629</v>
      </c>
      <c r="C37" s="169"/>
      <c r="D37" s="169"/>
      <c r="E37" s="169"/>
      <c r="F37" s="169"/>
      <c r="G37" s="169"/>
      <c r="H37" s="169"/>
      <c r="I37" s="169"/>
    </row>
    <row r="38" spans="1:9" x14ac:dyDescent="0.3">
      <c r="B38" s="169"/>
      <c r="C38" s="169"/>
      <c r="D38" s="169"/>
      <c r="E38" s="169"/>
      <c r="F38" s="169"/>
      <c r="G38" s="169"/>
      <c r="H38" s="169"/>
      <c r="I38" s="169"/>
    </row>
    <row r="39" spans="1:9" x14ac:dyDescent="0.3">
      <c r="A39" t="s">
        <v>8590</v>
      </c>
      <c r="B39" s="169" t="s">
        <v>8630</v>
      </c>
      <c r="C39" s="169"/>
      <c r="D39" s="169"/>
      <c r="E39" s="169"/>
      <c r="F39" s="169"/>
      <c r="G39" s="169"/>
      <c r="H39" s="169"/>
      <c r="I39" s="169"/>
    </row>
    <row r="40" spans="1:9" x14ac:dyDescent="0.3">
      <c r="B40" s="169"/>
      <c r="C40" s="169"/>
      <c r="D40" s="169"/>
      <c r="E40" s="169"/>
      <c r="F40" s="169"/>
      <c r="G40" s="169"/>
      <c r="H40" s="169"/>
      <c r="I40" s="169"/>
    </row>
    <row r="41" spans="1:9" x14ac:dyDescent="0.3">
      <c r="A41" t="s">
        <v>8590</v>
      </c>
      <c r="B41" s="169" t="s">
        <v>8631</v>
      </c>
      <c r="C41" s="169"/>
      <c r="D41" s="169"/>
      <c r="E41" s="169"/>
      <c r="F41" s="169"/>
      <c r="G41" s="169"/>
      <c r="H41" s="169"/>
      <c r="I41" s="169"/>
    </row>
    <row r="42" spans="1:9" x14ac:dyDescent="0.3">
      <c r="B42" s="169"/>
      <c r="C42" s="169"/>
      <c r="D42" s="169"/>
      <c r="E42" s="169"/>
      <c r="F42" s="169"/>
      <c r="G42" s="169"/>
      <c r="H42" s="169"/>
      <c r="I42" s="169"/>
    </row>
    <row r="43" spans="1:9" x14ac:dyDescent="0.3">
      <c r="A43" t="s">
        <v>8590</v>
      </c>
      <c r="B43" s="169" t="s">
        <v>8632</v>
      </c>
      <c r="C43" s="169"/>
      <c r="D43" s="169"/>
      <c r="E43" s="169"/>
      <c r="F43" s="169"/>
      <c r="G43" s="169"/>
      <c r="H43" s="169"/>
      <c r="I43" s="169"/>
    </row>
    <row r="44" spans="1:9" x14ac:dyDescent="0.3">
      <c r="B44" s="169"/>
      <c r="C44" s="169"/>
      <c r="D44" s="169"/>
      <c r="E44" s="169"/>
      <c r="F44" s="169"/>
      <c r="G44" s="169"/>
      <c r="H44" s="169"/>
      <c r="I44" s="169"/>
    </row>
    <row r="45" spans="1:9" x14ac:dyDescent="0.3">
      <c r="A45" t="s">
        <v>8590</v>
      </c>
      <c r="B45" s="169" t="s">
        <v>8633</v>
      </c>
      <c r="C45" s="169"/>
      <c r="D45" s="169"/>
      <c r="E45" s="169"/>
      <c r="F45" s="169"/>
      <c r="G45" s="169"/>
      <c r="H45" s="169"/>
      <c r="I45" s="169"/>
    </row>
    <row r="46" spans="1:9" x14ac:dyDescent="0.3">
      <c r="B46" s="169"/>
      <c r="C46" s="169"/>
      <c r="D46" s="169"/>
      <c r="E46" s="169"/>
      <c r="F46" s="169"/>
      <c r="G46" s="169"/>
      <c r="H46" s="169"/>
      <c r="I46" s="169"/>
    </row>
    <row r="47" spans="1:9" x14ac:dyDescent="0.3">
      <c r="A47" t="s">
        <v>8590</v>
      </c>
      <c r="B47" s="169" t="s">
        <v>8634</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361</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1516</v>
      </c>
      <c r="F60" s="106">
        <f t="shared" ref="F60:I60" si="0">F66</f>
        <v>2316</v>
      </c>
      <c r="G60" s="106">
        <f t="shared" si="0"/>
        <v>2134</v>
      </c>
      <c r="H60" s="106">
        <f t="shared" si="0"/>
        <v>2178</v>
      </c>
      <c r="I60" s="106">
        <f t="shared" si="0"/>
        <v>2537</v>
      </c>
    </row>
    <row r="61" spans="2:9" x14ac:dyDescent="0.3">
      <c r="B61" t="s">
        <v>351</v>
      </c>
      <c r="E61" s="106">
        <f>E75</f>
        <v>3053</v>
      </c>
      <c r="F61" s="106">
        <f t="shared" ref="F61:I61" si="1">F75</f>
        <v>3046</v>
      </c>
      <c r="G61" s="106">
        <f t="shared" si="1"/>
        <v>3737.5</v>
      </c>
      <c r="H61" s="106">
        <f t="shared" si="1"/>
        <v>4148.5</v>
      </c>
      <c r="I61" s="106">
        <f t="shared" si="1"/>
        <v>4731</v>
      </c>
    </row>
    <row r="62" spans="2:9" x14ac:dyDescent="0.3">
      <c r="B62" s="89" t="s">
        <v>59</v>
      </c>
      <c r="C62" s="89"/>
      <c r="D62" s="89"/>
      <c r="E62" s="90">
        <f>E60/E61</f>
        <v>0.49656075990828691</v>
      </c>
      <c r="F62" s="90">
        <f t="shared" ref="F62:I62" si="2">F60/F61</f>
        <v>0.76034143138542354</v>
      </c>
      <c r="G62" s="90">
        <f t="shared" si="2"/>
        <v>0.57096989966555189</v>
      </c>
      <c r="H62" s="90">
        <f t="shared" si="2"/>
        <v>0.52500903941183563</v>
      </c>
      <c r="I62" s="90">
        <f t="shared" si="2"/>
        <v>0.53625026421475375</v>
      </c>
    </row>
    <row r="64" spans="2:9" x14ac:dyDescent="0.3">
      <c r="B64" s="161" t="s">
        <v>352</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1516</v>
      </c>
      <c r="F66" s="106">
        <f>'Data Sheet'!H30</f>
        <v>2316</v>
      </c>
      <c r="G66" s="106">
        <f>'Data Sheet'!I30</f>
        <v>2134</v>
      </c>
      <c r="H66" s="106">
        <f>'Data Sheet'!J30</f>
        <v>2178</v>
      </c>
      <c r="I66" s="106">
        <f>'Data Sheet'!K30</f>
        <v>2537</v>
      </c>
    </row>
    <row r="67" spans="2:9" x14ac:dyDescent="0.3">
      <c r="B67" t="s">
        <v>330</v>
      </c>
      <c r="E67" s="106">
        <f>'Data Sheet'!G17</f>
        <v>14136</v>
      </c>
      <c r="F67" s="106">
        <f>'Data Sheet'!H17</f>
        <v>16301</v>
      </c>
      <c r="G67" s="106">
        <f>'Data Sheet'!I17</f>
        <v>16769</v>
      </c>
      <c r="H67" s="106">
        <f>'Data Sheet'!J17</f>
        <v>17943</v>
      </c>
      <c r="I67" s="106">
        <f>'Data Sheet'!K17</f>
        <v>19152</v>
      </c>
    </row>
    <row r="68" spans="2:9" x14ac:dyDescent="0.3">
      <c r="B68" s="89" t="s">
        <v>353</v>
      </c>
      <c r="C68" s="89"/>
      <c r="D68" s="89"/>
      <c r="E68" s="90">
        <f>E66/E67</f>
        <v>0.10724391624221845</v>
      </c>
      <c r="F68" s="90">
        <f t="shared" ref="F68:I68" si="3">F66/F67</f>
        <v>0.14207717317955953</v>
      </c>
      <c r="G68" s="90">
        <f t="shared" si="3"/>
        <v>0.12725863199952292</v>
      </c>
      <c r="H68" s="90">
        <f t="shared" si="3"/>
        <v>0.12138438388229393</v>
      </c>
      <c r="I68" s="90">
        <f t="shared" si="3"/>
        <v>0.13246658312447787</v>
      </c>
    </row>
    <row r="70" spans="2:9" x14ac:dyDescent="0.3">
      <c r="B70" t="s">
        <v>330</v>
      </c>
      <c r="E70" s="106">
        <f>E67</f>
        <v>14136</v>
      </c>
      <c r="F70" s="106">
        <f t="shared" ref="F70:I70" si="4">F67</f>
        <v>16301</v>
      </c>
      <c r="G70" s="106">
        <f t="shared" si="4"/>
        <v>16769</v>
      </c>
      <c r="H70" s="106">
        <f t="shared" si="4"/>
        <v>17943</v>
      </c>
      <c r="I70" s="106">
        <f t="shared" si="4"/>
        <v>19152</v>
      </c>
    </row>
    <row r="71" spans="2:9" x14ac:dyDescent="0.3">
      <c r="B71" t="s">
        <v>354</v>
      </c>
      <c r="E71" s="106">
        <f>SUM('Data Sheet'!F66:G66)/2</f>
        <v>7763.5</v>
      </c>
      <c r="F71" s="106">
        <f>SUM('Data Sheet'!G66:H66)/2</f>
        <v>8439</v>
      </c>
      <c r="G71" s="106">
        <f>SUM('Data Sheet'!H66:I66)/2</f>
        <v>9211.5</v>
      </c>
      <c r="H71" s="106">
        <f>SUM('Data Sheet'!I66:J66)/2</f>
        <v>8954.5</v>
      </c>
      <c r="I71" s="106">
        <f>SUM('Data Sheet'!J66:K66)/2</f>
        <v>9283.5</v>
      </c>
    </row>
    <row r="72" spans="2:9" x14ac:dyDescent="0.3">
      <c r="B72" s="89" t="s">
        <v>355</v>
      </c>
      <c r="C72" s="89"/>
      <c r="D72" s="89"/>
      <c r="E72" s="154">
        <f>E70/E71</f>
        <v>1.820828234687963</v>
      </c>
      <c r="F72" s="154">
        <f t="shared" ref="F72:I72" si="5">F70/F71</f>
        <v>1.9316269700201445</v>
      </c>
      <c r="G72" s="154">
        <f t="shared" si="5"/>
        <v>1.8204418390055908</v>
      </c>
      <c r="H72" s="154">
        <f t="shared" si="5"/>
        <v>2.0037969735886985</v>
      </c>
      <c r="I72" s="154">
        <f t="shared" si="5"/>
        <v>2.0630150266602034</v>
      </c>
    </row>
    <row r="74" spans="2:9" x14ac:dyDescent="0.3">
      <c r="B74" t="s">
        <v>354</v>
      </c>
      <c r="E74" s="106">
        <f>E71</f>
        <v>7763.5</v>
      </c>
      <c r="F74" s="106">
        <f t="shared" ref="F74:I74" si="6">F71</f>
        <v>8439</v>
      </c>
      <c r="G74" s="106">
        <f t="shared" si="6"/>
        <v>9211.5</v>
      </c>
      <c r="H74" s="106">
        <f t="shared" si="6"/>
        <v>8954.5</v>
      </c>
      <c r="I74" s="106">
        <f t="shared" si="6"/>
        <v>9283.5</v>
      </c>
    </row>
    <row r="75" spans="2:9" x14ac:dyDescent="0.3">
      <c r="B75" t="s">
        <v>351</v>
      </c>
      <c r="E75" s="106">
        <f>(SUM('Data Sheet'!F57:F58)+SUM('Data Sheet'!G57:G58))/2</f>
        <v>3053</v>
      </c>
      <c r="F75" s="106">
        <f>(SUM('Data Sheet'!G57:G58)+SUM('Data Sheet'!H57:H58))/2</f>
        <v>3046</v>
      </c>
      <c r="G75" s="106">
        <f>(SUM('Data Sheet'!H57:H58)+SUM('Data Sheet'!I57:I58))/2</f>
        <v>3737.5</v>
      </c>
      <c r="H75" s="106">
        <f>(SUM('Data Sheet'!I57:I58)+SUM('Data Sheet'!J57:J58))/2</f>
        <v>4148.5</v>
      </c>
      <c r="I75" s="106">
        <f>(SUM('Data Sheet'!J57:J58)+SUM('Data Sheet'!K57:K58))/2</f>
        <v>4731</v>
      </c>
    </row>
    <row r="76" spans="2:9" x14ac:dyDescent="0.3">
      <c r="B76" s="89" t="s">
        <v>356</v>
      </c>
      <c r="C76" s="89"/>
      <c r="D76" s="89"/>
      <c r="E76" s="100">
        <f>E74/E75</f>
        <v>2.5429086144775632</v>
      </c>
      <c r="F76" s="100">
        <f t="shared" ref="F76:I76" si="7">F74/F75</f>
        <v>2.7705187130663167</v>
      </c>
      <c r="G76" s="100">
        <f t="shared" si="7"/>
        <v>2.4646153846153847</v>
      </c>
      <c r="H76" s="100">
        <f t="shared" si="7"/>
        <v>2.15849102085091</v>
      </c>
      <c r="I76" s="100">
        <f t="shared" si="7"/>
        <v>1.9622701331642358</v>
      </c>
    </row>
    <row r="78" spans="2:9" x14ac:dyDescent="0.3">
      <c r="B78" s="89" t="s">
        <v>357</v>
      </c>
      <c r="C78" s="89"/>
      <c r="D78" s="89"/>
      <c r="E78" s="90">
        <f>E68*E72*E76</f>
        <v>0.49656075990828696</v>
      </c>
      <c r="F78" s="90">
        <f t="shared" ref="F78:I78" si="8">F68*F72*F76</f>
        <v>0.76034143138542354</v>
      </c>
      <c r="G78" s="90">
        <f t="shared" si="8"/>
        <v>0.57096989966555178</v>
      </c>
      <c r="H78" s="90">
        <f t="shared" si="8"/>
        <v>0.52500903941183563</v>
      </c>
      <c r="I78" s="90">
        <f t="shared" si="8"/>
        <v>0.53625026421475375</v>
      </c>
    </row>
    <row r="80" spans="2:9" x14ac:dyDescent="0.3">
      <c r="B80" s="161" t="s">
        <v>358</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1516</v>
      </c>
      <c r="F82" s="106">
        <f t="shared" ref="F82:I82" si="9">F66</f>
        <v>2316</v>
      </c>
      <c r="G82" s="106">
        <f t="shared" si="9"/>
        <v>2134</v>
      </c>
      <c r="H82" s="106">
        <f t="shared" si="9"/>
        <v>2178</v>
      </c>
      <c r="I82" s="106">
        <f t="shared" si="9"/>
        <v>2537</v>
      </c>
    </row>
    <row r="83" spans="2:9" x14ac:dyDescent="0.3">
      <c r="B83" t="s">
        <v>354</v>
      </c>
      <c r="E83" s="106">
        <f>E74</f>
        <v>7763.5</v>
      </c>
      <c r="F83" s="106">
        <f t="shared" ref="F83:I83" si="10">F74</f>
        <v>8439</v>
      </c>
      <c r="G83" s="106">
        <f t="shared" si="10"/>
        <v>9211.5</v>
      </c>
      <c r="H83" s="106">
        <f t="shared" si="10"/>
        <v>8954.5</v>
      </c>
      <c r="I83" s="106">
        <f t="shared" si="10"/>
        <v>9283.5</v>
      </c>
    </row>
    <row r="84" spans="2:9" x14ac:dyDescent="0.3">
      <c r="B84" s="89" t="s">
        <v>358</v>
      </c>
      <c r="C84" s="89"/>
      <c r="D84" s="89"/>
      <c r="E84" s="90">
        <f>E82/E83</f>
        <v>0.19527275069234237</v>
      </c>
      <c r="F84" s="90">
        <f t="shared" ref="F84:I84" si="11">F82/F83</f>
        <v>0.27444009953785992</v>
      </c>
      <c r="G84" s="90">
        <f t="shared" si="11"/>
        <v>0.23166693806654726</v>
      </c>
      <c r="H84" s="90">
        <f t="shared" si="11"/>
        <v>0.24322966106426935</v>
      </c>
      <c r="I84" s="90">
        <f t="shared" si="11"/>
        <v>0.27328055151613079</v>
      </c>
    </row>
    <row r="86" spans="2:9" x14ac:dyDescent="0.3">
      <c r="B86" s="161" t="s">
        <v>359</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1516</v>
      </c>
      <c r="F88" s="106">
        <f t="shared" ref="F88:I88" si="12">F66</f>
        <v>2316</v>
      </c>
      <c r="G88" s="106">
        <f t="shared" si="12"/>
        <v>2134</v>
      </c>
      <c r="H88" s="106">
        <f t="shared" si="12"/>
        <v>2178</v>
      </c>
      <c r="I88" s="106">
        <f t="shared" si="12"/>
        <v>2537</v>
      </c>
    </row>
    <row r="89" spans="2:9" x14ac:dyDescent="0.3">
      <c r="B89" t="s">
        <v>330</v>
      </c>
      <c r="E89" s="106">
        <f>E67</f>
        <v>14136</v>
      </c>
      <c r="F89" s="106">
        <f t="shared" ref="F89:I89" si="13">F67</f>
        <v>16301</v>
      </c>
      <c r="G89" s="106">
        <f t="shared" si="13"/>
        <v>16769</v>
      </c>
      <c r="H89" s="106">
        <f t="shared" si="13"/>
        <v>17943</v>
      </c>
      <c r="I89" s="106">
        <f t="shared" si="13"/>
        <v>19152</v>
      </c>
    </row>
    <row r="90" spans="2:9" x14ac:dyDescent="0.3">
      <c r="B90" s="89" t="s">
        <v>353</v>
      </c>
      <c r="C90" s="89"/>
      <c r="D90" s="89"/>
      <c r="E90" s="91">
        <f>E68</f>
        <v>0.10724391624221845</v>
      </c>
      <c r="F90" s="91">
        <f t="shared" ref="F90:I90" si="14">F68</f>
        <v>0.14207717317955953</v>
      </c>
      <c r="G90" s="91">
        <f t="shared" si="14"/>
        <v>0.12725863199952292</v>
      </c>
      <c r="H90" s="91">
        <f t="shared" si="14"/>
        <v>0.12138438388229393</v>
      </c>
      <c r="I90" s="91">
        <f t="shared" si="14"/>
        <v>0.13246658312447787</v>
      </c>
    </row>
    <row r="92" spans="2:9" x14ac:dyDescent="0.3">
      <c r="B92" t="s">
        <v>330</v>
      </c>
      <c r="E92" s="106">
        <f>E67</f>
        <v>14136</v>
      </c>
      <c r="F92" s="106">
        <f t="shared" ref="F92:I92" si="15">F67</f>
        <v>16301</v>
      </c>
      <c r="G92" s="106">
        <f t="shared" si="15"/>
        <v>16769</v>
      </c>
      <c r="H92" s="106">
        <f t="shared" si="15"/>
        <v>17943</v>
      </c>
      <c r="I92" s="106">
        <f t="shared" si="15"/>
        <v>19152</v>
      </c>
    </row>
    <row r="93" spans="2:9" x14ac:dyDescent="0.3">
      <c r="B93" t="s">
        <v>354</v>
      </c>
      <c r="E93" s="106">
        <f>E71</f>
        <v>7763.5</v>
      </c>
      <c r="F93" s="106">
        <f t="shared" ref="F93:I93" si="16">F71</f>
        <v>8439</v>
      </c>
      <c r="G93" s="106">
        <f t="shared" si="16"/>
        <v>9211.5</v>
      </c>
      <c r="H93" s="106">
        <f t="shared" si="16"/>
        <v>8954.5</v>
      </c>
      <c r="I93" s="106">
        <f t="shared" si="16"/>
        <v>9283.5</v>
      </c>
    </row>
    <row r="94" spans="2:9" x14ac:dyDescent="0.3">
      <c r="B94" s="89" t="s">
        <v>355</v>
      </c>
      <c r="C94" s="89"/>
      <c r="D94" s="89"/>
      <c r="E94" s="90">
        <f>E72</f>
        <v>1.820828234687963</v>
      </c>
      <c r="F94" s="90">
        <f t="shared" ref="F94:I94" si="17">F72</f>
        <v>1.9316269700201445</v>
      </c>
      <c r="G94" s="90">
        <f t="shared" si="17"/>
        <v>1.8204418390055908</v>
      </c>
      <c r="H94" s="90">
        <f t="shared" si="17"/>
        <v>2.0037969735886985</v>
      </c>
      <c r="I94" s="90">
        <f t="shared" si="17"/>
        <v>2.0630150266602034</v>
      </c>
    </row>
    <row r="96" spans="2:9" x14ac:dyDescent="0.3">
      <c r="B96" s="89" t="s">
        <v>360</v>
      </c>
      <c r="C96" s="89"/>
      <c r="D96" s="89"/>
      <c r="E96" s="90">
        <f>E90*E94</f>
        <v>0.19527275069234237</v>
      </c>
      <c r="F96" s="90">
        <f t="shared" ref="F96:I96" si="18">F90*F94</f>
        <v>0.27444009953785992</v>
      </c>
      <c r="G96" s="90">
        <f t="shared" si="18"/>
        <v>0.23166693806654723</v>
      </c>
      <c r="H96" s="90">
        <f t="shared" si="18"/>
        <v>0.24322966106426935</v>
      </c>
      <c r="I96" s="90">
        <f t="shared" si="18"/>
        <v>0.27328055151613079</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BRITANNIA INDUSTRIES LTD</v>
      </c>
      <c r="C2" s="93"/>
      <c r="D2" s="93"/>
      <c r="E2" s="93"/>
      <c r="F2" s="93"/>
      <c r="G2" s="93"/>
      <c r="H2" s="93"/>
      <c r="I2" s="93"/>
    </row>
    <row r="3" spans="1:9" x14ac:dyDescent="0.3">
      <c r="A3" s="93"/>
      <c r="B3" s="93" t="str">
        <f>CONCATENATE("(",VLOOKUP(B2,'List of Stocks'!B2:E5442,3,FALSE)," | ","BSE Code: ",VLOOKUP('Altman''s Z Score'!B2,'List of Stocks'!B2:E5442,2,FALSE))</f>
        <v>(BRITANNIA | BSE Code: 500825</v>
      </c>
      <c r="C3" s="93"/>
      <c r="D3" s="93"/>
      <c r="E3" s="93"/>
      <c r="F3" s="93"/>
      <c r="G3" s="93"/>
      <c r="H3" s="93"/>
      <c r="I3" s="93"/>
    </row>
    <row r="4" spans="1:9" ht="21" x14ac:dyDescent="0.4">
      <c r="A4" s="93"/>
      <c r="B4" s="98" t="str">
        <f>CONCATENATE(" ","INR "&amp;'Data Sheet'!B8)</f>
        <v xml:space="preserve"> INR 4929</v>
      </c>
      <c r="C4" s="93"/>
      <c r="D4" s="93"/>
      <c r="E4" s="93"/>
      <c r="F4" s="93"/>
      <c r="H4" s="93"/>
      <c r="I4" s="93"/>
    </row>
    <row r="5" spans="1:9" x14ac:dyDescent="0.3">
      <c r="B5" s="58" t="s">
        <v>8627</v>
      </c>
      <c r="C5" s="58"/>
      <c r="D5" s="58"/>
      <c r="E5" s="58"/>
      <c r="F5" s="58"/>
      <c r="G5" s="58"/>
      <c r="H5" s="58"/>
      <c r="I5" s="58"/>
    </row>
    <row r="6" spans="1:9" x14ac:dyDescent="0.3">
      <c r="B6" s="37" t="s">
        <v>8587</v>
      </c>
    </row>
    <row r="7" spans="1:9" ht="6.6" customHeight="1" x14ac:dyDescent="0.3"/>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8588</v>
      </c>
    </row>
    <row r="34" spans="1:9" ht="18" x14ac:dyDescent="0.35">
      <c r="B34" s="101" t="s">
        <v>8589</v>
      </c>
    </row>
    <row r="36" spans="1:9" x14ac:dyDescent="0.3">
      <c r="A36" t="s">
        <v>8590</v>
      </c>
      <c r="B36" s="169" t="s">
        <v>8629</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8590</v>
      </c>
      <c r="B38" s="169" t="s">
        <v>8630</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8590</v>
      </c>
      <c r="B40" s="169" t="s">
        <v>8631</v>
      </c>
      <c r="C40" s="169"/>
      <c r="D40" s="169"/>
      <c r="E40" s="169"/>
      <c r="F40" s="169"/>
      <c r="G40" s="169"/>
      <c r="H40" s="169"/>
      <c r="I40" s="169"/>
    </row>
    <row r="41" spans="1:9" x14ac:dyDescent="0.3">
      <c r="B41" s="169"/>
      <c r="C41" s="169"/>
      <c r="D41" s="169"/>
      <c r="E41" s="169"/>
      <c r="F41" s="169"/>
      <c r="G41" s="169"/>
      <c r="H41" s="169"/>
      <c r="I41" s="169"/>
    </row>
    <row r="42" spans="1:9" x14ac:dyDescent="0.3">
      <c r="A42" t="s">
        <v>8590</v>
      </c>
      <c r="B42" s="169" t="s">
        <v>8632</v>
      </c>
      <c r="C42" s="169"/>
      <c r="D42" s="169"/>
      <c r="E42" s="169"/>
      <c r="F42" s="169"/>
      <c r="G42" s="169"/>
      <c r="H42" s="169"/>
      <c r="I42" s="169"/>
    </row>
    <row r="43" spans="1:9" x14ac:dyDescent="0.3">
      <c r="B43" s="169"/>
      <c r="C43" s="169"/>
      <c r="D43" s="169"/>
      <c r="E43" s="169"/>
      <c r="F43" s="169"/>
      <c r="G43" s="169"/>
      <c r="H43" s="169"/>
      <c r="I43" s="169"/>
    </row>
    <row r="44" spans="1:9" x14ac:dyDescent="0.3">
      <c r="A44" t="s">
        <v>8590</v>
      </c>
      <c r="B44" s="169" t="s">
        <v>8633</v>
      </c>
      <c r="C44" s="169"/>
      <c r="D44" s="169"/>
      <c r="E44" s="169"/>
      <c r="F44" s="169"/>
      <c r="G44" s="169"/>
      <c r="H44" s="169"/>
      <c r="I44" s="169"/>
    </row>
    <row r="45" spans="1:9" x14ac:dyDescent="0.3">
      <c r="B45" s="169"/>
      <c r="C45" s="169"/>
      <c r="D45" s="169"/>
      <c r="E45" s="169"/>
      <c r="F45" s="169"/>
      <c r="G45" s="169"/>
      <c r="H45" s="169"/>
      <c r="I45" s="169"/>
    </row>
    <row r="46" spans="1:9" x14ac:dyDescent="0.3">
      <c r="A46" t="s">
        <v>8590</v>
      </c>
      <c r="B46" s="169" t="s">
        <v>8634</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8591</v>
      </c>
    </row>
    <row r="55" spans="2:9" x14ac:dyDescent="0.3">
      <c r="B55" s="39"/>
      <c r="C55" s="88"/>
      <c r="D55" s="88"/>
      <c r="E55" s="88"/>
      <c r="F55" s="88"/>
      <c r="G55" s="88"/>
      <c r="H55" s="88"/>
      <c r="I55" s="88"/>
    </row>
    <row r="57" spans="2:9" x14ac:dyDescent="0.3">
      <c r="B57" s="161" t="s">
        <v>8592</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988</v>
      </c>
      <c r="F59" s="106">
        <f>'Data Sheet'!H65-'Data Sheet'!H60</f>
        <v>447</v>
      </c>
      <c r="G59" s="106">
        <f>'Data Sheet'!I65-'Data Sheet'!I60</f>
        <v>281</v>
      </c>
      <c r="H59" s="106">
        <f>'Data Sheet'!J65-'Data Sheet'!J60</f>
        <v>-257</v>
      </c>
      <c r="I59" s="106">
        <f>'Data Sheet'!K65-'Data Sheet'!K60</f>
        <v>-11</v>
      </c>
    </row>
    <row r="60" spans="2:9" x14ac:dyDescent="0.3">
      <c r="B60" t="s">
        <v>96</v>
      </c>
      <c r="E60" s="106">
        <f>'Data Sheet'!G66</f>
        <v>7527</v>
      </c>
      <c r="F60" s="106">
        <f>'Data Sheet'!H66</f>
        <v>9351</v>
      </c>
      <c r="G60" s="106">
        <f>'Data Sheet'!I66</f>
        <v>9072</v>
      </c>
      <c r="H60" s="106">
        <f>'Data Sheet'!J66</f>
        <v>8837</v>
      </c>
      <c r="I60" s="106">
        <f>'Data Sheet'!K66</f>
        <v>9730</v>
      </c>
    </row>
    <row r="61" spans="2:9" x14ac:dyDescent="0.3">
      <c r="B61" s="89" t="s">
        <v>8593</v>
      </c>
      <c r="C61" s="89"/>
      <c r="D61" s="89"/>
      <c r="E61" s="90">
        <f>E59/E60</f>
        <v>0.13126079447322972</v>
      </c>
      <c r="F61" s="90">
        <f t="shared" ref="F61:I61" si="0">F59/F60</f>
        <v>4.7802374077638758E-2</v>
      </c>
      <c r="G61" s="90">
        <f t="shared" si="0"/>
        <v>3.0974426807760139E-2</v>
      </c>
      <c r="H61" s="90">
        <f t="shared" si="0"/>
        <v>-2.9082267737920109E-2</v>
      </c>
      <c r="I61" s="90">
        <f t="shared" si="0"/>
        <v>-1.1305241521068858E-3</v>
      </c>
    </row>
    <row r="63" spans="2:9" x14ac:dyDescent="0.3">
      <c r="B63" s="161" t="s">
        <v>8594</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2534</v>
      </c>
      <c r="F65" s="106">
        <f>'Data Sheet'!H58</f>
        <v>3510</v>
      </c>
      <c r="G65" s="106">
        <f>'Data Sheet'!I58</f>
        <v>3917</v>
      </c>
      <c r="H65" s="106">
        <f>'Data Sheet'!J58</f>
        <v>4332</v>
      </c>
      <c r="I65" s="106">
        <f>'Data Sheet'!K58</f>
        <v>5082</v>
      </c>
    </row>
    <row r="66" spans="2:9" x14ac:dyDescent="0.3">
      <c r="B66" t="s">
        <v>96</v>
      </c>
      <c r="E66" s="106">
        <f>E60</f>
        <v>7527</v>
      </c>
      <c r="F66" s="106">
        <f t="shared" ref="F66:I66" si="1">F60</f>
        <v>9351</v>
      </c>
      <c r="G66" s="106">
        <f t="shared" si="1"/>
        <v>9072</v>
      </c>
      <c r="H66" s="106">
        <f t="shared" si="1"/>
        <v>8837</v>
      </c>
      <c r="I66" s="106">
        <f t="shared" si="1"/>
        <v>9730</v>
      </c>
    </row>
    <row r="67" spans="2:9" x14ac:dyDescent="0.3">
      <c r="B67" s="89" t="s">
        <v>8594</v>
      </c>
      <c r="C67" s="89"/>
      <c r="D67" s="89"/>
      <c r="E67" s="90">
        <f>E65/E66</f>
        <v>0.33665470971170453</v>
      </c>
      <c r="F67" s="90">
        <f t="shared" ref="F67:I67" si="2">F65/F66</f>
        <v>0.37536092396535131</v>
      </c>
      <c r="G67" s="90">
        <f t="shared" si="2"/>
        <v>0.43176807760141095</v>
      </c>
      <c r="H67" s="90">
        <f t="shared" si="2"/>
        <v>0.49021161027498017</v>
      </c>
      <c r="I67" s="90">
        <f t="shared" si="2"/>
        <v>0.52230215827338133</v>
      </c>
    </row>
    <row r="69" spans="2:9" x14ac:dyDescent="0.3">
      <c r="B69" s="161" t="s">
        <v>8595</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2222</v>
      </c>
      <c r="F71" s="106">
        <f>'Intrinsic Valuation'!I47</f>
        <v>3202</v>
      </c>
      <c r="G71" s="106">
        <f>'Intrinsic Valuation'!J47</f>
        <v>3077</v>
      </c>
      <c r="H71" s="106">
        <f>'Intrinsic Valuation'!K47</f>
        <v>3066</v>
      </c>
      <c r="I71" s="106">
        <f>'Intrinsic Valuation'!L47</f>
        <v>3402</v>
      </c>
    </row>
    <row r="72" spans="2:9" x14ac:dyDescent="0.3">
      <c r="B72" t="s">
        <v>96</v>
      </c>
      <c r="E72" s="106">
        <f>E66</f>
        <v>7527</v>
      </c>
      <c r="F72" s="106">
        <f t="shared" ref="F72:I72" si="3">F66</f>
        <v>9351</v>
      </c>
      <c r="G72" s="106">
        <f t="shared" si="3"/>
        <v>9072</v>
      </c>
      <c r="H72" s="106">
        <f t="shared" si="3"/>
        <v>8837</v>
      </c>
      <c r="I72" s="106">
        <f t="shared" si="3"/>
        <v>9730</v>
      </c>
    </row>
    <row r="73" spans="2:9" x14ac:dyDescent="0.3">
      <c r="B73" s="89" t="s">
        <v>8595</v>
      </c>
      <c r="C73" s="89"/>
      <c r="D73" s="89"/>
      <c r="E73" s="90">
        <f>E71/E72</f>
        <v>0.29520393250963201</v>
      </c>
      <c r="F73" s="90">
        <f t="shared" ref="F73:I73" si="4">F71/F72</f>
        <v>0.34242327023847718</v>
      </c>
      <c r="G73" s="90">
        <f t="shared" si="4"/>
        <v>0.33917548500881833</v>
      </c>
      <c r="H73" s="90">
        <f t="shared" si="4"/>
        <v>0.34695032250763835</v>
      </c>
      <c r="I73" s="90">
        <f t="shared" si="4"/>
        <v>0.34964028776978417</v>
      </c>
    </row>
    <row r="75" spans="2:9" x14ac:dyDescent="0.3">
      <c r="B75" s="161" t="s">
        <v>8596</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8597</v>
      </c>
      <c r="E77" s="106">
        <f>'Data Sheet'!G90*'Data Sheet'!G93</f>
        <v>80912.399999999994</v>
      </c>
      <c r="F77" s="106">
        <f>'Data Sheet'!H90*'Data Sheet'!H93</f>
        <v>105886.79999999999</v>
      </c>
      <c r="G77" s="106">
        <f>'Data Sheet'!I90*'Data Sheet'!I93</f>
        <v>118141.20000000001</v>
      </c>
      <c r="H77" s="106">
        <f>'Data Sheet'!J90*'Data Sheet'!J93</f>
        <v>110290.79999999999</v>
      </c>
      <c r="I77" s="106">
        <f>'Data Sheet'!K90*'Data Sheet'!K93</f>
        <v>144060</v>
      </c>
    </row>
    <row r="78" spans="2:9" x14ac:dyDescent="0.3">
      <c r="B78" t="s">
        <v>8598</v>
      </c>
      <c r="E78" s="106">
        <f>SUM('Data Sheet'!G59:G60)</f>
        <v>4968</v>
      </c>
      <c r="F78" s="106">
        <f>SUM('Data Sheet'!H59:H60)</f>
        <v>5816</v>
      </c>
      <c r="G78" s="106">
        <f>SUM('Data Sheet'!I59:I60)</f>
        <v>5130</v>
      </c>
      <c r="H78" s="106">
        <f>SUM('Data Sheet'!J59:J60)</f>
        <v>4482</v>
      </c>
      <c r="I78" s="106">
        <f>SUM('Data Sheet'!K59:K60)</f>
        <v>4623</v>
      </c>
    </row>
    <row r="79" spans="2:9" x14ac:dyDescent="0.3">
      <c r="B79" s="89" t="s">
        <v>8596</v>
      </c>
      <c r="C79" s="89"/>
      <c r="D79" s="89"/>
      <c r="E79" s="90">
        <f>E77/E78</f>
        <v>16.28671497584541</v>
      </c>
      <c r="F79" s="90">
        <f t="shared" ref="F79:I79" si="5">F77/F78</f>
        <v>18.20612104539202</v>
      </c>
      <c r="G79" s="90">
        <f t="shared" si="5"/>
        <v>23.029473684210529</v>
      </c>
      <c r="H79" s="90">
        <f t="shared" si="5"/>
        <v>24.607496653279782</v>
      </c>
      <c r="I79" s="90">
        <f t="shared" si="5"/>
        <v>31.161583387410772</v>
      </c>
    </row>
    <row r="81" spans="2:9" x14ac:dyDescent="0.3">
      <c r="B81" s="161" t="s">
        <v>8600</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8599</v>
      </c>
      <c r="E83" s="106">
        <f>'Data Sheet'!G17</f>
        <v>14136</v>
      </c>
      <c r="F83" s="106">
        <f>'Data Sheet'!H17</f>
        <v>16301</v>
      </c>
      <c r="G83" s="106">
        <f>'Data Sheet'!I17</f>
        <v>16769</v>
      </c>
      <c r="H83" s="106">
        <f>'Data Sheet'!J17</f>
        <v>17943</v>
      </c>
      <c r="I83" s="106">
        <f>'Data Sheet'!K17</f>
        <v>19152</v>
      </c>
    </row>
    <row r="84" spans="2:9" x14ac:dyDescent="0.3">
      <c r="B84" t="s">
        <v>96</v>
      </c>
      <c r="E84" s="106">
        <f>E72</f>
        <v>7527</v>
      </c>
      <c r="F84" s="106">
        <f t="shared" ref="F84:I84" si="6">F72</f>
        <v>9351</v>
      </c>
      <c r="G84" s="106">
        <f t="shared" si="6"/>
        <v>9072</v>
      </c>
      <c r="H84" s="106">
        <f t="shared" si="6"/>
        <v>8837</v>
      </c>
      <c r="I84" s="106">
        <f t="shared" si="6"/>
        <v>9730</v>
      </c>
    </row>
    <row r="85" spans="2:9" x14ac:dyDescent="0.3">
      <c r="B85" s="89" t="s">
        <v>8600</v>
      </c>
      <c r="C85" s="89"/>
      <c r="D85" s="89"/>
      <c r="E85" s="91">
        <f>E83/E84</f>
        <v>1.8780390593862097</v>
      </c>
      <c r="F85" s="91">
        <f t="shared" ref="F85:I85" si="7">F83/F84</f>
        <v>1.7432360175382311</v>
      </c>
      <c r="G85" s="91">
        <f t="shared" si="7"/>
        <v>1.8484347442680775</v>
      </c>
      <c r="H85" s="91">
        <f t="shared" si="7"/>
        <v>2.030440194636189</v>
      </c>
      <c r="I85" s="91">
        <f t="shared" si="7"/>
        <v>1.9683453237410071</v>
      </c>
    </row>
    <row r="87" spans="2:9" x14ac:dyDescent="0.3">
      <c r="B87" s="161" t="s">
        <v>8601</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8602</v>
      </c>
      <c r="E89" s="76">
        <f>(1.2*E61)+(1.4*E67)+(3.3*E73)+(0.6*E79)+(E85*1)</f>
        <v>13.253070569139503</v>
      </c>
      <c r="F89" s="76">
        <f t="shared" ref="F89:I89" si="8">(1.2*F61)+(1.4*F67)+(3.3*F73)+(0.6*F79)+(F85*1)</f>
        <v>14.379773579005075</v>
      </c>
      <c r="G89" s="76">
        <f t="shared" si="8"/>
        <v>17.427042676134782</v>
      </c>
      <c r="H89" s="76">
        <f t="shared" si="8"/>
        <v>18.59127178397873</v>
      </c>
      <c r="I89" s="76">
        <f t="shared" si="8"/>
        <v>22.548974698427966</v>
      </c>
    </row>
    <row r="90" spans="2:9" x14ac:dyDescent="0.3">
      <c r="B90" t="s">
        <v>8603</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7858</v>
      </c>
      <c r="T4" s="48">
        <v>8397</v>
      </c>
      <c r="U4" s="48">
        <v>9054</v>
      </c>
      <c r="V4" s="48">
        <v>9914</v>
      </c>
      <c r="W4" s="48">
        <v>11055</v>
      </c>
      <c r="X4" s="48">
        <v>11600</v>
      </c>
      <c r="Y4" s="48">
        <v>13136</v>
      </c>
      <c r="Z4" s="48">
        <v>14136</v>
      </c>
      <c r="AA4" s="48">
        <v>16301</v>
      </c>
      <c r="AB4" s="48">
        <v>16769</v>
      </c>
      <c r="AC4" s="48">
        <v>17943</v>
      </c>
      <c r="AD4" s="48">
        <v>19152</v>
      </c>
      <c r="AE4" s="48">
        <v>19529</v>
      </c>
    </row>
    <row r="5" spans="2:31" x14ac:dyDescent="0.3">
      <c r="B5" s="35" t="s">
        <v>242</v>
      </c>
      <c r="C5" s="108">
        <v>24</v>
      </c>
      <c r="D5" s="47">
        <v>24</v>
      </c>
      <c r="E5" s="47">
        <v>24</v>
      </c>
      <c r="F5" s="47">
        <v>24</v>
      </c>
      <c r="G5" s="47">
        <v>24</v>
      </c>
      <c r="H5" s="47">
        <v>24</v>
      </c>
      <c r="I5" s="47">
        <v>24</v>
      </c>
      <c r="J5" s="47">
        <v>24</v>
      </c>
      <c r="K5" s="47">
        <v>24</v>
      </c>
      <c r="L5" s="47">
        <v>24</v>
      </c>
      <c r="M5" s="47">
        <v>24</v>
      </c>
      <c r="N5" s="47">
        <v>24</v>
      </c>
      <c r="R5" t="s">
        <v>282</v>
      </c>
      <c r="S5" s="48">
        <v>6988</v>
      </c>
      <c r="T5" s="48">
        <v>7174</v>
      </c>
      <c r="U5" s="48">
        <v>7776</v>
      </c>
      <c r="V5" s="48">
        <v>8413</v>
      </c>
      <c r="W5" s="48">
        <v>9322</v>
      </c>
      <c r="X5" s="48">
        <v>9756</v>
      </c>
      <c r="Y5" s="48">
        <v>10627</v>
      </c>
      <c r="Z5" s="48">
        <v>11935</v>
      </c>
      <c r="AA5" s="48">
        <v>13470</v>
      </c>
      <c r="AB5" s="48">
        <v>13603</v>
      </c>
      <c r="AC5" s="48">
        <v>14766</v>
      </c>
      <c r="AD5" s="48">
        <v>15637</v>
      </c>
      <c r="AE5" s="48">
        <v>15929</v>
      </c>
    </row>
    <row r="6" spans="2:31" x14ac:dyDescent="0.3">
      <c r="B6" t="s">
        <v>25</v>
      </c>
      <c r="C6" s="48">
        <v>1221</v>
      </c>
      <c r="D6" s="48">
        <v>2068</v>
      </c>
      <c r="E6" s="48">
        <v>2672</v>
      </c>
      <c r="F6" s="48">
        <v>3382</v>
      </c>
      <c r="G6" s="48">
        <v>4229</v>
      </c>
      <c r="H6" s="48">
        <v>4379</v>
      </c>
      <c r="I6" s="48">
        <v>3524</v>
      </c>
      <c r="J6" s="48">
        <v>2534</v>
      </c>
      <c r="K6" s="48">
        <v>3510</v>
      </c>
      <c r="L6" s="48">
        <v>3917</v>
      </c>
      <c r="M6" s="48">
        <v>4332</v>
      </c>
      <c r="N6" s="48">
        <v>5082</v>
      </c>
      <c r="O6" s="48"/>
      <c r="R6" t="s">
        <v>8</v>
      </c>
      <c r="S6" s="48">
        <v>870</v>
      </c>
      <c r="T6" s="48">
        <v>1224</v>
      </c>
      <c r="U6" s="48">
        <v>1278</v>
      </c>
      <c r="V6" s="48">
        <v>1501</v>
      </c>
      <c r="W6" s="48">
        <v>1732</v>
      </c>
      <c r="X6" s="48">
        <v>1843</v>
      </c>
      <c r="Y6" s="48">
        <v>2509</v>
      </c>
      <c r="Z6" s="48">
        <v>2201</v>
      </c>
      <c r="AA6" s="48">
        <v>2831</v>
      </c>
      <c r="AB6" s="48">
        <v>3167</v>
      </c>
      <c r="AC6" s="48">
        <v>3176</v>
      </c>
      <c r="AD6" s="48">
        <v>3514</v>
      </c>
      <c r="AE6" s="48">
        <v>3600</v>
      </c>
    </row>
    <row r="7" spans="2:31" x14ac:dyDescent="0.3">
      <c r="B7" s="48" t="s">
        <v>243</v>
      </c>
      <c r="C7" s="48">
        <v>145</v>
      </c>
      <c r="D7" s="48">
        <v>131</v>
      </c>
      <c r="E7" s="48">
        <v>125</v>
      </c>
      <c r="F7" s="48">
        <v>201</v>
      </c>
      <c r="G7" s="48">
        <v>156</v>
      </c>
      <c r="H7" s="48">
        <v>1538</v>
      </c>
      <c r="I7" s="48">
        <v>2107</v>
      </c>
      <c r="J7" s="48">
        <v>2481</v>
      </c>
      <c r="K7" s="48">
        <v>2997</v>
      </c>
      <c r="L7" s="48">
        <v>2065</v>
      </c>
      <c r="M7" s="48">
        <v>1247</v>
      </c>
      <c r="N7" s="48">
        <v>1380</v>
      </c>
      <c r="O7" s="48"/>
      <c r="R7" t="s">
        <v>283</v>
      </c>
      <c r="S7" s="75">
        <v>11</v>
      </c>
      <c r="T7" s="75">
        <v>15</v>
      </c>
      <c r="U7" s="75">
        <v>14</v>
      </c>
      <c r="V7" s="75">
        <v>15</v>
      </c>
      <c r="W7" s="75">
        <v>16</v>
      </c>
      <c r="X7" s="75">
        <v>16</v>
      </c>
      <c r="Y7" s="75">
        <v>19</v>
      </c>
      <c r="Z7" s="75">
        <v>16</v>
      </c>
      <c r="AA7" s="75">
        <v>17</v>
      </c>
      <c r="AB7" s="75">
        <v>19</v>
      </c>
      <c r="AC7" s="75">
        <v>18</v>
      </c>
      <c r="AD7" s="75">
        <v>18</v>
      </c>
      <c r="AE7" s="75">
        <v>18</v>
      </c>
    </row>
    <row r="8" spans="2:31" x14ac:dyDescent="0.3">
      <c r="B8" s="48" t="s">
        <v>244</v>
      </c>
      <c r="C8" s="48">
        <v>43</v>
      </c>
      <c r="D8" s="48">
        <v>38</v>
      </c>
      <c r="E8" s="48">
        <v>31</v>
      </c>
      <c r="F8" s="48">
        <v>85</v>
      </c>
      <c r="G8" s="48">
        <v>62</v>
      </c>
      <c r="H8" s="48">
        <v>766</v>
      </c>
      <c r="I8" s="48">
        <v>748</v>
      </c>
      <c r="J8" s="48">
        <v>707</v>
      </c>
      <c r="K8" s="48">
        <v>1552</v>
      </c>
      <c r="L8" s="48">
        <v>905</v>
      </c>
      <c r="M8" s="48">
        <v>713</v>
      </c>
      <c r="N8" s="48">
        <v>286</v>
      </c>
      <c r="R8" t="s">
        <v>284</v>
      </c>
      <c r="S8" s="48">
        <v>228</v>
      </c>
      <c r="T8" s="48">
        <v>115</v>
      </c>
      <c r="U8" s="48">
        <v>151</v>
      </c>
      <c r="V8" s="48">
        <v>166</v>
      </c>
      <c r="W8" s="48">
        <v>206</v>
      </c>
      <c r="X8" s="48">
        <v>263</v>
      </c>
      <c r="Y8" s="48">
        <v>313</v>
      </c>
      <c r="Z8" s="48">
        <v>222</v>
      </c>
      <c r="AA8" s="48">
        <v>597</v>
      </c>
      <c r="AB8" s="48">
        <v>211</v>
      </c>
      <c r="AC8" s="48">
        <v>202</v>
      </c>
      <c r="AD8" s="48">
        <v>224</v>
      </c>
      <c r="AE8" s="48">
        <v>228</v>
      </c>
    </row>
    <row r="9" spans="2:31" x14ac:dyDescent="0.3">
      <c r="B9" t="s">
        <v>245</v>
      </c>
      <c r="C9">
        <v>97</v>
      </c>
      <c r="D9">
        <v>86</v>
      </c>
      <c r="E9">
        <v>84</v>
      </c>
      <c r="F9">
        <v>94</v>
      </c>
      <c r="G9">
        <v>76</v>
      </c>
      <c r="H9">
        <v>748</v>
      </c>
      <c r="I9">
        <v>1339</v>
      </c>
      <c r="J9">
        <v>1759</v>
      </c>
      <c r="K9">
        <v>1429</v>
      </c>
      <c r="L9">
        <v>1136</v>
      </c>
      <c r="M9">
        <v>512</v>
      </c>
      <c r="N9" s="48">
        <v>1072</v>
      </c>
      <c r="R9" t="s">
        <v>11</v>
      </c>
      <c r="S9">
        <v>4</v>
      </c>
      <c r="T9">
        <v>5</v>
      </c>
      <c r="U9">
        <v>5</v>
      </c>
      <c r="V9">
        <v>8</v>
      </c>
      <c r="W9">
        <v>9</v>
      </c>
      <c r="X9">
        <v>77</v>
      </c>
      <c r="Y9">
        <v>111</v>
      </c>
      <c r="Z9">
        <v>144</v>
      </c>
      <c r="AA9">
        <v>169</v>
      </c>
      <c r="AB9">
        <v>164</v>
      </c>
      <c r="AC9">
        <v>139</v>
      </c>
      <c r="AD9">
        <v>113</v>
      </c>
      <c r="AE9">
        <v>109</v>
      </c>
    </row>
    <row r="10" spans="2:31" x14ac:dyDescent="0.3">
      <c r="B10" t="s">
        <v>246</v>
      </c>
      <c r="C10">
        <v>0</v>
      </c>
      <c r="D10">
        <v>0</v>
      </c>
      <c r="E10">
        <v>0</v>
      </c>
      <c r="F10">
        <v>0</v>
      </c>
      <c r="G10">
        <v>0</v>
      </c>
      <c r="H10">
        <v>0</v>
      </c>
      <c r="I10">
        <v>0</v>
      </c>
      <c r="J10">
        <v>16</v>
      </c>
      <c r="K10">
        <v>17</v>
      </c>
      <c r="L10">
        <v>24</v>
      </c>
      <c r="M10">
        <v>22</v>
      </c>
      <c r="N10">
        <v>22</v>
      </c>
      <c r="O10" s="48"/>
      <c r="R10" t="s">
        <v>10</v>
      </c>
      <c r="S10" s="48">
        <v>144</v>
      </c>
      <c r="T10" s="48">
        <v>113</v>
      </c>
      <c r="U10" s="48">
        <v>119</v>
      </c>
      <c r="V10" s="48">
        <v>142</v>
      </c>
      <c r="W10" s="48">
        <v>162</v>
      </c>
      <c r="X10" s="48">
        <v>185</v>
      </c>
      <c r="Y10" s="48">
        <v>198</v>
      </c>
      <c r="Z10" s="48">
        <v>201</v>
      </c>
      <c r="AA10" s="48">
        <v>226</v>
      </c>
      <c r="AB10" s="48">
        <v>300</v>
      </c>
      <c r="AC10" s="48">
        <v>313</v>
      </c>
      <c r="AD10" s="48">
        <v>337</v>
      </c>
      <c r="AE10" s="48">
        <v>334</v>
      </c>
    </row>
    <row r="11" spans="2:31" x14ac:dyDescent="0.3">
      <c r="B11" s="48" t="s">
        <v>8606</v>
      </c>
      <c r="C11" s="48">
        <v>5</v>
      </c>
      <c r="D11" s="48">
        <v>7</v>
      </c>
      <c r="E11" s="48">
        <v>9</v>
      </c>
      <c r="F11" s="48">
        <v>22</v>
      </c>
      <c r="G11" s="48">
        <v>18</v>
      </c>
      <c r="H11" s="48">
        <v>24</v>
      </c>
      <c r="I11" s="48">
        <v>20</v>
      </c>
      <c r="J11" s="48">
        <v>0</v>
      </c>
      <c r="K11" s="48">
        <v>0</v>
      </c>
      <c r="L11" s="48">
        <v>0</v>
      </c>
      <c r="M11" s="48">
        <v>0</v>
      </c>
      <c r="N11" s="48">
        <v>0</v>
      </c>
      <c r="O11" s="48"/>
      <c r="R11" t="s">
        <v>12</v>
      </c>
      <c r="S11" s="48">
        <v>950</v>
      </c>
      <c r="T11" s="48">
        <v>1220</v>
      </c>
      <c r="U11" s="48">
        <v>1304</v>
      </c>
      <c r="V11" s="48">
        <v>1518</v>
      </c>
      <c r="W11" s="48">
        <v>1768</v>
      </c>
      <c r="X11" s="48">
        <v>1844</v>
      </c>
      <c r="Y11" s="48">
        <v>2514</v>
      </c>
      <c r="Z11" s="48">
        <v>2078</v>
      </c>
      <c r="AA11" s="48">
        <v>3033</v>
      </c>
      <c r="AB11" s="48">
        <v>2913</v>
      </c>
      <c r="AC11" s="48">
        <v>2927</v>
      </c>
      <c r="AD11" s="48">
        <v>3289</v>
      </c>
      <c r="AE11" s="48">
        <v>3385</v>
      </c>
    </row>
    <row r="12" spans="2:31" x14ac:dyDescent="0.3">
      <c r="B12" s="48" t="s">
        <v>247</v>
      </c>
      <c r="C12" s="48">
        <v>1403</v>
      </c>
      <c r="D12" s="48">
        <v>1271</v>
      </c>
      <c r="E12" s="48">
        <v>1288</v>
      </c>
      <c r="F12" s="48">
        <v>1581</v>
      </c>
      <c r="G12" s="48">
        <v>1829</v>
      </c>
      <c r="H12" s="48">
        <v>1889</v>
      </c>
      <c r="I12" s="48">
        <v>2345</v>
      </c>
      <c r="J12" s="48">
        <v>2487</v>
      </c>
      <c r="K12" s="48">
        <v>2819</v>
      </c>
      <c r="L12" s="48">
        <v>3065</v>
      </c>
      <c r="M12" s="48">
        <v>3235</v>
      </c>
      <c r="N12" s="48">
        <v>3243</v>
      </c>
      <c r="R12" t="s">
        <v>285</v>
      </c>
      <c r="S12" s="75">
        <v>28</v>
      </c>
      <c r="T12" s="75">
        <v>32</v>
      </c>
      <c r="U12" s="75">
        <v>32</v>
      </c>
      <c r="V12" s="75">
        <v>34</v>
      </c>
      <c r="W12" s="75">
        <v>35</v>
      </c>
      <c r="X12" s="75">
        <v>24</v>
      </c>
      <c r="Y12" s="75">
        <v>26</v>
      </c>
      <c r="Z12" s="75">
        <v>27</v>
      </c>
      <c r="AA12" s="75">
        <v>24</v>
      </c>
      <c r="AB12" s="75">
        <v>27</v>
      </c>
      <c r="AC12" s="75">
        <v>26</v>
      </c>
      <c r="AD12" s="75">
        <v>23</v>
      </c>
      <c r="AE12">
        <v>0</v>
      </c>
    </row>
    <row r="13" spans="2:31" x14ac:dyDescent="0.3">
      <c r="B13" t="s">
        <v>248</v>
      </c>
      <c r="C13">
        <v>2</v>
      </c>
      <c r="D13">
        <v>2</v>
      </c>
      <c r="E13">
        <v>3</v>
      </c>
      <c r="F13">
        <v>13</v>
      </c>
      <c r="G13">
        <v>33</v>
      </c>
      <c r="H13">
        <v>36</v>
      </c>
      <c r="I13">
        <v>36</v>
      </c>
      <c r="J13">
        <v>28</v>
      </c>
      <c r="K13">
        <v>30</v>
      </c>
      <c r="L13">
        <v>24</v>
      </c>
      <c r="M13">
        <v>26</v>
      </c>
      <c r="N13">
        <v>29</v>
      </c>
      <c r="O13" s="48"/>
      <c r="R13" t="s">
        <v>286</v>
      </c>
      <c r="S13" s="48">
        <v>689</v>
      </c>
      <c r="T13" s="48">
        <v>825</v>
      </c>
      <c r="U13" s="48">
        <v>885</v>
      </c>
      <c r="V13" s="48">
        <v>1004</v>
      </c>
      <c r="W13" s="48">
        <v>1155</v>
      </c>
      <c r="X13" s="48">
        <v>1394</v>
      </c>
      <c r="Y13" s="48">
        <v>1851</v>
      </c>
      <c r="Z13" s="48">
        <v>1516</v>
      </c>
      <c r="AA13" s="48">
        <v>2316</v>
      </c>
      <c r="AB13" s="48">
        <v>2134</v>
      </c>
      <c r="AC13" s="48">
        <v>2178</v>
      </c>
      <c r="AD13" s="48">
        <v>2537</v>
      </c>
      <c r="AE13" s="48">
        <v>2610</v>
      </c>
    </row>
    <row r="14" spans="2:31" x14ac:dyDescent="0.3">
      <c r="B14" s="48" t="s">
        <v>249</v>
      </c>
      <c r="C14" s="48">
        <v>703</v>
      </c>
      <c r="D14" s="48">
        <v>769</v>
      </c>
      <c r="E14" s="48">
        <v>757</v>
      </c>
      <c r="F14" s="48">
        <v>994</v>
      </c>
      <c r="G14" s="48">
        <v>1141</v>
      </c>
      <c r="H14" s="48">
        <v>1047</v>
      </c>
      <c r="I14" s="48">
        <v>1315</v>
      </c>
      <c r="J14" s="48">
        <v>1323</v>
      </c>
      <c r="K14" s="48">
        <v>1449</v>
      </c>
      <c r="L14" s="48">
        <v>1627</v>
      </c>
      <c r="M14" s="48">
        <v>1752</v>
      </c>
      <c r="N14" s="48">
        <v>1896</v>
      </c>
      <c r="S14">
        <v>28.71</v>
      </c>
      <c r="T14">
        <v>34.36</v>
      </c>
      <c r="U14">
        <v>36.85</v>
      </c>
      <c r="V14">
        <v>41.83</v>
      </c>
      <c r="W14">
        <v>48.23</v>
      </c>
      <c r="X14">
        <v>58.33</v>
      </c>
      <c r="Y14">
        <v>77.38</v>
      </c>
      <c r="Z14">
        <v>63.31</v>
      </c>
      <c r="AA14">
        <v>96.39</v>
      </c>
      <c r="AB14">
        <v>88.84</v>
      </c>
      <c r="AC14">
        <v>90.45</v>
      </c>
      <c r="AD14">
        <v>105.18</v>
      </c>
      <c r="AE14">
        <v>108.11</v>
      </c>
    </row>
    <row r="15" spans="2:31" x14ac:dyDescent="0.3">
      <c r="B15" t="s">
        <v>250</v>
      </c>
      <c r="C15">
        <v>18</v>
      </c>
      <c r="D15">
        <v>16</v>
      </c>
      <c r="E15">
        <v>17</v>
      </c>
      <c r="F15">
        <v>31</v>
      </c>
      <c r="G15">
        <v>41</v>
      </c>
      <c r="H15">
        <v>78</v>
      </c>
      <c r="I15">
        <v>55</v>
      </c>
      <c r="J15" s="48">
        <v>34</v>
      </c>
      <c r="K15" s="48">
        <v>55</v>
      </c>
      <c r="L15">
        <v>42</v>
      </c>
      <c r="M15" s="48">
        <v>46</v>
      </c>
      <c r="N15" s="48">
        <v>53</v>
      </c>
      <c r="O15" s="48"/>
      <c r="S15">
        <v>28</v>
      </c>
      <c r="T15">
        <v>29</v>
      </c>
      <c r="U15">
        <v>30</v>
      </c>
      <c r="V15">
        <v>30</v>
      </c>
      <c r="W15">
        <v>31</v>
      </c>
      <c r="X15">
        <v>60</v>
      </c>
      <c r="Y15">
        <v>204</v>
      </c>
      <c r="Z15">
        <v>89</v>
      </c>
      <c r="AA15">
        <v>75</v>
      </c>
      <c r="AB15">
        <v>83</v>
      </c>
      <c r="AC15">
        <v>83</v>
      </c>
      <c r="AD15">
        <v>86</v>
      </c>
      <c r="AE15">
        <v>0</v>
      </c>
    </row>
    <row r="16" spans="2:31" x14ac:dyDescent="0.3">
      <c r="B16" s="48" t="s">
        <v>251</v>
      </c>
      <c r="C16" s="48">
        <v>680</v>
      </c>
      <c r="D16" s="48">
        <v>483</v>
      </c>
      <c r="E16" s="48">
        <v>511</v>
      </c>
      <c r="F16" s="48">
        <v>543</v>
      </c>
      <c r="G16" s="48">
        <v>615</v>
      </c>
      <c r="H16" s="48">
        <v>729</v>
      </c>
      <c r="I16" s="48">
        <v>940</v>
      </c>
      <c r="J16" s="48">
        <v>1103</v>
      </c>
      <c r="K16" s="48">
        <v>1285</v>
      </c>
      <c r="L16" s="48">
        <v>1371</v>
      </c>
      <c r="M16" s="48">
        <v>1410</v>
      </c>
      <c r="N16" s="48">
        <v>1265</v>
      </c>
      <c r="O16" s="48"/>
    </row>
    <row r="17" spans="2:30" x14ac:dyDescent="0.3">
      <c r="C17" s="48"/>
      <c r="D17" s="48"/>
      <c r="E17" s="48"/>
      <c r="F17" s="48"/>
      <c r="G17" s="48"/>
      <c r="H17" s="48"/>
      <c r="I17" s="48"/>
      <c r="J17" s="48"/>
      <c r="K17" s="48"/>
      <c r="L17" s="48"/>
      <c r="M17" s="48"/>
      <c r="N17" s="48"/>
      <c r="O17" s="73"/>
    </row>
    <row r="18" spans="2:30" x14ac:dyDescent="0.3">
      <c r="B18" s="57" t="s">
        <v>95</v>
      </c>
      <c r="C18" s="71">
        <v>2793</v>
      </c>
      <c r="D18" s="71">
        <v>3494</v>
      </c>
      <c r="E18" s="71">
        <v>4109</v>
      </c>
      <c r="F18" s="71">
        <v>5188</v>
      </c>
      <c r="G18" s="71">
        <v>6238</v>
      </c>
      <c r="H18" s="71">
        <v>7830</v>
      </c>
      <c r="I18" s="71">
        <v>8000</v>
      </c>
      <c r="J18" s="71">
        <v>7527</v>
      </c>
      <c r="K18" s="71">
        <v>9351</v>
      </c>
      <c r="L18" s="71">
        <v>9072</v>
      </c>
      <c r="M18" s="71">
        <v>8837</v>
      </c>
      <c r="N18" s="71">
        <v>9730</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584</v>
      </c>
      <c r="T19" s="48">
        <v>959</v>
      </c>
      <c r="U19" s="48">
        <v>441</v>
      </c>
      <c r="V19" s="48">
        <v>1249</v>
      </c>
      <c r="W19" s="48">
        <v>1156</v>
      </c>
      <c r="X19" s="48">
        <v>1485</v>
      </c>
      <c r="Y19" s="48">
        <v>1851</v>
      </c>
      <c r="Z19" s="48">
        <v>1300</v>
      </c>
      <c r="AA19" s="48">
        <v>2526</v>
      </c>
      <c r="AB19" s="48">
        <v>2573</v>
      </c>
      <c r="AC19" s="48">
        <v>2491</v>
      </c>
      <c r="AD19" s="48">
        <v>2612</v>
      </c>
    </row>
    <row r="20" spans="2:30" x14ac:dyDescent="0.3">
      <c r="C20" s="48"/>
      <c r="D20" s="48"/>
      <c r="E20" s="48"/>
      <c r="F20" s="48"/>
      <c r="G20" s="48"/>
      <c r="H20" s="48"/>
      <c r="I20" s="48"/>
      <c r="J20" s="48"/>
      <c r="K20" s="48"/>
      <c r="L20" s="48"/>
      <c r="M20" s="48"/>
      <c r="N20" s="48"/>
      <c r="O20" s="48"/>
      <c r="R20" t="s">
        <v>130</v>
      </c>
      <c r="S20" s="48">
        <v>861</v>
      </c>
      <c r="T20" s="48">
        <v>1230</v>
      </c>
      <c r="U20" s="48">
        <v>1289</v>
      </c>
      <c r="V20" s="48">
        <v>1517</v>
      </c>
      <c r="W20" s="48">
        <v>1754</v>
      </c>
      <c r="X20" s="48">
        <v>1860</v>
      </c>
      <c r="Y20" s="48">
        <v>2540</v>
      </c>
      <c r="Z20" s="48">
        <v>2214</v>
      </c>
      <c r="AA20" s="48">
        <v>2846</v>
      </c>
      <c r="AB20" s="48">
        <v>3177</v>
      </c>
      <c r="AC20" s="48">
        <v>3174</v>
      </c>
      <c r="AD20" s="48">
        <v>3555</v>
      </c>
    </row>
    <row r="21" spans="2:30" x14ac:dyDescent="0.3">
      <c r="B21" s="73" t="s">
        <v>252</v>
      </c>
      <c r="C21" s="73">
        <v>844</v>
      </c>
      <c r="D21" s="73">
        <v>950</v>
      </c>
      <c r="E21" s="73">
        <v>1160</v>
      </c>
      <c r="F21" s="73">
        <v>1346</v>
      </c>
      <c r="G21" s="73">
        <v>1688</v>
      </c>
      <c r="H21" s="73">
        <v>1878</v>
      </c>
      <c r="I21" s="73">
        <v>1793</v>
      </c>
      <c r="J21" s="73">
        <v>1753</v>
      </c>
      <c r="K21" s="73">
        <v>2655</v>
      </c>
      <c r="L21" s="73">
        <v>2771</v>
      </c>
      <c r="M21" s="73">
        <v>2904</v>
      </c>
      <c r="N21" s="73">
        <v>2850</v>
      </c>
      <c r="R21" t="s">
        <v>78</v>
      </c>
      <c r="S21">
        <v>-25</v>
      </c>
      <c r="T21">
        <v>-32</v>
      </c>
      <c r="U21">
        <v>-9</v>
      </c>
      <c r="V21">
        <v>-125</v>
      </c>
      <c r="W21">
        <v>-87</v>
      </c>
      <c r="X21" s="48">
        <v>79</v>
      </c>
      <c r="Y21">
        <v>61</v>
      </c>
      <c r="Z21">
        <v>-72</v>
      </c>
      <c r="AA21">
        <v>1</v>
      </c>
      <c r="AB21">
        <v>-64</v>
      </c>
      <c r="AC21" s="48">
        <v>-53</v>
      </c>
      <c r="AD21">
        <v>-13</v>
      </c>
    </row>
    <row r="22" spans="2:30" x14ac:dyDescent="0.3">
      <c r="B22" s="48" t="s">
        <v>253</v>
      </c>
      <c r="C22" s="48">
        <v>107</v>
      </c>
      <c r="D22" s="48">
        <v>105</v>
      </c>
      <c r="E22" s="48">
        <v>128</v>
      </c>
      <c r="F22" s="48">
        <v>246</v>
      </c>
      <c r="G22" s="48">
        <v>247</v>
      </c>
      <c r="H22" s="48">
        <v>319</v>
      </c>
      <c r="I22" s="48">
        <v>326</v>
      </c>
      <c r="J22" s="48">
        <v>334</v>
      </c>
      <c r="K22" s="48">
        <v>376</v>
      </c>
      <c r="L22" s="48">
        <v>384</v>
      </c>
      <c r="M22" s="48">
        <v>395</v>
      </c>
      <c r="N22" s="48">
        <v>397</v>
      </c>
      <c r="O22" s="48"/>
      <c r="R22" t="s">
        <v>45</v>
      </c>
      <c r="S22">
        <v>17</v>
      </c>
      <c r="T22">
        <v>-35</v>
      </c>
      <c r="U22">
        <v>-221</v>
      </c>
      <c r="V22">
        <v>9</v>
      </c>
      <c r="W22">
        <v>-127</v>
      </c>
      <c r="X22">
        <v>43</v>
      </c>
      <c r="Y22" s="48">
        <v>-351</v>
      </c>
      <c r="Z22">
        <v>-275</v>
      </c>
      <c r="AA22" s="48">
        <v>177</v>
      </c>
      <c r="AB22" s="48">
        <v>13</v>
      </c>
      <c r="AC22" s="48">
        <v>-54</v>
      </c>
      <c r="AD22" s="48">
        <v>-105</v>
      </c>
    </row>
    <row r="23" spans="2:30" x14ac:dyDescent="0.3">
      <c r="B23" s="48" t="s">
        <v>254</v>
      </c>
      <c r="C23" s="48">
        <v>346</v>
      </c>
      <c r="D23" s="48">
        <v>316</v>
      </c>
      <c r="E23" s="48">
        <v>376</v>
      </c>
      <c r="F23" s="48">
        <v>515</v>
      </c>
      <c r="G23" s="48">
        <v>660</v>
      </c>
      <c r="H23" s="48">
        <v>732</v>
      </c>
      <c r="I23" s="48">
        <v>758</v>
      </c>
      <c r="J23" s="48">
        <v>782</v>
      </c>
      <c r="K23" s="48">
        <v>1143</v>
      </c>
      <c r="L23" s="48">
        <v>1298</v>
      </c>
      <c r="M23" s="48">
        <v>1395</v>
      </c>
      <c r="N23" s="48">
        <v>1429</v>
      </c>
      <c r="O23" s="48"/>
      <c r="R23" t="s">
        <v>131</v>
      </c>
      <c r="S23">
        <v>0</v>
      </c>
      <c r="T23">
        <v>0</v>
      </c>
      <c r="U23">
        <v>0</v>
      </c>
      <c r="V23" s="48">
        <v>0</v>
      </c>
      <c r="W23">
        <v>0</v>
      </c>
      <c r="X23">
        <v>0</v>
      </c>
      <c r="Y23" s="48">
        <v>0</v>
      </c>
      <c r="Z23" s="48">
        <v>64</v>
      </c>
      <c r="AA23" s="48">
        <v>292</v>
      </c>
      <c r="AB23">
        <v>237</v>
      </c>
      <c r="AC23" s="48">
        <v>202</v>
      </c>
      <c r="AD23">
        <v>25</v>
      </c>
    </row>
    <row r="24" spans="2:30" x14ac:dyDescent="0.3">
      <c r="B24" s="48" t="s">
        <v>255</v>
      </c>
      <c r="C24" s="48">
        <v>981</v>
      </c>
      <c r="D24" s="48">
        <v>447</v>
      </c>
      <c r="E24" s="48">
        <v>641</v>
      </c>
      <c r="F24" s="48">
        <v>705</v>
      </c>
      <c r="G24" s="48">
        <v>1053</v>
      </c>
      <c r="H24" s="48">
        <v>1305</v>
      </c>
      <c r="I24" s="48">
        <v>1407</v>
      </c>
      <c r="J24" s="48">
        <v>1546</v>
      </c>
      <c r="K24" s="48">
        <v>2303</v>
      </c>
      <c r="L24" s="48">
        <v>2543</v>
      </c>
      <c r="M24" s="48">
        <v>2844</v>
      </c>
      <c r="N24" s="48">
        <v>3028</v>
      </c>
      <c r="R24" t="s">
        <v>132</v>
      </c>
      <c r="S24">
        <v>25</v>
      </c>
      <c r="T24">
        <v>133</v>
      </c>
      <c r="U24">
        <v>-451</v>
      </c>
      <c r="V24" s="48">
        <v>228</v>
      </c>
      <c r="W24">
        <v>-2</v>
      </c>
      <c r="X24">
        <v>127</v>
      </c>
      <c r="Y24">
        <v>-56</v>
      </c>
      <c r="Z24">
        <v>-327</v>
      </c>
      <c r="AA24">
        <v>406</v>
      </c>
      <c r="AB24" s="48">
        <v>161</v>
      </c>
      <c r="AC24" s="48">
        <v>6</v>
      </c>
      <c r="AD24" s="48">
        <v>-121</v>
      </c>
    </row>
    <row r="25" spans="2:30" x14ac:dyDescent="0.3">
      <c r="B25" t="s">
        <v>256</v>
      </c>
      <c r="C25">
        <v>58</v>
      </c>
      <c r="D25">
        <v>16</v>
      </c>
      <c r="E25">
        <v>22</v>
      </c>
      <c r="F25">
        <v>25</v>
      </c>
      <c r="G25">
        <v>31</v>
      </c>
      <c r="H25">
        <v>40</v>
      </c>
      <c r="I25">
        <v>46</v>
      </c>
      <c r="J25">
        <v>52</v>
      </c>
      <c r="K25">
        <v>61</v>
      </c>
      <c r="L25">
        <v>75</v>
      </c>
      <c r="M25">
        <v>81</v>
      </c>
      <c r="N25">
        <v>79</v>
      </c>
      <c r="R25" t="s">
        <v>133</v>
      </c>
      <c r="S25" s="48">
        <v>-301</v>
      </c>
      <c r="T25" s="48">
        <v>-403</v>
      </c>
      <c r="U25" s="48">
        <v>-397</v>
      </c>
      <c r="V25" s="48">
        <v>-496</v>
      </c>
      <c r="W25" s="48">
        <v>-596</v>
      </c>
      <c r="X25" s="48">
        <v>-503</v>
      </c>
      <c r="Y25" s="48">
        <v>-633</v>
      </c>
      <c r="Z25" s="48">
        <v>-587</v>
      </c>
      <c r="AA25" s="48">
        <v>-726</v>
      </c>
      <c r="AB25" s="48">
        <v>-765</v>
      </c>
      <c r="AC25" s="48">
        <v>-689</v>
      </c>
      <c r="AD25" s="48">
        <v>-822</v>
      </c>
    </row>
    <row r="26" spans="2:30" x14ac:dyDescent="0.3">
      <c r="B26" s="48" t="s">
        <v>257</v>
      </c>
      <c r="C26" s="48">
        <v>24</v>
      </c>
      <c r="D26" s="48">
        <v>22</v>
      </c>
      <c r="E26" s="48">
        <v>25</v>
      </c>
      <c r="F26" s="48">
        <v>25</v>
      </c>
      <c r="G26" s="48">
        <v>28</v>
      </c>
      <c r="H26" s="48">
        <v>31</v>
      </c>
      <c r="I26" s="48">
        <v>32</v>
      </c>
      <c r="J26" s="48">
        <v>32</v>
      </c>
      <c r="K26" s="48">
        <v>43</v>
      </c>
      <c r="L26" s="48">
        <v>46</v>
      </c>
      <c r="M26" s="48">
        <v>49</v>
      </c>
      <c r="N26" s="48">
        <v>50</v>
      </c>
      <c r="R26" t="s">
        <v>134</v>
      </c>
      <c r="S26" s="48">
        <v>-450</v>
      </c>
      <c r="T26" s="48">
        <v>-705</v>
      </c>
      <c r="U26" s="48">
        <v>-150</v>
      </c>
      <c r="V26" s="48">
        <v>-957</v>
      </c>
      <c r="W26" s="48">
        <v>-852</v>
      </c>
      <c r="X26" s="48">
        <v>-1526</v>
      </c>
      <c r="Y26" s="48">
        <v>459</v>
      </c>
      <c r="Z26" s="48">
        <v>914</v>
      </c>
      <c r="AA26" s="48">
        <v>-1507</v>
      </c>
      <c r="AB26" s="48">
        <v>485</v>
      </c>
      <c r="AC26">
        <v>69</v>
      </c>
      <c r="AD26" s="48">
        <v>-741</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-118</v>
      </c>
      <c r="T27" s="48">
        <v>-251</v>
      </c>
      <c r="U27" s="48">
        <v>-360</v>
      </c>
      <c r="V27" s="48">
        <v>-423</v>
      </c>
      <c r="W27" s="48">
        <v>-401</v>
      </c>
      <c r="X27" s="48">
        <v>-244</v>
      </c>
      <c r="Y27" s="48">
        <v>-242</v>
      </c>
      <c r="Z27" s="48">
        <v>-550</v>
      </c>
      <c r="AA27" s="48">
        <v>-711</v>
      </c>
      <c r="AB27" s="48">
        <v>-553</v>
      </c>
      <c r="AC27" s="48">
        <v>-375</v>
      </c>
      <c r="AD27" s="48">
        <v>-206</v>
      </c>
    </row>
    <row r="28" spans="2:30" x14ac:dyDescent="0.3">
      <c r="B28" t="s">
        <v>259</v>
      </c>
      <c r="C28">
        <v>4</v>
      </c>
      <c r="D28">
        <v>2</v>
      </c>
      <c r="E28">
        <v>2</v>
      </c>
      <c r="F28">
        <v>2</v>
      </c>
      <c r="G28">
        <v>3</v>
      </c>
      <c r="H28">
        <v>5</v>
      </c>
      <c r="I28">
        <v>5</v>
      </c>
      <c r="J28">
        <v>6</v>
      </c>
      <c r="K28">
        <v>10</v>
      </c>
      <c r="L28">
        <v>10</v>
      </c>
      <c r="M28">
        <v>9</v>
      </c>
      <c r="N28">
        <v>9</v>
      </c>
      <c r="O28" s="48"/>
      <c r="R28" t="s">
        <v>136</v>
      </c>
      <c r="S28" s="48">
        <v>164</v>
      </c>
      <c r="T28" s="48">
        <v>1</v>
      </c>
      <c r="U28" s="48">
        <v>8</v>
      </c>
      <c r="V28" s="48">
        <v>2</v>
      </c>
      <c r="W28" s="48">
        <v>2</v>
      </c>
      <c r="X28" s="48">
        <v>1</v>
      </c>
      <c r="Y28" s="48">
        <v>2</v>
      </c>
      <c r="Z28" s="48">
        <v>3</v>
      </c>
      <c r="AA28" s="48">
        <v>78</v>
      </c>
      <c r="AB28">
        <v>65</v>
      </c>
      <c r="AC28" s="48">
        <v>5</v>
      </c>
      <c r="AD28" s="48">
        <v>2</v>
      </c>
    </row>
    <row r="29" spans="2:30" x14ac:dyDescent="0.3">
      <c r="B29" t="s">
        <v>260</v>
      </c>
      <c r="C29">
        <v>145</v>
      </c>
      <c r="D29">
        <v>116</v>
      </c>
      <c r="E29">
        <v>128</v>
      </c>
      <c r="F29">
        <v>128</v>
      </c>
      <c r="G29">
        <v>134</v>
      </c>
      <c r="H29">
        <v>143</v>
      </c>
      <c r="I29" s="48">
        <v>139</v>
      </c>
      <c r="J29" s="48">
        <v>140</v>
      </c>
      <c r="K29" s="48">
        <v>130</v>
      </c>
      <c r="L29" s="48">
        <v>131</v>
      </c>
      <c r="M29" s="48">
        <v>134</v>
      </c>
      <c r="N29" s="48">
        <v>146</v>
      </c>
      <c r="R29" t="s">
        <v>137</v>
      </c>
      <c r="S29" s="48">
        <v>-277</v>
      </c>
      <c r="T29" s="48">
        <v>-211</v>
      </c>
      <c r="U29" s="48">
        <v>0</v>
      </c>
      <c r="V29" s="48">
        <v>-537</v>
      </c>
      <c r="W29" s="48">
        <v>-334</v>
      </c>
      <c r="X29" s="48">
        <v>-1327</v>
      </c>
      <c r="Y29" s="48">
        <v>0</v>
      </c>
      <c r="Z29" s="48">
        <v>-21</v>
      </c>
      <c r="AA29" s="48">
        <v>-1468</v>
      </c>
      <c r="AB29" s="48">
        <v>-191</v>
      </c>
      <c r="AC29" s="48">
        <v>-945</v>
      </c>
      <c r="AD29" s="48">
        <v>-976</v>
      </c>
    </row>
    <row r="30" spans="2:30" x14ac:dyDescent="0.3">
      <c r="B30" t="s">
        <v>261</v>
      </c>
      <c r="C30">
        <v>44</v>
      </c>
      <c r="D30">
        <v>17</v>
      </c>
      <c r="E30">
        <v>36</v>
      </c>
      <c r="F30">
        <v>36</v>
      </c>
      <c r="G30">
        <v>40</v>
      </c>
      <c r="H30">
        <v>43</v>
      </c>
      <c r="I30">
        <v>46</v>
      </c>
      <c r="J30">
        <v>57</v>
      </c>
      <c r="K30">
        <v>86</v>
      </c>
      <c r="L30">
        <v>72</v>
      </c>
      <c r="M30">
        <v>67</v>
      </c>
      <c r="N30" s="48">
        <v>67</v>
      </c>
      <c r="O30" s="48"/>
      <c r="R30" t="s">
        <v>138</v>
      </c>
      <c r="S30" s="48">
        <v>0</v>
      </c>
      <c r="T30" s="48">
        <v>0</v>
      </c>
      <c r="U30" s="48">
        <v>359</v>
      </c>
      <c r="V30" s="48">
        <v>0</v>
      </c>
      <c r="W30" s="48">
        <v>0</v>
      </c>
      <c r="X30" s="48">
        <v>0</v>
      </c>
      <c r="Y30" s="48">
        <v>179</v>
      </c>
      <c r="Z30" s="48">
        <v>1069</v>
      </c>
      <c r="AA30" s="48">
        <v>443</v>
      </c>
      <c r="AB30" s="48">
        <v>771</v>
      </c>
      <c r="AC30" s="48">
        <v>919</v>
      </c>
      <c r="AD30" s="48">
        <v>254</v>
      </c>
    </row>
    <row r="31" spans="2:30" x14ac:dyDescent="0.3">
      <c r="B31" t="s">
        <v>262</v>
      </c>
      <c r="C31" s="48">
        <v>1710</v>
      </c>
      <c r="D31" s="48">
        <v>1041</v>
      </c>
      <c r="E31" s="48">
        <v>1359</v>
      </c>
      <c r="F31" s="48">
        <v>1684</v>
      </c>
      <c r="G31" s="48">
        <v>2195</v>
      </c>
      <c r="H31" s="48">
        <v>2618</v>
      </c>
      <c r="I31" s="48">
        <v>2760</v>
      </c>
      <c r="J31" s="48">
        <v>2948</v>
      </c>
      <c r="K31" s="48">
        <v>4150</v>
      </c>
      <c r="L31" s="48">
        <v>4559</v>
      </c>
      <c r="M31" s="48">
        <v>4974</v>
      </c>
      <c r="N31" s="48">
        <v>5206</v>
      </c>
      <c r="O31" s="73"/>
      <c r="R31" t="s">
        <v>139</v>
      </c>
      <c r="S31">
        <v>30</v>
      </c>
      <c r="T31">
        <v>66</v>
      </c>
      <c r="U31" s="48">
        <v>75</v>
      </c>
      <c r="V31" s="48">
        <v>109</v>
      </c>
      <c r="W31" s="48">
        <v>117</v>
      </c>
      <c r="X31" s="48">
        <v>128</v>
      </c>
      <c r="Y31" s="48">
        <v>233</v>
      </c>
      <c r="Z31" s="48">
        <v>207</v>
      </c>
      <c r="AA31" s="48">
        <v>175</v>
      </c>
      <c r="AB31" s="48">
        <v>170</v>
      </c>
      <c r="AC31" s="48">
        <v>151</v>
      </c>
      <c r="AD31" s="48">
        <v>143</v>
      </c>
    </row>
    <row r="32" spans="2:30" x14ac:dyDescent="0.3">
      <c r="B32" s="48" t="s">
        <v>263</v>
      </c>
      <c r="C32" s="48">
        <v>866</v>
      </c>
      <c r="D32" s="48">
        <v>91</v>
      </c>
      <c r="E32" s="48">
        <v>199</v>
      </c>
      <c r="F32" s="48">
        <v>338</v>
      </c>
      <c r="G32" s="48">
        <v>507</v>
      </c>
      <c r="H32" s="48">
        <v>739</v>
      </c>
      <c r="I32" s="48">
        <v>967</v>
      </c>
      <c r="J32" s="48">
        <v>1195</v>
      </c>
      <c r="K32" s="48">
        <v>1495</v>
      </c>
      <c r="L32" s="48">
        <v>1788</v>
      </c>
      <c r="M32" s="48">
        <v>2070</v>
      </c>
      <c r="N32" s="48">
        <v>2356</v>
      </c>
      <c r="O32" s="48"/>
      <c r="R32" t="s">
        <v>140</v>
      </c>
      <c r="S32">
        <v>0</v>
      </c>
      <c r="T32">
        <v>0</v>
      </c>
      <c r="U32" s="48">
        <v>0</v>
      </c>
      <c r="V32">
        <v>0</v>
      </c>
      <c r="W32">
        <v>0</v>
      </c>
      <c r="X32">
        <v>0</v>
      </c>
      <c r="Y32" s="48">
        <v>0</v>
      </c>
      <c r="Z32" s="48">
        <v>0</v>
      </c>
      <c r="AA32" s="48">
        <v>0</v>
      </c>
      <c r="AB32" s="48">
        <v>0</v>
      </c>
      <c r="AC32" s="48">
        <v>0</v>
      </c>
      <c r="AD32" s="48">
        <v>0</v>
      </c>
    </row>
    <row r="33" spans="2:58" x14ac:dyDescent="0.3">
      <c r="B33" t="s">
        <v>27</v>
      </c>
      <c r="C33" s="48">
        <v>844</v>
      </c>
      <c r="D33" s="48">
        <v>950</v>
      </c>
      <c r="E33" s="48">
        <v>1160</v>
      </c>
      <c r="F33" s="48">
        <v>1346</v>
      </c>
      <c r="G33" s="48">
        <v>1688</v>
      </c>
      <c r="H33" s="48">
        <v>1878</v>
      </c>
      <c r="I33" s="48">
        <v>1793</v>
      </c>
      <c r="J33" s="48">
        <v>1753</v>
      </c>
      <c r="K33" s="48">
        <v>2655</v>
      </c>
      <c r="L33" s="48">
        <v>2771</v>
      </c>
      <c r="M33" s="48">
        <v>2904</v>
      </c>
      <c r="N33" s="48">
        <v>2850</v>
      </c>
      <c r="O33" s="48"/>
      <c r="R33" t="s">
        <v>8604</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8605</v>
      </c>
      <c r="S34" s="48">
        <v>0</v>
      </c>
      <c r="T34" s="48">
        <v>0</v>
      </c>
      <c r="U34" s="48">
        <v>0</v>
      </c>
      <c r="V34" s="48">
        <v>0</v>
      </c>
      <c r="W34" s="48">
        <v>3</v>
      </c>
      <c r="X34" s="48">
        <v>6</v>
      </c>
      <c r="Y34" s="48">
        <v>-2</v>
      </c>
      <c r="Z34" s="48">
        <v>5</v>
      </c>
      <c r="AA34" s="48">
        <v>-159</v>
      </c>
      <c r="AB34" s="48">
        <v>-27</v>
      </c>
      <c r="AC34" s="48">
        <v>-71</v>
      </c>
      <c r="AD34" s="48">
        <v>55</v>
      </c>
    </row>
    <row r="35" spans="2:58" x14ac:dyDescent="0.3">
      <c r="B35" t="s">
        <v>264</v>
      </c>
      <c r="C35" s="48">
        <v>48</v>
      </c>
      <c r="D35" s="48">
        <v>90</v>
      </c>
      <c r="E35" s="48">
        <v>30</v>
      </c>
      <c r="F35" s="48">
        <v>203</v>
      </c>
      <c r="G35" s="48">
        <v>101</v>
      </c>
      <c r="H35" s="48">
        <v>40</v>
      </c>
      <c r="I35" s="48">
        <v>117</v>
      </c>
      <c r="J35" s="48">
        <v>536</v>
      </c>
      <c r="K35" s="48">
        <v>105</v>
      </c>
      <c r="L35" s="48">
        <v>188</v>
      </c>
      <c r="M35" s="48">
        <v>89</v>
      </c>
      <c r="N35" s="48">
        <v>39</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518</v>
      </c>
      <c r="D36" s="48">
        <v>788</v>
      </c>
      <c r="E36" s="48">
        <v>487</v>
      </c>
      <c r="F36" s="48">
        <v>1079</v>
      </c>
      <c r="G36" s="48">
        <v>1476</v>
      </c>
      <c r="H36" s="48">
        <v>2893</v>
      </c>
      <c r="I36" s="48">
        <v>2781</v>
      </c>
      <c r="J36" s="48">
        <v>1762</v>
      </c>
      <c r="K36" s="48">
        <v>3324</v>
      </c>
      <c r="L36" s="48">
        <v>2767</v>
      </c>
      <c r="M36" s="48">
        <v>2865</v>
      </c>
      <c r="N36" s="48">
        <v>3610</v>
      </c>
      <c r="O36" s="48"/>
      <c r="R36" t="s">
        <v>142</v>
      </c>
      <c r="S36" s="48">
        <v>-181</v>
      </c>
      <c r="T36" s="48">
        <v>-246</v>
      </c>
      <c r="U36" s="48">
        <v>-295</v>
      </c>
      <c r="V36" s="48">
        <v>-232</v>
      </c>
      <c r="W36" s="48">
        <v>-353</v>
      </c>
      <c r="X36" s="48">
        <v>58</v>
      </c>
      <c r="Y36" s="48">
        <v>-2244</v>
      </c>
      <c r="Z36" s="48">
        <v>-2246</v>
      </c>
      <c r="AA36">
        <v>-1028</v>
      </c>
      <c r="AB36" s="48">
        <v>-2839</v>
      </c>
      <c r="AC36">
        <v>-2754</v>
      </c>
      <c r="AD36" s="48">
        <v>-1783</v>
      </c>
    </row>
    <row r="37" spans="2:58" x14ac:dyDescent="0.3">
      <c r="C37" s="48"/>
      <c r="D37" s="48"/>
      <c r="E37" s="48"/>
      <c r="F37" s="48"/>
      <c r="G37" s="48"/>
      <c r="H37" s="48"/>
      <c r="I37" s="48"/>
      <c r="J37" s="48"/>
      <c r="K37" s="48"/>
      <c r="L37" s="48"/>
      <c r="M37" s="48"/>
      <c r="N37" s="48"/>
      <c r="O37" s="48"/>
      <c r="R37" t="s">
        <v>143</v>
      </c>
      <c r="S37" s="48">
        <v>0</v>
      </c>
      <c r="T37" s="48">
        <v>4</v>
      </c>
      <c r="U37" s="48">
        <v>6</v>
      </c>
      <c r="V37" s="48">
        <v>15</v>
      </c>
      <c r="W37" s="48">
        <v>30</v>
      </c>
      <c r="X37" s="48">
        <v>24</v>
      </c>
      <c r="Y37" s="48">
        <v>103</v>
      </c>
      <c r="Z37" s="48">
        <v>0</v>
      </c>
      <c r="AA37" s="48">
        <v>0</v>
      </c>
      <c r="AB37" s="48">
        <v>0</v>
      </c>
      <c r="AC37" s="48">
        <v>0</v>
      </c>
      <c r="AD37" s="48">
        <v>0</v>
      </c>
    </row>
    <row r="38" spans="2:58" x14ac:dyDescent="0.3">
      <c r="B38" t="s">
        <v>265</v>
      </c>
      <c r="C38" s="73">
        <v>1383</v>
      </c>
      <c r="D38" s="73">
        <v>1665</v>
      </c>
      <c r="E38" s="73">
        <v>2432</v>
      </c>
      <c r="F38" s="73">
        <v>2560</v>
      </c>
      <c r="G38" s="73">
        <v>2972</v>
      </c>
      <c r="H38" s="73">
        <v>3019</v>
      </c>
      <c r="I38" s="73">
        <v>3310</v>
      </c>
      <c r="J38" s="73">
        <v>3475</v>
      </c>
      <c r="K38" s="73">
        <v>3266</v>
      </c>
      <c r="L38" s="73">
        <v>3346</v>
      </c>
      <c r="M38" s="73">
        <v>2978</v>
      </c>
      <c r="N38" s="73">
        <v>3232</v>
      </c>
      <c r="O38" s="48"/>
      <c r="R38" t="s">
        <v>144</v>
      </c>
      <c r="S38">
        <v>17</v>
      </c>
      <c r="T38">
        <v>0</v>
      </c>
      <c r="U38" s="48">
        <v>0</v>
      </c>
      <c r="V38">
        <v>0</v>
      </c>
      <c r="W38">
        <v>0</v>
      </c>
      <c r="X38">
        <v>641</v>
      </c>
      <c r="Y38">
        <v>568</v>
      </c>
      <c r="Z38">
        <v>645</v>
      </c>
      <c r="AA38" s="48">
        <v>1312</v>
      </c>
      <c r="AB38" s="48">
        <v>201</v>
      </c>
      <c r="AC38">
        <v>26</v>
      </c>
      <c r="AD38">
        <v>324</v>
      </c>
    </row>
    <row r="39" spans="2:58" x14ac:dyDescent="0.3">
      <c r="B39" t="s">
        <v>266</v>
      </c>
      <c r="C39" s="48">
        <v>404</v>
      </c>
      <c r="D39" s="48">
        <v>441</v>
      </c>
      <c r="E39" s="48">
        <v>661</v>
      </c>
      <c r="F39" s="48">
        <v>653</v>
      </c>
      <c r="G39" s="48">
        <v>781</v>
      </c>
      <c r="H39" s="48">
        <v>741</v>
      </c>
      <c r="I39" s="48">
        <v>1091</v>
      </c>
      <c r="J39" s="48">
        <v>1367</v>
      </c>
      <c r="K39" s="48">
        <v>1193</v>
      </c>
      <c r="L39" s="48">
        <v>1181</v>
      </c>
      <c r="M39" s="48">
        <v>1237</v>
      </c>
      <c r="N39" s="48">
        <v>1346</v>
      </c>
      <c r="O39" s="48"/>
      <c r="R39" t="s">
        <v>145</v>
      </c>
      <c r="S39">
        <v>-27</v>
      </c>
      <c r="T39">
        <v>0</v>
      </c>
      <c r="U39">
        <v>0</v>
      </c>
      <c r="V39">
        <v>0</v>
      </c>
      <c r="W39">
        <v>-42</v>
      </c>
      <c r="X39">
        <v>0</v>
      </c>
      <c r="Y39">
        <v>0</v>
      </c>
      <c r="Z39">
        <v>-984</v>
      </c>
      <c r="AA39">
        <v>-70</v>
      </c>
      <c r="AB39">
        <v>-1141</v>
      </c>
      <c r="AC39">
        <v>-149</v>
      </c>
      <c r="AD39" s="48">
        <v>-192</v>
      </c>
    </row>
    <row r="40" spans="2:58" x14ac:dyDescent="0.3">
      <c r="B40" t="s">
        <v>267</v>
      </c>
      <c r="C40" s="48">
        <v>136</v>
      </c>
      <c r="D40" s="48">
        <v>171</v>
      </c>
      <c r="E40" s="48">
        <v>179</v>
      </c>
      <c r="F40" s="48">
        <v>305</v>
      </c>
      <c r="G40" s="48">
        <v>394</v>
      </c>
      <c r="H40" s="48">
        <v>320</v>
      </c>
      <c r="I40" s="48">
        <v>257</v>
      </c>
      <c r="J40" s="48">
        <v>332</v>
      </c>
      <c r="K40" s="48">
        <v>329</v>
      </c>
      <c r="L40" s="48">
        <v>393</v>
      </c>
      <c r="M40" s="48">
        <v>449</v>
      </c>
      <c r="N40" s="48">
        <v>469</v>
      </c>
      <c r="O40" s="48"/>
      <c r="R40" t="s">
        <v>146</v>
      </c>
      <c r="S40">
        <v>-3</v>
      </c>
      <c r="T40">
        <v>-5</v>
      </c>
      <c r="U40">
        <v>-6</v>
      </c>
      <c r="V40" s="48">
        <v>-7</v>
      </c>
      <c r="W40">
        <v>-9</v>
      </c>
      <c r="X40">
        <v>-36</v>
      </c>
      <c r="Y40" s="48">
        <v>-102</v>
      </c>
      <c r="Z40">
        <v>-119</v>
      </c>
      <c r="AA40" s="48">
        <v>-196</v>
      </c>
      <c r="AB40" s="48">
        <v>-165</v>
      </c>
      <c r="AC40" s="48">
        <v>-172</v>
      </c>
      <c r="AD40" s="48">
        <v>-108</v>
      </c>
    </row>
    <row r="41" spans="2:58" x14ac:dyDescent="0.3">
      <c r="B41" t="s">
        <v>268</v>
      </c>
      <c r="C41" s="48">
        <v>226</v>
      </c>
      <c r="D41" s="48">
        <v>88</v>
      </c>
      <c r="E41" s="48">
        <v>121</v>
      </c>
      <c r="F41" s="48">
        <v>186</v>
      </c>
      <c r="G41" s="48">
        <v>110</v>
      </c>
      <c r="H41" s="48">
        <v>123</v>
      </c>
      <c r="I41" s="48">
        <v>211</v>
      </c>
      <c r="J41" s="48">
        <v>185</v>
      </c>
      <c r="K41" s="48">
        <v>198</v>
      </c>
      <c r="L41" s="48">
        <v>446</v>
      </c>
      <c r="M41" s="48">
        <v>312</v>
      </c>
      <c r="N41" s="48">
        <v>352</v>
      </c>
      <c r="O41" s="48"/>
      <c r="R41" t="s">
        <v>147</v>
      </c>
      <c r="S41" s="48">
        <v>-168</v>
      </c>
      <c r="T41" s="48">
        <v>-231</v>
      </c>
      <c r="U41" s="48">
        <v>-288</v>
      </c>
      <c r="V41" s="48">
        <v>-317</v>
      </c>
      <c r="W41" s="48">
        <v>-354</v>
      </c>
      <c r="X41" s="48">
        <v>-433</v>
      </c>
      <c r="Y41" s="48">
        <v>-2824</v>
      </c>
      <c r="Z41" s="48">
        <v>-2485</v>
      </c>
      <c r="AA41" s="48">
        <v>-1359</v>
      </c>
      <c r="AB41" s="48">
        <v>-1732</v>
      </c>
      <c r="AC41" s="48">
        <v>-1768</v>
      </c>
      <c r="AD41" s="48">
        <v>-1804</v>
      </c>
    </row>
    <row r="42" spans="2:58" x14ac:dyDescent="0.3">
      <c r="B42" t="s">
        <v>269</v>
      </c>
      <c r="C42" s="48">
        <v>-3</v>
      </c>
      <c r="D42" s="48">
        <v>8</v>
      </c>
      <c r="E42" s="48">
        <v>217</v>
      </c>
      <c r="F42" s="48">
        <v>150</v>
      </c>
      <c r="G42" s="48">
        <v>63</v>
      </c>
      <c r="H42" s="48">
        <v>50</v>
      </c>
      <c r="I42" s="48">
        <v>45</v>
      </c>
      <c r="J42" s="48">
        <v>63</v>
      </c>
      <c r="K42" s="48">
        <v>83</v>
      </c>
      <c r="L42" s="48">
        <v>62</v>
      </c>
      <c r="M42" s="48">
        <v>67</v>
      </c>
      <c r="N42" s="48">
        <v>55</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620</v>
      </c>
      <c r="D43" s="48">
        <v>958</v>
      </c>
      <c r="E43" s="48">
        <v>1254</v>
      </c>
      <c r="F43" s="48">
        <v>1267</v>
      </c>
      <c r="G43" s="48">
        <v>1623</v>
      </c>
      <c r="H43" s="48">
        <v>1784</v>
      </c>
      <c r="I43" s="48">
        <v>1705</v>
      </c>
      <c r="J43" s="48">
        <v>1528</v>
      </c>
      <c r="K43" s="48">
        <v>1463</v>
      </c>
      <c r="L43" s="48">
        <v>1263</v>
      </c>
      <c r="M43" s="48">
        <v>914</v>
      </c>
      <c r="N43" s="48">
        <v>1009</v>
      </c>
      <c r="O43" s="73"/>
      <c r="R43" t="s">
        <v>149</v>
      </c>
      <c r="S43">
        <v>0</v>
      </c>
      <c r="T43">
        <v>0</v>
      </c>
      <c r="U43">
        <v>0</v>
      </c>
      <c r="V43">
        <v>0</v>
      </c>
      <c r="W43">
        <v>0</v>
      </c>
      <c r="X43">
        <v>-49</v>
      </c>
      <c r="Y43">
        <v>-55</v>
      </c>
      <c r="Z43">
        <v>-59</v>
      </c>
      <c r="AA43">
        <v>-59</v>
      </c>
      <c r="AB43">
        <v>-67</v>
      </c>
      <c r="AC43">
        <v>-66</v>
      </c>
      <c r="AD43">
        <v>-68</v>
      </c>
    </row>
    <row r="44" spans="2:58" x14ac:dyDescent="0.3">
      <c r="B44" s="57" t="s">
        <v>96</v>
      </c>
      <c r="C44" s="48">
        <v>2793</v>
      </c>
      <c r="D44" s="48">
        <v>3494</v>
      </c>
      <c r="E44" s="48">
        <v>4109</v>
      </c>
      <c r="F44" s="48">
        <v>5188</v>
      </c>
      <c r="G44" s="48">
        <v>6238</v>
      </c>
      <c r="H44" s="48">
        <v>7830</v>
      </c>
      <c r="I44" s="48">
        <v>8000</v>
      </c>
      <c r="J44" s="48">
        <v>7527</v>
      </c>
      <c r="K44" s="48">
        <v>9351</v>
      </c>
      <c r="L44" s="48">
        <v>9072</v>
      </c>
      <c r="M44" s="48">
        <v>8837</v>
      </c>
      <c r="N44" s="48">
        <v>9730</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-47</v>
      </c>
      <c r="T45">
        <v>8</v>
      </c>
      <c r="U45">
        <v>-4</v>
      </c>
      <c r="V45">
        <v>60</v>
      </c>
      <c r="W45">
        <v>-49</v>
      </c>
      <c r="X45">
        <v>17</v>
      </c>
      <c r="Y45">
        <v>66</v>
      </c>
      <c r="Z45">
        <v>-32</v>
      </c>
      <c r="AA45">
        <v>-9</v>
      </c>
      <c r="AB45">
        <v>219</v>
      </c>
      <c r="AC45">
        <v>-194</v>
      </c>
      <c r="AD45">
        <v>88</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341</v>
      </c>
      <c r="AT55" t="s">
        <v>209</v>
      </c>
      <c r="AU55" t="s">
        <v>210</v>
      </c>
      <c r="AV55" t="s">
        <v>94</v>
      </c>
      <c r="AW55" t="s">
        <v>212</v>
      </c>
      <c r="AX55" t="s">
        <v>211</v>
      </c>
      <c r="AZ55" t="s">
        <v>207</v>
      </c>
      <c r="BA55" t="s">
        <v>208</v>
      </c>
    </row>
    <row r="56" spans="11:58" x14ac:dyDescent="0.3">
      <c r="K56" t="s">
        <v>202</v>
      </c>
      <c r="L56" s="33" t="str">
        <f>'Data Sheet'!B1</f>
        <v>BRITANNIA INDUSTRIES LTD</v>
      </c>
      <c r="M56">
        <f>'Data Sheet'!B8</f>
        <v>4929</v>
      </c>
      <c r="N56" s="33">
        <f>'Data Sheet'!B6</f>
        <v>24.052546155406777</v>
      </c>
      <c r="AR56">
        <f>'Data Sheet'!B9</f>
        <v>118555</v>
      </c>
      <c r="AS56">
        <f>AZ56-BA56</f>
        <v>1028</v>
      </c>
      <c r="AT56">
        <f>AR56+AS56</f>
        <v>119583</v>
      </c>
      <c r="AU56">
        <f>'Data Sheet'!K17</f>
        <v>19152</v>
      </c>
      <c r="AV56" s="33">
        <f>'Data Sheet'!K32</f>
        <v>3739</v>
      </c>
      <c r="AW56">
        <f>'Data Sheet'!K30</f>
        <v>2537</v>
      </c>
      <c r="AX56">
        <v>30.12</v>
      </c>
      <c r="AZ56">
        <f>'Data Sheet'!K59</f>
        <v>1380</v>
      </c>
      <c r="BA56">
        <f>'Data Sheet'!K69</f>
        <v>352</v>
      </c>
    </row>
    <row r="57" spans="11:58" x14ac:dyDescent="0.3">
      <c r="K57">
        <v>1</v>
      </c>
      <c r="L57" t="s">
        <v>336</v>
      </c>
      <c r="M57">
        <v>1387.2</v>
      </c>
      <c r="N57">
        <v>192.66</v>
      </c>
      <c r="AR57">
        <v>267260.59999999998</v>
      </c>
      <c r="AS57">
        <f>AZ57-BA57</f>
        <v>53452.2</v>
      </c>
      <c r="AT57">
        <f>AR57+AS57</f>
        <v>320712.8</v>
      </c>
      <c r="AU57">
        <v>25512.7</v>
      </c>
      <c r="AV57">
        <v>5850.7</v>
      </c>
      <c r="AW57">
        <v>13363.03</v>
      </c>
      <c r="AX57">
        <v>15</v>
      </c>
      <c r="AZ57">
        <v>66815.199999999997</v>
      </c>
      <c r="BA57">
        <v>13363</v>
      </c>
    </row>
    <row r="58" spans="11:58" x14ac:dyDescent="0.3">
      <c r="K58">
        <v>2</v>
      </c>
      <c r="L58" t="s">
        <v>8616</v>
      </c>
      <c r="M58">
        <v>591.1</v>
      </c>
      <c r="N58">
        <v>25.1</v>
      </c>
      <c r="AR58">
        <v>14835.8</v>
      </c>
      <c r="AS58">
        <f>AZ58-BA58</f>
        <v>2967.1000000000004</v>
      </c>
      <c r="AT58">
        <f>AR58+AS58</f>
        <v>17802.900000000001</v>
      </c>
      <c r="AU58">
        <v>2712.7</v>
      </c>
      <c r="AV58">
        <v>387.4</v>
      </c>
      <c r="AW58">
        <v>741.79</v>
      </c>
      <c r="AX58">
        <v>15</v>
      </c>
      <c r="AZ58">
        <v>3708.9</v>
      </c>
      <c r="BA58">
        <v>741.8</v>
      </c>
    </row>
    <row r="59" spans="11:58" x14ac:dyDescent="0.3">
      <c r="K59">
        <v>3</v>
      </c>
      <c r="L59" t="s">
        <v>8617</v>
      </c>
      <c r="M59">
        <v>317.25</v>
      </c>
      <c r="N59">
        <v>76.97</v>
      </c>
      <c r="AR59">
        <v>24419.200000000001</v>
      </c>
      <c r="AS59">
        <f>AZ59-BA59</f>
        <v>4883.8</v>
      </c>
      <c r="AT59">
        <f>AR59+AS59</f>
        <v>29303</v>
      </c>
      <c r="AU59">
        <v>3893.6</v>
      </c>
      <c r="AV59">
        <v>386.7</v>
      </c>
      <c r="AW59">
        <v>1220.96</v>
      </c>
      <c r="AX59">
        <v>15</v>
      </c>
      <c r="AZ59">
        <v>6104.8</v>
      </c>
      <c r="BA59">
        <v>1221</v>
      </c>
    </row>
    <row r="60" spans="11:58" x14ac:dyDescent="0.3">
      <c r="K60">
        <v>4</v>
      </c>
      <c r="L60" t="s">
        <v>338</v>
      </c>
      <c r="M60">
        <v>832.3</v>
      </c>
      <c r="N60">
        <v>130.07</v>
      </c>
      <c r="AR60">
        <v>108260.3</v>
      </c>
      <c r="AS60">
        <f>AZ60-BA60</f>
        <v>21652.1</v>
      </c>
      <c r="AT60">
        <f>AR60+AS60</f>
        <v>129912.4</v>
      </c>
      <c r="AU60">
        <v>15828</v>
      </c>
      <c r="AV60">
        <v>3912</v>
      </c>
      <c r="AW60">
        <v>5413.02</v>
      </c>
      <c r="AX60">
        <v>15</v>
      </c>
      <c r="AZ60">
        <v>27065.1</v>
      </c>
      <c r="BA60">
        <v>5413</v>
      </c>
    </row>
    <row r="61" spans="11:58" x14ac:dyDescent="0.3">
      <c r="K61">
        <v>5</v>
      </c>
      <c r="L61" t="s">
        <v>337</v>
      </c>
      <c r="M61">
        <v>436.15</v>
      </c>
      <c r="N61">
        <v>338.09</v>
      </c>
      <c r="AR61">
        <v>147458.9</v>
      </c>
      <c r="AS61">
        <f>AZ61-BA61</f>
        <v>29491.799999999996</v>
      </c>
      <c r="AT61">
        <f>AR61+AS61</f>
        <v>176950.69999999998</v>
      </c>
      <c r="AU61">
        <v>33804.9</v>
      </c>
      <c r="AV61">
        <v>9152.2000000000007</v>
      </c>
      <c r="AW61">
        <v>7372.94</v>
      </c>
      <c r="AX61">
        <v>15</v>
      </c>
      <c r="AZ61">
        <v>36864.699999999997</v>
      </c>
      <c r="BA61">
        <v>7372.9</v>
      </c>
    </row>
    <row r="62" spans="11:58" x14ac:dyDescent="0.3">
      <c r="K62">
        <v>6</v>
      </c>
      <c r="L62" t="s">
        <v>339</v>
      </c>
      <c r="M62">
        <v>879.75</v>
      </c>
      <c r="N62">
        <v>102.28</v>
      </c>
      <c r="AR62">
        <v>89984.1</v>
      </c>
      <c r="AS62">
        <f>AZ62-BA62</f>
        <v>17996.8</v>
      </c>
      <c r="AT62">
        <f>AR62+AS62</f>
        <v>107980.90000000001</v>
      </c>
      <c r="AU62">
        <v>16901.900000000001</v>
      </c>
      <c r="AV62">
        <v>3027.1</v>
      </c>
      <c r="AW62">
        <v>4499.21</v>
      </c>
      <c r="AX62">
        <v>15</v>
      </c>
      <c r="AZ62">
        <v>22496</v>
      </c>
      <c r="BA62">
        <v>4499.2</v>
      </c>
    </row>
    <row r="63" spans="11:58" x14ac:dyDescent="0.3">
      <c r="K63">
        <v>7</v>
      </c>
      <c r="L63" t="s">
        <v>340</v>
      </c>
      <c r="M63">
        <v>387.4</v>
      </c>
      <c r="N63">
        <v>177.28</v>
      </c>
      <c r="AR63">
        <v>68678.899999999994</v>
      </c>
      <c r="AS63">
        <f>AZ63-BA63</f>
        <v>13735.800000000001</v>
      </c>
      <c r="AT63">
        <f>AR63+AS63</f>
        <v>82414.7</v>
      </c>
      <c r="AU63">
        <v>15057.6</v>
      </c>
      <c r="AV63">
        <v>3517</v>
      </c>
      <c r="AW63">
        <v>3433.94</v>
      </c>
      <c r="AX63">
        <v>15</v>
      </c>
      <c r="AZ63">
        <v>17169.7</v>
      </c>
      <c r="BA63">
        <v>3433.9</v>
      </c>
    </row>
    <row r="64" spans="11:58" x14ac:dyDescent="0.3">
      <c r="K64">
        <v>8</v>
      </c>
      <c r="L64" t="s">
        <v>8618</v>
      </c>
      <c r="M64">
        <v>409.45</v>
      </c>
      <c r="N64">
        <v>108.68</v>
      </c>
      <c r="AR64">
        <v>44497.5</v>
      </c>
      <c r="AS64">
        <f>AZ64-BA64</f>
        <v>8899.5</v>
      </c>
      <c r="AT64">
        <f>AR64+AS64</f>
        <v>53397</v>
      </c>
      <c r="AU64">
        <v>45349.8</v>
      </c>
      <c r="AV64">
        <v>2015.2</v>
      </c>
      <c r="AW64">
        <v>2224.88</v>
      </c>
      <c r="AX64">
        <v>15</v>
      </c>
      <c r="AZ64">
        <v>11124.4</v>
      </c>
      <c r="BA64">
        <v>2224.9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362</v>
      </c>
      <c r="C2" s="95" t="s">
        <v>363</v>
      </c>
      <c r="D2" s="95" t="s">
        <v>364</v>
      </c>
      <c r="E2" s="95" t="s">
        <v>365</v>
      </c>
    </row>
    <row r="3" spans="2:5" ht="15" customHeight="1" thickBot="1" x14ac:dyDescent="0.35">
      <c r="B3" s="96" t="s">
        <v>366</v>
      </c>
      <c r="C3" s="97">
        <v>533022</v>
      </c>
      <c r="D3" s="96" t="s">
        <v>367</v>
      </c>
      <c r="E3" s="96" t="s">
        <v>368</v>
      </c>
    </row>
    <row r="4" spans="2:5" ht="15" customHeight="1" thickBot="1" x14ac:dyDescent="0.35">
      <c r="B4" s="96" t="s">
        <v>369</v>
      </c>
      <c r="C4" s="97">
        <v>526921</v>
      </c>
      <c r="D4" s="96" t="s">
        <v>370</v>
      </c>
      <c r="E4" s="96" t="s">
        <v>371</v>
      </c>
    </row>
    <row r="5" spans="2:5" ht="15" customHeight="1" thickBot="1" x14ac:dyDescent="0.35">
      <c r="B5" s="96" t="s">
        <v>372</v>
      </c>
      <c r="C5" s="97">
        <v>532628</v>
      </c>
      <c r="D5" s="96" t="s">
        <v>373</v>
      </c>
      <c r="E5" s="96" t="s">
        <v>374</v>
      </c>
    </row>
    <row r="6" spans="2:5" ht="15" customHeight="1" thickBot="1" x14ac:dyDescent="0.35">
      <c r="B6" s="96" t="s">
        <v>375</v>
      </c>
      <c r="C6" s="97">
        <v>523395</v>
      </c>
      <c r="D6" s="96" t="s">
        <v>376</v>
      </c>
      <c r="E6" s="96" t="s">
        <v>377</v>
      </c>
    </row>
    <row r="7" spans="2:5" ht="15" customHeight="1" thickBot="1" x14ac:dyDescent="0.35">
      <c r="B7" s="96" t="s">
        <v>378</v>
      </c>
      <c r="C7" s="97">
        <v>523395</v>
      </c>
      <c r="D7" s="96" t="s">
        <v>379</v>
      </c>
      <c r="E7" s="96" t="s">
        <v>377</v>
      </c>
    </row>
    <row r="8" spans="2:5" ht="15" customHeight="1" thickBot="1" x14ac:dyDescent="0.35">
      <c r="B8" s="96" t="s">
        <v>380</v>
      </c>
      <c r="C8" s="97">
        <v>516092</v>
      </c>
      <c r="D8" s="96" t="s">
        <v>381</v>
      </c>
      <c r="E8" s="96" t="s">
        <v>382</v>
      </c>
    </row>
    <row r="9" spans="2:5" ht="15" customHeight="1" thickBot="1" x14ac:dyDescent="0.35">
      <c r="B9" s="96" t="s">
        <v>383</v>
      </c>
      <c r="C9" s="97">
        <v>540776</v>
      </c>
      <c r="D9" s="96" t="s">
        <v>384</v>
      </c>
      <c r="E9" s="96" t="s">
        <v>371</v>
      </c>
    </row>
    <row r="10" spans="2:5" ht="15" customHeight="1" thickBot="1" x14ac:dyDescent="0.35">
      <c r="B10" s="96" t="s">
        <v>385</v>
      </c>
      <c r="C10" s="97">
        <v>526881</v>
      </c>
      <c r="D10" s="96" t="s">
        <v>386</v>
      </c>
      <c r="E10" s="96" t="s">
        <v>374</v>
      </c>
    </row>
    <row r="11" spans="2:5" ht="15" customHeight="1" thickBot="1" x14ac:dyDescent="0.35">
      <c r="B11" s="96" t="s">
        <v>387</v>
      </c>
      <c r="C11" s="97">
        <v>540615</v>
      </c>
      <c r="D11" s="96" t="s">
        <v>388</v>
      </c>
      <c r="E11" s="96" t="s">
        <v>389</v>
      </c>
    </row>
    <row r="12" spans="2:5" ht="15" customHeight="1" thickBot="1" x14ac:dyDescent="0.35">
      <c r="B12" s="96" t="s">
        <v>390</v>
      </c>
      <c r="C12" s="97">
        <v>540874</v>
      </c>
      <c r="D12" s="96" t="s">
        <v>388</v>
      </c>
      <c r="E12" s="96" t="s">
        <v>391</v>
      </c>
    </row>
    <row r="13" spans="2:5" ht="15" customHeight="1" thickBot="1" x14ac:dyDescent="0.35">
      <c r="B13" s="96" t="s">
        <v>392</v>
      </c>
      <c r="C13" s="97">
        <v>512161</v>
      </c>
      <c r="D13" s="96" t="s">
        <v>393</v>
      </c>
      <c r="E13" s="96" t="s">
        <v>394</v>
      </c>
    </row>
    <row r="14" spans="2:5" ht="15" customHeight="1" thickBot="1" x14ac:dyDescent="0.35">
      <c r="B14" s="96" t="s">
        <v>395</v>
      </c>
      <c r="C14" s="97">
        <v>540697</v>
      </c>
      <c r="D14" s="96" t="s">
        <v>388</v>
      </c>
      <c r="E14" s="96" t="s">
        <v>396</v>
      </c>
    </row>
    <row r="15" spans="2:5" ht="15" customHeight="1" thickBot="1" x14ac:dyDescent="0.35">
      <c r="B15" s="96" t="s">
        <v>397</v>
      </c>
      <c r="C15" s="96" t="s">
        <v>388</v>
      </c>
      <c r="D15" s="96" t="s">
        <v>398</v>
      </c>
      <c r="E15" s="96" t="s">
        <v>399</v>
      </c>
    </row>
    <row r="16" spans="2:5" ht="15" customHeight="1" thickBot="1" x14ac:dyDescent="0.35">
      <c r="B16" s="96" t="s">
        <v>400</v>
      </c>
      <c r="C16" s="97">
        <v>539620</v>
      </c>
      <c r="D16" s="96" t="s">
        <v>388</v>
      </c>
      <c r="E16" s="96" t="s">
        <v>401</v>
      </c>
    </row>
    <row r="17" spans="2:5" ht="15" customHeight="1" thickBot="1" x14ac:dyDescent="0.35">
      <c r="B17" s="96" t="s">
        <v>402</v>
      </c>
      <c r="C17" s="97">
        <v>539300</v>
      </c>
      <c r="D17" s="96" t="s">
        <v>388</v>
      </c>
      <c r="E17" s="96" t="s">
        <v>403</v>
      </c>
    </row>
    <row r="18" spans="2:5" ht="15" customHeight="1" thickBot="1" x14ac:dyDescent="0.35">
      <c r="B18" s="96" t="s">
        <v>404</v>
      </c>
      <c r="C18" s="97">
        <v>530499</v>
      </c>
      <c r="D18" s="96" t="s">
        <v>388</v>
      </c>
      <c r="E18" s="96" t="s">
        <v>405</v>
      </c>
    </row>
    <row r="19" spans="2:5" ht="15" customHeight="1" thickBot="1" x14ac:dyDescent="0.35">
      <c r="B19" s="96" t="s">
        <v>406</v>
      </c>
      <c r="C19" s="97">
        <v>538351</v>
      </c>
      <c r="D19" s="96" t="s">
        <v>407</v>
      </c>
      <c r="E19" s="96" t="s">
        <v>408</v>
      </c>
    </row>
    <row r="20" spans="2:5" ht="15" customHeight="1" thickBot="1" x14ac:dyDescent="0.35">
      <c r="B20" s="96" t="s">
        <v>409</v>
      </c>
      <c r="C20" s="97">
        <v>542012</v>
      </c>
      <c r="D20" s="96" t="s">
        <v>388</v>
      </c>
      <c r="E20" s="96" t="s">
        <v>410</v>
      </c>
    </row>
    <row r="21" spans="2:5" ht="15" customHeight="1" thickBot="1" x14ac:dyDescent="0.35">
      <c r="B21" s="96" t="s">
        <v>411</v>
      </c>
      <c r="C21" s="97">
        <v>533292</v>
      </c>
      <c r="D21" s="96" t="s">
        <v>412</v>
      </c>
      <c r="E21" s="96" t="s">
        <v>413</v>
      </c>
    </row>
    <row r="22" spans="2:5" ht="15" customHeight="1" thickBot="1" x14ac:dyDescent="0.35">
      <c r="B22" s="96" t="s">
        <v>414</v>
      </c>
      <c r="C22" s="97">
        <v>531611</v>
      </c>
      <c r="D22" s="96" t="s">
        <v>388</v>
      </c>
      <c r="E22" s="96" t="s">
        <v>405</v>
      </c>
    </row>
    <row r="23" spans="2:5" ht="15" customHeight="1" thickBot="1" x14ac:dyDescent="0.35">
      <c r="B23" s="96" t="s">
        <v>415</v>
      </c>
      <c r="C23" s="97">
        <v>531611</v>
      </c>
      <c r="D23" s="96" t="s">
        <v>388</v>
      </c>
      <c r="E23" s="96" t="s">
        <v>405</v>
      </c>
    </row>
    <row r="24" spans="2:5" ht="15" customHeight="1" thickBot="1" x14ac:dyDescent="0.35">
      <c r="B24" s="96" t="s">
        <v>416</v>
      </c>
      <c r="C24" s="96" t="s">
        <v>388</v>
      </c>
      <c r="D24" s="96" t="s">
        <v>417</v>
      </c>
      <c r="E24" s="96" t="s">
        <v>399</v>
      </c>
    </row>
    <row r="25" spans="2:5" ht="15" customHeight="1" thickBot="1" x14ac:dyDescent="0.35">
      <c r="B25" s="96" t="s">
        <v>418</v>
      </c>
      <c r="C25" s="97">
        <v>539096</v>
      </c>
      <c r="D25" s="96" t="s">
        <v>388</v>
      </c>
      <c r="E25" s="96" t="s">
        <v>403</v>
      </c>
    </row>
    <row r="26" spans="2:5" ht="15" customHeight="1" thickBot="1" x14ac:dyDescent="0.35">
      <c r="B26" s="96" t="s">
        <v>419</v>
      </c>
      <c r="C26" s="97">
        <v>538812</v>
      </c>
      <c r="D26" s="96" t="s">
        <v>388</v>
      </c>
      <c r="E26" s="96" t="s">
        <v>420</v>
      </c>
    </row>
    <row r="27" spans="2:5" ht="15" customHeight="1" thickBot="1" x14ac:dyDescent="0.35">
      <c r="B27" s="96" t="s">
        <v>421</v>
      </c>
      <c r="C27" s="97">
        <v>539632</v>
      </c>
      <c r="D27" s="96" t="s">
        <v>388</v>
      </c>
      <c r="E27" s="96" t="s">
        <v>422</v>
      </c>
    </row>
    <row r="28" spans="2:5" ht="15" customHeight="1" thickBot="1" x14ac:dyDescent="0.35">
      <c r="B28" s="96" t="s">
        <v>423</v>
      </c>
      <c r="C28" s="97">
        <v>542377</v>
      </c>
      <c r="D28" s="96" t="s">
        <v>424</v>
      </c>
      <c r="E28" s="96" t="s">
        <v>405</v>
      </c>
    </row>
    <row r="29" spans="2:5" ht="15" customHeight="1" thickBot="1" x14ac:dyDescent="0.35">
      <c r="B29" s="96" t="s">
        <v>425</v>
      </c>
      <c r="C29" s="97">
        <v>524412</v>
      </c>
      <c r="D29" s="96" t="s">
        <v>388</v>
      </c>
      <c r="E29" s="96" t="s">
        <v>426</v>
      </c>
    </row>
    <row r="30" spans="2:5" ht="15" customHeight="1" thickBot="1" x14ac:dyDescent="0.35">
      <c r="B30" s="96" t="s">
        <v>427</v>
      </c>
      <c r="C30" s="96" t="s">
        <v>388</v>
      </c>
      <c r="D30" s="96" t="s">
        <v>428</v>
      </c>
      <c r="E30" s="96" t="s">
        <v>399</v>
      </c>
    </row>
    <row r="31" spans="2:5" ht="15" customHeight="1" thickBot="1" x14ac:dyDescent="0.35">
      <c r="B31" s="96" t="s">
        <v>429</v>
      </c>
      <c r="C31" s="97">
        <v>542580</v>
      </c>
      <c r="D31" s="96" t="s">
        <v>430</v>
      </c>
      <c r="E31" s="96" t="s">
        <v>431</v>
      </c>
    </row>
    <row r="32" spans="2:5" ht="15" customHeight="1" thickBot="1" x14ac:dyDescent="0.35">
      <c r="B32" s="96" t="s">
        <v>432</v>
      </c>
      <c r="C32" s="97">
        <v>524348</v>
      </c>
      <c r="D32" s="96" t="s">
        <v>433</v>
      </c>
      <c r="E32" s="96" t="s">
        <v>426</v>
      </c>
    </row>
    <row r="33" spans="2:5" ht="15" customHeight="1" thickBot="1" x14ac:dyDescent="0.35">
      <c r="B33" s="96" t="s">
        <v>434</v>
      </c>
      <c r="C33" s="97">
        <v>524208</v>
      </c>
      <c r="D33" s="96" t="s">
        <v>435</v>
      </c>
      <c r="E33" s="96" t="s">
        <v>436</v>
      </c>
    </row>
    <row r="34" spans="2:5" ht="15" customHeight="1" thickBot="1" x14ac:dyDescent="0.35">
      <c r="B34" s="96" t="s">
        <v>437</v>
      </c>
      <c r="C34" s="97">
        <v>526488</v>
      </c>
      <c r="D34" s="96" t="s">
        <v>388</v>
      </c>
      <c r="E34" s="96" t="s">
        <v>403</v>
      </c>
    </row>
    <row r="35" spans="2:5" ht="15" customHeight="1" thickBot="1" x14ac:dyDescent="0.35">
      <c r="B35" s="96" t="s">
        <v>438</v>
      </c>
      <c r="C35" s="97">
        <v>514274</v>
      </c>
      <c r="D35" s="96" t="s">
        <v>439</v>
      </c>
      <c r="E35" s="96" t="s">
        <v>403</v>
      </c>
    </row>
    <row r="36" spans="2:5" ht="15" customHeight="1" thickBot="1" x14ac:dyDescent="0.35">
      <c r="B36" s="96" t="s">
        <v>440</v>
      </c>
      <c r="C36" s="96" t="s">
        <v>388</v>
      </c>
      <c r="D36" s="96" t="s">
        <v>441</v>
      </c>
      <c r="E36" s="96" t="s">
        <v>399</v>
      </c>
    </row>
    <row r="37" spans="2:5" ht="15" customHeight="1" thickBot="1" x14ac:dyDescent="0.35">
      <c r="B37" s="96" t="s">
        <v>442</v>
      </c>
      <c r="C37" s="97">
        <v>519319</v>
      </c>
      <c r="D37" s="96" t="s">
        <v>388</v>
      </c>
      <c r="E37" s="96" t="s">
        <v>394</v>
      </c>
    </row>
    <row r="38" spans="2:5" ht="15" customHeight="1" thickBot="1" x14ac:dyDescent="0.35">
      <c r="B38" s="96" t="s">
        <v>443</v>
      </c>
      <c r="C38" s="97">
        <v>512038</v>
      </c>
      <c r="D38" s="96" t="s">
        <v>388</v>
      </c>
      <c r="E38" s="96" t="s">
        <v>410</v>
      </c>
    </row>
    <row r="39" spans="2:5" ht="15" customHeight="1" thickBot="1" x14ac:dyDescent="0.35">
      <c r="B39" s="96" t="s">
        <v>444</v>
      </c>
      <c r="C39" s="97">
        <v>541988</v>
      </c>
      <c r="D39" s="96" t="s">
        <v>445</v>
      </c>
      <c r="E39" s="96" t="s">
        <v>446</v>
      </c>
    </row>
    <row r="40" spans="2:5" ht="15" customHeight="1" thickBot="1" x14ac:dyDescent="0.35">
      <c r="B40" s="96" t="s">
        <v>447</v>
      </c>
      <c r="C40" s="97">
        <v>539528</v>
      </c>
      <c r="D40" s="96" t="s">
        <v>388</v>
      </c>
      <c r="E40" s="96" t="s">
        <v>448</v>
      </c>
    </row>
    <row r="41" spans="2:5" ht="15" customHeight="1" thickBot="1" x14ac:dyDescent="0.35">
      <c r="B41" s="96" t="s">
        <v>449</v>
      </c>
      <c r="C41" s="97">
        <v>523204</v>
      </c>
      <c r="D41" s="96" t="s">
        <v>450</v>
      </c>
      <c r="E41" s="96" t="s">
        <v>451</v>
      </c>
    </row>
    <row r="42" spans="2:5" ht="15" customHeight="1" thickBot="1" x14ac:dyDescent="0.35">
      <c r="B42" s="96" t="s">
        <v>452</v>
      </c>
      <c r="C42" s="97">
        <v>512165</v>
      </c>
      <c r="D42" s="96" t="s">
        <v>388</v>
      </c>
      <c r="E42" s="96" t="s">
        <v>410</v>
      </c>
    </row>
    <row r="43" spans="2:5" ht="15" customHeight="1" thickBot="1" x14ac:dyDescent="0.35">
      <c r="B43" s="96" t="s">
        <v>453</v>
      </c>
      <c r="C43" s="97">
        <v>500002</v>
      </c>
      <c r="D43" s="96" t="s">
        <v>454</v>
      </c>
      <c r="E43" s="96" t="s">
        <v>431</v>
      </c>
    </row>
    <row r="44" spans="2:5" ht="15" customHeight="1" thickBot="1" x14ac:dyDescent="0.35">
      <c r="B44" s="96" t="s">
        <v>455</v>
      </c>
      <c r="C44" s="97">
        <v>500488</v>
      </c>
      <c r="D44" s="96" t="s">
        <v>456</v>
      </c>
      <c r="E44" s="96" t="s">
        <v>426</v>
      </c>
    </row>
    <row r="45" spans="2:5" ht="15" customHeight="1" thickBot="1" x14ac:dyDescent="0.35">
      <c r="B45" s="96" t="s">
        <v>457</v>
      </c>
      <c r="C45" s="97">
        <v>500488</v>
      </c>
      <c r="D45" s="96" t="s">
        <v>458</v>
      </c>
      <c r="E45" s="96" t="s">
        <v>426</v>
      </c>
    </row>
    <row r="46" spans="2:5" ht="15" customHeight="1" thickBot="1" x14ac:dyDescent="0.35">
      <c r="B46" s="96" t="s">
        <v>459</v>
      </c>
      <c r="C46" s="97">
        <v>520123</v>
      </c>
      <c r="D46" s="96" t="s">
        <v>388</v>
      </c>
      <c r="E46" s="96" t="s">
        <v>460</v>
      </c>
    </row>
    <row r="47" spans="2:5" ht="15" customHeight="1" thickBot="1" x14ac:dyDescent="0.35">
      <c r="B47" s="96" t="s">
        <v>461</v>
      </c>
      <c r="C47" s="97">
        <v>513119</v>
      </c>
      <c r="D47" s="96" t="s">
        <v>388</v>
      </c>
      <c r="E47" s="96" t="s">
        <v>462</v>
      </c>
    </row>
    <row r="48" spans="2:5" ht="15" customHeight="1" thickBot="1" x14ac:dyDescent="0.35">
      <c r="B48" s="96" t="s">
        <v>463</v>
      </c>
      <c r="C48" s="97">
        <v>520123</v>
      </c>
      <c r="D48" s="96" t="s">
        <v>388</v>
      </c>
      <c r="E48" s="96" t="s">
        <v>460</v>
      </c>
    </row>
    <row r="49" spans="2:5" ht="15" customHeight="1" thickBot="1" x14ac:dyDescent="0.35">
      <c r="B49" s="96" t="s">
        <v>464</v>
      </c>
      <c r="C49" s="97">
        <v>532682</v>
      </c>
      <c r="D49" s="96" t="s">
        <v>465</v>
      </c>
      <c r="E49" s="96" t="s">
        <v>466</v>
      </c>
    </row>
    <row r="50" spans="2:5" ht="15" customHeight="1" thickBot="1" x14ac:dyDescent="0.35">
      <c r="B50" s="96" t="s">
        <v>467</v>
      </c>
      <c r="C50" s="97">
        <v>539560</v>
      </c>
      <c r="D50" s="96" t="s">
        <v>388</v>
      </c>
      <c r="E50" s="96" t="s">
        <v>468</v>
      </c>
    </row>
    <row r="51" spans="2:5" ht="15" customHeight="1" thickBot="1" x14ac:dyDescent="0.35">
      <c r="B51" s="96" t="s">
        <v>469</v>
      </c>
      <c r="C51" s="97">
        <v>532057</v>
      </c>
      <c r="D51" s="96" t="s">
        <v>388</v>
      </c>
      <c r="E51" s="96" t="s">
        <v>405</v>
      </c>
    </row>
    <row r="52" spans="2:5" ht="15" customHeight="1" thickBot="1" x14ac:dyDescent="0.35">
      <c r="B52" s="96" t="s">
        <v>470</v>
      </c>
      <c r="C52" s="97">
        <v>538952</v>
      </c>
      <c r="D52" s="96" t="s">
        <v>388</v>
      </c>
      <c r="E52" s="96" t="s">
        <v>405</v>
      </c>
    </row>
    <row r="53" spans="2:5" ht="15" customHeight="1" thickBot="1" x14ac:dyDescent="0.35">
      <c r="B53" s="96" t="s">
        <v>471</v>
      </c>
      <c r="C53" s="97">
        <v>538935</v>
      </c>
      <c r="D53" s="96" t="s">
        <v>388</v>
      </c>
      <c r="E53" s="96" t="s">
        <v>472</v>
      </c>
    </row>
    <row r="54" spans="2:5" ht="15" customHeight="1" thickBot="1" x14ac:dyDescent="0.35">
      <c r="B54" s="96" t="s">
        <v>473</v>
      </c>
      <c r="C54" s="97">
        <v>539544</v>
      </c>
      <c r="D54" s="96" t="s">
        <v>388</v>
      </c>
      <c r="E54" s="96" t="s">
        <v>474</v>
      </c>
    </row>
    <row r="55" spans="2:5" ht="15" customHeight="1" thickBot="1" x14ac:dyDescent="0.35">
      <c r="B55" s="96" t="s">
        <v>475</v>
      </c>
      <c r="C55" s="97">
        <v>511756</v>
      </c>
      <c r="D55" s="96" t="s">
        <v>388</v>
      </c>
      <c r="E55" s="96" t="s">
        <v>405</v>
      </c>
    </row>
    <row r="56" spans="2:5" ht="15" customHeight="1" thickBot="1" x14ac:dyDescent="0.35">
      <c r="B56" s="96" t="s">
        <v>476</v>
      </c>
      <c r="C56" s="97">
        <v>511756</v>
      </c>
      <c r="D56" s="96" t="s">
        <v>388</v>
      </c>
      <c r="E56" s="96" t="s">
        <v>405</v>
      </c>
    </row>
    <row r="57" spans="2:5" ht="15" customHeight="1" thickBot="1" x14ac:dyDescent="0.35">
      <c r="B57" s="96" t="s">
        <v>477</v>
      </c>
      <c r="C57" s="96" t="s">
        <v>388</v>
      </c>
      <c r="D57" s="96" t="s">
        <v>478</v>
      </c>
      <c r="E57" s="96" t="s">
        <v>479</v>
      </c>
    </row>
    <row r="58" spans="2:5" ht="15" customHeight="1" thickBot="1" x14ac:dyDescent="0.35">
      <c r="B58" s="96" t="s">
        <v>480</v>
      </c>
      <c r="C58" s="97">
        <v>531161</v>
      </c>
      <c r="D58" s="96" t="s">
        <v>388</v>
      </c>
      <c r="E58" s="96" t="s">
        <v>481</v>
      </c>
    </row>
    <row r="59" spans="2:5" ht="15" customHeight="1" thickBot="1" x14ac:dyDescent="0.35">
      <c r="B59" s="96" t="s">
        <v>482</v>
      </c>
      <c r="C59" s="97">
        <v>500410</v>
      </c>
      <c r="D59" s="96" t="s">
        <v>483</v>
      </c>
      <c r="E59" s="96" t="s">
        <v>401</v>
      </c>
    </row>
    <row r="60" spans="2:5" ht="15" customHeight="1" thickBot="1" x14ac:dyDescent="0.35">
      <c r="B60" s="96" t="s">
        <v>484</v>
      </c>
      <c r="C60" s="97">
        <v>517494</v>
      </c>
      <c r="D60" s="96" t="s">
        <v>388</v>
      </c>
      <c r="E60" s="96" t="s">
        <v>485</v>
      </c>
    </row>
    <row r="61" spans="2:5" ht="15" customHeight="1" thickBot="1" x14ac:dyDescent="0.35">
      <c r="B61" s="96" t="s">
        <v>486</v>
      </c>
      <c r="C61" s="97">
        <v>532268</v>
      </c>
      <c r="D61" s="96" t="s">
        <v>487</v>
      </c>
      <c r="E61" s="96" t="s">
        <v>374</v>
      </c>
    </row>
    <row r="62" spans="2:5" ht="15" customHeight="1" thickBot="1" x14ac:dyDescent="0.35">
      <c r="B62" s="96" t="s">
        <v>488</v>
      </c>
      <c r="C62" s="96" t="s">
        <v>388</v>
      </c>
      <c r="D62" s="96" t="s">
        <v>489</v>
      </c>
      <c r="E62" s="96" t="s">
        <v>399</v>
      </c>
    </row>
    <row r="63" spans="2:5" ht="15" customHeight="1" thickBot="1" x14ac:dyDescent="0.35">
      <c r="B63" s="96" t="s">
        <v>490</v>
      </c>
      <c r="C63" s="96" t="s">
        <v>388</v>
      </c>
      <c r="D63" s="96" t="s">
        <v>491</v>
      </c>
      <c r="E63" s="96" t="s">
        <v>399</v>
      </c>
    </row>
    <row r="64" spans="2:5" ht="15" customHeight="1" thickBot="1" x14ac:dyDescent="0.35">
      <c r="B64" s="96" t="s">
        <v>492</v>
      </c>
      <c r="C64" s="97">
        <v>530093</v>
      </c>
      <c r="D64" s="96" t="s">
        <v>388</v>
      </c>
      <c r="E64" s="96" t="s">
        <v>493</v>
      </c>
    </row>
    <row r="65" spans="2:5" ht="15" customHeight="1" thickBot="1" x14ac:dyDescent="0.35">
      <c r="B65" s="96" t="s">
        <v>494</v>
      </c>
      <c r="C65" s="96" t="s">
        <v>388</v>
      </c>
      <c r="D65" s="96" t="s">
        <v>495</v>
      </c>
      <c r="E65" s="96" t="s">
        <v>399</v>
      </c>
    </row>
    <row r="66" spans="2:5" ht="15" customHeight="1" thickBot="1" x14ac:dyDescent="0.35">
      <c r="B66" s="96" t="s">
        <v>496</v>
      </c>
      <c r="C66" s="97">
        <v>539661</v>
      </c>
      <c r="D66" s="96" t="s">
        <v>388</v>
      </c>
      <c r="E66" s="96" t="s">
        <v>422</v>
      </c>
    </row>
    <row r="67" spans="2:5" ht="15" customHeight="1" thickBot="1" x14ac:dyDescent="0.35">
      <c r="B67" s="96" t="s">
        <v>497</v>
      </c>
      <c r="C67" s="97">
        <v>531525</v>
      </c>
      <c r="D67" s="96" t="s">
        <v>388</v>
      </c>
      <c r="E67" s="96" t="s">
        <v>481</v>
      </c>
    </row>
    <row r="68" spans="2:5" ht="15" customHeight="1" thickBot="1" x14ac:dyDescent="0.35">
      <c r="B68" s="96" t="s">
        <v>498</v>
      </c>
      <c r="C68" s="97">
        <v>538570</v>
      </c>
      <c r="D68" s="96" t="s">
        <v>499</v>
      </c>
      <c r="E68" s="96" t="s">
        <v>371</v>
      </c>
    </row>
    <row r="69" spans="2:5" ht="15" customHeight="1" thickBot="1" x14ac:dyDescent="0.35">
      <c r="B69" s="96" t="s">
        <v>500</v>
      </c>
      <c r="C69" s="97">
        <v>517356</v>
      </c>
      <c r="D69" s="96" t="s">
        <v>388</v>
      </c>
      <c r="E69" s="96" t="s">
        <v>485</v>
      </c>
    </row>
    <row r="70" spans="2:5" ht="15" customHeight="1" thickBot="1" x14ac:dyDescent="0.35">
      <c r="B70" s="96" t="s">
        <v>501</v>
      </c>
      <c r="C70" s="97">
        <v>530043</v>
      </c>
      <c r="D70" s="96" t="s">
        <v>388</v>
      </c>
      <c r="E70" s="96" t="s">
        <v>502</v>
      </c>
    </row>
    <row r="71" spans="2:5" ht="15" customHeight="1" thickBot="1" x14ac:dyDescent="0.35">
      <c r="B71" s="96" t="s">
        <v>503</v>
      </c>
      <c r="C71" s="97">
        <v>539391</v>
      </c>
      <c r="D71" s="96" t="s">
        <v>388</v>
      </c>
      <c r="E71" s="96" t="s">
        <v>405</v>
      </c>
    </row>
    <row r="72" spans="2:5" ht="15" customHeight="1" thickBot="1" x14ac:dyDescent="0.35">
      <c r="B72" s="96" t="s">
        <v>504</v>
      </c>
      <c r="C72" s="97">
        <v>513149</v>
      </c>
      <c r="D72" s="96" t="s">
        <v>505</v>
      </c>
      <c r="E72" s="96" t="s">
        <v>506</v>
      </c>
    </row>
    <row r="73" spans="2:5" ht="15" customHeight="1" thickBot="1" x14ac:dyDescent="0.35">
      <c r="B73" s="96" t="s">
        <v>507</v>
      </c>
      <c r="C73" s="97">
        <v>524091</v>
      </c>
      <c r="D73" s="96" t="s">
        <v>388</v>
      </c>
      <c r="E73" s="96" t="s">
        <v>508</v>
      </c>
    </row>
    <row r="74" spans="2:5" ht="15" customHeight="1" thickBot="1" x14ac:dyDescent="0.35">
      <c r="B74" s="96" t="s">
        <v>509</v>
      </c>
      <c r="C74" s="97">
        <v>532762</v>
      </c>
      <c r="D74" s="96" t="s">
        <v>510</v>
      </c>
      <c r="E74" s="96" t="s">
        <v>511</v>
      </c>
    </row>
    <row r="75" spans="2:5" ht="15" customHeight="1" thickBot="1" x14ac:dyDescent="0.35">
      <c r="B75" s="96" t="s">
        <v>512</v>
      </c>
      <c r="C75" s="97">
        <v>511706</v>
      </c>
      <c r="D75" s="96" t="s">
        <v>388</v>
      </c>
      <c r="E75" s="96" t="s">
        <v>371</v>
      </c>
    </row>
    <row r="76" spans="2:5" ht="15" customHeight="1" thickBot="1" x14ac:dyDescent="0.35">
      <c r="B76" s="96" t="s">
        <v>513</v>
      </c>
      <c r="C76" s="97">
        <v>511706</v>
      </c>
      <c r="D76" s="96" t="s">
        <v>388</v>
      </c>
      <c r="E76" s="96" t="s">
        <v>371</v>
      </c>
    </row>
    <row r="77" spans="2:5" ht="15" customHeight="1" thickBot="1" x14ac:dyDescent="0.35">
      <c r="B77" s="96" t="s">
        <v>514</v>
      </c>
      <c r="C77" s="97">
        <v>541144</v>
      </c>
      <c r="D77" s="96" t="s">
        <v>388</v>
      </c>
      <c r="E77" s="96" t="s">
        <v>502</v>
      </c>
    </row>
    <row r="78" spans="2:5" ht="15" customHeight="1" thickBot="1" x14ac:dyDescent="0.35">
      <c r="B78" s="96" t="s">
        <v>515</v>
      </c>
      <c r="C78" s="97">
        <v>512599</v>
      </c>
      <c r="D78" s="96" t="s">
        <v>516</v>
      </c>
      <c r="E78" s="96" t="s">
        <v>410</v>
      </c>
    </row>
    <row r="79" spans="2:5" ht="15" customHeight="1" thickBot="1" x14ac:dyDescent="0.35">
      <c r="B79" s="96" t="s">
        <v>517</v>
      </c>
      <c r="C79" s="97">
        <v>542066</v>
      </c>
      <c r="D79" s="96" t="s">
        <v>518</v>
      </c>
      <c r="E79" s="96" t="s">
        <v>519</v>
      </c>
    </row>
    <row r="80" spans="2:5" ht="15" customHeight="1" thickBot="1" x14ac:dyDescent="0.35">
      <c r="B80" s="96" t="s">
        <v>520</v>
      </c>
      <c r="C80" s="97">
        <v>541450</v>
      </c>
      <c r="D80" s="96" t="s">
        <v>521</v>
      </c>
      <c r="E80" s="96" t="s">
        <v>431</v>
      </c>
    </row>
    <row r="81" spans="2:5" ht="15" customHeight="1" thickBot="1" x14ac:dyDescent="0.35">
      <c r="B81" s="96" t="s">
        <v>522</v>
      </c>
      <c r="C81" s="97">
        <v>532921</v>
      </c>
      <c r="D81" s="96" t="s">
        <v>523</v>
      </c>
      <c r="E81" s="96" t="s">
        <v>524</v>
      </c>
    </row>
    <row r="82" spans="2:5" ht="15" customHeight="1" thickBot="1" x14ac:dyDescent="0.35">
      <c r="B82" s="96" t="s">
        <v>525</v>
      </c>
      <c r="C82" s="97">
        <v>533096</v>
      </c>
      <c r="D82" s="96" t="s">
        <v>526</v>
      </c>
      <c r="E82" s="96" t="s">
        <v>527</v>
      </c>
    </row>
    <row r="83" spans="2:5" ht="15" customHeight="1" thickBot="1" x14ac:dyDescent="0.35">
      <c r="B83" s="96" t="s">
        <v>528</v>
      </c>
      <c r="C83" s="97">
        <v>539254</v>
      </c>
      <c r="D83" s="96" t="s">
        <v>529</v>
      </c>
      <c r="E83" s="96" t="s">
        <v>527</v>
      </c>
    </row>
    <row r="84" spans="2:5" ht="15" customHeight="1" thickBot="1" x14ac:dyDescent="0.35">
      <c r="B84" s="96" t="s">
        <v>530</v>
      </c>
      <c r="C84" s="97">
        <v>538563</v>
      </c>
      <c r="D84" s="96" t="s">
        <v>388</v>
      </c>
      <c r="E84" s="96" t="s">
        <v>410</v>
      </c>
    </row>
    <row r="85" spans="2:5" ht="15" customHeight="1" thickBot="1" x14ac:dyDescent="0.35">
      <c r="B85" s="96" t="s">
        <v>531</v>
      </c>
      <c r="C85" s="97">
        <v>526711</v>
      </c>
      <c r="D85" s="96" t="s">
        <v>388</v>
      </c>
      <c r="E85" s="96" t="s">
        <v>532</v>
      </c>
    </row>
    <row r="86" spans="2:5" ht="15" customHeight="1" thickBot="1" x14ac:dyDescent="0.35">
      <c r="B86" s="96" t="s">
        <v>533</v>
      </c>
      <c r="C86" s="97">
        <v>523411</v>
      </c>
      <c r="D86" s="96" t="s">
        <v>388</v>
      </c>
      <c r="E86" s="96" t="s">
        <v>534</v>
      </c>
    </row>
    <row r="87" spans="2:5" ht="15" customHeight="1" thickBot="1" x14ac:dyDescent="0.35">
      <c r="B87" s="96" t="s">
        <v>535</v>
      </c>
      <c r="C87" s="97">
        <v>539506</v>
      </c>
      <c r="D87" s="96" t="s">
        <v>388</v>
      </c>
      <c r="E87" s="96" t="s">
        <v>405</v>
      </c>
    </row>
    <row r="88" spans="2:5" ht="15" customHeight="1" thickBot="1" x14ac:dyDescent="0.35">
      <c r="B88" s="96" t="s">
        <v>536</v>
      </c>
      <c r="C88" s="97">
        <v>507852</v>
      </c>
      <c r="D88" s="96" t="s">
        <v>388</v>
      </c>
      <c r="E88" s="96" t="s">
        <v>502</v>
      </c>
    </row>
    <row r="89" spans="2:5" ht="15" customHeight="1" thickBot="1" x14ac:dyDescent="0.35">
      <c r="B89" s="96" t="s">
        <v>537</v>
      </c>
      <c r="C89" s="97">
        <v>541865</v>
      </c>
      <c r="D89" s="96" t="s">
        <v>388</v>
      </c>
      <c r="E89" s="96" t="s">
        <v>422</v>
      </c>
    </row>
    <row r="90" spans="2:5" ht="15" customHeight="1" thickBot="1" x14ac:dyDescent="0.35">
      <c r="B90" s="96" t="s">
        <v>538</v>
      </c>
      <c r="C90" s="97">
        <v>519183</v>
      </c>
      <c r="D90" s="96" t="s">
        <v>539</v>
      </c>
      <c r="E90" s="96" t="s">
        <v>448</v>
      </c>
    </row>
    <row r="91" spans="2:5" ht="15" customHeight="1" thickBot="1" x14ac:dyDescent="0.35">
      <c r="B91" s="96" t="s">
        <v>540</v>
      </c>
      <c r="C91" s="97">
        <v>539493</v>
      </c>
      <c r="D91" s="96" t="s">
        <v>388</v>
      </c>
      <c r="E91" s="96" t="s">
        <v>405</v>
      </c>
    </row>
    <row r="92" spans="2:5" ht="15" customHeight="1" thickBot="1" x14ac:dyDescent="0.35">
      <c r="B92" s="96" t="s">
        <v>541</v>
      </c>
      <c r="C92" s="97">
        <v>539189</v>
      </c>
      <c r="D92" s="96" t="s">
        <v>388</v>
      </c>
      <c r="E92" s="96" t="s">
        <v>474</v>
      </c>
    </row>
    <row r="93" spans="2:5" ht="15" customHeight="1" thickBot="1" x14ac:dyDescent="0.35">
      <c r="B93" s="96" t="s">
        <v>542</v>
      </c>
      <c r="C93" s="97">
        <v>780018</v>
      </c>
      <c r="D93" s="96" t="s">
        <v>388</v>
      </c>
      <c r="E93" s="96" t="s">
        <v>479</v>
      </c>
    </row>
    <row r="94" spans="2:5" ht="15" customHeight="1" thickBot="1" x14ac:dyDescent="0.35">
      <c r="B94" s="96" t="s">
        <v>543</v>
      </c>
      <c r="C94" s="97">
        <v>538365</v>
      </c>
      <c r="D94" s="96" t="s">
        <v>544</v>
      </c>
      <c r="E94" s="96" t="s">
        <v>420</v>
      </c>
    </row>
    <row r="95" spans="2:5" ht="15" customHeight="1" thickBot="1" x14ac:dyDescent="0.35">
      <c r="B95" s="96" t="s">
        <v>545</v>
      </c>
      <c r="C95" s="97">
        <v>532727</v>
      </c>
      <c r="D95" s="96" t="s">
        <v>546</v>
      </c>
      <c r="E95" s="96" t="s">
        <v>420</v>
      </c>
    </row>
    <row r="96" spans="2:5" ht="15" customHeight="1" thickBot="1" x14ac:dyDescent="0.35">
      <c r="B96" s="96" t="s">
        <v>547</v>
      </c>
      <c r="C96" s="97">
        <v>531592</v>
      </c>
      <c r="D96" s="96" t="s">
        <v>388</v>
      </c>
      <c r="E96" s="96" t="s">
        <v>548</v>
      </c>
    </row>
    <row r="97" spans="2:5" ht="15" customHeight="1" thickBot="1" x14ac:dyDescent="0.35">
      <c r="B97" s="96" t="s">
        <v>549</v>
      </c>
      <c r="C97" s="97">
        <v>532056</v>
      </c>
      <c r="D97" s="96" t="s">
        <v>388</v>
      </c>
      <c r="E97" s="96" t="s">
        <v>408</v>
      </c>
    </row>
    <row r="98" spans="2:5" ht="15" customHeight="1" thickBot="1" x14ac:dyDescent="0.35">
      <c r="B98" s="96" t="s">
        <v>550</v>
      </c>
      <c r="C98" s="97">
        <v>514113</v>
      </c>
      <c r="D98" s="96" t="s">
        <v>388</v>
      </c>
      <c r="E98" s="96" t="s">
        <v>403</v>
      </c>
    </row>
    <row r="99" spans="2:5" ht="15" customHeight="1" thickBot="1" x14ac:dyDescent="0.35">
      <c r="B99" s="96" t="s">
        <v>551</v>
      </c>
      <c r="C99" s="97">
        <v>534707</v>
      </c>
      <c r="D99" s="96" t="s">
        <v>388</v>
      </c>
      <c r="E99" s="96" t="s">
        <v>502</v>
      </c>
    </row>
    <row r="100" spans="2:5" ht="15" customHeight="1" thickBot="1" x14ac:dyDescent="0.35">
      <c r="B100" s="96" t="s">
        <v>552</v>
      </c>
      <c r="C100" s="97">
        <v>540691</v>
      </c>
      <c r="D100" s="96" t="s">
        <v>553</v>
      </c>
      <c r="E100" s="96" t="s">
        <v>554</v>
      </c>
    </row>
    <row r="101" spans="2:5" ht="15" customHeight="1" thickBot="1" x14ac:dyDescent="0.35">
      <c r="B101" s="96" t="s">
        <v>555</v>
      </c>
      <c r="C101" s="97">
        <v>535755</v>
      </c>
      <c r="D101" s="96" t="s">
        <v>556</v>
      </c>
      <c r="E101" s="96" t="s">
        <v>557</v>
      </c>
    </row>
    <row r="102" spans="2:5" ht="15" customHeight="1" thickBot="1" x14ac:dyDescent="0.35">
      <c r="B102" s="96" t="s">
        <v>558</v>
      </c>
      <c r="C102" s="97">
        <v>532974</v>
      </c>
      <c r="D102" s="96" t="s">
        <v>559</v>
      </c>
      <c r="E102" s="96" t="s">
        <v>371</v>
      </c>
    </row>
    <row r="103" spans="2:5" ht="15" customHeight="1" thickBot="1" x14ac:dyDescent="0.35">
      <c r="B103" s="96" t="s">
        <v>560</v>
      </c>
      <c r="C103" s="97">
        <v>540146</v>
      </c>
      <c r="D103" s="96" t="s">
        <v>388</v>
      </c>
      <c r="E103" s="96" t="s">
        <v>422</v>
      </c>
    </row>
    <row r="104" spans="2:5" ht="15" customHeight="1" thickBot="1" x14ac:dyDescent="0.35">
      <c r="B104" s="96" t="s">
        <v>561</v>
      </c>
      <c r="C104" s="97">
        <v>513513</v>
      </c>
      <c r="D104" s="96" t="s">
        <v>388</v>
      </c>
      <c r="E104" s="96" t="s">
        <v>420</v>
      </c>
    </row>
    <row r="105" spans="2:5" ht="15" customHeight="1" thickBot="1" x14ac:dyDescent="0.35">
      <c r="B105" s="96" t="s">
        <v>562</v>
      </c>
      <c r="C105" s="97">
        <v>521141</v>
      </c>
      <c r="D105" s="96" t="s">
        <v>388</v>
      </c>
      <c r="E105" s="96" t="s">
        <v>403</v>
      </c>
    </row>
    <row r="106" spans="2:5" ht="15" customHeight="1" thickBot="1" x14ac:dyDescent="0.35">
      <c r="B106" s="96" t="s">
        <v>563</v>
      </c>
      <c r="C106" s="97">
        <v>540205</v>
      </c>
      <c r="D106" s="96" t="s">
        <v>388</v>
      </c>
      <c r="E106" s="96" t="s">
        <v>410</v>
      </c>
    </row>
    <row r="107" spans="2:5" ht="15" customHeight="1" thickBot="1" x14ac:dyDescent="0.35">
      <c r="B107" s="96" t="s">
        <v>564</v>
      </c>
      <c r="C107" s="97">
        <v>539056</v>
      </c>
      <c r="D107" s="96" t="s">
        <v>565</v>
      </c>
      <c r="E107" s="96" t="s">
        <v>566</v>
      </c>
    </row>
    <row r="108" spans="2:5" ht="15" customHeight="1" thickBot="1" x14ac:dyDescent="0.35">
      <c r="B108" s="96" t="s">
        <v>567</v>
      </c>
      <c r="C108" s="97">
        <v>511359</v>
      </c>
      <c r="D108" s="96" t="s">
        <v>388</v>
      </c>
      <c r="E108" s="96" t="s">
        <v>405</v>
      </c>
    </row>
    <row r="109" spans="2:5" ht="15" customHeight="1" thickBot="1" x14ac:dyDescent="0.35">
      <c r="B109" s="96" t="s">
        <v>568</v>
      </c>
      <c r="C109" s="97">
        <v>530431</v>
      </c>
      <c r="D109" s="96" t="s">
        <v>388</v>
      </c>
      <c r="E109" s="96" t="s">
        <v>410</v>
      </c>
    </row>
    <row r="110" spans="2:5" ht="15" customHeight="1" thickBot="1" x14ac:dyDescent="0.35">
      <c r="B110" s="96" t="s">
        <v>569</v>
      </c>
      <c r="C110" s="97">
        <v>523120</v>
      </c>
      <c r="D110" s="96" t="s">
        <v>388</v>
      </c>
      <c r="E110" s="96" t="s">
        <v>570</v>
      </c>
    </row>
    <row r="111" spans="2:5" ht="15" customHeight="1" thickBot="1" x14ac:dyDescent="0.35">
      <c r="B111" s="96" t="s">
        <v>571</v>
      </c>
      <c r="C111" s="97">
        <v>517041</v>
      </c>
      <c r="D111" s="96" t="s">
        <v>572</v>
      </c>
      <c r="E111" s="96" t="s">
        <v>573</v>
      </c>
    </row>
    <row r="112" spans="2:5" ht="15" customHeight="1" thickBot="1" x14ac:dyDescent="0.35">
      <c r="B112" s="96" t="s">
        <v>574</v>
      </c>
      <c r="C112" s="97">
        <v>532172</v>
      </c>
      <c r="D112" s="96" t="s">
        <v>575</v>
      </c>
      <c r="E112" s="96" t="s">
        <v>374</v>
      </c>
    </row>
    <row r="113" spans="2:5" ht="15" customHeight="1" thickBot="1" x14ac:dyDescent="0.35">
      <c r="B113" s="96" t="s">
        <v>576</v>
      </c>
      <c r="C113" s="97">
        <v>523031</v>
      </c>
      <c r="D113" s="96" t="s">
        <v>388</v>
      </c>
      <c r="E113" s="96" t="s">
        <v>577</v>
      </c>
    </row>
    <row r="114" spans="2:5" ht="15" customHeight="1" thickBot="1" x14ac:dyDescent="0.35">
      <c r="B114" s="96" t="s">
        <v>578</v>
      </c>
      <c r="C114" s="97">
        <v>521048</v>
      </c>
      <c r="D114" s="96" t="s">
        <v>388</v>
      </c>
      <c r="E114" s="96" t="s">
        <v>403</v>
      </c>
    </row>
    <row r="115" spans="2:5" ht="15" customHeight="1" thickBot="1" x14ac:dyDescent="0.35">
      <c r="B115" s="96" t="s">
        <v>579</v>
      </c>
      <c r="C115" s="97">
        <v>534612</v>
      </c>
      <c r="D115" s="96" t="s">
        <v>388</v>
      </c>
      <c r="E115" s="96" t="s">
        <v>527</v>
      </c>
    </row>
    <row r="116" spans="2:5" ht="15" customHeight="1" thickBot="1" x14ac:dyDescent="0.35">
      <c r="B116" s="96" t="s">
        <v>580</v>
      </c>
      <c r="C116" s="97">
        <v>506947</v>
      </c>
      <c r="D116" s="96" t="s">
        <v>388</v>
      </c>
      <c r="E116" s="96" t="s">
        <v>436</v>
      </c>
    </row>
    <row r="117" spans="2:5" ht="15" customHeight="1" thickBot="1" x14ac:dyDescent="0.35">
      <c r="B117" s="96" t="s">
        <v>581</v>
      </c>
      <c r="C117" s="97">
        <v>531047</v>
      </c>
      <c r="D117" s="96" t="s">
        <v>388</v>
      </c>
      <c r="E117" s="96" t="s">
        <v>405</v>
      </c>
    </row>
    <row r="118" spans="2:5" ht="15" customHeight="1" thickBot="1" x14ac:dyDescent="0.35">
      <c r="B118" s="96" t="s">
        <v>582</v>
      </c>
      <c r="C118" s="97">
        <v>539982</v>
      </c>
      <c r="D118" s="96" t="s">
        <v>388</v>
      </c>
      <c r="E118" s="96" t="s">
        <v>583</v>
      </c>
    </row>
    <row r="119" spans="2:5" ht="15" customHeight="1" thickBot="1" x14ac:dyDescent="0.35">
      <c r="B119" s="96" t="s">
        <v>584</v>
      </c>
      <c r="C119" s="97">
        <v>540025</v>
      </c>
      <c r="D119" s="96" t="s">
        <v>585</v>
      </c>
      <c r="E119" s="96" t="s">
        <v>586</v>
      </c>
    </row>
    <row r="120" spans="2:5" ht="15" customHeight="1" thickBot="1" x14ac:dyDescent="0.35">
      <c r="B120" s="96" t="s">
        <v>587</v>
      </c>
      <c r="C120" s="97">
        <v>523269</v>
      </c>
      <c r="D120" s="96" t="s">
        <v>588</v>
      </c>
      <c r="E120" s="96" t="s">
        <v>589</v>
      </c>
    </row>
    <row r="121" spans="2:5" ht="15" customHeight="1" thickBot="1" x14ac:dyDescent="0.35">
      <c r="B121" s="96" t="s">
        <v>590</v>
      </c>
      <c r="C121" s="97">
        <v>523269</v>
      </c>
      <c r="D121" s="96" t="s">
        <v>588</v>
      </c>
      <c r="E121" s="96" t="s">
        <v>589</v>
      </c>
    </row>
    <row r="122" spans="2:5" ht="15" customHeight="1" thickBot="1" x14ac:dyDescent="0.35">
      <c r="B122" s="96" t="s">
        <v>591</v>
      </c>
      <c r="C122" s="97">
        <v>531429</v>
      </c>
      <c r="D122" s="96" t="s">
        <v>388</v>
      </c>
      <c r="E122" s="96" t="s">
        <v>481</v>
      </c>
    </row>
    <row r="123" spans="2:5" ht="15" customHeight="1" thickBot="1" x14ac:dyDescent="0.35">
      <c r="B123" s="96" t="s">
        <v>592</v>
      </c>
      <c r="C123" s="97">
        <v>539773</v>
      </c>
      <c r="D123" s="96" t="s">
        <v>388</v>
      </c>
      <c r="E123" s="96" t="s">
        <v>405</v>
      </c>
    </row>
    <row r="124" spans="2:5" ht="15" customHeight="1" thickBot="1" x14ac:dyDescent="0.35">
      <c r="B124" s="96" t="s">
        <v>593</v>
      </c>
      <c r="C124" s="97">
        <v>531686</v>
      </c>
      <c r="D124" s="96" t="s">
        <v>388</v>
      </c>
      <c r="E124" s="96" t="s">
        <v>426</v>
      </c>
    </row>
    <row r="125" spans="2:5" ht="15" customHeight="1" thickBot="1" x14ac:dyDescent="0.35">
      <c r="B125" s="96" t="s">
        <v>594</v>
      </c>
      <c r="C125" s="97">
        <v>541152</v>
      </c>
      <c r="D125" s="96" t="s">
        <v>388</v>
      </c>
      <c r="E125" s="96" t="s">
        <v>410</v>
      </c>
    </row>
    <row r="126" spans="2:5" ht="15" customHeight="1" thickBot="1" x14ac:dyDescent="0.35">
      <c r="B126" s="96" t="s">
        <v>595</v>
      </c>
      <c r="C126" s="97">
        <v>541152</v>
      </c>
      <c r="D126" s="96" t="s">
        <v>388</v>
      </c>
      <c r="E126" s="96" t="s">
        <v>410</v>
      </c>
    </row>
    <row r="127" spans="2:5" ht="15" customHeight="1" thickBot="1" x14ac:dyDescent="0.35">
      <c r="B127" s="96" t="s">
        <v>596</v>
      </c>
      <c r="C127" s="97">
        <v>500003</v>
      </c>
      <c r="D127" s="96" t="s">
        <v>597</v>
      </c>
      <c r="E127" s="96" t="s">
        <v>598</v>
      </c>
    </row>
    <row r="128" spans="2:5" ht="15" customHeight="1" thickBot="1" x14ac:dyDescent="0.35">
      <c r="B128" s="96" t="s">
        <v>599</v>
      </c>
      <c r="C128" s="97">
        <v>541402</v>
      </c>
      <c r="D128" s="96" t="s">
        <v>388</v>
      </c>
      <c r="E128" s="96" t="s">
        <v>396</v>
      </c>
    </row>
    <row r="129" spans="2:5" ht="15" customHeight="1" thickBot="1" x14ac:dyDescent="0.35">
      <c r="B129" s="96" t="s">
        <v>600</v>
      </c>
      <c r="C129" s="97">
        <v>531921</v>
      </c>
      <c r="D129" s="96" t="s">
        <v>601</v>
      </c>
      <c r="E129" s="96" t="s">
        <v>602</v>
      </c>
    </row>
    <row r="130" spans="2:5" ht="15" customHeight="1" thickBot="1" x14ac:dyDescent="0.35">
      <c r="B130" s="96" t="s">
        <v>603</v>
      </c>
      <c r="C130" s="97">
        <v>500463</v>
      </c>
      <c r="D130" s="96" t="s">
        <v>604</v>
      </c>
      <c r="E130" s="96" t="s">
        <v>374</v>
      </c>
    </row>
    <row r="131" spans="2:5" ht="15" customHeight="1" thickBot="1" x14ac:dyDescent="0.35">
      <c r="B131" s="96" t="s">
        <v>605</v>
      </c>
      <c r="C131" s="97">
        <v>539042</v>
      </c>
      <c r="D131" s="96" t="s">
        <v>388</v>
      </c>
      <c r="E131" s="96" t="s">
        <v>474</v>
      </c>
    </row>
    <row r="132" spans="2:5" ht="15" customHeight="1" thickBot="1" x14ac:dyDescent="0.35">
      <c r="B132" s="96" t="s">
        <v>606</v>
      </c>
      <c r="C132" s="97">
        <v>516020</v>
      </c>
      <c r="D132" s="96" t="s">
        <v>388</v>
      </c>
      <c r="E132" s="96" t="s">
        <v>382</v>
      </c>
    </row>
    <row r="133" spans="2:5" ht="15" customHeight="1" thickBot="1" x14ac:dyDescent="0.35">
      <c r="B133" s="96" t="s">
        <v>607</v>
      </c>
      <c r="C133" s="97">
        <v>537492</v>
      </c>
      <c r="D133" s="96" t="s">
        <v>388</v>
      </c>
      <c r="E133" s="96" t="s">
        <v>410</v>
      </c>
    </row>
    <row r="134" spans="2:5" ht="15" customHeight="1" thickBot="1" x14ac:dyDescent="0.35">
      <c r="B134" s="96" t="s">
        <v>608</v>
      </c>
      <c r="C134" s="97">
        <v>537292</v>
      </c>
      <c r="D134" s="96" t="s">
        <v>609</v>
      </c>
      <c r="E134" s="96" t="s">
        <v>586</v>
      </c>
    </row>
    <row r="135" spans="2:5" ht="15" customHeight="1" thickBot="1" x14ac:dyDescent="0.35">
      <c r="B135" s="96" t="s">
        <v>610</v>
      </c>
      <c r="C135" s="97">
        <v>537292</v>
      </c>
      <c r="D135" s="96" t="s">
        <v>609</v>
      </c>
      <c r="E135" s="96" t="s">
        <v>586</v>
      </c>
    </row>
    <row r="136" spans="2:5" ht="15" customHeight="1" thickBot="1" x14ac:dyDescent="0.35">
      <c r="B136" s="96" t="s">
        <v>611</v>
      </c>
      <c r="C136" s="96" t="s">
        <v>388</v>
      </c>
      <c r="D136" s="96" t="s">
        <v>612</v>
      </c>
      <c r="E136" s="96" t="s">
        <v>399</v>
      </c>
    </row>
    <row r="137" spans="2:5" ht="15" customHeight="1" thickBot="1" x14ac:dyDescent="0.35">
      <c r="B137" s="96" t="s">
        <v>613</v>
      </c>
      <c r="C137" s="96" t="s">
        <v>388</v>
      </c>
      <c r="D137" s="96" t="s">
        <v>612</v>
      </c>
      <c r="E137" s="96" t="s">
        <v>399</v>
      </c>
    </row>
    <row r="138" spans="2:5" ht="15" customHeight="1" thickBot="1" x14ac:dyDescent="0.35">
      <c r="B138" s="96" t="s">
        <v>614</v>
      </c>
      <c r="C138" s="97">
        <v>500215</v>
      </c>
      <c r="D138" s="96" t="s">
        <v>615</v>
      </c>
      <c r="E138" s="96" t="s">
        <v>586</v>
      </c>
    </row>
    <row r="139" spans="2:5" ht="15" customHeight="1" thickBot="1" x14ac:dyDescent="0.35">
      <c r="B139" s="96" t="s">
        <v>616</v>
      </c>
      <c r="C139" s="96" t="s">
        <v>388</v>
      </c>
      <c r="D139" s="96" t="s">
        <v>617</v>
      </c>
      <c r="E139" s="96" t="s">
        <v>399</v>
      </c>
    </row>
    <row r="140" spans="2:5" ht="15" customHeight="1" thickBot="1" x14ac:dyDescent="0.35">
      <c r="B140" s="96" t="s">
        <v>618</v>
      </c>
      <c r="C140" s="96" t="s">
        <v>388</v>
      </c>
      <c r="D140" s="96" t="s">
        <v>619</v>
      </c>
      <c r="E140" s="96" t="s">
        <v>399</v>
      </c>
    </row>
    <row r="141" spans="2:5" ht="15" customHeight="1" thickBot="1" x14ac:dyDescent="0.35">
      <c r="B141" s="96" t="s">
        <v>620</v>
      </c>
      <c r="C141" s="97">
        <v>532811</v>
      </c>
      <c r="D141" s="96" t="s">
        <v>621</v>
      </c>
      <c r="E141" s="96" t="s">
        <v>474</v>
      </c>
    </row>
    <row r="142" spans="2:5" ht="15" customHeight="1" thickBot="1" x14ac:dyDescent="0.35">
      <c r="B142" s="96" t="s">
        <v>622</v>
      </c>
      <c r="C142" s="97">
        <v>532811</v>
      </c>
      <c r="D142" s="96" t="s">
        <v>621</v>
      </c>
      <c r="E142" s="96" t="s">
        <v>474</v>
      </c>
    </row>
    <row r="143" spans="2:5" ht="15" customHeight="1" thickBot="1" x14ac:dyDescent="0.35">
      <c r="B143" s="96" t="s">
        <v>623</v>
      </c>
      <c r="C143" s="97">
        <v>522273</v>
      </c>
      <c r="D143" s="96" t="s">
        <v>388</v>
      </c>
      <c r="E143" s="96" t="s">
        <v>420</v>
      </c>
    </row>
    <row r="144" spans="2:5" ht="15" customHeight="1" thickBot="1" x14ac:dyDescent="0.35">
      <c r="B144" s="96" t="s">
        <v>624</v>
      </c>
      <c r="C144" s="97">
        <v>532806</v>
      </c>
      <c r="D144" s="96" t="s">
        <v>388</v>
      </c>
      <c r="E144" s="96" t="s">
        <v>625</v>
      </c>
    </row>
    <row r="145" spans="2:5" ht="15" customHeight="1" thickBot="1" x14ac:dyDescent="0.35">
      <c r="B145" s="96" t="s">
        <v>626</v>
      </c>
      <c r="C145" s="97">
        <v>532683</v>
      </c>
      <c r="D145" s="96" t="s">
        <v>627</v>
      </c>
      <c r="E145" s="96" t="s">
        <v>573</v>
      </c>
    </row>
    <row r="146" spans="2:5" ht="15" customHeight="1" thickBot="1" x14ac:dyDescent="0.35">
      <c r="B146" s="96" t="s">
        <v>628</v>
      </c>
      <c r="C146" s="97">
        <v>524288</v>
      </c>
      <c r="D146" s="96" t="s">
        <v>388</v>
      </c>
      <c r="E146" s="96" t="s">
        <v>532</v>
      </c>
    </row>
    <row r="147" spans="2:5" ht="15" customHeight="1" thickBot="1" x14ac:dyDescent="0.35">
      <c r="B147" s="96" t="s">
        <v>629</v>
      </c>
      <c r="C147" s="96" t="s">
        <v>388</v>
      </c>
      <c r="D147" s="96" t="s">
        <v>630</v>
      </c>
      <c r="E147" s="96" t="s">
        <v>399</v>
      </c>
    </row>
    <row r="148" spans="2:5" ht="15" customHeight="1" thickBot="1" x14ac:dyDescent="0.35">
      <c r="B148" s="96" t="s">
        <v>631</v>
      </c>
      <c r="C148" s="96" t="s">
        <v>388</v>
      </c>
      <c r="D148" s="96" t="s">
        <v>632</v>
      </c>
      <c r="E148" s="96" t="s">
        <v>399</v>
      </c>
    </row>
    <row r="149" spans="2:5" ht="15" customHeight="1" thickBot="1" x14ac:dyDescent="0.35">
      <c r="B149" s="96" t="s">
        <v>633</v>
      </c>
      <c r="C149" s="97">
        <v>532975</v>
      </c>
      <c r="D149" s="96" t="s">
        <v>388</v>
      </c>
      <c r="E149" s="96" t="s">
        <v>534</v>
      </c>
    </row>
    <row r="150" spans="2:5" ht="15" customHeight="1" thickBot="1" x14ac:dyDescent="0.35">
      <c r="B150" s="96" t="s">
        <v>634</v>
      </c>
      <c r="C150" s="97">
        <v>532331</v>
      </c>
      <c r="D150" s="96" t="s">
        <v>635</v>
      </c>
      <c r="E150" s="96" t="s">
        <v>426</v>
      </c>
    </row>
    <row r="151" spans="2:5" ht="15" customHeight="1" thickBot="1" x14ac:dyDescent="0.35">
      <c r="B151" s="96" t="s">
        <v>636</v>
      </c>
      <c r="C151" s="97">
        <v>519216</v>
      </c>
      <c r="D151" s="96" t="s">
        <v>388</v>
      </c>
      <c r="E151" s="96" t="s">
        <v>637</v>
      </c>
    </row>
    <row r="152" spans="2:5" ht="15" customHeight="1" thickBot="1" x14ac:dyDescent="0.35">
      <c r="B152" s="96" t="s">
        <v>638</v>
      </c>
      <c r="C152" s="97">
        <v>511692</v>
      </c>
      <c r="D152" s="96" t="s">
        <v>388</v>
      </c>
      <c r="E152" s="96" t="s">
        <v>371</v>
      </c>
    </row>
    <row r="153" spans="2:5" ht="15" customHeight="1" thickBot="1" x14ac:dyDescent="0.35">
      <c r="B153" s="96" t="s">
        <v>639</v>
      </c>
      <c r="C153" s="97">
        <v>530713</v>
      </c>
      <c r="D153" s="96" t="s">
        <v>388</v>
      </c>
      <c r="E153" s="96" t="s">
        <v>374</v>
      </c>
    </row>
    <row r="154" spans="2:5" ht="15" customHeight="1" thickBot="1" x14ac:dyDescent="0.35">
      <c r="B154" s="96" t="s">
        <v>640</v>
      </c>
      <c r="C154" s="97">
        <v>513349</v>
      </c>
      <c r="D154" s="96" t="s">
        <v>641</v>
      </c>
      <c r="E154" s="96" t="s">
        <v>474</v>
      </c>
    </row>
    <row r="155" spans="2:5" ht="15" customHeight="1" thickBot="1" x14ac:dyDescent="0.35">
      <c r="B155" s="96" t="s">
        <v>642</v>
      </c>
      <c r="C155" s="97">
        <v>513349</v>
      </c>
      <c r="D155" s="96" t="s">
        <v>641</v>
      </c>
      <c r="E155" s="96" t="s">
        <v>474</v>
      </c>
    </row>
    <row r="156" spans="2:5" ht="15" customHeight="1" thickBot="1" x14ac:dyDescent="0.35">
      <c r="B156" s="96" t="s">
        <v>643</v>
      </c>
      <c r="C156" s="96" t="s">
        <v>388</v>
      </c>
      <c r="D156" s="96" t="s">
        <v>644</v>
      </c>
      <c r="E156" s="96" t="s">
        <v>399</v>
      </c>
    </row>
    <row r="157" spans="2:5" ht="15" customHeight="1" thickBot="1" x14ac:dyDescent="0.35">
      <c r="B157" s="96" t="s">
        <v>645</v>
      </c>
      <c r="C157" s="97">
        <v>526628</v>
      </c>
      <c r="D157" s="96" t="s">
        <v>388</v>
      </c>
      <c r="E157" s="96" t="s">
        <v>566</v>
      </c>
    </row>
    <row r="158" spans="2:5" ht="15" customHeight="1" thickBot="1" x14ac:dyDescent="0.35">
      <c r="B158" s="96" t="s">
        <v>646</v>
      </c>
      <c r="C158" s="97">
        <v>530621</v>
      </c>
      <c r="D158" s="96" t="s">
        <v>388</v>
      </c>
      <c r="E158" s="96" t="s">
        <v>396</v>
      </c>
    </row>
    <row r="159" spans="2:5" ht="15" customHeight="1" thickBot="1" x14ac:dyDescent="0.35">
      <c r="B159" s="96" t="s">
        <v>647</v>
      </c>
      <c r="C159" s="96" t="s">
        <v>388</v>
      </c>
      <c r="D159" s="96" t="s">
        <v>648</v>
      </c>
      <c r="E159" s="96" t="s">
        <v>399</v>
      </c>
    </row>
    <row r="160" spans="2:5" ht="15" customHeight="1" thickBot="1" x14ac:dyDescent="0.35">
      <c r="B160" s="96" t="s">
        <v>649</v>
      </c>
      <c r="C160" s="97">
        <v>538778</v>
      </c>
      <c r="D160" s="96" t="s">
        <v>388</v>
      </c>
      <c r="E160" s="96" t="s">
        <v>405</v>
      </c>
    </row>
    <row r="161" spans="2:5" ht="15" customHeight="1" thickBot="1" x14ac:dyDescent="0.35">
      <c r="B161" s="96" t="s">
        <v>650</v>
      </c>
      <c r="C161" s="96" t="s">
        <v>388</v>
      </c>
      <c r="D161" s="96" t="s">
        <v>651</v>
      </c>
      <c r="E161" s="96" t="s">
        <v>399</v>
      </c>
    </row>
    <row r="162" spans="2:5" ht="15" customHeight="1" thickBot="1" x14ac:dyDescent="0.35">
      <c r="B162" s="96" t="s">
        <v>652</v>
      </c>
      <c r="C162" s="97">
        <v>542020</v>
      </c>
      <c r="D162" s="96" t="s">
        <v>388</v>
      </c>
      <c r="E162" s="96" t="s">
        <v>502</v>
      </c>
    </row>
    <row r="163" spans="2:5" ht="15" customHeight="1" thickBot="1" x14ac:dyDescent="0.35">
      <c r="B163" s="96" t="s">
        <v>653</v>
      </c>
      <c r="C163" s="97">
        <v>542020</v>
      </c>
      <c r="D163" s="96" t="s">
        <v>388</v>
      </c>
      <c r="E163" s="96" t="s">
        <v>502</v>
      </c>
    </row>
    <row r="164" spans="2:5" ht="15" customHeight="1" thickBot="1" x14ac:dyDescent="0.35">
      <c r="B164" s="96" t="s">
        <v>654</v>
      </c>
      <c r="C164" s="97">
        <v>540718</v>
      </c>
      <c r="D164" s="96" t="s">
        <v>388</v>
      </c>
      <c r="E164" s="96" t="s">
        <v>403</v>
      </c>
    </row>
    <row r="165" spans="2:5" ht="15" customHeight="1" thickBot="1" x14ac:dyDescent="0.35">
      <c r="B165" s="96" t="s">
        <v>655</v>
      </c>
      <c r="C165" s="97">
        <v>539017</v>
      </c>
      <c r="D165" s="96" t="s">
        <v>388</v>
      </c>
      <c r="E165" s="96" t="s">
        <v>446</v>
      </c>
    </row>
    <row r="166" spans="2:5" ht="15" customHeight="1" thickBot="1" x14ac:dyDescent="0.35">
      <c r="B166" s="96" t="s">
        <v>656</v>
      </c>
      <c r="C166" s="97">
        <v>532351</v>
      </c>
      <c r="D166" s="96" t="s">
        <v>657</v>
      </c>
      <c r="E166" s="96" t="s">
        <v>658</v>
      </c>
    </row>
    <row r="167" spans="2:5" ht="15" customHeight="1" thickBot="1" x14ac:dyDescent="0.35">
      <c r="B167" s="96" t="s">
        <v>659</v>
      </c>
      <c r="C167" s="97">
        <v>541303</v>
      </c>
      <c r="D167" s="96" t="s">
        <v>388</v>
      </c>
      <c r="E167" s="96" t="s">
        <v>403</v>
      </c>
    </row>
    <row r="168" spans="2:5" ht="15" customHeight="1" thickBot="1" x14ac:dyDescent="0.35">
      <c r="B168" s="96" t="s">
        <v>660</v>
      </c>
      <c r="C168" s="97">
        <v>524598</v>
      </c>
      <c r="D168" s="96" t="s">
        <v>661</v>
      </c>
      <c r="E168" s="96" t="s">
        <v>548</v>
      </c>
    </row>
    <row r="169" spans="2:5" ht="15" customHeight="1" thickBot="1" x14ac:dyDescent="0.35">
      <c r="B169" s="96" t="s">
        <v>662</v>
      </c>
      <c r="C169" s="97">
        <v>524598</v>
      </c>
      <c r="D169" s="96" t="s">
        <v>661</v>
      </c>
      <c r="E169" s="96" t="s">
        <v>548</v>
      </c>
    </row>
    <row r="170" spans="2:5" ht="15" customHeight="1" thickBot="1" x14ac:dyDescent="0.35">
      <c r="B170" s="96" t="s">
        <v>663</v>
      </c>
      <c r="C170" s="97">
        <v>500710</v>
      </c>
      <c r="D170" s="96" t="s">
        <v>664</v>
      </c>
      <c r="E170" s="96" t="s">
        <v>665</v>
      </c>
    </row>
    <row r="171" spans="2:5" ht="15" customHeight="1" thickBot="1" x14ac:dyDescent="0.35">
      <c r="B171" s="96" t="s">
        <v>666</v>
      </c>
      <c r="C171" s="97">
        <v>500710</v>
      </c>
      <c r="D171" s="96" t="s">
        <v>667</v>
      </c>
      <c r="E171" s="96" t="s">
        <v>665</v>
      </c>
    </row>
    <row r="172" spans="2:5" ht="15" customHeight="1" thickBot="1" x14ac:dyDescent="0.35">
      <c r="B172" s="96" t="s">
        <v>668</v>
      </c>
      <c r="C172" s="97">
        <v>535916</v>
      </c>
      <c r="D172" s="96" t="s">
        <v>388</v>
      </c>
      <c r="E172" s="96" t="s">
        <v>371</v>
      </c>
    </row>
    <row r="173" spans="2:5" ht="15" customHeight="1" thickBot="1" x14ac:dyDescent="0.35">
      <c r="B173" s="96" t="s">
        <v>669</v>
      </c>
      <c r="C173" s="97">
        <v>539115</v>
      </c>
      <c r="D173" s="96" t="s">
        <v>388</v>
      </c>
      <c r="E173" s="96" t="s">
        <v>391</v>
      </c>
    </row>
    <row r="174" spans="2:5" ht="15" customHeight="1" thickBot="1" x14ac:dyDescent="0.35">
      <c r="B174" s="96" t="s">
        <v>670</v>
      </c>
      <c r="C174" s="97">
        <v>531082</v>
      </c>
      <c r="D174" s="96" t="s">
        <v>671</v>
      </c>
      <c r="E174" s="96" t="s">
        <v>371</v>
      </c>
    </row>
    <row r="175" spans="2:5" ht="15" customHeight="1" thickBot="1" x14ac:dyDescent="0.35">
      <c r="B175" s="96" t="s">
        <v>672</v>
      </c>
      <c r="C175" s="97">
        <v>524075</v>
      </c>
      <c r="D175" s="96" t="s">
        <v>673</v>
      </c>
      <c r="E175" s="96" t="s">
        <v>426</v>
      </c>
    </row>
    <row r="176" spans="2:5" ht="15" customHeight="1" thickBot="1" x14ac:dyDescent="0.35">
      <c r="B176" s="96" t="s">
        <v>674</v>
      </c>
      <c r="C176" s="97">
        <v>531409</v>
      </c>
      <c r="D176" s="96" t="s">
        <v>388</v>
      </c>
      <c r="E176" s="96" t="s">
        <v>436</v>
      </c>
    </row>
    <row r="177" spans="2:5" ht="15" customHeight="1" thickBot="1" x14ac:dyDescent="0.35">
      <c r="B177" s="96" t="s">
        <v>675</v>
      </c>
      <c r="C177" s="97">
        <v>526707</v>
      </c>
      <c r="D177" s="96" t="s">
        <v>676</v>
      </c>
      <c r="E177" s="96" t="s">
        <v>410</v>
      </c>
    </row>
    <row r="178" spans="2:5" ht="15" customHeight="1" thickBot="1" x14ac:dyDescent="0.35">
      <c r="B178" s="96" t="s">
        <v>677</v>
      </c>
      <c r="C178" s="97">
        <v>532114</v>
      </c>
      <c r="D178" s="96" t="s">
        <v>388</v>
      </c>
      <c r="E178" s="96" t="s">
        <v>474</v>
      </c>
    </row>
    <row r="179" spans="2:5" ht="15" customHeight="1" thickBot="1" x14ac:dyDescent="0.35">
      <c r="B179" s="96" t="s">
        <v>678</v>
      </c>
      <c r="C179" s="97">
        <v>506235</v>
      </c>
      <c r="D179" s="96" t="s">
        <v>679</v>
      </c>
      <c r="E179" s="96" t="s">
        <v>426</v>
      </c>
    </row>
    <row r="180" spans="2:5" ht="15" customHeight="1" thickBot="1" x14ac:dyDescent="0.35">
      <c r="B180" s="96" t="s">
        <v>680</v>
      </c>
      <c r="C180" s="97">
        <v>533573</v>
      </c>
      <c r="D180" s="96" t="s">
        <v>681</v>
      </c>
      <c r="E180" s="96" t="s">
        <v>426</v>
      </c>
    </row>
    <row r="181" spans="2:5" ht="15" customHeight="1" thickBot="1" x14ac:dyDescent="0.35">
      <c r="B181" s="96" t="s">
        <v>682</v>
      </c>
      <c r="C181" s="97">
        <v>511463</v>
      </c>
      <c r="D181" s="96" t="s">
        <v>388</v>
      </c>
      <c r="E181" s="96" t="s">
        <v>377</v>
      </c>
    </row>
    <row r="182" spans="2:5" ht="15" customHeight="1" thickBot="1" x14ac:dyDescent="0.35">
      <c r="B182" s="96" t="s">
        <v>683</v>
      </c>
      <c r="C182" s="97">
        <v>530973</v>
      </c>
      <c r="D182" s="96" t="s">
        <v>388</v>
      </c>
      <c r="E182" s="96" t="s">
        <v>508</v>
      </c>
    </row>
    <row r="183" spans="2:5" ht="15" customHeight="1" thickBot="1" x14ac:dyDescent="0.35">
      <c r="B183" s="96" t="s">
        <v>684</v>
      </c>
      <c r="C183" s="97">
        <v>530973</v>
      </c>
      <c r="D183" s="96" t="s">
        <v>388</v>
      </c>
      <c r="E183" s="96" t="s">
        <v>508</v>
      </c>
    </row>
    <row r="184" spans="2:5" ht="15" customHeight="1" thickBot="1" x14ac:dyDescent="0.35">
      <c r="B184" s="96" t="s">
        <v>685</v>
      </c>
      <c r="C184" s="97">
        <v>517546</v>
      </c>
      <c r="D184" s="96" t="s">
        <v>388</v>
      </c>
      <c r="E184" s="96" t="s">
        <v>686</v>
      </c>
    </row>
    <row r="185" spans="2:5" ht="15" customHeight="1" thickBot="1" x14ac:dyDescent="0.35">
      <c r="B185" s="96" t="s">
        <v>687</v>
      </c>
      <c r="C185" s="97">
        <v>531156</v>
      </c>
      <c r="D185" s="96" t="s">
        <v>388</v>
      </c>
      <c r="E185" s="96" t="s">
        <v>405</v>
      </c>
    </row>
    <row r="186" spans="2:5" ht="15" customHeight="1" thickBot="1" x14ac:dyDescent="0.35">
      <c r="B186" s="96" t="s">
        <v>688</v>
      </c>
      <c r="C186" s="97">
        <v>531156</v>
      </c>
      <c r="D186" s="96" t="s">
        <v>388</v>
      </c>
      <c r="E186" s="96" t="s">
        <v>405</v>
      </c>
    </row>
    <row r="187" spans="2:5" ht="15" customHeight="1" thickBot="1" x14ac:dyDescent="0.35">
      <c r="B187" s="96" t="s">
        <v>689</v>
      </c>
      <c r="C187" s="97">
        <v>505216</v>
      </c>
      <c r="D187" s="96" t="s">
        <v>388</v>
      </c>
      <c r="E187" s="96" t="s">
        <v>405</v>
      </c>
    </row>
    <row r="188" spans="2:5" ht="15" customHeight="1" thickBot="1" x14ac:dyDescent="0.35">
      <c r="B188" s="96" t="s">
        <v>690</v>
      </c>
      <c r="C188" s="97">
        <v>505216</v>
      </c>
      <c r="D188" s="96" t="s">
        <v>388</v>
      </c>
      <c r="E188" s="96" t="s">
        <v>405</v>
      </c>
    </row>
    <row r="189" spans="2:5" ht="15" customHeight="1" thickBot="1" x14ac:dyDescent="0.35">
      <c r="B189" s="96" t="s">
        <v>691</v>
      </c>
      <c r="C189" s="97">
        <v>531147</v>
      </c>
      <c r="D189" s="96" t="s">
        <v>692</v>
      </c>
      <c r="E189" s="96" t="s">
        <v>693</v>
      </c>
    </row>
    <row r="190" spans="2:5" ht="15" customHeight="1" thickBot="1" x14ac:dyDescent="0.35">
      <c r="B190" s="96" t="s">
        <v>694</v>
      </c>
      <c r="C190" s="97">
        <v>530889</v>
      </c>
      <c r="D190" s="96" t="s">
        <v>388</v>
      </c>
      <c r="E190" s="96" t="s">
        <v>403</v>
      </c>
    </row>
    <row r="191" spans="2:5" ht="15" customHeight="1" thickBot="1" x14ac:dyDescent="0.35">
      <c r="B191" s="96" t="s">
        <v>695</v>
      </c>
      <c r="C191" s="97">
        <v>531581</v>
      </c>
      <c r="D191" s="96" t="s">
        <v>388</v>
      </c>
      <c r="E191" s="96" t="s">
        <v>502</v>
      </c>
    </row>
    <row r="192" spans="2:5" ht="15" customHeight="1" thickBot="1" x14ac:dyDescent="0.35">
      <c r="B192" s="96" t="s">
        <v>696</v>
      </c>
      <c r="C192" s="97">
        <v>530889</v>
      </c>
      <c r="D192" s="96" t="s">
        <v>388</v>
      </c>
      <c r="E192" s="96" t="s">
        <v>403</v>
      </c>
    </row>
    <row r="193" spans="2:5" ht="15" customHeight="1" thickBot="1" x14ac:dyDescent="0.35">
      <c r="B193" s="96" t="s">
        <v>697</v>
      </c>
      <c r="C193" s="97">
        <v>532166</v>
      </c>
      <c r="D193" s="96" t="s">
        <v>388</v>
      </c>
      <c r="E193" s="96" t="s">
        <v>405</v>
      </c>
    </row>
    <row r="194" spans="2:5" ht="15" customHeight="1" thickBot="1" x14ac:dyDescent="0.35">
      <c r="B194" s="96" t="s">
        <v>698</v>
      </c>
      <c r="C194" s="97">
        <v>533029</v>
      </c>
      <c r="D194" s="96" t="s">
        <v>699</v>
      </c>
      <c r="E194" s="96" t="s">
        <v>548</v>
      </c>
    </row>
    <row r="195" spans="2:5" ht="15" customHeight="1" thickBot="1" x14ac:dyDescent="0.35">
      <c r="B195" s="96" t="s">
        <v>700</v>
      </c>
      <c r="C195" s="97">
        <v>539523</v>
      </c>
      <c r="D195" s="96" t="s">
        <v>701</v>
      </c>
      <c r="E195" s="96" t="s">
        <v>426</v>
      </c>
    </row>
    <row r="196" spans="2:5" ht="15" customHeight="1" thickBot="1" x14ac:dyDescent="0.35">
      <c r="B196" s="96" t="s">
        <v>702</v>
      </c>
      <c r="C196" s="97">
        <v>506767</v>
      </c>
      <c r="D196" s="96" t="s">
        <v>703</v>
      </c>
      <c r="E196" s="96" t="s">
        <v>548</v>
      </c>
    </row>
    <row r="197" spans="2:5" ht="15" customHeight="1" thickBot="1" x14ac:dyDescent="0.35">
      <c r="B197" s="96" t="s">
        <v>704</v>
      </c>
      <c r="C197" s="97">
        <v>532480</v>
      </c>
      <c r="D197" s="96" t="s">
        <v>705</v>
      </c>
      <c r="E197" s="96" t="s">
        <v>706</v>
      </c>
    </row>
    <row r="198" spans="2:5" ht="15" customHeight="1" thickBot="1" x14ac:dyDescent="0.35">
      <c r="B198" s="96" t="s">
        <v>707</v>
      </c>
      <c r="C198" s="97">
        <v>532749</v>
      </c>
      <c r="D198" s="96" t="s">
        <v>708</v>
      </c>
      <c r="E198" s="96" t="s">
        <v>709</v>
      </c>
    </row>
    <row r="199" spans="2:5" ht="15" customHeight="1" thickBot="1" x14ac:dyDescent="0.35">
      <c r="B199" s="96" t="s">
        <v>710</v>
      </c>
      <c r="C199" s="97">
        <v>534064</v>
      </c>
      <c r="D199" s="96" t="s">
        <v>388</v>
      </c>
      <c r="E199" s="96" t="s">
        <v>711</v>
      </c>
    </row>
    <row r="200" spans="2:5" ht="15" customHeight="1" thickBot="1" x14ac:dyDescent="0.35">
      <c r="B200" s="96" t="s">
        <v>712</v>
      </c>
      <c r="C200" s="97">
        <v>532919</v>
      </c>
      <c r="D200" s="96" t="s">
        <v>388</v>
      </c>
      <c r="E200" s="96" t="s">
        <v>713</v>
      </c>
    </row>
    <row r="201" spans="2:5" ht="15" customHeight="1" thickBot="1" x14ac:dyDescent="0.35">
      <c r="B201" s="96" t="s">
        <v>714</v>
      </c>
      <c r="C201" s="97">
        <v>532875</v>
      </c>
      <c r="D201" s="96" t="s">
        <v>715</v>
      </c>
      <c r="E201" s="96" t="s">
        <v>374</v>
      </c>
    </row>
    <row r="202" spans="2:5" ht="15" customHeight="1" thickBot="1" x14ac:dyDescent="0.35">
      <c r="B202" s="96" t="s">
        <v>716</v>
      </c>
      <c r="C202" s="97">
        <v>532633</v>
      </c>
      <c r="D202" s="96" t="s">
        <v>717</v>
      </c>
      <c r="E202" s="96" t="s">
        <v>718</v>
      </c>
    </row>
    <row r="203" spans="2:5" ht="15" customHeight="1" thickBot="1" x14ac:dyDescent="0.35">
      <c r="B203" s="96" t="s">
        <v>719</v>
      </c>
      <c r="C203" s="97">
        <v>531400</v>
      </c>
      <c r="D203" s="96" t="s">
        <v>720</v>
      </c>
      <c r="E203" s="96" t="s">
        <v>371</v>
      </c>
    </row>
    <row r="204" spans="2:5" ht="15" customHeight="1" thickBot="1" x14ac:dyDescent="0.35">
      <c r="B204" s="96" t="s">
        <v>721</v>
      </c>
      <c r="C204" s="97">
        <v>506120</v>
      </c>
      <c r="D204" s="96" t="s">
        <v>388</v>
      </c>
      <c r="E204" s="96" t="s">
        <v>410</v>
      </c>
    </row>
    <row r="205" spans="2:5" ht="15" customHeight="1" thickBot="1" x14ac:dyDescent="0.35">
      <c r="B205" s="96" t="s">
        <v>722</v>
      </c>
      <c r="C205" s="97">
        <v>521070</v>
      </c>
      <c r="D205" s="96" t="s">
        <v>723</v>
      </c>
      <c r="E205" s="96" t="s">
        <v>403</v>
      </c>
    </row>
    <row r="206" spans="2:5" ht="15" customHeight="1" thickBot="1" x14ac:dyDescent="0.35">
      <c r="B206" s="96" t="s">
        <v>724</v>
      </c>
      <c r="C206" s="97">
        <v>532878</v>
      </c>
      <c r="D206" s="96" t="s">
        <v>725</v>
      </c>
      <c r="E206" s="96" t="s">
        <v>726</v>
      </c>
    </row>
    <row r="207" spans="2:5" ht="15" customHeight="1" thickBot="1" x14ac:dyDescent="0.35">
      <c r="B207" s="96" t="s">
        <v>727</v>
      </c>
      <c r="C207" s="97">
        <v>526397</v>
      </c>
      <c r="D207" s="96" t="s">
        <v>728</v>
      </c>
      <c r="E207" s="96" t="s">
        <v>729</v>
      </c>
    </row>
    <row r="208" spans="2:5" ht="15" customHeight="1" thickBot="1" x14ac:dyDescent="0.35">
      <c r="B208" s="96" t="s">
        <v>730</v>
      </c>
      <c r="C208" s="97">
        <v>526397</v>
      </c>
      <c r="D208" s="96" t="s">
        <v>728</v>
      </c>
      <c r="E208" s="96" t="s">
        <v>729</v>
      </c>
    </row>
    <row r="209" spans="2:5" ht="15" customHeight="1" thickBot="1" x14ac:dyDescent="0.35">
      <c r="B209" s="96" t="s">
        <v>731</v>
      </c>
      <c r="C209" s="97">
        <v>526519</v>
      </c>
      <c r="D209" s="96" t="s">
        <v>388</v>
      </c>
      <c r="E209" s="96" t="s">
        <v>474</v>
      </c>
    </row>
    <row r="210" spans="2:5" ht="15" customHeight="1" thickBot="1" x14ac:dyDescent="0.35">
      <c r="B210" s="96" t="s">
        <v>732</v>
      </c>
      <c r="C210" s="97">
        <v>530715</v>
      </c>
      <c r="D210" s="96" t="s">
        <v>733</v>
      </c>
      <c r="E210" s="96" t="s">
        <v>403</v>
      </c>
    </row>
    <row r="211" spans="2:5" ht="15" customHeight="1" thickBot="1" x14ac:dyDescent="0.35">
      <c r="B211" s="96" t="s">
        <v>734</v>
      </c>
      <c r="C211" s="97">
        <v>538423</v>
      </c>
      <c r="D211" s="96" t="s">
        <v>735</v>
      </c>
      <c r="E211" s="96" t="s">
        <v>371</v>
      </c>
    </row>
    <row r="212" spans="2:5" ht="15" customHeight="1" thickBot="1" x14ac:dyDescent="0.35">
      <c r="B212" s="96" t="s">
        <v>736</v>
      </c>
      <c r="C212" s="97">
        <v>539277</v>
      </c>
      <c r="D212" s="96" t="s">
        <v>388</v>
      </c>
      <c r="E212" s="96" t="s">
        <v>422</v>
      </c>
    </row>
    <row r="213" spans="2:5" ht="15" customHeight="1" thickBot="1" x14ac:dyDescent="0.35">
      <c r="B213" s="96" t="s">
        <v>737</v>
      </c>
      <c r="C213" s="97">
        <v>539277</v>
      </c>
      <c r="D213" s="96" t="s">
        <v>388</v>
      </c>
      <c r="E213" s="96" t="s">
        <v>422</v>
      </c>
    </row>
    <row r="214" spans="2:5" ht="15" customHeight="1" thickBot="1" x14ac:dyDescent="0.35">
      <c r="B214" s="96" t="s">
        <v>738</v>
      </c>
      <c r="C214" s="97">
        <v>524634</v>
      </c>
      <c r="D214" s="96" t="s">
        <v>388</v>
      </c>
      <c r="E214" s="96" t="s">
        <v>436</v>
      </c>
    </row>
    <row r="215" spans="2:5" ht="15" customHeight="1" thickBot="1" x14ac:dyDescent="0.35">
      <c r="B215" s="96" t="s">
        <v>739</v>
      </c>
      <c r="C215" s="97">
        <v>506597</v>
      </c>
      <c r="D215" s="96" t="s">
        <v>388</v>
      </c>
      <c r="E215" s="96" t="s">
        <v>548</v>
      </c>
    </row>
    <row r="216" spans="2:5" ht="15" customHeight="1" thickBot="1" x14ac:dyDescent="0.35">
      <c r="B216" s="96" t="s">
        <v>740</v>
      </c>
      <c r="C216" s="97">
        <v>512008</v>
      </c>
      <c r="D216" s="96" t="s">
        <v>388</v>
      </c>
      <c r="E216" s="96" t="s">
        <v>410</v>
      </c>
    </row>
    <row r="217" spans="2:5" ht="15" customHeight="1" thickBot="1" x14ac:dyDescent="0.35">
      <c r="B217" s="96" t="s">
        <v>741</v>
      </c>
      <c r="C217" s="97">
        <v>500008</v>
      </c>
      <c r="D217" s="96" t="s">
        <v>742</v>
      </c>
      <c r="E217" s="96" t="s">
        <v>743</v>
      </c>
    </row>
    <row r="218" spans="2:5" ht="15" customHeight="1" thickBot="1" x14ac:dyDescent="0.35">
      <c r="B218" s="96" t="s">
        <v>744</v>
      </c>
      <c r="C218" s="97">
        <v>521097</v>
      </c>
      <c r="D218" s="96" t="s">
        <v>388</v>
      </c>
      <c r="E218" s="96" t="s">
        <v>403</v>
      </c>
    </row>
    <row r="219" spans="2:5" ht="15" customHeight="1" thickBot="1" x14ac:dyDescent="0.35">
      <c r="B219" s="96" t="s">
        <v>745</v>
      </c>
      <c r="C219" s="97">
        <v>538465</v>
      </c>
      <c r="D219" s="96" t="s">
        <v>388</v>
      </c>
      <c r="E219" s="96" t="s">
        <v>405</v>
      </c>
    </row>
    <row r="220" spans="2:5" ht="15" customHeight="1" thickBot="1" x14ac:dyDescent="0.35">
      <c r="B220" s="96" t="s">
        <v>746</v>
      </c>
      <c r="C220" s="97">
        <v>531112</v>
      </c>
      <c r="D220" s="96" t="s">
        <v>388</v>
      </c>
      <c r="E220" s="96" t="s">
        <v>396</v>
      </c>
    </row>
    <row r="221" spans="2:5" ht="15" customHeight="1" thickBot="1" x14ac:dyDescent="0.35">
      <c r="B221" s="96" t="s">
        <v>747</v>
      </c>
      <c r="C221" s="97">
        <v>539196</v>
      </c>
      <c r="D221" s="96" t="s">
        <v>388</v>
      </c>
      <c r="E221" s="96" t="s">
        <v>686</v>
      </c>
    </row>
    <row r="222" spans="2:5" ht="15" customHeight="1" thickBot="1" x14ac:dyDescent="0.35">
      <c r="B222" s="96" t="s">
        <v>748</v>
      </c>
      <c r="C222" s="97">
        <v>500009</v>
      </c>
      <c r="D222" s="96" t="s">
        <v>388</v>
      </c>
      <c r="E222" s="96" t="s">
        <v>426</v>
      </c>
    </row>
    <row r="223" spans="2:5" ht="15" customHeight="1" thickBot="1" x14ac:dyDescent="0.35">
      <c r="B223" s="96" t="s">
        <v>749</v>
      </c>
      <c r="C223" s="96" t="s">
        <v>388</v>
      </c>
      <c r="D223" s="96" t="s">
        <v>750</v>
      </c>
      <c r="E223" s="96" t="s">
        <v>399</v>
      </c>
    </row>
    <row r="224" spans="2:5" ht="15" customHeight="1" thickBot="1" x14ac:dyDescent="0.35">
      <c r="B224" s="96" t="s">
        <v>751</v>
      </c>
      <c r="C224" s="97">
        <v>519471</v>
      </c>
      <c r="D224" s="96" t="s">
        <v>388</v>
      </c>
      <c r="E224" s="96" t="s">
        <v>637</v>
      </c>
    </row>
    <row r="225" spans="2:5" ht="15" customHeight="1" thickBot="1" x14ac:dyDescent="0.35">
      <c r="B225" s="96" t="s">
        <v>752</v>
      </c>
      <c r="C225" s="97">
        <v>542524</v>
      </c>
      <c r="D225" s="96" t="s">
        <v>753</v>
      </c>
      <c r="E225" s="96" t="s">
        <v>754</v>
      </c>
    </row>
    <row r="226" spans="2:5" ht="15" customHeight="1" thickBot="1" x14ac:dyDescent="0.35">
      <c r="B226" s="96" t="s">
        <v>755</v>
      </c>
      <c r="C226" s="97">
        <v>540902</v>
      </c>
      <c r="D226" s="96" t="s">
        <v>756</v>
      </c>
      <c r="E226" s="96" t="s">
        <v>757</v>
      </c>
    </row>
    <row r="227" spans="2:5" ht="15" customHeight="1" thickBot="1" x14ac:dyDescent="0.35">
      <c r="B227" s="96" t="s">
        <v>758</v>
      </c>
      <c r="C227" s="97">
        <v>540902</v>
      </c>
      <c r="D227" s="96" t="s">
        <v>756</v>
      </c>
      <c r="E227" s="96" t="s">
        <v>757</v>
      </c>
    </row>
    <row r="228" spans="2:5" ht="15" customHeight="1" thickBot="1" x14ac:dyDescent="0.35">
      <c r="B228" s="96" t="s">
        <v>759</v>
      </c>
      <c r="C228" s="97">
        <v>531978</v>
      </c>
      <c r="D228" s="96" t="s">
        <v>760</v>
      </c>
      <c r="E228" s="96" t="s">
        <v>403</v>
      </c>
    </row>
    <row r="229" spans="2:5" ht="15" customHeight="1" thickBot="1" x14ac:dyDescent="0.35">
      <c r="B229" s="96" t="s">
        <v>761</v>
      </c>
      <c r="C229" s="97">
        <v>539223</v>
      </c>
      <c r="D229" s="96" t="s">
        <v>388</v>
      </c>
      <c r="E229" s="96" t="s">
        <v>382</v>
      </c>
    </row>
    <row r="230" spans="2:5" ht="15" customHeight="1" thickBot="1" x14ac:dyDescent="0.35">
      <c r="B230" s="96" t="s">
        <v>762</v>
      </c>
      <c r="C230" s="97">
        <v>500425</v>
      </c>
      <c r="D230" s="96" t="s">
        <v>763</v>
      </c>
      <c r="E230" s="96" t="s">
        <v>401</v>
      </c>
    </row>
    <row r="231" spans="2:5" ht="15" customHeight="1" thickBot="1" x14ac:dyDescent="0.35">
      <c r="B231" s="96" t="s">
        <v>764</v>
      </c>
      <c r="C231" s="97">
        <v>530133</v>
      </c>
      <c r="D231" s="96" t="s">
        <v>388</v>
      </c>
      <c r="E231" s="96" t="s">
        <v>765</v>
      </c>
    </row>
    <row r="232" spans="2:5" ht="15" customHeight="1" thickBot="1" x14ac:dyDescent="0.35">
      <c r="B232" s="96" t="s">
        <v>766</v>
      </c>
      <c r="C232" s="97">
        <v>530133</v>
      </c>
      <c r="D232" s="96" t="s">
        <v>388</v>
      </c>
      <c r="E232" s="96" t="s">
        <v>765</v>
      </c>
    </row>
    <row r="233" spans="2:5" ht="15" customHeight="1" thickBot="1" x14ac:dyDescent="0.35">
      <c r="B233" s="96" t="s">
        <v>767</v>
      </c>
      <c r="C233" s="97">
        <v>532828</v>
      </c>
      <c r="D233" s="96" t="s">
        <v>768</v>
      </c>
      <c r="E233" s="96" t="s">
        <v>573</v>
      </c>
    </row>
    <row r="234" spans="2:5" ht="15" customHeight="1" thickBot="1" x14ac:dyDescent="0.35">
      <c r="B234" s="96" t="s">
        <v>769</v>
      </c>
      <c r="C234" s="97">
        <v>513117</v>
      </c>
      <c r="D234" s="96" t="s">
        <v>388</v>
      </c>
      <c r="E234" s="96" t="s">
        <v>743</v>
      </c>
    </row>
    <row r="235" spans="2:5" ht="15" customHeight="1" thickBot="1" x14ac:dyDescent="0.35">
      <c r="B235" s="96" t="s">
        <v>770</v>
      </c>
      <c r="C235" s="97">
        <v>541771</v>
      </c>
      <c r="D235" s="96" t="s">
        <v>388</v>
      </c>
      <c r="E235" s="96" t="s">
        <v>502</v>
      </c>
    </row>
    <row r="236" spans="2:5" ht="15" customHeight="1" thickBot="1" x14ac:dyDescent="0.35">
      <c r="B236" s="96" t="s">
        <v>771</v>
      </c>
      <c r="C236" s="97">
        <v>506248</v>
      </c>
      <c r="D236" s="96" t="s">
        <v>388</v>
      </c>
      <c r="E236" s="96" t="s">
        <v>436</v>
      </c>
    </row>
    <row r="237" spans="2:5" ht="15" customHeight="1" thickBot="1" x14ac:dyDescent="0.35">
      <c r="B237" s="96" t="s">
        <v>772</v>
      </c>
      <c r="C237" s="97">
        <v>531300</v>
      </c>
      <c r="D237" s="96" t="s">
        <v>388</v>
      </c>
      <c r="E237" s="96" t="s">
        <v>403</v>
      </c>
    </row>
    <row r="238" spans="2:5" ht="15" customHeight="1" thickBot="1" x14ac:dyDescent="0.35">
      <c r="B238" s="96" t="s">
        <v>773</v>
      </c>
      <c r="C238" s="97">
        <v>531557</v>
      </c>
      <c r="D238" s="96" t="s">
        <v>388</v>
      </c>
      <c r="E238" s="96" t="s">
        <v>405</v>
      </c>
    </row>
    <row r="239" spans="2:5" ht="15" customHeight="1" thickBot="1" x14ac:dyDescent="0.35">
      <c r="B239" s="96" t="s">
        <v>774</v>
      </c>
      <c r="C239" s="97">
        <v>500343</v>
      </c>
      <c r="D239" s="96" t="s">
        <v>775</v>
      </c>
      <c r="E239" s="96" t="s">
        <v>474</v>
      </c>
    </row>
    <row r="240" spans="2:5" ht="15" customHeight="1" thickBot="1" x14ac:dyDescent="0.35">
      <c r="B240" s="96" t="s">
        <v>776</v>
      </c>
      <c r="C240" s="97">
        <v>531681</v>
      </c>
      <c r="D240" s="96" t="s">
        <v>388</v>
      </c>
      <c r="E240" s="96" t="s">
        <v>508</v>
      </c>
    </row>
    <row r="241" spans="2:5" ht="15" customHeight="1" thickBot="1" x14ac:dyDescent="0.35">
      <c r="B241" s="96" t="s">
        <v>777</v>
      </c>
      <c r="C241" s="97">
        <v>536737</v>
      </c>
      <c r="D241" s="96" t="s">
        <v>388</v>
      </c>
      <c r="E241" s="96" t="s">
        <v>405</v>
      </c>
    </row>
    <row r="242" spans="2:5" ht="15" customHeight="1" thickBot="1" x14ac:dyDescent="0.35">
      <c r="B242" s="96" t="s">
        <v>778</v>
      </c>
      <c r="C242" s="97">
        <v>539265</v>
      </c>
      <c r="D242" s="96" t="s">
        <v>388</v>
      </c>
      <c r="E242" s="96" t="s">
        <v>405</v>
      </c>
    </row>
    <row r="243" spans="2:5" ht="15" customHeight="1" thickBot="1" x14ac:dyDescent="0.35">
      <c r="B243" s="96" t="s">
        <v>779</v>
      </c>
      <c r="C243" s="97">
        <v>526241</v>
      </c>
      <c r="D243" s="96" t="s">
        <v>388</v>
      </c>
      <c r="E243" s="96" t="s">
        <v>410</v>
      </c>
    </row>
    <row r="244" spans="2:5" ht="15" customHeight="1" thickBot="1" x14ac:dyDescent="0.35">
      <c r="B244" s="96" t="s">
        <v>780</v>
      </c>
      <c r="C244" s="97">
        <v>531991</v>
      </c>
      <c r="D244" s="96" t="s">
        <v>388</v>
      </c>
      <c r="E244" s="96" t="s">
        <v>403</v>
      </c>
    </row>
    <row r="245" spans="2:5" ht="15" customHeight="1" thickBot="1" x14ac:dyDescent="0.35">
      <c r="B245" s="96" t="s">
        <v>781</v>
      </c>
      <c r="C245" s="97">
        <v>507525</v>
      </c>
      <c r="D245" s="96" t="s">
        <v>388</v>
      </c>
      <c r="E245" s="96" t="s">
        <v>448</v>
      </c>
    </row>
    <row r="246" spans="2:5" ht="15" customHeight="1" thickBot="1" x14ac:dyDescent="0.35">
      <c r="B246" s="96" t="s">
        <v>782</v>
      </c>
      <c r="C246" s="97">
        <v>590006</v>
      </c>
      <c r="D246" s="96" t="s">
        <v>783</v>
      </c>
      <c r="E246" s="96" t="s">
        <v>426</v>
      </c>
    </row>
    <row r="247" spans="2:5" ht="15" customHeight="1" thickBot="1" x14ac:dyDescent="0.35">
      <c r="B247" s="96" t="s">
        <v>784</v>
      </c>
      <c r="C247" s="97">
        <v>538861</v>
      </c>
      <c r="D247" s="96" t="s">
        <v>388</v>
      </c>
      <c r="E247" s="96" t="s">
        <v>410</v>
      </c>
    </row>
    <row r="248" spans="2:5" ht="15" customHeight="1" thickBot="1" x14ac:dyDescent="0.35">
      <c r="B248" s="96" t="s">
        <v>785</v>
      </c>
      <c r="C248" s="97">
        <v>501630</v>
      </c>
      <c r="D248" s="96" t="s">
        <v>388</v>
      </c>
      <c r="E248" s="96" t="s">
        <v>786</v>
      </c>
    </row>
    <row r="249" spans="2:5" ht="15" customHeight="1" thickBot="1" x14ac:dyDescent="0.35">
      <c r="B249" s="96" t="s">
        <v>787</v>
      </c>
      <c r="C249" s="97">
        <v>515055</v>
      </c>
      <c r="D249" s="96" t="s">
        <v>788</v>
      </c>
      <c r="E249" s="96" t="s">
        <v>474</v>
      </c>
    </row>
    <row r="250" spans="2:5" ht="15" customHeight="1" thickBot="1" x14ac:dyDescent="0.35">
      <c r="B250" s="96" t="s">
        <v>789</v>
      </c>
      <c r="C250" s="97">
        <v>532418</v>
      </c>
      <c r="D250" s="96" t="s">
        <v>790</v>
      </c>
      <c r="E250" s="96" t="s">
        <v>706</v>
      </c>
    </row>
    <row r="251" spans="2:5" ht="15" customHeight="1" thickBot="1" x14ac:dyDescent="0.35">
      <c r="B251" s="96" t="s">
        <v>791</v>
      </c>
      <c r="C251" s="97">
        <v>532141</v>
      </c>
      <c r="D251" s="96" t="s">
        <v>792</v>
      </c>
      <c r="E251" s="96" t="s">
        <v>401</v>
      </c>
    </row>
    <row r="252" spans="2:5" ht="15" customHeight="1" thickBot="1" x14ac:dyDescent="0.35">
      <c r="B252" s="96" t="s">
        <v>793</v>
      </c>
      <c r="C252" s="97">
        <v>500012</v>
      </c>
      <c r="D252" s="96" t="s">
        <v>388</v>
      </c>
      <c r="E252" s="96" t="s">
        <v>436</v>
      </c>
    </row>
    <row r="253" spans="2:5" ht="15" customHeight="1" thickBot="1" x14ac:dyDescent="0.35">
      <c r="B253" s="96" t="s">
        <v>794</v>
      </c>
      <c r="C253" s="97">
        <v>526173</v>
      </c>
      <c r="D253" s="96" t="s">
        <v>388</v>
      </c>
      <c r="E253" s="96" t="s">
        <v>795</v>
      </c>
    </row>
    <row r="254" spans="2:5" ht="15" customHeight="1" thickBot="1" x14ac:dyDescent="0.35">
      <c r="B254" s="96" t="s">
        <v>796</v>
      </c>
      <c r="C254" s="97">
        <v>531252</v>
      </c>
      <c r="D254" s="96" t="s">
        <v>388</v>
      </c>
      <c r="E254" s="96" t="s">
        <v>405</v>
      </c>
    </row>
    <row r="255" spans="2:5" ht="15" customHeight="1" thickBot="1" x14ac:dyDescent="0.35">
      <c r="B255" s="96" t="s">
        <v>797</v>
      </c>
      <c r="C255" s="97">
        <v>530721</v>
      </c>
      <c r="D255" s="96" t="s">
        <v>798</v>
      </c>
      <c r="E255" s="96" t="s">
        <v>743</v>
      </c>
    </row>
    <row r="256" spans="2:5" ht="15" customHeight="1" thickBot="1" x14ac:dyDescent="0.35">
      <c r="B256" s="96" t="s">
        <v>799</v>
      </c>
      <c r="C256" s="97">
        <v>540694</v>
      </c>
      <c r="D256" s="96" t="s">
        <v>388</v>
      </c>
      <c r="E256" s="96" t="s">
        <v>577</v>
      </c>
    </row>
    <row r="257" spans="2:5" ht="15" customHeight="1" thickBot="1" x14ac:dyDescent="0.35">
      <c r="B257" s="96" t="s">
        <v>800</v>
      </c>
      <c r="C257" s="97">
        <v>540694</v>
      </c>
      <c r="D257" s="96" t="s">
        <v>388</v>
      </c>
      <c r="E257" s="96" t="s">
        <v>577</v>
      </c>
    </row>
    <row r="258" spans="2:5" ht="15" customHeight="1" thickBot="1" x14ac:dyDescent="0.35">
      <c r="B258" s="96" t="s">
        <v>801</v>
      </c>
      <c r="C258" s="97">
        <v>541006</v>
      </c>
      <c r="D258" s="96" t="s">
        <v>388</v>
      </c>
      <c r="E258" s="96" t="s">
        <v>403</v>
      </c>
    </row>
    <row r="259" spans="2:5" ht="15" customHeight="1" thickBot="1" x14ac:dyDescent="0.35">
      <c r="B259" s="96" t="s">
        <v>802</v>
      </c>
      <c r="C259" s="96" t="s">
        <v>388</v>
      </c>
      <c r="D259" s="96" t="s">
        <v>803</v>
      </c>
      <c r="E259" s="96" t="s">
        <v>399</v>
      </c>
    </row>
    <row r="260" spans="2:5" ht="15" customHeight="1" thickBot="1" x14ac:dyDescent="0.35">
      <c r="B260" s="96" t="s">
        <v>804</v>
      </c>
      <c r="C260" s="97">
        <v>519383</v>
      </c>
      <c r="D260" s="96" t="s">
        <v>805</v>
      </c>
      <c r="E260" s="96" t="s">
        <v>586</v>
      </c>
    </row>
    <row r="261" spans="2:5" ht="15" customHeight="1" thickBot="1" x14ac:dyDescent="0.35">
      <c r="B261" s="96" t="s">
        <v>806</v>
      </c>
      <c r="C261" s="97">
        <v>537785</v>
      </c>
      <c r="D261" s="96" t="s">
        <v>388</v>
      </c>
      <c r="E261" s="96" t="s">
        <v>422</v>
      </c>
    </row>
    <row r="262" spans="2:5" ht="15" customHeight="1" thickBot="1" x14ac:dyDescent="0.35">
      <c r="B262" s="96" t="s">
        <v>807</v>
      </c>
      <c r="C262" s="97">
        <v>531878</v>
      </c>
      <c r="D262" s="96" t="s">
        <v>388</v>
      </c>
      <c r="E262" s="96" t="s">
        <v>405</v>
      </c>
    </row>
    <row r="263" spans="2:5" ht="15" customHeight="1" thickBot="1" x14ac:dyDescent="0.35">
      <c r="B263" s="96" t="s">
        <v>808</v>
      </c>
      <c r="C263" s="97">
        <v>511153</v>
      </c>
      <c r="D263" s="96" t="s">
        <v>388</v>
      </c>
      <c r="E263" s="96" t="s">
        <v>809</v>
      </c>
    </row>
    <row r="264" spans="2:5" ht="15" customHeight="1" thickBot="1" x14ac:dyDescent="0.35">
      <c r="B264" s="96" t="s">
        <v>810</v>
      </c>
      <c r="C264" s="97">
        <v>518091</v>
      </c>
      <c r="D264" s="96" t="s">
        <v>811</v>
      </c>
      <c r="E264" s="96" t="s">
        <v>401</v>
      </c>
    </row>
    <row r="265" spans="2:5" ht="15" customHeight="1" thickBot="1" x14ac:dyDescent="0.35">
      <c r="B265" s="96" t="s">
        <v>812</v>
      </c>
      <c r="C265" s="97">
        <v>531223</v>
      </c>
      <c r="D265" s="96" t="s">
        <v>388</v>
      </c>
      <c r="E265" s="96" t="s">
        <v>403</v>
      </c>
    </row>
    <row r="266" spans="2:5" ht="15" customHeight="1" thickBot="1" x14ac:dyDescent="0.35">
      <c r="B266" s="96" t="s">
        <v>813</v>
      </c>
      <c r="C266" s="97">
        <v>531673</v>
      </c>
      <c r="D266" s="96" t="s">
        <v>388</v>
      </c>
      <c r="E266" s="96" t="s">
        <v>814</v>
      </c>
    </row>
    <row r="267" spans="2:5" ht="15" customHeight="1" thickBot="1" x14ac:dyDescent="0.35">
      <c r="B267" s="96" t="s">
        <v>815</v>
      </c>
      <c r="C267" s="97">
        <v>531673</v>
      </c>
      <c r="D267" s="96" t="s">
        <v>388</v>
      </c>
      <c r="E267" s="96" t="s">
        <v>814</v>
      </c>
    </row>
    <row r="268" spans="2:5" ht="15" customHeight="1" thickBot="1" x14ac:dyDescent="0.35">
      <c r="B268" s="96" t="s">
        <v>816</v>
      </c>
      <c r="C268" s="97">
        <v>532870</v>
      </c>
      <c r="D268" s="96" t="s">
        <v>817</v>
      </c>
      <c r="E268" s="96" t="s">
        <v>420</v>
      </c>
    </row>
    <row r="269" spans="2:5" ht="15" customHeight="1" thickBot="1" x14ac:dyDescent="0.35">
      <c r="B269" s="96" t="s">
        <v>818</v>
      </c>
      <c r="C269" s="97">
        <v>531519</v>
      </c>
      <c r="D269" s="96" t="s">
        <v>388</v>
      </c>
      <c r="E269" s="96" t="s">
        <v>371</v>
      </c>
    </row>
    <row r="270" spans="2:5" ht="15" customHeight="1" thickBot="1" x14ac:dyDescent="0.35">
      <c r="B270" s="96" t="s">
        <v>819</v>
      </c>
      <c r="C270" s="97">
        <v>542437</v>
      </c>
      <c r="D270" s="96" t="s">
        <v>820</v>
      </c>
      <c r="E270" s="96" t="s">
        <v>422</v>
      </c>
    </row>
    <row r="271" spans="2:5" ht="15" customHeight="1" thickBot="1" x14ac:dyDescent="0.35">
      <c r="B271" s="96" t="s">
        <v>821</v>
      </c>
      <c r="C271" s="97">
        <v>530799</v>
      </c>
      <c r="D271" s="96" t="s">
        <v>388</v>
      </c>
      <c r="E271" s="96" t="s">
        <v>405</v>
      </c>
    </row>
    <row r="272" spans="2:5" ht="15" customHeight="1" thickBot="1" x14ac:dyDescent="0.35">
      <c r="B272" s="96" t="s">
        <v>822</v>
      </c>
      <c r="C272" s="97">
        <v>531406</v>
      </c>
      <c r="D272" s="96" t="s">
        <v>388</v>
      </c>
      <c r="E272" s="96" t="s">
        <v>823</v>
      </c>
    </row>
    <row r="273" spans="2:5" ht="15" customHeight="1" thickBot="1" x14ac:dyDescent="0.35">
      <c r="B273" s="96" t="s">
        <v>824</v>
      </c>
      <c r="C273" s="97">
        <v>523007</v>
      </c>
      <c r="D273" s="96" t="s">
        <v>388</v>
      </c>
      <c r="E273" s="96" t="s">
        <v>474</v>
      </c>
    </row>
    <row r="274" spans="2:5" ht="15" customHeight="1" thickBot="1" x14ac:dyDescent="0.35">
      <c r="B274" s="96" t="s">
        <v>825</v>
      </c>
      <c r="C274" s="97">
        <v>507828</v>
      </c>
      <c r="D274" s="96" t="s">
        <v>826</v>
      </c>
      <c r="E274" s="96" t="s">
        <v>474</v>
      </c>
    </row>
    <row r="275" spans="2:5" ht="15" customHeight="1" thickBot="1" x14ac:dyDescent="0.35">
      <c r="B275" s="96" t="s">
        <v>827</v>
      </c>
      <c r="C275" s="97">
        <v>500013</v>
      </c>
      <c r="D275" s="96" t="s">
        <v>828</v>
      </c>
      <c r="E275" s="96" t="s">
        <v>474</v>
      </c>
    </row>
    <row r="276" spans="2:5" ht="15" customHeight="1" thickBot="1" x14ac:dyDescent="0.35">
      <c r="B276" s="96" t="s">
        <v>829</v>
      </c>
      <c r="C276" s="97">
        <v>512091</v>
      </c>
      <c r="D276" s="96" t="s">
        <v>388</v>
      </c>
      <c r="E276" s="96" t="s">
        <v>502</v>
      </c>
    </row>
    <row r="277" spans="2:5" ht="15" customHeight="1" thickBot="1" x14ac:dyDescent="0.35">
      <c r="B277" s="96" t="s">
        <v>830</v>
      </c>
      <c r="C277" s="96" t="s">
        <v>388</v>
      </c>
      <c r="D277" s="96" t="s">
        <v>831</v>
      </c>
      <c r="E277" s="96" t="s">
        <v>479</v>
      </c>
    </row>
    <row r="278" spans="2:5" ht="15" customHeight="1" thickBot="1" x14ac:dyDescent="0.35">
      <c r="B278" s="96" t="s">
        <v>832</v>
      </c>
      <c r="C278" s="97">
        <v>501270</v>
      </c>
      <c r="D278" s="96" t="s">
        <v>388</v>
      </c>
      <c r="E278" s="96" t="s">
        <v>474</v>
      </c>
    </row>
    <row r="279" spans="2:5" ht="15" customHeight="1" thickBot="1" x14ac:dyDescent="0.35">
      <c r="B279" s="96" t="s">
        <v>833</v>
      </c>
      <c r="C279" s="97">
        <v>539697</v>
      </c>
      <c r="D279" s="96" t="s">
        <v>388</v>
      </c>
      <c r="E279" s="96" t="s">
        <v>834</v>
      </c>
    </row>
    <row r="280" spans="2:5" ht="15" customHeight="1" thickBot="1" x14ac:dyDescent="0.35">
      <c r="B280" s="96" t="s">
        <v>835</v>
      </c>
      <c r="C280" s="97">
        <v>538833</v>
      </c>
      <c r="D280" s="96" t="s">
        <v>388</v>
      </c>
      <c r="E280" s="96" t="s">
        <v>786</v>
      </c>
    </row>
    <row r="281" spans="2:5" ht="15" customHeight="1" thickBot="1" x14ac:dyDescent="0.35">
      <c r="B281" s="96" t="s">
        <v>836</v>
      </c>
      <c r="C281" s="97">
        <v>506260</v>
      </c>
      <c r="D281" s="96" t="s">
        <v>388</v>
      </c>
      <c r="E281" s="96" t="s">
        <v>426</v>
      </c>
    </row>
    <row r="282" spans="2:5" ht="15" customHeight="1" thickBot="1" x14ac:dyDescent="0.35">
      <c r="B282" s="96" t="s">
        <v>837</v>
      </c>
      <c r="C282" s="97">
        <v>506087</v>
      </c>
      <c r="D282" s="96" t="s">
        <v>388</v>
      </c>
      <c r="E282" s="96" t="s">
        <v>711</v>
      </c>
    </row>
    <row r="283" spans="2:5" ht="15" customHeight="1" thickBot="1" x14ac:dyDescent="0.35">
      <c r="B283" s="96" t="s">
        <v>838</v>
      </c>
      <c r="C283" s="97">
        <v>530109</v>
      </c>
      <c r="D283" s="96" t="s">
        <v>388</v>
      </c>
      <c r="E283" s="96" t="s">
        <v>405</v>
      </c>
    </row>
    <row r="284" spans="2:5" ht="15" customHeight="1" thickBot="1" x14ac:dyDescent="0.35">
      <c r="B284" s="96" t="s">
        <v>839</v>
      </c>
      <c r="C284" s="97">
        <v>532259</v>
      </c>
      <c r="D284" s="96" t="s">
        <v>840</v>
      </c>
      <c r="E284" s="96" t="s">
        <v>686</v>
      </c>
    </row>
    <row r="285" spans="2:5" ht="15" customHeight="1" thickBot="1" x14ac:dyDescent="0.35">
      <c r="B285" s="96" t="s">
        <v>841</v>
      </c>
      <c r="C285" s="97">
        <v>523694</v>
      </c>
      <c r="D285" s="96" t="s">
        <v>842</v>
      </c>
      <c r="E285" s="96" t="s">
        <v>573</v>
      </c>
    </row>
    <row r="286" spans="2:5" ht="15" customHeight="1" thickBot="1" x14ac:dyDescent="0.35">
      <c r="B286" s="96" t="s">
        <v>843</v>
      </c>
      <c r="C286" s="97">
        <v>540692</v>
      </c>
      <c r="D286" s="96" t="s">
        <v>844</v>
      </c>
      <c r="E286" s="96" t="s">
        <v>448</v>
      </c>
    </row>
    <row r="287" spans="2:5" ht="15" customHeight="1" thickBot="1" x14ac:dyDescent="0.35">
      <c r="B287" s="96" t="s">
        <v>845</v>
      </c>
      <c r="C287" s="97">
        <v>541133</v>
      </c>
      <c r="D287" s="96" t="s">
        <v>388</v>
      </c>
      <c r="E287" s="96" t="s">
        <v>405</v>
      </c>
    </row>
    <row r="288" spans="2:5" ht="15" customHeight="1" thickBot="1" x14ac:dyDescent="0.35">
      <c r="B288" s="96" t="s">
        <v>846</v>
      </c>
      <c r="C288" s="97">
        <v>506166</v>
      </c>
      <c r="D288" s="96" t="s">
        <v>388</v>
      </c>
      <c r="E288" s="96" t="s">
        <v>468</v>
      </c>
    </row>
    <row r="289" spans="2:5" ht="15" customHeight="1" thickBot="1" x14ac:dyDescent="0.35">
      <c r="B289" s="96" t="s">
        <v>847</v>
      </c>
      <c r="C289" s="97">
        <v>506166</v>
      </c>
      <c r="D289" s="96" t="s">
        <v>388</v>
      </c>
      <c r="E289" s="96" t="s">
        <v>468</v>
      </c>
    </row>
    <row r="290" spans="2:5" ht="15" customHeight="1" thickBot="1" x14ac:dyDescent="0.35">
      <c r="B290" s="96" t="s">
        <v>848</v>
      </c>
      <c r="C290" s="97">
        <v>533758</v>
      </c>
      <c r="D290" s="96" t="s">
        <v>849</v>
      </c>
      <c r="E290" s="96" t="s">
        <v>711</v>
      </c>
    </row>
    <row r="291" spans="2:5" ht="15" customHeight="1" thickBot="1" x14ac:dyDescent="0.35">
      <c r="B291" s="96" t="s">
        <v>850</v>
      </c>
      <c r="C291" s="97">
        <v>517096</v>
      </c>
      <c r="D291" s="96" t="s">
        <v>388</v>
      </c>
      <c r="E291" s="96" t="s">
        <v>686</v>
      </c>
    </row>
    <row r="292" spans="2:5" ht="15" customHeight="1" thickBot="1" x14ac:dyDescent="0.35">
      <c r="B292" s="96" t="s">
        <v>851</v>
      </c>
      <c r="C292" s="97">
        <v>511064</v>
      </c>
      <c r="D292" s="96" t="s">
        <v>852</v>
      </c>
      <c r="E292" s="96" t="s">
        <v>754</v>
      </c>
    </row>
    <row r="293" spans="2:5" ht="15" customHeight="1" thickBot="1" x14ac:dyDescent="0.35">
      <c r="B293" s="96" t="s">
        <v>853</v>
      </c>
      <c r="C293" s="97">
        <v>523537</v>
      </c>
      <c r="D293" s="96" t="s">
        <v>388</v>
      </c>
      <c r="E293" s="96" t="s">
        <v>403</v>
      </c>
    </row>
    <row r="294" spans="2:5" ht="15" customHeight="1" thickBot="1" x14ac:dyDescent="0.35">
      <c r="B294" s="96" t="s">
        <v>854</v>
      </c>
      <c r="C294" s="97">
        <v>512437</v>
      </c>
      <c r="D294" s="96" t="s">
        <v>388</v>
      </c>
      <c r="E294" s="96" t="s">
        <v>371</v>
      </c>
    </row>
    <row r="295" spans="2:5" ht="15" customHeight="1" thickBot="1" x14ac:dyDescent="0.35">
      <c r="B295" s="96" t="s">
        <v>855</v>
      </c>
      <c r="C295" s="97">
        <v>512437</v>
      </c>
      <c r="D295" s="96" t="s">
        <v>388</v>
      </c>
      <c r="E295" s="96" t="s">
        <v>371</v>
      </c>
    </row>
    <row r="296" spans="2:5" ht="15" customHeight="1" thickBot="1" x14ac:dyDescent="0.35">
      <c r="B296" s="96" t="s">
        <v>856</v>
      </c>
      <c r="C296" s="97">
        <v>508869</v>
      </c>
      <c r="D296" s="96" t="s">
        <v>857</v>
      </c>
      <c r="E296" s="96" t="s">
        <v>858</v>
      </c>
    </row>
    <row r="297" spans="2:5" ht="15" customHeight="1" thickBot="1" x14ac:dyDescent="0.35">
      <c r="B297" s="96" t="s">
        <v>859</v>
      </c>
      <c r="C297" s="97">
        <v>540879</v>
      </c>
      <c r="D297" s="96" t="s">
        <v>860</v>
      </c>
      <c r="E297" s="96" t="s">
        <v>861</v>
      </c>
    </row>
    <row r="298" spans="2:5" ht="15" customHeight="1" thickBot="1" x14ac:dyDescent="0.35">
      <c r="B298" s="96" t="s">
        <v>862</v>
      </c>
      <c r="C298" s="97">
        <v>531761</v>
      </c>
      <c r="D298" s="96" t="s">
        <v>388</v>
      </c>
      <c r="E298" s="96" t="s">
        <v>508</v>
      </c>
    </row>
    <row r="299" spans="2:5" ht="15" customHeight="1" thickBot="1" x14ac:dyDescent="0.35">
      <c r="B299" s="96" t="s">
        <v>863</v>
      </c>
      <c r="C299" s="96" t="s">
        <v>388</v>
      </c>
      <c r="D299" s="96" t="s">
        <v>864</v>
      </c>
      <c r="E299" s="96" t="s">
        <v>479</v>
      </c>
    </row>
    <row r="300" spans="2:5" ht="15" customHeight="1" thickBot="1" x14ac:dyDescent="0.35">
      <c r="B300" s="96" t="s">
        <v>865</v>
      </c>
      <c r="C300" s="97">
        <v>538566</v>
      </c>
      <c r="D300" s="96" t="s">
        <v>388</v>
      </c>
      <c r="E300" s="96" t="s">
        <v>410</v>
      </c>
    </row>
    <row r="301" spans="2:5" ht="15" customHeight="1" thickBot="1" x14ac:dyDescent="0.35">
      <c r="B301" s="96" t="s">
        <v>866</v>
      </c>
      <c r="C301" s="97">
        <v>500877</v>
      </c>
      <c r="D301" s="96" t="s">
        <v>867</v>
      </c>
      <c r="E301" s="96" t="s">
        <v>868</v>
      </c>
    </row>
    <row r="302" spans="2:5" ht="15" customHeight="1" thickBot="1" x14ac:dyDescent="0.35">
      <c r="B302" s="96" t="s">
        <v>869</v>
      </c>
      <c r="C302" s="97">
        <v>539545</v>
      </c>
      <c r="D302" s="96" t="s">
        <v>388</v>
      </c>
      <c r="E302" s="96" t="s">
        <v>408</v>
      </c>
    </row>
    <row r="303" spans="2:5" ht="15" customHeight="1" thickBot="1" x14ac:dyDescent="0.35">
      <c r="B303" s="96" t="s">
        <v>870</v>
      </c>
      <c r="C303" s="97">
        <v>500014</v>
      </c>
      <c r="D303" s="96" t="s">
        <v>388</v>
      </c>
      <c r="E303" s="96" t="s">
        <v>405</v>
      </c>
    </row>
    <row r="304" spans="2:5" ht="15" customHeight="1" thickBot="1" x14ac:dyDescent="0.35">
      <c r="B304" s="96" t="s">
        <v>871</v>
      </c>
      <c r="C304" s="97">
        <v>532475</v>
      </c>
      <c r="D304" s="96" t="s">
        <v>872</v>
      </c>
      <c r="E304" s="96" t="s">
        <v>873</v>
      </c>
    </row>
    <row r="305" spans="2:5" ht="15" customHeight="1" thickBot="1" x14ac:dyDescent="0.35">
      <c r="B305" s="96" t="s">
        <v>874</v>
      </c>
      <c r="C305" s="97">
        <v>539469</v>
      </c>
      <c r="D305" s="96" t="s">
        <v>388</v>
      </c>
      <c r="E305" s="96" t="s">
        <v>410</v>
      </c>
    </row>
    <row r="306" spans="2:5" ht="15" customHeight="1" thickBot="1" x14ac:dyDescent="0.35">
      <c r="B306" s="96" t="s">
        <v>875</v>
      </c>
      <c r="C306" s="97">
        <v>531364</v>
      </c>
      <c r="D306" s="96" t="s">
        <v>388</v>
      </c>
      <c r="E306" s="96" t="s">
        <v>786</v>
      </c>
    </row>
    <row r="307" spans="2:5" ht="15" customHeight="1" thickBot="1" x14ac:dyDescent="0.35">
      <c r="B307" s="96" t="s">
        <v>876</v>
      </c>
      <c r="C307" s="97">
        <v>539403</v>
      </c>
      <c r="D307" s="96" t="s">
        <v>388</v>
      </c>
      <c r="E307" s="96" t="s">
        <v>877</v>
      </c>
    </row>
    <row r="308" spans="2:5" ht="15" customHeight="1" thickBot="1" x14ac:dyDescent="0.35">
      <c r="B308" s="96" t="s">
        <v>878</v>
      </c>
      <c r="C308" s="97">
        <v>540135</v>
      </c>
      <c r="D308" s="96" t="s">
        <v>388</v>
      </c>
      <c r="E308" s="96" t="s">
        <v>371</v>
      </c>
    </row>
    <row r="309" spans="2:5" ht="15" customHeight="1" thickBot="1" x14ac:dyDescent="0.35">
      <c r="B309" s="96" t="s">
        <v>879</v>
      </c>
      <c r="C309" s="97">
        <v>520121</v>
      </c>
      <c r="D309" s="96" t="s">
        <v>388</v>
      </c>
      <c r="E309" s="96" t="s">
        <v>508</v>
      </c>
    </row>
    <row r="310" spans="2:5" ht="15" customHeight="1" thickBot="1" x14ac:dyDescent="0.35">
      <c r="B310" s="96" t="s">
        <v>880</v>
      </c>
      <c r="C310" s="97">
        <v>530565</v>
      </c>
      <c r="D310" s="96" t="s">
        <v>388</v>
      </c>
      <c r="E310" s="96" t="s">
        <v>481</v>
      </c>
    </row>
    <row r="311" spans="2:5" ht="15" customHeight="1" thickBot="1" x14ac:dyDescent="0.35">
      <c r="B311" s="96" t="s">
        <v>881</v>
      </c>
      <c r="C311" s="97">
        <v>532994</v>
      </c>
      <c r="D311" s="96" t="s">
        <v>882</v>
      </c>
      <c r="E311" s="96" t="s">
        <v>883</v>
      </c>
    </row>
    <row r="312" spans="2:5" ht="15" customHeight="1" thickBot="1" x14ac:dyDescent="0.35">
      <c r="B312" s="96" t="s">
        <v>884</v>
      </c>
      <c r="C312" s="97">
        <v>532212</v>
      </c>
      <c r="D312" s="96" t="s">
        <v>885</v>
      </c>
      <c r="E312" s="96" t="s">
        <v>886</v>
      </c>
    </row>
    <row r="313" spans="2:5" ht="15" customHeight="1" thickBot="1" x14ac:dyDescent="0.35">
      <c r="B313" s="96" t="s">
        <v>887</v>
      </c>
      <c r="C313" s="97">
        <v>524640</v>
      </c>
      <c r="D313" s="96" t="s">
        <v>388</v>
      </c>
      <c r="E313" s="96" t="s">
        <v>436</v>
      </c>
    </row>
    <row r="314" spans="2:5" ht="15" customHeight="1" thickBot="1" x14ac:dyDescent="0.35">
      <c r="B314" s="96" t="s">
        <v>888</v>
      </c>
      <c r="C314" s="97">
        <v>532914</v>
      </c>
      <c r="D314" s="96" t="s">
        <v>889</v>
      </c>
      <c r="E314" s="96" t="s">
        <v>462</v>
      </c>
    </row>
    <row r="315" spans="2:5" ht="15" customHeight="1" thickBot="1" x14ac:dyDescent="0.35">
      <c r="B315" s="96" t="s">
        <v>890</v>
      </c>
      <c r="C315" s="97">
        <v>504370</v>
      </c>
      <c r="D315" s="96" t="s">
        <v>388</v>
      </c>
      <c r="E315" s="96" t="s">
        <v>809</v>
      </c>
    </row>
    <row r="316" spans="2:5" ht="15" customHeight="1" thickBot="1" x14ac:dyDescent="0.35">
      <c r="B316" s="96" t="s">
        <v>891</v>
      </c>
      <c r="C316" s="97">
        <v>526851</v>
      </c>
      <c r="D316" s="96" t="s">
        <v>388</v>
      </c>
      <c r="E316" s="96" t="s">
        <v>403</v>
      </c>
    </row>
    <row r="317" spans="2:5" ht="15" customHeight="1" thickBot="1" x14ac:dyDescent="0.35">
      <c r="B317" s="96" t="s">
        <v>892</v>
      </c>
      <c r="C317" s="97">
        <v>539151</v>
      </c>
      <c r="D317" s="96" t="s">
        <v>388</v>
      </c>
      <c r="E317" s="96" t="s">
        <v>693</v>
      </c>
    </row>
    <row r="318" spans="2:5" ht="15" customHeight="1" thickBot="1" x14ac:dyDescent="0.35">
      <c r="B318" s="96" t="s">
        <v>893</v>
      </c>
      <c r="C318" s="97">
        <v>539151</v>
      </c>
      <c r="D318" s="96" t="s">
        <v>388</v>
      </c>
      <c r="E318" s="96" t="s">
        <v>693</v>
      </c>
    </row>
    <row r="319" spans="2:5" ht="15" customHeight="1" thickBot="1" x14ac:dyDescent="0.35">
      <c r="B319" s="96" t="s">
        <v>894</v>
      </c>
      <c r="C319" s="97">
        <v>532935</v>
      </c>
      <c r="D319" s="96" t="s">
        <v>895</v>
      </c>
      <c r="E319" s="96" t="s">
        <v>896</v>
      </c>
    </row>
    <row r="320" spans="2:5" ht="15" customHeight="1" thickBot="1" x14ac:dyDescent="0.35">
      <c r="B320" s="96" t="s">
        <v>897</v>
      </c>
      <c r="C320" s="97">
        <v>511605</v>
      </c>
      <c r="D320" s="96" t="s">
        <v>388</v>
      </c>
      <c r="E320" s="96" t="s">
        <v>371</v>
      </c>
    </row>
    <row r="321" spans="2:5" ht="15" customHeight="1" thickBot="1" x14ac:dyDescent="0.35">
      <c r="B321" s="96" t="s">
        <v>898</v>
      </c>
      <c r="C321" s="97">
        <v>531381</v>
      </c>
      <c r="D321" s="96" t="s">
        <v>899</v>
      </c>
      <c r="E321" s="96" t="s">
        <v>474</v>
      </c>
    </row>
    <row r="322" spans="2:5" ht="15" customHeight="1" thickBot="1" x14ac:dyDescent="0.35">
      <c r="B322" s="96" t="s">
        <v>900</v>
      </c>
      <c r="C322" s="97">
        <v>541401</v>
      </c>
      <c r="D322" s="96" t="s">
        <v>388</v>
      </c>
      <c r="E322" s="96" t="s">
        <v>493</v>
      </c>
    </row>
    <row r="323" spans="2:5" ht="15" customHeight="1" thickBot="1" x14ac:dyDescent="0.35">
      <c r="B323" s="96" t="s">
        <v>901</v>
      </c>
      <c r="C323" s="97">
        <v>506194</v>
      </c>
      <c r="D323" s="96" t="s">
        <v>902</v>
      </c>
      <c r="E323" s="96" t="s">
        <v>474</v>
      </c>
    </row>
    <row r="324" spans="2:5" ht="15" customHeight="1" thickBot="1" x14ac:dyDescent="0.35">
      <c r="B324" s="96" t="s">
        <v>903</v>
      </c>
      <c r="C324" s="97">
        <v>526125</v>
      </c>
      <c r="D324" s="96" t="s">
        <v>388</v>
      </c>
      <c r="E324" s="96" t="s">
        <v>410</v>
      </c>
    </row>
    <row r="325" spans="2:5" ht="15" customHeight="1" thickBot="1" x14ac:dyDescent="0.35">
      <c r="B325" s="96" t="s">
        <v>904</v>
      </c>
      <c r="C325" s="97">
        <v>531017</v>
      </c>
      <c r="D325" s="96" t="s">
        <v>388</v>
      </c>
      <c r="E325" s="96" t="s">
        <v>809</v>
      </c>
    </row>
    <row r="326" spans="2:5" ht="15" customHeight="1" thickBot="1" x14ac:dyDescent="0.35">
      <c r="B326" s="96" t="s">
        <v>905</v>
      </c>
      <c r="C326" s="97">
        <v>531677</v>
      </c>
      <c r="D326" s="96" t="s">
        <v>388</v>
      </c>
      <c r="E326" s="96" t="s">
        <v>374</v>
      </c>
    </row>
    <row r="327" spans="2:5" ht="15" customHeight="1" thickBot="1" x14ac:dyDescent="0.35">
      <c r="B327" s="96" t="s">
        <v>906</v>
      </c>
      <c r="C327" s="97">
        <v>531179</v>
      </c>
      <c r="D327" s="96" t="s">
        <v>907</v>
      </c>
      <c r="E327" s="96" t="s">
        <v>405</v>
      </c>
    </row>
    <row r="328" spans="2:5" ht="15" customHeight="1" thickBot="1" x14ac:dyDescent="0.35">
      <c r="B328" s="96" t="s">
        <v>908</v>
      </c>
      <c r="C328" s="97">
        <v>538556</v>
      </c>
      <c r="D328" s="96" t="s">
        <v>909</v>
      </c>
      <c r="E328" s="96" t="s">
        <v>408</v>
      </c>
    </row>
    <row r="329" spans="2:5" ht="15" customHeight="1" thickBot="1" x14ac:dyDescent="0.35">
      <c r="B329" s="96" t="s">
        <v>910</v>
      </c>
      <c r="C329" s="97">
        <v>532397</v>
      </c>
      <c r="D329" s="96" t="s">
        <v>388</v>
      </c>
      <c r="E329" s="96" t="s">
        <v>382</v>
      </c>
    </row>
    <row r="330" spans="2:5" ht="15" customHeight="1" thickBot="1" x14ac:dyDescent="0.35">
      <c r="B330" s="96" t="s">
        <v>911</v>
      </c>
      <c r="C330" s="97">
        <v>531467</v>
      </c>
      <c r="D330" s="96" t="s">
        <v>388</v>
      </c>
      <c r="E330" s="96" t="s">
        <v>912</v>
      </c>
    </row>
    <row r="331" spans="2:5" ht="15" customHeight="1" thickBot="1" x14ac:dyDescent="0.35">
      <c r="B331" s="96" t="s">
        <v>913</v>
      </c>
      <c r="C331" s="97">
        <v>537069</v>
      </c>
      <c r="D331" s="96" t="s">
        <v>388</v>
      </c>
      <c r="E331" s="96" t="s">
        <v>405</v>
      </c>
    </row>
    <row r="332" spans="2:5" ht="15" customHeight="1" thickBot="1" x14ac:dyDescent="0.35">
      <c r="B332" s="96" t="s">
        <v>914</v>
      </c>
      <c r="C332" s="97">
        <v>513729</v>
      </c>
      <c r="D332" s="96" t="s">
        <v>915</v>
      </c>
      <c r="E332" s="96" t="s">
        <v>916</v>
      </c>
    </row>
    <row r="333" spans="2:5" ht="15" customHeight="1" thickBot="1" x14ac:dyDescent="0.35">
      <c r="B333" s="96" t="s">
        <v>917</v>
      </c>
      <c r="C333" s="97">
        <v>531560</v>
      </c>
      <c r="D333" s="96" t="s">
        <v>388</v>
      </c>
      <c r="E333" s="96" t="s">
        <v>809</v>
      </c>
    </row>
    <row r="334" spans="2:5" ht="15" customHeight="1" thickBot="1" x14ac:dyDescent="0.35">
      <c r="B334" s="96" t="s">
        <v>918</v>
      </c>
      <c r="C334" s="97">
        <v>531560</v>
      </c>
      <c r="D334" s="96" t="s">
        <v>388</v>
      </c>
      <c r="E334" s="96" t="s">
        <v>809</v>
      </c>
    </row>
    <row r="335" spans="2:5" ht="15" customHeight="1" thickBot="1" x14ac:dyDescent="0.35">
      <c r="B335" s="96" t="s">
        <v>919</v>
      </c>
      <c r="C335" s="97">
        <v>516064</v>
      </c>
      <c r="D335" s="96" t="s">
        <v>920</v>
      </c>
      <c r="E335" s="96" t="s">
        <v>508</v>
      </c>
    </row>
    <row r="336" spans="2:5" ht="15" customHeight="1" thickBot="1" x14ac:dyDescent="0.35">
      <c r="B336" s="96" t="s">
        <v>921</v>
      </c>
      <c r="C336" s="97">
        <v>533068</v>
      </c>
      <c r="D336" s="96" t="s">
        <v>922</v>
      </c>
      <c r="E336" s="96" t="s">
        <v>502</v>
      </c>
    </row>
    <row r="337" spans="2:5" ht="15" customHeight="1" thickBot="1" x14ac:dyDescent="0.35">
      <c r="B337" s="96" t="s">
        <v>923</v>
      </c>
      <c r="C337" s="97">
        <v>506074</v>
      </c>
      <c r="D337" s="96" t="s">
        <v>924</v>
      </c>
      <c r="E337" s="96" t="s">
        <v>709</v>
      </c>
    </row>
    <row r="338" spans="2:5" ht="15" customHeight="1" thickBot="1" x14ac:dyDescent="0.35">
      <c r="B338" s="96" t="s">
        <v>925</v>
      </c>
      <c r="C338" s="97">
        <v>533163</v>
      </c>
      <c r="D338" s="96" t="s">
        <v>926</v>
      </c>
      <c r="E338" s="96" t="s">
        <v>786</v>
      </c>
    </row>
    <row r="339" spans="2:5" ht="15" customHeight="1" thickBot="1" x14ac:dyDescent="0.35">
      <c r="B339" s="96" t="s">
        <v>927</v>
      </c>
      <c r="C339" s="96" t="s">
        <v>388</v>
      </c>
      <c r="D339" s="96" t="s">
        <v>928</v>
      </c>
      <c r="E339" s="96" t="s">
        <v>399</v>
      </c>
    </row>
    <row r="340" spans="2:5" ht="15" customHeight="1" thickBot="1" x14ac:dyDescent="0.35">
      <c r="B340" s="96" t="s">
        <v>929</v>
      </c>
      <c r="C340" s="97">
        <v>517481</v>
      </c>
      <c r="D340" s="96" t="s">
        <v>388</v>
      </c>
      <c r="E340" s="96" t="s">
        <v>930</v>
      </c>
    </row>
    <row r="341" spans="2:5" ht="15" customHeight="1" thickBot="1" x14ac:dyDescent="0.35">
      <c r="B341" s="96" t="s">
        <v>931</v>
      </c>
      <c r="C341" s="97">
        <v>531297</v>
      </c>
      <c r="D341" s="96" t="s">
        <v>388</v>
      </c>
      <c r="E341" s="96" t="s">
        <v>472</v>
      </c>
    </row>
    <row r="342" spans="2:5" ht="15" customHeight="1" thickBot="1" x14ac:dyDescent="0.35">
      <c r="B342" s="96" t="s">
        <v>932</v>
      </c>
      <c r="C342" s="97">
        <v>542670</v>
      </c>
      <c r="D342" s="96" t="s">
        <v>933</v>
      </c>
      <c r="E342" s="96" t="s">
        <v>934</v>
      </c>
    </row>
    <row r="343" spans="2:5" ht="15" customHeight="1" thickBot="1" x14ac:dyDescent="0.35">
      <c r="B343" s="96" t="s">
        <v>935</v>
      </c>
      <c r="C343" s="97">
        <v>540616</v>
      </c>
      <c r="D343" s="96" t="s">
        <v>936</v>
      </c>
      <c r="E343" s="96" t="s">
        <v>858</v>
      </c>
    </row>
    <row r="344" spans="2:5" ht="15" customHeight="1" thickBot="1" x14ac:dyDescent="0.35">
      <c r="B344" s="96" t="s">
        <v>937</v>
      </c>
      <c r="C344" s="97">
        <v>522134</v>
      </c>
      <c r="D344" s="96" t="s">
        <v>388</v>
      </c>
      <c r="E344" s="96" t="s">
        <v>396</v>
      </c>
    </row>
    <row r="345" spans="2:5" ht="15" customHeight="1" thickBot="1" x14ac:dyDescent="0.35">
      <c r="B345" s="96" t="s">
        <v>938</v>
      </c>
      <c r="C345" s="97">
        <v>500016</v>
      </c>
      <c r="D345" s="96" t="s">
        <v>388</v>
      </c>
      <c r="E345" s="96" t="s">
        <v>589</v>
      </c>
    </row>
    <row r="346" spans="2:5" ht="15" customHeight="1" thickBot="1" x14ac:dyDescent="0.35">
      <c r="B346" s="96" t="s">
        <v>939</v>
      </c>
      <c r="C346" s="96" t="s">
        <v>388</v>
      </c>
      <c r="D346" s="96" t="s">
        <v>940</v>
      </c>
      <c r="E346" s="96" t="s">
        <v>399</v>
      </c>
    </row>
    <row r="347" spans="2:5" ht="15" customHeight="1" thickBot="1" x14ac:dyDescent="0.35">
      <c r="B347" s="96" t="s">
        <v>941</v>
      </c>
      <c r="C347" s="96" t="s">
        <v>388</v>
      </c>
      <c r="D347" s="96" t="s">
        <v>940</v>
      </c>
      <c r="E347" s="96" t="s">
        <v>399</v>
      </c>
    </row>
    <row r="348" spans="2:5" ht="15" customHeight="1" thickBot="1" x14ac:dyDescent="0.35">
      <c r="B348" s="96" t="s">
        <v>942</v>
      </c>
      <c r="C348" s="97">
        <v>542484</v>
      </c>
      <c r="D348" s="96" t="s">
        <v>943</v>
      </c>
      <c r="E348" s="96" t="s">
        <v>944</v>
      </c>
    </row>
    <row r="349" spans="2:5" ht="15" customHeight="1" thickBot="1" x14ac:dyDescent="0.35">
      <c r="B349" s="96" t="s">
        <v>945</v>
      </c>
      <c r="C349" s="97">
        <v>500101</v>
      </c>
      <c r="D349" s="96" t="s">
        <v>946</v>
      </c>
      <c r="E349" s="96" t="s">
        <v>403</v>
      </c>
    </row>
    <row r="350" spans="2:5" ht="15" customHeight="1" thickBot="1" x14ac:dyDescent="0.35">
      <c r="B350" s="96" t="s">
        <v>947</v>
      </c>
      <c r="C350" s="97">
        <v>539301</v>
      </c>
      <c r="D350" s="96" t="s">
        <v>948</v>
      </c>
      <c r="E350" s="96" t="s">
        <v>474</v>
      </c>
    </row>
    <row r="351" spans="2:5" ht="15" customHeight="1" thickBot="1" x14ac:dyDescent="0.35">
      <c r="B351" s="96" t="s">
        <v>949</v>
      </c>
      <c r="C351" s="97">
        <v>538716</v>
      </c>
      <c r="D351" s="96" t="s">
        <v>388</v>
      </c>
      <c r="E351" s="96" t="s">
        <v>371</v>
      </c>
    </row>
    <row r="352" spans="2:5" ht="15" customHeight="1" thickBot="1" x14ac:dyDescent="0.35">
      <c r="B352" s="96" t="s">
        <v>950</v>
      </c>
      <c r="C352" s="97">
        <v>530245</v>
      </c>
      <c r="D352" s="96" t="s">
        <v>388</v>
      </c>
      <c r="E352" s="96" t="s">
        <v>405</v>
      </c>
    </row>
    <row r="353" spans="2:5" ht="15" customHeight="1" thickBot="1" x14ac:dyDescent="0.35">
      <c r="B353" s="96" t="s">
        <v>951</v>
      </c>
      <c r="C353" s="97">
        <v>542176</v>
      </c>
      <c r="D353" s="96" t="s">
        <v>952</v>
      </c>
      <c r="E353" s="96" t="s">
        <v>371</v>
      </c>
    </row>
    <row r="354" spans="2:5" ht="15" customHeight="1" thickBot="1" x14ac:dyDescent="0.35">
      <c r="B354" s="96" t="s">
        <v>953</v>
      </c>
      <c r="C354" s="97">
        <v>515030</v>
      </c>
      <c r="D354" s="96" t="s">
        <v>954</v>
      </c>
      <c r="E354" s="96" t="s">
        <v>743</v>
      </c>
    </row>
    <row r="355" spans="2:5" ht="15" customHeight="1" thickBot="1" x14ac:dyDescent="0.35">
      <c r="B355" s="96" t="s">
        <v>955</v>
      </c>
      <c r="C355" s="97">
        <v>514482</v>
      </c>
      <c r="D355" s="96" t="s">
        <v>388</v>
      </c>
      <c r="E355" s="96" t="s">
        <v>403</v>
      </c>
    </row>
    <row r="356" spans="2:5" ht="15" customHeight="1" thickBot="1" x14ac:dyDescent="0.35">
      <c r="B356" s="96" t="s">
        <v>956</v>
      </c>
      <c r="C356" s="97">
        <v>532853</v>
      </c>
      <c r="D356" s="96" t="s">
        <v>957</v>
      </c>
      <c r="E356" s="96" t="s">
        <v>548</v>
      </c>
    </row>
    <row r="357" spans="2:5" ht="15" customHeight="1" thickBot="1" x14ac:dyDescent="0.35">
      <c r="B357" s="96" t="s">
        <v>958</v>
      </c>
      <c r="C357" s="97">
        <v>535467</v>
      </c>
      <c r="D357" s="96" t="s">
        <v>959</v>
      </c>
      <c r="E357" s="96" t="s">
        <v>502</v>
      </c>
    </row>
    <row r="358" spans="2:5" ht="15" customHeight="1" thickBot="1" x14ac:dyDescent="0.35">
      <c r="B358" s="96" t="s">
        <v>960</v>
      </c>
      <c r="C358" s="97">
        <v>527001</v>
      </c>
      <c r="D358" s="96" t="s">
        <v>961</v>
      </c>
      <c r="E358" s="96" t="s">
        <v>368</v>
      </c>
    </row>
    <row r="359" spans="2:5" ht="15" customHeight="1" thickBot="1" x14ac:dyDescent="0.35">
      <c r="B359" s="96" t="s">
        <v>962</v>
      </c>
      <c r="C359" s="97">
        <v>542579</v>
      </c>
      <c r="D359" s="96" t="s">
        <v>963</v>
      </c>
      <c r="E359" s="96" t="s">
        <v>944</v>
      </c>
    </row>
    <row r="360" spans="2:5" ht="15" customHeight="1" thickBot="1" x14ac:dyDescent="0.35">
      <c r="B360" s="96" t="s">
        <v>964</v>
      </c>
      <c r="C360" s="97">
        <v>540024</v>
      </c>
      <c r="D360" s="96" t="s">
        <v>388</v>
      </c>
      <c r="E360" s="96" t="s">
        <v>371</v>
      </c>
    </row>
    <row r="361" spans="2:5" ht="15" customHeight="1" thickBot="1" x14ac:dyDescent="0.35">
      <c r="B361" s="96" t="s">
        <v>965</v>
      </c>
      <c r="C361" s="97">
        <v>519174</v>
      </c>
      <c r="D361" s="96" t="s">
        <v>388</v>
      </c>
      <c r="E361" s="96" t="s">
        <v>637</v>
      </c>
    </row>
    <row r="362" spans="2:5" ht="15" customHeight="1" thickBot="1" x14ac:dyDescent="0.35">
      <c r="B362" s="96" t="s">
        <v>966</v>
      </c>
      <c r="C362" s="97">
        <v>523716</v>
      </c>
      <c r="D362" s="96" t="s">
        <v>967</v>
      </c>
      <c r="E362" s="96" t="s">
        <v>474</v>
      </c>
    </row>
    <row r="363" spans="2:5" ht="15" customHeight="1" thickBot="1" x14ac:dyDescent="0.35">
      <c r="B363" s="96" t="s">
        <v>968</v>
      </c>
      <c r="C363" s="97">
        <v>513401</v>
      </c>
      <c r="D363" s="96" t="s">
        <v>388</v>
      </c>
      <c r="E363" s="96" t="s">
        <v>420</v>
      </c>
    </row>
    <row r="364" spans="2:5" ht="15" customHeight="1" thickBot="1" x14ac:dyDescent="0.35">
      <c r="B364" s="96" t="s">
        <v>969</v>
      </c>
      <c r="C364" s="97">
        <v>590122</v>
      </c>
      <c r="D364" s="96" t="s">
        <v>970</v>
      </c>
      <c r="E364" s="96" t="s">
        <v>405</v>
      </c>
    </row>
    <row r="365" spans="2:5" ht="15" customHeight="1" thickBot="1" x14ac:dyDescent="0.35">
      <c r="B365" s="96" t="s">
        <v>971</v>
      </c>
      <c r="C365" s="97">
        <v>514286</v>
      </c>
      <c r="D365" s="96" t="s">
        <v>972</v>
      </c>
      <c r="E365" s="96" t="s">
        <v>403</v>
      </c>
    </row>
    <row r="366" spans="2:5" ht="15" customHeight="1" thickBot="1" x14ac:dyDescent="0.35">
      <c r="B366" s="96" t="s">
        <v>973</v>
      </c>
      <c r="C366" s="97">
        <v>512247</v>
      </c>
      <c r="D366" s="96" t="s">
        <v>388</v>
      </c>
      <c r="E366" s="96" t="s">
        <v>371</v>
      </c>
    </row>
    <row r="367" spans="2:5" ht="15" customHeight="1" thickBot="1" x14ac:dyDescent="0.35">
      <c r="B367" s="96" t="s">
        <v>974</v>
      </c>
      <c r="C367" s="97">
        <v>526847</v>
      </c>
      <c r="D367" s="96" t="s">
        <v>388</v>
      </c>
      <c r="E367" s="96" t="s">
        <v>420</v>
      </c>
    </row>
    <row r="368" spans="2:5" ht="15" customHeight="1" thickBot="1" x14ac:dyDescent="0.35">
      <c r="B368" s="96" t="s">
        <v>975</v>
      </c>
      <c r="C368" s="97">
        <v>530429</v>
      </c>
      <c r="D368" s="96" t="s">
        <v>388</v>
      </c>
      <c r="E368" s="96" t="s">
        <v>508</v>
      </c>
    </row>
    <row r="369" spans="2:5" ht="15" customHeight="1" thickBot="1" x14ac:dyDescent="0.35">
      <c r="B369" s="96" t="s">
        <v>976</v>
      </c>
      <c r="C369" s="97">
        <v>541702</v>
      </c>
      <c r="D369" s="96" t="s">
        <v>388</v>
      </c>
      <c r="E369" s="96" t="s">
        <v>410</v>
      </c>
    </row>
    <row r="370" spans="2:5" ht="15" customHeight="1" thickBot="1" x14ac:dyDescent="0.35">
      <c r="B370" s="96" t="s">
        <v>977</v>
      </c>
      <c r="C370" s="97">
        <v>507872</v>
      </c>
      <c r="D370" s="96" t="s">
        <v>388</v>
      </c>
      <c r="E370" s="96" t="s">
        <v>403</v>
      </c>
    </row>
    <row r="371" spans="2:5" ht="15" customHeight="1" thickBot="1" x14ac:dyDescent="0.35">
      <c r="B371" s="96" t="s">
        <v>978</v>
      </c>
      <c r="C371" s="97">
        <v>524594</v>
      </c>
      <c r="D371" s="96" t="s">
        <v>388</v>
      </c>
      <c r="E371" s="96" t="s">
        <v>436</v>
      </c>
    </row>
    <row r="372" spans="2:5" ht="15" customHeight="1" thickBot="1" x14ac:dyDescent="0.35">
      <c r="B372" s="96" t="s">
        <v>979</v>
      </c>
      <c r="C372" s="97">
        <v>500477</v>
      </c>
      <c r="D372" s="96" t="s">
        <v>980</v>
      </c>
      <c r="E372" s="96" t="s">
        <v>466</v>
      </c>
    </row>
    <row r="373" spans="2:5" ht="15" customHeight="1" thickBot="1" x14ac:dyDescent="0.35">
      <c r="B373" s="96" t="s">
        <v>981</v>
      </c>
      <c r="C373" s="97">
        <v>533271</v>
      </c>
      <c r="D373" s="96" t="s">
        <v>982</v>
      </c>
      <c r="E373" s="96" t="s">
        <v>983</v>
      </c>
    </row>
    <row r="374" spans="2:5" ht="15" customHeight="1" thickBot="1" x14ac:dyDescent="0.35">
      <c r="B374" s="96" t="s">
        <v>984</v>
      </c>
      <c r="C374" s="97">
        <v>540923</v>
      </c>
      <c r="D374" s="96" t="s">
        <v>388</v>
      </c>
      <c r="E374" s="96" t="s">
        <v>786</v>
      </c>
    </row>
    <row r="375" spans="2:5" ht="15" customHeight="1" thickBot="1" x14ac:dyDescent="0.35">
      <c r="B375" s="96" t="s">
        <v>985</v>
      </c>
      <c r="C375" s="97">
        <v>526983</v>
      </c>
      <c r="D375" s="96" t="s">
        <v>388</v>
      </c>
      <c r="E375" s="96" t="s">
        <v>586</v>
      </c>
    </row>
    <row r="376" spans="2:5" ht="15" customHeight="1" thickBot="1" x14ac:dyDescent="0.35">
      <c r="B376" s="96" t="s">
        <v>986</v>
      </c>
      <c r="C376" s="97">
        <v>526187</v>
      </c>
      <c r="D376" s="96" t="s">
        <v>388</v>
      </c>
      <c r="E376" s="96" t="s">
        <v>577</v>
      </c>
    </row>
    <row r="377" spans="2:5" ht="15" customHeight="1" thickBot="1" x14ac:dyDescent="0.35">
      <c r="B377" s="96" t="s">
        <v>987</v>
      </c>
      <c r="C377" s="97">
        <v>531568</v>
      </c>
      <c r="D377" s="96" t="s">
        <v>388</v>
      </c>
      <c r="E377" s="96" t="s">
        <v>382</v>
      </c>
    </row>
    <row r="378" spans="2:5" ht="15" customHeight="1" thickBot="1" x14ac:dyDescent="0.35">
      <c r="B378" s="96" t="s">
        <v>988</v>
      </c>
      <c r="C378" s="97">
        <v>502015</v>
      </c>
      <c r="D378" s="96" t="s">
        <v>388</v>
      </c>
      <c r="E378" s="96" t="s">
        <v>368</v>
      </c>
    </row>
    <row r="379" spans="2:5" ht="15" customHeight="1" thickBot="1" x14ac:dyDescent="0.35">
      <c r="B379" s="96" t="s">
        <v>989</v>
      </c>
      <c r="C379" s="97">
        <v>538777</v>
      </c>
      <c r="D379" s="96" t="s">
        <v>388</v>
      </c>
      <c r="E379" s="96" t="s">
        <v>405</v>
      </c>
    </row>
    <row r="380" spans="2:5" ht="15" customHeight="1" thickBot="1" x14ac:dyDescent="0.35">
      <c r="B380" s="96" t="s">
        <v>990</v>
      </c>
      <c r="C380" s="97">
        <v>530899</v>
      </c>
      <c r="D380" s="96" t="s">
        <v>388</v>
      </c>
      <c r="E380" s="96" t="s">
        <v>403</v>
      </c>
    </row>
    <row r="381" spans="2:5" ht="15" customHeight="1" thickBot="1" x14ac:dyDescent="0.35">
      <c r="B381" s="96" t="s">
        <v>991</v>
      </c>
      <c r="C381" s="97">
        <v>531392</v>
      </c>
      <c r="D381" s="96" t="s">
        <v>388</v>
      </c>
      <c r="E381" s="96" t="s">
        <v>586</v>
      </c>
    </row>
    <row r="382" spans="2:5" ht="15" customHeight="1" thickBot="1" x14ac:dyDescent="0.35">
      <c r="B382" s="96" t="s">
        <v>992</v>
      </c>
      <c r="C382" s="97">
        <v>532888</v>
      </c>
      <c r="D382" s="96" t="s">
        <v>993</v>
      </c>
      <c r="E382" s="96" t="s">
        <v>665</v>
      </c>
    </row>
    <row r="383" spans="2:5" ht="15" customHeight="1" thickBot="1" x14ac:dyDescent="0.35">
      <c r="B383" s="96" t="s">
        <v>994</v>
      </c>
      <c r="C383" s="97">
        <v>532888</v>
      </c>
      <c r="D383" s="96" t="s">
        <v>993</v>
      </c>
      <c r="E383" s="96" t="s">
        <v>665</v>
      </c>
    </row>
    <row r="384" spans="2:5" ht="15" customHeight="1" thickBot="1" x14ac:dyDescent="0.35">
      <c r="B384" s="96" t="s">
        <v>995</v>
      </c>
      <c r="C384" s="97">
        <v>533227</v>
      </c>
      <c r="D384" s="96" t="s">
        <v>996</v>
      </c>
      <c r="E384" s="96" t="s">
        <v>589</v>
      </c>
    </row>
    <row r="385" spans="2:5" ht="15" customHeight="1" thickBot="1" x14ac:dyDescent="0.35">
      <c r="B385" s="96" t="s">
        <v>997</v>
      </c>
      <c r="C385" s="97">
        <v>500023</v>
      </c>
      <c r="D385" s="96" t="s">
        <v>998</v>
      </c>
      <c r="E385" s="96" t="s">
        <v>589</v>
      </c>
    </row>
    <row r="386" spans="2:5" ht="15" customHeight="1" thickBot="1" x14ac:dyDescent="0.35">
      <c r="B386" s="96" t="s">
        <v>999</v>
      </c>
      <c r="C386" s="97">
        <v>533221</v>
      </c>
      <c r="D386" s="96" t="s">
        <v>1000</v>
      </c>
      <c r="E386" s="96" t="s">
        <v>589</v>
      </c>
    </row>
    <row r="387" spans="2:5" ht="15" customHeight="1" thickBot="1" x14ac:dyDescent="0.35">
      <c r="B387" s="96" t="s">
        <v>1001</v>
      </c>
      <c r="C387" s="97">
        <v>530355</v>
      </c>
      <c r="D387" s="96" t="s">
        <v>388</v>
      </c>
      <c r="E387" s="96" t="s">
        <v>729</v>
      </c>
    </row>
    <row r="388" spans="2:5" ht="15" customHeight="1" thickBot="1" x14ac:dyDescent="0.35">
      <c r="B388" s="96" t="s">
        <v>1002</v>
      </c>
      <c r="C388" s="97">
        <v>500820</v>
      </c>
      <c r="D388" s="96" t="s">
        <v>1003</v>
      </c>
      <c r="E388" s="96" t="s">
        <v>665</v>
      </c>
    </row>
    <row r="389" spans="2:5" ht="15" customHeight="1" thickBot="1" x14ac:dyDescent="0.35">
      <c r="B389" s="96" t="s">
        <v>1004</v>
      </c>
      <c r="C389" s="97">
        <v>524434</v>
      </c>
      <c r="D389" s="96" t="s">
        <v>388</v>
      </c>
      <c r="E389" s="96" t="s">
        <v>436</v>
      </c>
    </row>
    <row r="390" spans="2:5" ht="15" customHeight="1" thickBot="1" x14ac:dyDescent="0.35">
      <c r="B390" s="96" t="s">
        <v>1005</v>
      </c>
      <c r="C390" s="97">
        <v>531847</v>
      </c>
      <c r="D390" s="96" t="s">
        <v>388</v>
      </c>
      <c r="E390" s="96" t="s">
        <v>502</v>
      </c>
    </row>
    <row r="391" spans="2:5" ht="15" customHeight="1" thickBot="1" x14ac:dyDescent="0.35">
      <c r="B391" s="96" t="s">
        <v>1006</v>
      </c>
      <c r="C391" s="97">
        <v>519532</v>
      </c>
      <c r="D391" s="96" t="s">
        <v>388</v>
      </c>
      <c r="E391" s="96" t="s">
        <v>410</v>
      </c>
    </row>
    <row r="392" spans="2:5" ht="15" customHeight="1" thickBot="1" x14ac:dyDescent="0.35">
      <c r="B392" s="96" t="s">
        <v>1007</v>
      </c>
      <c r="C392" s="97">
        <v>506159</v>
      </c>
      <c r="D392" s="96" t="s">
        <v>1008</v>
      </c>
      <c r="E392" s="96" t="s">
        <v>709</v>
      </c>
    </row>
    <row r="393" spans="2:5" ht="15" customHeight="1" thickBot="1" x14ac:dyDescent="0.35">
      <c r="B393" s="96" t="s">
        <v>1009</v>
      </c>
      <c r="C393" s="97">
        <v>530723</v>
      </c>
      <c r="D393" s="96" t="s">
        <v>388</v>
      </c>
      <c r="E393" s="96" t="s">
        <v>371</v>
      </c>
    </row>
    <row r="394" spans="2:5" ht="15" customHeight="1" thickBot="1" x14ac:dyDescent="0.35">
      <c r="B394" s="96" t="s">
        <v>1010</v>
      </c>
      <c r="C394" s="96" t="s">
        <v>388</v>
      </c>
      <c r="D394" s="96" t="s">
        <v>1011</v>
      </c>
      <c r="E394" s="96" t="s">
        <v>399</v>
      </c>
    </row>
    <row r="395" spans="2:5" ht="15" customHeight="1" thickBot="1" x14ac:dyDescent="0.35">
      <c r="B395" s="96" t="s">
        <v>1012</v>
      </c>
      <c r="C395" s="97">
        <v>526433</v>
      </c>
      <c r="D395" s="96" t="s">
        <v>388</v>
      </c>
      <c r="E395" s="96" t="s">
        <v>374</v>
      </c>
    </row>
    <row r="396" spans="2:5" ht="15" customHeight="1" thickBot="1" x14ac:dyDescent="0.35">
      <c r="B396" s="96" t="s">
        <v>1013</v>
      </c>
      <c r="C396" s="96" t="s">
        <v>388</v>
      </c>
      <c r="D396" s="96" t="s">
        <v>1014</v>
      </c>
      <c r="E396" s="96" t="s">
        <v>479</v>
      </c>
    </row>
    <row r="397" spans="2:5" ht="15" customHeight="1" thickBot="1" x14ac:dyDescent="0.35">
      <c r="B397" s="96" t="s">
        <v>1015</v>
      </c>
      <c r="C397" s="97">
        <v>540788</v>
      </c>
      <c r="D397" s="96" t="s">
        <v>388</v>
      </c>
      <c r="E397" s="96" t="s">
        <v>577</v>
      </c>
    </row>
    <row r="398" spans="2:5" ht="15" customHeight="1" thickBot="1" x14ac:dyDescent="0.35">
      <c r="B398" s="96" t="s">
        <v>1016</v>
      </c>
      <c r="C398" s="97">
        <v>500024</v>
      </c>
      <c r="D398" s="96" t="s">
        <v>1017</v>
      </c>
      <c r="E398" s="96" t="s">
        <v>795</v>
      </c>
    </row>
    <row r="399" spans="2:5" ht="15" customHeight="1" thickBot="1" x14ac:dyDescent="0.35">
      <c r="B399" s="96" t="s">
        <v>1018</v>
      </c>
      <c r="C399" s="97">
        <v>500024</v>
      </c>
      <c r="D399" s="96" t="s">
        <v>1017</v>
      </c>
      <c r="E399" s="96" t="s">
        <v>795</v>
      </c>
    </row>
    <row r="400" spans="2:5" ht="15" customHeight="1" thickBot="1" x14ac:dyDescent="0.35">
      <c r="B400" s="96" t="s">
        <v>1019</v>
      </c>
      <c r="C400" s="97">
        <v>507526</v>
      </c>
      <c r="D400" s="96" t="s">
        <v>388</v>
      </c>
      <c r="E400" s="96" t="s">
        <v>1020</v>
      </c>
    </row>
    <row r="401" spans="2:5" ht="15" customHeight="1" thickBot="1" x14ac:dyDescent="0.35">
      <c r="B401" s="96" t="s">
        <v>1021</v>
      </c>
      <c r="C401" s="97">
        <v>533138</v>
      </c>
      <c r="D401" s="96" t="s">
        <v>1022</v>
      </c>
      <c r="E401" s="96" t="s">
        <v>532</v>
      </c>
    </row>
    <row r="402" spans="2:5" ht="15" customHeight="1" thickBot="1" x14ac:dyDescent="0.35">
      <c r="B402" s="96" t="s">
        <v>1023</v>
      </c>
      <c r="C402" s="97">
        <v>540975</v>
      </c>
      <c r="D402" s="96" t="s">
        <v>1024</v>
      </c>
      <c r="E402" s="96" t="s">
        <v>577</v>
      </c>
    </row>
    <row r="403" spans="2:5" ht="15" customHeight="1" thickBot="1" x14ac:dyDescent="0.35">
      <c r="B403" s="96" t="s">
        <v>1025</v>
      </c>
      <c r="C403" s="97">
        <v>532493</v>
      </c>
      <c r="D403" s="96" t="s">
        <v>1026</v>
      </c>
      <c r="E403" s="96" t="s">
        <v>861</v>
      </c>
    </row>
    <row r="404" spans="2:5" ht="15" customHeight="1" thickBot="1" x14ac:dyDescent="0.35">
      <c r="B404" s="96" t="s">
        <v>1027</v>
      </c>
      <c r="C404" s="97">
        <v>532830</v>
      </c>
      <c r="D404" s="96" t="s">
        <v>1028</v>
      </c>
      <c r="E404" s="96" t="s">
        <v>508</v>
      </c>
    </row>
    <row r="405" spans="2:5" ht="15" customHeight="1" thickBot="1" x14ac:dyDescent="0.35">
      <c r="B405" s="96" t="s">
        <v>1029</v>
      </c>
      <c r="C405" s="97">
        <v>506820</v>
      </c>
      <c r="D405" s="96" t="s">
        <v>1030</v>
      </c>
      <c r="E405" s="96" t="s">
        <v>426</v>
      </c>
    </row>
    <row r="406" spans="2:5" ht="15" customHeight="1" thickBot="1" x14ac:dyDescent="0.35">
      <c r="B406" s="96" t="s">
        <v>1031</v>
      </c>
      <c r="C406" s="97">
        <v>506820</v>
      </c>
      <c r="D406" s="96" t="s">
        <v>1030</v>
      </c>
      <c r="E406" s="96" t="s">
        <v>426</v>
      </c>
    </row>
    <row r="407" spans="2:5" ht="15" customHeight="1" thickBot="1" x14ac:dyDescent="0.35">
      <c r="B407" s="96" t="s">
        <v>1032</v>
      </c>
      <c r="C407" s="97">
        <v>540824</v>
      </c>
      <c r="D407" s="96" t="s">
        <v>1033</v>
      </c>
      <c r="E407" s="96" t="s">
        <v>382</v>
      </c>
    </row>
    <row r="408" spans="2:5" ht="15" customHeight="1" thickBot="1" x14ac:dyDescent="0.35">
      <c r="B408" s="96" t="s">
        <v>1034</v>
      </c>
      <c r="C408" s="97">
        <v>512433</v>
      </c>
      <c r="D408" s="96" t="s">
        <v>388</v>
      </c>
      <c r="E408" s="96" t="s">
        <v>410</v>
      </c>
    </row>
    <row r="409" spans="2:5" ht="15" customHeight="1" thickBot="1" x14ac:dyDescent="0.35">
      <c r="B409" s="96" t="s">
        <v>1035</v>
      </c>
      <c r="C409" s="97">
        <v>511144</v>
      </c>
      <c r="D409" s="96" t="s">
        <v>388</v>
      </c>
      <c r="E409" s="96" t="s">
        <v>374</v>
      </c>
    </row>
    <row r="410" spans="2:5" ht="15" customHeight="1" thickBot="1" x14ac:dyDescent="0.35">
      <c r="B410" s="96" t="s">
        <v>1036</v>
      </c>
      <c r="C410" s="97">
        <v>530187</v>
      </c>
      <c r="D410" s="96" t="s">
        <v>388</v>
      </c>
      <c r="E410" s="96" t="s">
        <v>405</v>
      </c>
    </row>
    <row r="411" spans="2:5" ht="15" customHeight="1" thickBot="1" x14ac:dyDescent="0.35">
      <c r="B411" s="96" t="s">
        <v>1037</v>
      </c>
      <c r="C411" s="97">
        <v>539099</v>
      </c>
      <c r="D411" s="96" t="s">
        <v>388</v>
      </c>
      <c r="E411" s="96" t="s">
        <v>474</v>
      </c>
    </row>
    <row r="412" spans="2:5" ht="15" customHeight="1" thickBot="1" x14ac:dyDescent="0.35">
      <c r="B412" s="96" t="s">
        <v>1038</v>
      </c>
      <c r="C412" s="97">
        <v>517429</v>
      </c>
      <c r="D412" s="96" t="s">
        <v>1039</v>
      </c>
      <c r="E412" s="96" t="s">
        <v>481</v>
      </c>
    </row>
    <row r="413" spans="2:5" ht="15" customHeight="1" thickBot="1" x14ac:dyDescent="0.35">
      <c r="B413" s="96" t="s">
        <v>1040</v>
      </c>
      <c r="C413" s="97">
        <v>538713</v>
      </c>
      <c r="D413" s="96" t="s">
        <v>388</v>
      </c>
      <c r="E413" s="96" t="s">
        <v>481</v>
      </c>
    </row>
    <row r="414" spans="2:5" ht="15" customHeight="1" thickBot="1" x14ac:dyDescent="0.35">
      <c r="B414" s="96" t="s">
        <v>1041</v>
      </c>
      <c r="C414" s="97">
        <v>526843</v>
      </c>
      <c r="D414" s="96" t="s">
        <v>388</v>
      </c>
      <c r="E414" s="96" t="s">
        <v>410</v>
      </c>
    </row>
    <row r="415" spans="2:5" ht="15" customHeight="1" thickBot="1" x14ac:dyDescent="0.35">
      <c r="B415" s="96" t="s">
        <v>1042</v>
      </c>
      <c r="C415" s="97">
        <v>532759</v>
      </c>
      <c r="D415" s="96" t="s">
        <v>1043</v>
      </c>
      <c r="E415" s="96" t="s">
        <v>786</v>
      </c>
    </row>
    <row r="416" spans="2:5" ht="15" customHeight="1" thickBot="1" x14ac:dyDescent="0.35">
      <c r="B416" s="96" t="s">
        <v>1044</v>
      </c>
      <c r="C416" s="97">
        <v>505029</v>
      </c>
      <c r="D416" s="96" t="s">
        <v>1045</v>
      </c>
      <c r="E416" s="96" t="s">
        <v>1046</v>
      </c>
    </row>
    <row r="417" spans="2:5" ht="15" customHeight="1" thickBot="1" x14ac:dyDescent="0.35">
      <c r="B417" s="96" t="s">
        <v>1047</v>
      </c>
      <c r="C417" s="97">
        <v>514394</v>
      </c>
      <c r="D417" s="96" t="s">
        <v>388</v>
      </c>
      <c r="E417" s="96" t="s">
        <v>502</v>
      </c>
    </row>
    <row r="418" spans="2:5" ht="15" customHeight="1" thickBot="1" x14ac:dyDescent="0.35">
      <c r="B418" s="96" t="s">
        <v>1048</v>
      </c>
      <c r="C418" s="97">
        <v>514394</v>
      </c>
      <c r="D418" s="96" t="s">
        <v>388</v>
      </c>
      <c r="E418" s="96" t="s">
        <v>502</v>
      </c>
    </row>
    <row r="419" spans="2:5" ht="15" customHeight="1" thickBot="1" x14ac:dyDescent="0.35">
      <c r="B419" s="96" t="s">
        <v>1049</v>
      </c>
      <c r="C419" s="97">
        <v>531795</v>
      </c>
      <c r="D419" s="96" t="s">
        <v>1050</v>
      </c>
      <c r="E419" s="96" t="s">
        <v>1046</v>
      </c>
    </row>
    <row r="420" spans="2:5" ht="15" customHeight="1" thickBot="1" x14ac:dyDescent="0.35">
      <c r="B420" s="96" t="s">
        <v>1051</v>
      </c>
      <c r="C420" s="97">
        <v>500027</v>
      </c>
      <c r="D420" s="96" t="s">
        <v>1052</v>
      </c>
      <c r="E420" s="96" t="s">
        <v>532</v>
      </c>
    </row>
    <row r="421" spans="2:5" ht="15" customHeight="1" thickBot="1" x14ac:dyDescent="0.35">
      <c r="B421" s="96" t="s">
        <v>1053</v>
      </c>
      <c r="C421" s="97">
        <v>500028</v>
      </c>
      <c r="D421" s="96" t="s">
        <v>388</v>
      </c>
      <c r="E421" s="96" t="s">
        <v>786</v>
      </c>
    </row>
    <row r="422" spans="2:5" ht="15" customHeight="1" thickBot="1" x14ac:dyDescent="0.35">
      <c r="B422" s="96" t="s">
        <v>1054</v>
      </c>
      <c r="C422" s="97">
        <v>500028</v>
      </c>
      <c r="D422" s="96" t="s">
        <v>388</v>
      </c>
      <c r="E422" s="96" t="s">
        <v>786</v>
      </c>
    </row>
    <row r="423" spans="2:5" ht="15" customHeight="1" thickBot="1" x14ac:dyDescent="0.35">
      <c r="B423" s="96" t="s">
        <v>1055</v>
      </c>
      <c r="C423" s="97">
        <v>540611</v>
      </c>
      <c r="D423" s="96" t="s">
        <v>1056</v>
      </c>
      <c r="E423" s="96" t="s">
        <v>706</v>
      </c>
    </row>
    <row r="424" spans="2:5" ht="15" customHeight="1" thickBot="1" x14ac:dyDescent="0.35">
      <c r="B424" s="96" t="s">
        <v>1057</v>
      </c>
      <c r="C424" s="97">
        <v>532459</v>
      </c>
      <c r="D424" s="96" t="s">
        <v>388</v>
      </c>
      <c r="E424" s="96" t="s">
        <v>403</v>
      </c>
    </row>
    <row r="425" spans="2:5" ht="15" customHeight="1" thickBot="1" x14ac:dyDescent="0.35">
      <c r="B425" s="96" t="s">
        <v>1058</v>
      </c>
      <c r="C425" s="96" t="s">
        <v>388</v>
      </c>
      <c r="D425" s="96" t="s">
        <v>1059</v>
      </c>
      <c r="E425" s="96" t="s">
        <v>399</v>
      </c>
    </row>
    <row r="426" spans="2:5" ht="15" customHeight="1" thickBot="1" x14ac:dyDescent="0.35">
      <c r="B426" s="96" t="s">
        <v>1060</v>
      </c>
      <c r="C426" s="97">
        <v>532668</v>
      </c>
      <c r="D426" s="96" t="s">
        <v>1061</v>
      </c>
      <c r="E426" s="96" t="s">
        <v>481</v>
      </c>
    </row>
    <row r="427" spans="2:5" ht="15" customHeight="1" thickBot="1" x14ac:dyDescent="0.35">
      <c r="B427" s="96" t="s">
        <v>1062</v>
      </c>
      <c r="C427" s="97">
        <v>530233</v>
      </c>
      <c r="D427" s="96" t="s">
        <v>388</v>
      </c>
      <c r="E427" s="96" t="s">
        <v>426</v>
      </c>
    </row>
    <row r="428" spans="2:5" ht="15" customHeight="1" thickBot="1" x14ac:dyDescent="0.35">
      <c r="B428" s="96" t="s">
        <v>1063</v>
      </c>
      <c r="C428" s="97">
        <v>524804</v>
      </c>
      <c r="D428" s="96" t="s">
        <v>1064</v>
      </c>
      <c r="E428" s="96" t="s">
        <v>426</v>
      </c>
    </row>
    <row r="429" spans="2:5" ht="15" customHeight="1" thickBot="1" x14ac:dyDescent="0.35">
      <c r="B429" s="96" t="s">
        <v>1065</v>
      </c>
      <c r="C429" s="97">
        <v>531336</v>
      </c>
      <c r="D429" s="96" t="s">
        <v>388</v>
      </c>
      <c r="E429" s="96" t="s">
        <v>1066</v>
      </c>
    </row>
    <row r="430" spans="2:5" ht="15" customHeight="1" thickBot="1" x14ac:dyDescent="0.35">
      <c r="B430" s="96" t="s">
        <v>1067</v>
      </c>
      <c r="C430" s="97">
        <v>509009</v>
      </c>
      <c r="D430" s="96" t="s">
        <v>1068</v>
      </c>
      <c r="E430" s="96" t="s">
        <v>410</v>
      </c>
    </row>
    <row r="431" spans="2:5" ht="15" customHeight="1" thickBot="1" x14ac:dyDescent="0.35">
      <c r="B431" s="96" t="s">
        <v>1069</v>
      </c>
      <c r="C431" s="97">
        <v>522005</v>
      </c>
      <c r="D431" s="96" t="s">
        <v>388</v>
      </c>
      <c r="E431" s="96" t="s">
        <v>396</v>
      </c>
    </row>
    <row r="432" spans="2:5" ht="15" customHeight="1" thickBot="1" x14ac:dyDescent="0.35">
      <c r="B432" s="96" t="s">
        <v>1070</v>
      </c>
      <c r="C432" s="97">
        <v>539177</v>
      </c>
      <c r="D432" s="96" t="s">
        <v>388</v>
      </c>
      <c r="E432" s="96" t="s">
        <v>405</v>
      </c>
    </row>
    <row r="433" spans="2:5" ht="15" customHeight="1" thickBot="1" x14ac:dyDescent="0.35">
      <c r="B433" s="96" t="s">
        <v>1071</v>
      </c>
      <c r="C433" s="97">
        <v>531994</v>
      </c>
      <c r="D433" s="96" t="s">
        <v>388</v>
      </c>
      <c r="E433" s="96" t="s">
        <v>743</v>
      </c>
    </row>
    <row r="434" spans="2:5" ht="15" customHeight="1" thickBot="1" x14ac:dyDescent="0.35">
      <c r="B434" s="96" t="s">
        <v>1072</v>
      </c>
      <c r="C434" s="97">
        <v>531994</v>
      </c>
      <c r="D434" s="96" t="s">
        <v>388</v>
      </c>
      <c r="E434" s="96" t="s">
        <v>743</v>
      </c>
    </row>
    <row r="435" spans="2:5" ht="15" customHeight="1" thickBot="1" x14ac:dyDescent="0.35">
      <c r="B435" s="96" t="s">
        <v>1073</v>
      </c>
      <c r="C435" s="97">
        <v>532797</v>
      </c>
      <c r="D435" s="96" t="s">
        <v>1074</v>
      </c>
      <c r="E435" s="96" t="s">
        <v>743</v>
      </c>
    </row>
    <row r="436" spans="2:5" ht="15" customHeight="1" thickBot="1" x14ac:dyDescent="0.35">
      <c r="B436" s="96" t="s">
        <v>1075</v>
      </c>
      <c r="C436" s="97">
        <v>500029</v>
      </c>
      <c r="D436" s="96" t="s">
        <v>1076</v>
      </c>
      <c r="E436" s="96" t="s">
        <v>743</v>
      </c>
    </row>
    <row r="437" spans="2:5" ht="15" customHeight="1" thickBot="1" x14ac:dyDescent="0.35">
      <c r="B437" s="96" t="s">
        <v>1077</v>
      </c>
      <c r="C437" s="97">
        <v>500029</v>
      </c>
      <c r="D437" s="96" t="s">
        <v>1076</v>
      </c>
      <c r="E437" s="96" t="s">
        <v>743</v>
      </c>
    </row>
    <row r="438" spans="2:5" ht="15" customHeight="1" thickBot="1" x14ac:dyDescent="0.35">
      <c r="B438" s="96" t="s">
        <v>1078</v>
      </c>
      <c r="C438" s="97">
        <v>505036</v>
      </c>
      <c r="D438" s="96" t="s">
        <v>388</v>
      </c>
      <c r="E438" s="96" t="s">
        <v>743</v>
      </c>
    </row>
    <row r="439" spans="2:5" ht="15" customHeight="1" thickBot="1" x14ac:dyDescent="0.35">
      <c r="B439" s="96" t="s">
        <v>1079</v>
      </c>
      <c r="C439" s="97">
        <v>505010</v>
      </c>
      <c r="D439" s="96" t="s">
        <v>1080</v>
      </c>
      <c r="E439" s="96" t="s">
        <v>743</v>
      </c>
    </row>
    <row r="440" spans="2:5" ht="15" customHeight="1" thickBot="1" x14ac:dyDescent="0.35">
      <c r="B440" s="96" t="s">
        <v>1081</v>
      </c>
      <c r="C440" s="97">
        <v>520119</v>
      </c>
      <c r="D440" s="96" t="s">
        <v>1082</v>
      </c>
      <c r="E440" s="96" t="s">
        <v>743</v>
      </c>
    </row>
    <row r="441" spans="2:5" ht="15" customHeight="1" thickBot="1" x14ac:dyDescent="0.35">
      <c r="B441" s="96" t="s">
        <v>1083</v>
      </c>
      <c r="C441" s="97">
        <v>512277</v>
      </c>
      <c r="D441" s="96" t="s">
        <v>388</v>
      </c>
      <c r="E441" s="96" t="s">
        <v>709</v>
      </c>
    </row>
    <row r="442" spans="2:5" ht="15" customHeight="1" thickBot="1" x14ac:dyDescent="0.35">
      <c r="B442" s="96" t="s">
        <v>1084</v>
      </c>
      <c r="C442" s="97">
        <v>780004</v>
      </c>
      <c r="D442" s="96" t="s">
        <v>388</v>
      </c>
      <c r="E442" s="96" t="s">
        <v>479</v>
      </c>
    </row>
    <row r="443" spans="2:5" ht="15" customHeight="1" thickBot="1" x14ac:dyDescent="0.35">
      <c r="B443" s="96" t="s">
        <v>1085</v>
      </c>
      <c r="C443" s="97">
        <v>540649</v>
      </c>
      <c r="D443" s="96" t="s">
        <v>1086</v>
      </c>
      <c r="E443" s="96" t="s">
        <v>1087</v>
      </c>
    </row>
    <row r="444" spans="2:5" ht="15" customHeight="1" thickBot="1" x14ac:dyDescent="0.35">
      <c r="B444" s="96" t="s">
        <v>1088</v>
      </c>
      <c r="C444" s="97">
        <v>531310</v>
      </c>
      <c r="D444" s="96" t="s">
        <v>388</v>
      </c>
      <c r="E444" s="96" t="s">
        <v>371</v>
      </c>
    </row>
    <row r="445" spans="2:5" ht="15" customHeight="1" thickBot="1" x14ac:dyDescent="0.35">
      <c r="B445" s="96" t="s">
        <v>1089</v>
      </c>
      <c r="C445" s="97">
        <v>512149</v>
      </c>
      <c r="D445" s="96" t="s">
        <v>388</v>
      </c>
      <c r="E445" s="96" t="s">
        <v>481</v>
      </c>
    </row>
    <row r="446" spans="2:5" ht="15" customHeight="1" thickBot="1" x14ac:dyDescent="0.35">
      <c r="B446" s="96" t="s">
        <v>1090</v>
      </c>
      <c r="C446" s="97">
        <v>532406</v>
      </c>
      <c r="D446" s="96" t="s">
        <v>388</v>
      </c>
      <c r="E446" s="96" t="s">
        <v>534</v>
      </c>
    </row>
    <row r="447" spans="2:5" ht="15" customHeight="1" thickBot="1" x14ac:dyDescent="0.35">
      <c r="B447" s="96" t="s">
        <v>1091</v>
      </c>
      <c r="C447" s="97">
        <v>512573</v>
      </c>
      <c r="D447" s="96" t="s">
        <v>1092</v>
      </c>
      <c r="E447" s="96" t="s">
        <v>468</v>
      </c>
    </row>
    <row r="448" spans="2:5" ht="15" customHeight="1" thickBot="1" x14ac:dyDescent="0.35">
      <c r="B448" s="96" t="s">
        <v>1093</v>
      </c>
      <c r="C448" s="97">
        <v>540376</v>
      </c>
      <c r="D448" s="96" t="s">
        <v>213</v>
      </c>
      <c r="E448" s="96" t="s">
        <v>557</v>
      </c>
    </row>
    <row r="449" spans="2:5" ht="15" customHeight="1" thickBot="1" x14ac:dyDescent="0.35">
      <c r="B449" s="96" t="s">
        <v>1094</v>
      </c>
      <c r="C449" s="96" t="s">
        <v>388</v>
      </c>
      <c r="D449" s="96" t="s">
        <v>1095</v>
      </c>
      <c r="E449" s="96" t="s">
        <v>399</v>
      </c>
    </row>
    <row r="450" spans="2:5" ht="15" customHeight="1" thickBot="1" x14ac:dyDescent="0.35">
      <c r="B450" s="96" t="s">
        <v>1096</v>
      </c>
      <c r="C450" s="97">
        <v>539288</v>
      </c>
      <c r="D450" s="96" t="s">
        <v>388</v>
      </c>
      <c r="E450" s="96" t="s">
        <v>548</v>
      </c>
    </row>
    <row r="451" spans="2:5" ht="15" customHeight="1" thickBot="1" x14ac:dyDescent="0.35">
      <c r="B451" s="96" t="s">
        <v>1097</v>
      </c>
      <c r="C451" s="97">
        <v>523896</v>
      </c>
      <c r="D451" s="96" t="s">
        <v>388</v>
      </c>
      <c r="E451" s="96" t="s">
        <v>410</v>
      </c>
    </row>
    <row r="452" spans="2:5" ht="15" customHeight="1" thickBot="1" x14ac:dyDescent="0.35">
      <c r="B452" s="96" t="s">
        <v>1098</v>
      </c>
      <c r="C452" s="97">
        <v>523896</v>
      </c>
      <c r="D452" s="96" t="s">
        <v>388</v>
      </c>
      <c r="E452" s="96" t="s">
        <v>410</v>
      </c>
    </row>
    <row r="453" spans="2:5" ht="15" customHeight="1" thickBot="1" x14ac:dyDescent="0.35">
      <c r="B453" s="96" t="s">
        <v>1099</v>
      </c>
      <c r="C453" s="97">
        <v>512109</v>
      </c>
      <c r="D453" s="96" t="s">
        <v>388</v>
      </c>
      <c r="E453" s="96" t="s">
        <v>410</v>
      </c>
    </row>
    <row r="454" spans="2:5" ht="15" customHeight="1" thickBot="1" x14ac:dyDescent="0.35">
      <c r="B454" s="96" t="s">
        <v>1100</v>
      </c>
      <c r="C454" s="97">
        <v>531541</v>
      </c>
      <c r="D454" s="96" t="s">
        <v>388</v>
      </c>
      <c r="E454" s="96" t="s">
        <v>436</v>
      </c>
    </row>
    <row r="455" spans="2:5" ht="15" customHeight="1" thickBot="1" x14ac:dyDescent="0.35">
      <c r="B455" s="96" t="s">
        <v>1101</v>
      </c>
      <c r="C455" s="96" t="s">
        <v>388</v>
      </c>
      <c r="D455" s="96" t="s">
        <v>1102</v>
      </c>
      <c r="E455" s="96" t="s">
        <v>399</v>
      </c>
    </row>
    <row r="456" spans="2:5" ht="15" customHeight="1" thickBot="1" x14ac:dyDescent="0.35">
      <c r="B456" s="96" t="s">
        <v>1103</v>
      </c>
      <c r="C456" s="97">
        <v>511589</v>
      </c>
      <c r="D456" s="96" t="s">
        <v>388</v>
      </c>
      <c r="E456" s="96" t="s">
        <v>405</v>
      </c>
    </row>
    <row r="457" spans="2:5" ht="15" customHeight="1" thickBot="1" x14ac:dyDescent="0.35">
      <c r="B457" s="96" t="s">
        <v>1104</v>
      </c>
      <c r="C457" s="96" t="s">
        <v>388</v>
      </c>
      <c r="D457" s="96" t="s">
        <v>1105</v>
      </c>
      <c r="E457" s="96" t="s">
        <v>399</v>
      </c>
    </row>
    <row r="458" spans="2:5" ht="15" customHeight="1" thickBot="1" x14ac:dyDescent="0.35">
      <c r="B458" s="96" t="s">
        <v>1106</v>
      </c>
      <c r="C458" s="97">
        <v>519105</v>
      </c>
      <c r="D458" s="96" t="s">
        <v>1107</v>
      </c>
      <c r="E458" s="96" t="s">
        <v>586</v>
      </c>
    </row>
    <row r="459" spans="2:5" ht="15" customHeight="1" thickBot="1" x14ac:dyDescent="0.35">
      <c r="B459" s="96" t="s">
        <v>1108</v>
      </c>
      <c r="C459" s="97">
        <v>504390</v>
      </c>
      <c r="D459" s="96" t="s">
        <v>388</v>
      </c>
      <c r="E459" s="96" t="s">
        <v>371</v>
      </c>
    </row>
    <row r="460" spans="2:5" ht="15" customHeight="1" thickBot="1" x14ac:dyDescent="0.35">
      <c r="B460" s="96" t="s">
        <v>1109</v>
      </c>
      <c r="C460" s="97">
        <v>513642</v>
      </c>
      <c r="D460" s="96" t="s">
        <v>388</v>
      </c>
      <c r="E460" s="96" t="s">
        <v>508</v>
      </c>
    </row>
    <row r="461" spans="2:5" ht="15" customHeight="1" thickBot="1" x14ac:dyDescent="0.35">
      <c r="B461" s="96" t="s">
        <v>1110</v>
      </c>
      <c r="C461" s="97">
        <v>532215</v>
      </c>
      <c r="D461" s="96" t="s">
        <v>1111</v>
      </c>
      <c r="E461" s="96" t="s">
        <v>706</v>
      </c>
    </row>
    <row r="462" spans="2:5" ht="15" customHeight="1" thickBot="1" x14ac:dyDescent="0.35">
      <c r="B462" s="96" t="s">
        <v>1112</v>
      </c>
      <c r="C462" s="97">
        <v>532395</v>
      </c>
      <c r="D462" s="96" t="s">
        <v>1113</v>
      </c>
      <c r="E462" s="96" t="s">
        <v>718</v>
      </c>
    </row>
    <row r="463" spans="2:5" ht="15" customHeight="1" thickBot="1" x14ac:dyDescent="0.35">
      <c r="B463" s="96" t="s">
        <v>1114</v>
      </c>
      <c r="C463" s="97">
        <v>542285</v>
      </c>
      <c r="D463" s="96" t="s">
        <v>1115</v>
      </c>
      <c r="E463" s="96" t="s">
        <v>403</v>
      </c>
    </row>
    <row r="464" spans="2:5" ht="15" customHeight="1" thickBot="1" x14ac:dyDescent="0.35">
      <c r="B464" s="96" t="s">
        <v>1116</v>
      </c>
      <c r="C464" s="97">
        <v>505506</v>
      </c>
      <c r="D464" s="96" t="s">
        <v>388</v>
      </c>
      <c r="E464" s="96" t="s">
        <v>481</v>
      </c>
    </row>
    <row r="465" spans="2:5" ht="15" customHeight="1" thickBot="1" x14ac:dyDescent="0.35">
      <c r="B465" s="96" t="s">
        <v>1117</v>
      </c>
      <c r="C465" s="97">
        <v>523850</v>
      </c>
      <c r="D465" s="96" t="s">
        <v>388</v>
      </c>
      <c r="E465" s="96" t="s">
        <v>396</v>
      </c>
    </row>
    <row r="466" spans="2:5" ht="15" customHeight="1" thickBot="1" x14ac:dyDescent="0.35">
      <c r="B466" s="96" t="s">
        <v>1118</v>
      </c>
      <c r="C466" s="97">
        <v>523168</v>
      </c>
      <c r="D466" s="96" t="s">
        <v>388</v>
      </c>
      <c r="E466" s="96" t="s">
        <v>602</v>
      </c>
    </row>
    <row r="467" spans="2:5" ht="15" customHeight="1" thickBot="1" x14ac:dyDescent="0.35">
      <c r="B467" s="96" t="s">
        <v>1119</v>
      </c>
      <c r="C467" s="97">
        <v>508933</v>
      </c>
      <c r="D467" s="96" t="s">
        <v>1120</v>
      </c>
      <c r="E467" s="96" t="s">
        <v>403</v>
      </c>
    </row>
    <row r="468" spans="2:5" ht="15" customHeight="1" thickBot="1" x14ac:dyDescent="0.35">
      <c r="B468" s="96" t="s">
        <v>1121</v>
      </c>
      <c r="C468" s="97">
        <v>512063</v>
      </c>
      <c r="D468" s="96" t="s">
        <v>388</v>
      </c>
      <c r="E468" s="96" t="s">
        <v>410</v>
      </c>
    </row>
    <row r="469" spans="2:5" ht="15" customHeight="1" thickBot="1" x14ac:dyDescent="0.35">
      <c r="B469" s="96" t="s">
        <v>1122</v>
      </c>
      <c r="C469" s="97">
        <v>536965</v>
      </c>
      <c r="D469" s="96" t="s">
        <v>388</v>
      </c>
      <c r="E469" s="96" t="s">
        <v>405</v>
      </c>
    </row>
    <row r="470" spans="2:5" ht="15" customHeight="1" thickBot="1" x14ac:dyDescent="0.35">
      <c r="B470" s="96" t="s">
        <v>1123</v>
      </c>
      <c r="C470" s="97">
        <v>508136</v>
      </c>
      <c r="D470" s="96" t="s">
        <v>388</v>
      </c>
      <c r="E470" s="96" t="s">
        <v>795</v>
      </c>
    </row>
    <row r="471" spans="2:5" ht="15" customHeight="1" thickBot="1" x14ac:dyDescent="0.35">
      <c r="B471" s="96" t="s">
        <v>1124</v>
      </c>
      <c r="C471" s="97">
        <v>532507</v>
      </c>
      <c r="D471" s="96" t="s">
        <v>1125</v>
      </c>
      <c r="E471" s="96" t="s">
        <v>1126</v>
      </c>
    </row>
    <row r="472" spans="2:5" ht="15" customHeight="1" thickBot="1" x14ac:dyDescent="0.35">
      <c r="B472" s="96" t="s">
        <v>1127</v>
      </c>
      <c r="C472" s="97">
        <v>537766</v>
      </c>
      <c r="D472" s="96" t="s">
        <v>388</v>
      </c>
      <c r="E472" s="96" t="s">
        <v>686</v>
      </c>
    </row>
    <row r="473" spans="2:5" ht="15" customHeight="1" thickBot="1" x14ac:dyDescent="0.35">
      <c r="B473" s="96" t="s">
        <v>1128</v>
      </c>
      <c r="C473" s="97">
        <v>532719</v>
      </c>
      <c r="D473" s="96" t="s">
        <v>1129</v>
      </c>
      <c r="E473" s="96" t="s">
        <v>474</v>
      </c>
    </row>
    <row r="474" spans="2:5" ht="15" customHeight="1" thickBot="1" x14ac:dyDescent="0.35">
      <c r="B474" s="96" t="s">
        <v>1130</v>
      </c>
      <c r="C474" s="97">
        <v>523019</v>
      </c>
      <c r="D474" s="96" t="s">
        <v>388</v>
      </c>
      <c r="E474" s="96" t="s">
        <v>371</v>
      </c>
    </row>
    <row r="475" spans="2:5" ht="15" customHeight="1" thickBot="1" x14ac:dyDescent="0.35">
      <c r="B475" s="96" t="s">
        <v>1131</v>
      </c>
      <c r="C475" s="97">
        <v>523186</v>
      </c>
      <c r="D475" s="96" t="s">
        <v>388</v>
      </c>
      <c r="E475" s="96" t="s">
        <v>382</v>
      </c>
    </row>
    <row r="476" spans="2:5" ht="15" customHeight="1" thickBot="1" x14ac:dyDescent="0.35">
      <c r="B476" s="96" t="s">
        <v>1132</v>
      </c>
      <c r="C476" s="97">
        <v>523186</v>
      </c>
      <c r="D476" s="96" t="s">
        <v>388</v>
      </c>
      <c r="E476" s="96" t="s">
        <v>382</v>
      </c>
    </row>
    <row r="477" spans="2:5" ht="15" customHeight="1" thickBot="1" x14ac:dyDescent="0.35">
      <c r="B477" s="96" t="s">
        <v>1133</v>
      </c>
      <c r="C477" s="96" t="s">
        <v>388</v>
      </c>
      <c r="D477" s="96" t="s">
        <v>1134</v>
      </c>
      <c r="E477" s="96" t="s">
        <v>399</v>
      </c>
    </row>
    <row r="478" spans="2:5" ht="15" customHeight="1" thickBot="1" x14ac:dyDescent="0.35">
      <c r="B478" s="96" t="s">
        <v>1135</v>
      </c>
      <c r="C478" s="97">
        <v>542206</v>
      </c>
      <c r="D478" s="96" t="s">
        <v>1136</v>
      </c>
      <c r="E478" s="96" t="s">
        <v>754</v>
      </c>
    </row>
    <row r="479" spans="2:5" ht="15" customHeight="1" thickBot="1" x14ac:dyDescent="0.35">
      <c r="B479" s="96" t="s">
        <v>1137</v>
      </c>
      <c r="C479" s="97">
        <v>531268</v>
      </c>
      <c r="D479" s="96" t="s">
        <v>388</v>
      </c>
      <c r="E479" s="96" t="s">
        <v>481</v>
      </c>
    </row>
    <row r="480" spans="2:5" ht="15" customHeight="1" thickBot="1" x14ac:dyDescent="0.35">
      <c r="B480" s="96" t="s">
        <v>1138</v>
      </c>
      <c r="C480" s="97">
        <v>532380</v>
      </c>
      <c r="D480" s="96" t="s">
        <v>388</v>
      </c>
      <c r="E480" s="96" t="s">
        <v>391</v>
      </c>
    </row>
    <row r="481" spans="2:5" ht="15" customHeight="1" thickBot="1" x14ac:dyDescent="0.35">
      <c r="B481" s="96" t="s">
        <v>1139</v>
      </c>
      <c r="C481" s="97">
        <v>524516</v>
      </c>
      <c r="D481" s="96" t="s">
        <v>388</v>
      </c>
      <c r="E481" s="96" t="s">
        <v>426</v>
      </c>
    </row>
    <row r="482" spans="2:5" ht="15" customHeight="1" thickBot="1" x14ac:dyDescent="0.35">
      <c r="B482" s="96" t="s">
        <v>1140</v>
      </c>
      <c r="C482" s="97">
        <v>532989</v>
      </c>
      <c r="D482" s="96" t="s">
        <v>1141</v>
      </c>
      <c r="E482" s="96" t="s">
        <v>426</v>
      </c>
    </row>
    <row r="483" spans="2:5" ht="15" customHeight="1" thickBot="1" x14ac:dyDescent="0.35">
      <c r="B483" s="96" t="s">
        <v>1142</v>
      </c>
      <c r="C483" s="97">
        <v>530197</v>
      </c>
      <c r="D483" s="96" t="s">
        <v>388</v>
      </c>
      <c r="E483" s="96" t="s">
        <v>548</v>
      </c>
    </row>
    <row r="484" spans="2:5" ht="15" customHeight="1" thickBot="1" x14ac:dyDescent="0.35">
      <c r="B484" s="96" t="s">
        <v>1143</v>
      </c>
      <c r="C484" s="97">
        <v>511724</v>
      </c>
      <c r="D484" s="96" t="s">
        <v>388</v>
      </c>
      <c r="E484" s="96" t="s">
        <v>405</v>
      </c>
    </row>
    <row r="485" spans="2:5" ht="15" customHeight="1" thickBot="1" x14ac:dyDescent="0.35">
      <c r="B485" s="96" t="s">
        <v>1144</v>
      </c>
      <c r="C485" s="97">
        <v>532977</v>
      </c>
      <c r="D485" s="96" t="s">
        <v>1145</v>
      </c>
      <c r="E485" s="96" t="s">
        <v>1046</v>
      </c>
    </row>
    <row r="486" spans="2:5" ht="15" customHeight="1" thickBot="1" x14ac:dyDescent="0.35">
      <c r="B486" s="96" t="s">
        <v>1146</v>
      </c>
      <c r="C486" s="96" t="s">
        <v>388</v>
      </c>
      <c r="D486" s="96" t="s">
        <v>1147</v>
      </c>
      <c r="E486" s="96" t="s">
        <v>570</v>
      </c>
    </row>
    <row r="487" spans="2:5" ht="15" customHeight="1" thickBot="1" x14ac:dyDescent="0.35">
      <c r="B487" s="96" t="s">
        <v>1148</v>
      </c>
      <c r="C487" s="97">
        <v>533229</v>
      </c>
      <c r="D487" s="96" t="s">
        <v>1149</v>
      </c>
      <c r="E487" s="96" t="s">
        <v>570</v>
      </c>
    </row>
    <row r="488" spans="2:5" ht="15" customHeight="1" thickBot="1" x14ac:dyDescent="0.35">
      <c r="B488" s="96" t="s">
        <v>1150</v>
      </c>
      <c r="C488" s="97">
        <v>500031</v>
      </c>
      <c r="D488" s="96" t="s">
        <v>1151</v>
      </c>
      <c r="E488" s="96" t="s">
        <v>1152</v>
      </c>
    </row>
    <row r="489" spans="2:5" ht="15" customHeight="1" thickBot="1" x14ac:dyDescent="0.35">
      <c r="B489" s="96" t="s">
        <v>1153</v>
      </c>
      <c r="C489" s="97">
        <v>500034</v>
      </c>
      <c r="D489" s="96" t="s">
        <v>1154</v>
      </c>
      <c r="E489" s="96" t="s">
        <v>405</v>
      </c>
    </row>
    <row r="490" spans="2:5" ht="15" customHeight="1" thickBot="1" x14ac:dyDescent="0.35">
      <c r="B490" s="96" t="s">
        <v>1155</v>
      </c>
      <c r="C490" s="97">
        <v>532978</v>
      </c>
      <c r="D490" s="96" t="s">
        <v>1156</v>
      </c>
      <c r="E490" s="96" t="s">
        <v>554</v>
      </c>
    </row>
    <row r="491" spans="2:5" ht="15" customHeight="1" thickBot="1" x14ac:dyDescent="0.35">
      <c r="B491" s="96" t="s">
        <v>1157</v>
      </c>
      <c r="C491" s="97">
        <v>512261</v>
      </c>
      <c r="D491" s="96" t="s">
        <v>388</v>
      </c>
      <c r="E491" s="96" t="s">
        <v>410</v>
      </c>
    </row>
    <row r="492" spans="2:5" ht="15" customHeight="1" thickBot="1" x14ac:dyDescent="0.35">
      <c r="B492" s="96" t="s">
        <v>1158</v>
      </c>
      <c r="C492" s="97">
        <v>539872</v>
      </c>
      <c r="D492" s="96" t="s">
        <v>388</v>
      </c>
      <c r="E492" s="96" t="s">
        <v>426</v>
      </c>
    </row>
    <row r="493" spans="2:5" ht="15" customHeight="1" thickBot="1" x14ac:dyDescent="0.35">
      <c r="B493" s="96" t="s">
        <v>1159</v>
      </c>
      <c r="C493" s="97">
        <v>500032</v>
      </c>
      <c r="D493" s="96" t="s">
        <v>1160</v>
      </c>
      <c r="E493" s="96" t="s">
        <v>1087</v>
      </c>
    </row>
    <row r="494" spans="2:5" ht="15" customHeight="1" thickBot="1" x14ac:dyDescent="0.35">
      <c r="B494" s="96" t="s">
        <v>1161</v>
      </c>
      <c r="C494" s="97">
        <v>500490</v>
      </c>
      <c r="D494" s="96" t="s">
        <v>1162</v>
      </c>
      <c r="E494" s="96" t="s">
        <v>554</v>
      </c>
    </row>
    <row r="495" spans="2:5" ht="15" customHeight="1" thickBot="1" x14ac:dyDescent="0.35">
      <c r="B495" s="96" t="s">
        <v>1163</v>
      </c>
      <c r="C495" s="97">
        <v>507944</v>
      </c>
      <c r="D495" s="96" t="s">
        <v>388</v>
      </c>
      <c r="E495" s="96" t="s">
        <v>396</v>
      </c>
    </row>
    <row r="496" spans="2:5" ht="15" customHeight="1" thickBot="1" x14ac:dyDescent="0.35">
      <c r="B496" s="96" t="s">
        <v>1164</v>
      </c>
      <c r="C496" s="97">
        <v>511139</v>
      </c>
      <c r="D496" s="96" t="s">
        <v>388</v>
      </c>
      <c r="E496" s="96" t="s">
        <v>809</v>
      </c>
    </row>
    <row r="497" spans="2:5" ht="15" customHeight="1" thickBot="1" x14ac:dyDescent="0.35">
      <c r="B497" s="96" t="s">
        <v>1165</v>
      </c>
      <c r="C497" s="97">
        <v>524824</v>
      </c>
      <c r="D497" s="96" t="s">
        <v>1166</v>
      </c>
      <c r="E497" s="96" t="s">
        <v>426</v>
      </c>
    </row>
    <row r="498" spans="2:5" ht="15" customHeight="1" thickBot="1" x14ac:dyDescent="0.35">
      <c r="B498" s="96" t="s">
        <v>1167</v>
      </c>
      <c r="C498" s="97">
        <v>530999</v>
      </c>
      <c r="D498" s="96" t="s">
        <v>1168</v>
      </c>
      <c r="E498" s="96" t="s">
        <v>436</v>
      </c>
    </row>
    <row r="499" spans="2:5" ht="15" customHeight="1" thickBot="1" x14ac:dyDescent="0.35">
      <c r="B499" s="96" t="s">
        <v>1169</v>
      </c>
      <c r="C499" s="97">
        <v>532382</v>
      </c>
      <c r="D499" s="96" t="s">
        <v>1170</v>
      </c>
      <c r="E499" s="96" t="s">
        <v>1126</v>
      </c>
    </row>
    <row r="500" spans="2:5" ht="15" customHeight="1" thickBot="1" x14ac:dyDescent="0.35">
      <c r="B500" s="96" t="s">
        <v>1171</v>
      </c>
      <c r="C500" s="97">
        <v>513142</v>
      </c>
      <c r="D500" s="96" t="s">
        <v>388</v>
      </c>
      <c r="E500" s="96" t="s">
        <v>420</v>
      </c>
    </row>
    <row r="501" spans="2:5" ht="15" customHeight="1" thickBot="1" x14ac:dyDescent="0.35">
      <c r="B501" s="96" t="s">
        <v>1172</v>
      </c>
      <c r="C501" s="96" t="s">
        <v>388</v>
      </c>
      <c r="D501" s="96" t="s">
        <v>1173</v>
      </c>
      <c r="E501" s="96" t="s">
        <v>1174</v>
      </c>
    </row>
    <row r="502" spans="2:5" ht="15" customHeight="1" thickBot="1" x14ac:dyDescent="0.35">
      <c r="B502" s="96" t="s">
        <v>1175</v>
      </c>
      <c r="C502" s="97">
        <v>539834</v>
      </c>
      <c r="D502" s="96" t="s">
        <v>388</v>
      </c>
      <c r="E502" s="96" t="s">
        <v>410</v>
      </c>
    </row>
    <row r="503" spans="2:5" ht="15" customHeight="1" thickBot="1" x14ac:dyDescent="0.35">
      <c r="B503" s="96" t="s">
        <v>1176</v>
      </c>
      <c r="C503" s="97">
        <v>502355</v>
      </c>
      <c r="D503" s="96" t="s">
        <v>1177</v>
      </c>
      <c r="E503" s="96" t="s">
        <v>868</v>
      </c>
    </row>
    <row r="504" spans="2:5" ht="15" customHeight="1" thickBot="1" x14ac:dyDescent="0.35">
      <c r="B504" s="96" t="s">
        <v>1178</v>
      </c>
      <c r="C504" s="97">
        <v>539251</v>
      </c>
      <c r="D504" s="96" t="s">
        <v>1179</v>
      </c>
      <c r="E504" s="96" t="s">
        <v>583</v>
      </c>
    </row>
    <row r="505" spans="2:5" ht="15" customHeight="1" thickBot="1" x14ac:dyDescent="0.35">
      <c r="B505" s="96" t="s">
        <v>1180</v>
      </c>
      <c r="C505" s="97">
        <v>500102</v>
      </c>
      <c r="D505" s="96" t="s">
        <v>1181</v>
      </c>
      <c r="E505" s="96" t="s">
        <v>382</v>
      </c>
    </row>
    <row r="506" spans="2:5" ht="15" customHeight="1" thickBot="1" x14ac:dyDescent="0.35">
      <c r="B506" s="96" t="s">
        <v>1182</v>
      </c>
      <c r="C506" s="97">
        <v>523319</v>
      </c>
      <c r="D506" s="96" t="s">
        <v>1183</v>
      </c>
      <c r="E506" s="96" t="s">
        <v>377</v>
      </c>
    </row>
    <row r="507" spans="2:5" ht="15" customHeight="1" thickBot="1" x14ac:dyDescent="0.35">
      <c r="B507" s="96" t="s">
        <v>1184</v>
      </c>
      <c r="C507" s="97">
        <v>532485</v>
      </c>
      <c r="D507" s="96" t="s">
        <v>388</v>
      </c>
      <c r="E507" s="96" t="s">
        <v>405</v>
      </c>
    </row>
    <row r="508" spans="2:5" ht="15" customHeight="1" thickBot="1" x14ac:dyDescent="0.35">
      <c r="B508" s="96" t="s">
        <v>1185</v>
      </c>
      <c r="C508" s="97">
        <v>500038</v>
      </c>
      <c r="D508" s="96" t="s">
        <v>1186</v>
      </c>
      <c r="E508" s="96" t="s">
        <v>1087</v>
      </c>
    </row>
    <row r="509" spans="2:5" ht="15" customHeight="1" thickBot="1" x14ac:dyDescent="0.35">
      <c r="B509" s="96" t="s">
        <v>1187</v>
      </c>
      <c r="C509" s="97">
        <v>520127</v>
      </c>
      <c r="D509" s="96" t="s">
        <v>388</v>
      </c>
      <c r="E509" s="96" t="s">
        <v>460</v>
      </c>
    </row>
    <row r="510" spans="2:5" ht="15" customHeight="1" thickBot="1" x14ac:dyDescent="0.35">
      <c r="B510" s="96" t="s">
        <v>1188</v>
      </c>
      <c r="C510" s="97">
        <v>519295</v>
      </c>
      <c r="D510" s="96" t="s">
        <v>388</v>
      </c>
      <c r="E510" s="96" t="s">
        <v>448</v>
      </c>
    </row>
    <row r="511" spans="2:5" ht="15" customHeight="1" thickBot="1" x14ac:dyDescent="0.35">
      <c r="B511" s="96" t="s">
        <v>1189</v>
      </c>
      <c r="C511" s="97">
        <v>531591</v>
      </c>
      <c r="D511" s="96" t="s">
        <v>388</v>
      </c>
      <c r="E511" s="96" t="s">
        <v>405</v>
      </c>
    </row>
    <row r="512" spans="2:5" ht="15" customHeight="1" thickBot="1" x14ac:dyDescent="0.35">
      <c r="B512" s="96" t="s">
        <v>1190</v>
      </c>
      <c r="C512" s="97">
        <v>526849</v>
      </c>
      <c r="D512" s="96" t="s">
        <v>1191</v>
      </c>
      <c r="E512" s="96" t="s">
        <v>502</v>
      </c>
    </row>
    <row r="513" spans="2:5" ht="15" customHeight="1" thickBot="1" x14ac:dyDescent="0.35">
      <c r="B513" s="96" t="s">
        <v>1192</v>
      </c>
      <c r="C513" s="97">
        <v>509053</v>
      </c>
      <c r="D513" s="96" t="s">
        <v>388</v>
      </c>
      <c r="E513" s="96" t="s">
        <v>809</v>
      </c>
    </row>
    <row r="514" spans="2:5" ht="15" customHeight="1" thickBot="1" x14ac:dyDescent="0.35">
      <c r="B514" s="96" t="s">
        <v>1193</v>
      </c>
      <c r="C514" s="97">
        <v>500039</v>
      </c>
      <c r="D514" s="96" t="s">
        <v>1194</v>
      </c>
      <c r="E514" s="96" t="s">
        <v>743</v>
      </c>
    </row>
    <row r="515" spans="2:5" ht="15" customHeight="1" thickBot="1" x14ac:dyDescent="0.35">
      <c r="B515" s="96" t="s">
        <v>1195</v>
      </c>
      <c r="C515" s="97">
        <v>541153</v>
      </c>
      <c r="D515" s="96" t="s">
        <v>1196</v>
      </c>
      <c r="E515" s="96" t="s">
        <v>706</v>
      </c>
    </row>
    <row r="516" spans="2:5" ht="15" customHeight="1" thickBot="1" x14ac:dyDescent="0.35">
      <c r="B516" s="96" t="s">
        <v>1197</v>
      </c>
      <c r="C516" s="97">
        <v>532946</v>
      </c>
      <c r="D516" s="96" t="s">
        <v>1198</v>
      </c>
      <c r="E516" s="96" t="s">
        <v>502</v>
      </c>
    </row>
    <row r="517" spans="2:5" ht="15" customHeight="1" thickBot="1" x14ac:dyDescent="0.35">
      <c r="B517" s="96" t="s">
        <v>1199</v>
      </c>
      <c r="C517" s="97">
        <v>539120</v>
      </c>
      <c r="D517" s="96" t="s">
        <v>388</v>
      </c>
      <c r="E517" s="96" t="s">
        <v>625</v>
      </c>
    </row>
    <row r="518" spans="2:5" ht="15" customHeight="1" thickBot="1" x14ac:dyDescent="0.35">
      <c r="B518" s="96" t="s">
        <v>1200</v>
      </c>
      <c r="C518" s="97">
        <v>532134</v>
      </c>
      <c r="D518" s="96" t="s">
        <v>1201</v>
      </c>
      <c r="E518" s="96" t="s">
        <v>706</v>
      </c>
    </row>
    <row r="519" spans="2:5" ht="15" customHeight="1" thickBot="1" x14ac:dyDescent="0.35">
      <c r="B519" s="96" t="s">
        <v>1202</v>
      </c>
      <c r="C519" s="97">
        <v>532149</v>
      </c>
      <c r="D519" s="96" t="s">
        <v>1203</v>
      </c>
      <c r="E519" s="96" t="s">
        <v>706</v>
      </c>
    </row>
    <row r="520" spans="2:5" ht="15" customHeight="1" thickBot="1" x14ac:dyDescent="0.35">
      <c r="B520" s="96" t="s">
        <v>1204</v>
      </c>
      <c r="C520" s="97">
        <v>532525</v>
      </c>
      <c r="D520" s="96" t="s">
        <v>1205</v>
      </c>
      <c r="E520" s="96" t="s">
        <v>706</v>
      </c>
    </row>
    <row r="521" spans="2:5" ht="15" customHeight="1" thickBot="1" x14ac:dyDescent="0.35">
      <c r="B521" s="96" t="s">
        <v>1206</v>
      </c>
      <c r="C521" s="96" t="s">
        <v>388</v>
      </c>
      <c r="D521" s="96" t="s">
        <v>1207</v>
      </c>
      <c r="E521" s="96" t="s">
        <v>399</v>
      </c>
    </row>
    <row r="522" spans="2:5" ht="15" customHeight="1" thickBot="1" x14ac:dyDescent="0.35">
      <c r="B522" s="96" t="s">
        <v>1208</v>
      </c>
      <c r="C522" s="97">
        <v>532674</v>
      </c>
      <c r="D522" s="96" t="s">
        <v>1209</v>
      </c>
      <c r="E522" s="96" t="s">
        <v>403</v>
      </c>
    </row>
    <row r="523" spans="2:5" ht="15" customHeight="1" thickBot="1" x14ac:dyDescent="0.35">
      <c r="B523" s="96" t="s">
        <v>1210</v>
      </c>
      <c r="C523" s="97">
        <v>500041</v>
      </c>
      <c r="D523" s="96" t="s">
        <v>1211</v>
      </c>
      <c r="E523" s="96" t="s">
        <v>1087</v>
      </c>
    </row>
    <row r="524" spans="2:5" ht="15" customHeight="1" thickBot="1" x14ac:dyDescent="0.35">
      <c r="B524" s="96" t="s">
        <v>1212</v>
      </c>
      <c r="C524" s="96" t="s">
        <v>388</v>
      </c>
      <c r="D524" s="96" t="s">
        <v>1213</v>
      </c>
      <c r="E524" s="96" t="s">
        <v>399</v>
      </c>
    </row>
    <row r="525" spans="2:5" ht="15" customHeight="1" thickBot="1" x14ac:dyDescent="0.35">
      <c r="B525" s="96" t="s">
        <v>1214</v>
      </c>
      <c r="C525" s="97">
        <v>538546</v>
      </c>
      <c r="D525" s="96" t="s">
        <v>388</v>
      </c>
      <c r="E525" s="96" t="s">
        <v>711</v>
      </c>
    </row>
    <row r="526" spans="2:5" ht="15" customHeight="1" thickBot="1" x14ac:dyDescent="0.35">
      <c r="B526" s="96" t="s">
        <v>1215</v>
      </c>
      <c r="C526" s="97">
        <v>519353</v>
      </c>
      <c r="D526" s="96" t="s">
        <v>388</v>
      </c>
      <c r="E526" s="96" t="s">
        <v>795</v>
      </c>
    </row>
    <row r="527" spans="2:5" ht="15" customHeight="1" thickBot="1" x14ac:dyDescent="0.35">
      <c r="B527" s="96" t="s">
        <v>1216</v>
      </c>
      <c r="C527" s="97">
        <v>503722</v>
      </c>
      <c r="D527" s="96" t="s">
        <v>1217</v>
      </c>
      <c r="E527" s="96" t="s">
        <v>403</v>
      </c>
    </row>
    <row r="528" spans="2:5" ht="15" customHeight="1" thickBot="1" x14ac:dyDescent="0.35">
      <c r="B528" s="96" t="s">
        <v>1218</v>
      </c>
      <c r="C528" s="97">
        <v>532916</v>
      </c>
      <c r="D528" s="96" t="s">
        <v>1219</v>
      </c>
      <c r="E528" s="96" t="s">
        <v>401</v>
      </c>
    </row>
    <row r="529" spans="2:5" ht="15" customHeight="1" thickBot="1" x14ac:dyDescent="0.35">
      <c r="B529" s="96" t="s">
        <v>1220</v>
      </c>
      <c r="C529" s="97">
        <v>513502</v>
      </c>
      <c r="D529" s="96" t="s">
        <v>388</v>
      </c>
      <c r="E529" s="96" t="s">
        <v>462</v>
      </c>
    </row>
    <row r="530" spans="2:5" ht="15" customHeight="1" thickBot="1" x14ac:dyDescent="0.35">
      <c r="B530" s="96" t="s">
        <v>1221</v>
      </c>
      <c r="C530" s="97">
        <v>532336</v>
      </c>
      <c r="D530" s="96" t="s">
        <v>388</v>
      </c>
      <c r="E530" s="96" t="s">
        <v>481</v>
      </c>
    </row>
    <row r="531" spans="2:5" ht="15" customHeight="1" thickBot="1" x14ac:dyDescent="0.35">
      <c r="B531" s="96" t="s">
        <v>1222</v>
      </c>
      <c r="C531" s="97">
        <v>532694</v>
      </c>
      <c r="D531" s="96" t="s">
        <v>1223</v>
      </c>
      <c r="E531" s="96" t="s">
        <v>809</v>
      </c>
    </row>
    <row r="532" spans="2:5" ht="15" customHeight="1" thickBot="1" x14ac:dyDescent="0.35">
      <c r="B532" s="96" t="s">
        <v>1224</v>
      </c>
      <c r="C532" s="97">
        <v>532694</v>
      </c>
      <c r="D532" s="96" t="s">
        <v>1223</v>
      </c>
      <c r="E532" s="96" t="s">
        <v>809</v>
      </c>
    </row>
    <row r="533" spans="2:5" ht="15" customHeight="1" thickBot="1" x14ac:dyDescent="0.35">
      <c r="B533" s="96" t="s">
        <v>1225</v>
      </c>
      <c r="C533" s="97">
        <v>524687</v>
      </c>
      <c r="D533" s="96" t="s">
        <v>388</v>
      </c>
      <c r="E533" s="96" t="s">
        <v>896</v>
      </c>
    </row>
    <row r="534" spans="2:5" ht="15" customHeight="1" thickBot="1" x14ac:dyDescent="0.35">
      <c r="B534" s="96" t="s">
        <v>1226</v>
      </c>
      <c r="C534" s="97">
        <v>524687</v>
      </c>
      <c r="D534" s="96" t="s">
        <v>388</v>
      </c>
      <c r="E534" s="96" t="s">
        <v>896</v>
      </c>
    </row>
    <row r="535" spans="2:5" ht="15" customHeight="1" thickBot="1" x14ac:dyDescent="0.35">
      <c r="B535" s="96" t="s">
        <v>1227</v>
      </c>
      <c r="C535" s="97">
        <v>500042</v>
      </c>
      <c r="D535" s="96" t="s">
        <v>1228</v>
      </c>
      <c r="E535" s="96" t="s">
        <v>548</v>
      </c>
    </row>
    <row r="536" spans="2:5" ht="15" customHeight="1" thickBot="1" x14ac:dyDescent="0.35">
      <c r="B536" s="96" t="s">
        <v>1229</v>
      </c>
      <c r="C536" s="97">
        <v>500042</v>
      </c>
      <c r="D536" s="96" t="s">
        <v>1228</v>
      </c>
      <c r="E536" s="96" t="s">
        <v>548</v>
      </c>
    </row>
    <row r="537" spans="2:5" ht="15" customHeight="1" thickBot="1" x14ac:dyDescent="0.35">
      <c r="B537" s="96" t="s">
        <v>1230</v>
      </c>
      <c r="C537" s="97">
        <v>500043</v>
      </c>
      <c r="D537" s="96" t="s">
        <v>1231</v>
      </c>
      <c r="E537" s="96" t="s">
        <v>814</v>
      </c>
    </row>
    <row r="538" spans="2:5" ht="15" customHeight="1" thickBot="1" x14ac:dyDescent="0.35">
      <c r="B538" s="96" t="s">
        <v>1232</v>
      </c>
      <c r="C538" s="97">
        <v>500043</v>
      </c>
      <c r="D538" s="96" t="s">
        <v>1233</v>
      </c>
      <c r="E538" s="96" t="s">
        <v>814</v>
      </c>
    </row>
    <row r="539" spans="2:5" ht="15" customHeight="1" thickBot="1" x14ac:dyDescent="0.35">
      <c r="B539" s="96" t="s">
        <v>1234</v>
      </c>
      <c r="C539" s="97">
        <v>522004</v>
      </c>
      <c r="D539" s="96" t="s">
        <v>388</v>
      </c>
      <c r="E539" s="96" t="s">
        <v>396</v>
      </c>
    </row>
    <row r="540" spans="2:5" ht="15" customHeight="1" thickBot="1" x14ac:dyDescent="0.35">
      <c r="B540" s="96" t="s">
        <v>1235</v>
      </c>
      <c r="C540" s="97">
        <v>506285</v>
      </c>
      <c r="D540" s="96" t="s">
        <v>1236</v>
      </c>
      <c r="E540" s="96" t="s">
        <v>532</v>
      </c>
    </row>
    <row r="541" spans="2:5" ht="15" customHeight="1" thickBot="1" x14ac:dyDescent="0.35">
      <c r="B541" s="96" t="s">
        <v>1237</v>
      </c>
      <c r="C541" s="97">
        <v>539946</v>
      </c>
      <c r="D541" s="96" t="s">
        <v>388</v>
      </c>
      <c r="E541" s="96" t="s">
        <v>405</v>
      </c>
    </row>
    <row r="542" spans="2:5" ht="15" customHeight="1" thickBot="1" x14ac:dyDescent="0.35">
      <c r="B542" s="96" t="s">
        <v>1238</v>
      </c>
      <c r="C542" s="97">
        <v>517246</v>
      </c>
      <c r="D542" s="96" t="s">
        <v>388</v>
      </c>
      <c r="E542" s="96" t="s">
        <v>930</v>
      </c>
    </row>
    <row r="543" spans="2:5" ht="15" customHeight="1" thickBot="1" x14ac:dyDescent="0.35">
      <c r="B543" s="96" t="s">
        <v>1239</v>
      </c>
      <c r="C543" s="97">
        <v>517246</v>
      </c>
      <c r="D543" s="96" t="s">
        <v>388</v>
      </c>
      <c r="E543" s="96" t="s">
        <v>930</v>
      </c>
    </row>
    <row r="544" spans="2:5" ht="15" customHeight="1" thickBot="1" x14ac:dyDescent="0.35">
      <c r="B544" s="96" t="s">
        <v>1240</v>
      </c>
      <c r="C544" s="97">
        <v>539621</v>
      </c>
      <c r="D544" s="96" t="s">
        <v>388</v>
      </c>
      <c r="E544" s="96" t="s">
        <v>405</v>
      </c>
    </row>
    <row r="545" spans="2:5" ht="15" customHeight="1" thickBot="1" x14ac:dyDescent="0.35">
      <c r="B545" s="96" t="s">
        <v>1241</v>
      </c>
      <c r="C545" s="97">
        <v>524332</v>
      </c>
      <c r="D545" s="96" t="s">
        <v>388</v>
      </c>
      <c r="E545" s="96" t="s">
        <v>637</v>
      </c>
    </row>
    <row r="546" spans="2:5" ht="15" customHeight="1" thickBot="1" x14ac:dyDescent="0.35">
      <c r="B546" s="96" t="s">
        <v>1242</v>
      </c>
      <c r="C546" s="97">
        <v>542057</v>
      </c>
      <c r="D546" s="96" t="s">
        <v>388</v>
      </c>
      <c r="E546" s="96" t="s">
        <v>786</v>
      </c>
    </row>
    <row r="547" spans="2:5" ht="15" customHeight="1" thickBot="1" x14ac:dyDescent="0.35">
      <c r="B547" s="96" t="s">
        <v>1243</v>
      </c>
      <c r="C547" s="97">
        <v>524828</v>
      </c>
      <c r="D547" s="96" t="s">
        <v>388</v>
      </c>
      <c r="E547" s="96" t="s">
        <v>426</v>
      </c>
    </row>
    <row r="548" spans="2:5" ht="15" customHeight="1" thickBot="1" x14ac:dyDescent="0.35">
      <c r="B548" s="96" t="s">
        <v>1244</v>
      </c>
      <c r="C548" s="97">
        <v>539447</v>
      </c>
      <c r="D548" s="96" t="s">
        <v>1245</v>
      </c>
      <c r="E548" s="96" t="s">
        <v>583</v>
      </c>
    </row>
    <row r="549" spans="2:5" ht="15" customHeight="1" thickBot="1" x14ac:dyDescent="0.35">
      <c r="B549" s="96" t="s">
        <v>1246</v>
      </c>
      <c r="C549" s="97">
        <v>533270</v>
      </c>
      <c r="D549" s="96" t="s">
        <v>1247</v>
      </c>
      <c r="E549" s="96" t="s">
        <v>711</v>
      </c>
    </row>
    <row r="550" spans="2:5" ht="15" customHeight="1" thickBot="1" x14ac:dyDescent="0.35">
      <c r="B550" s="96" t="s">
        <v>1248</v>
      </c>
      <c r="C550" s="97">
        <v>539546</v>
      </c>
      <c r="D550" s="96" t="s">
        <v>388</v>
      </c>
      <c r="E550" s="96" t="s">
        <v>410</v>
      </c>
    </row>
    <row r="551" spans="2:5" ht="15" customHeight="1" thickBot="1" x14ac:dyDescent="0.35">
      <c r="B551" s="96" t="s">
        <v>1249</v>
      </c>
      <c r="C551" s="97">
        <v>539018</v>
      </c>
      <c r="D551" s="96" t="s">
        <v>388</v>
      </c>
      <c r="E551" s="96" t="s">
        <v>420</v>
      </c>
    </row>
    <row r="552" spans="2:5" ht="15" customHeight="1" thickBot="1" x14ac:dyDescent="0.35">
      <c r="B552" s="96" t="s">
        <v>1250</v>
      </c>
      <c r="C552" s="97">
        <v>532645</v>
      </c>
      <c r="D552" s="96" t="s">
        <v>388</v>
      </c>
      <c r="E552" s="96" t="s">
        <v>410</v>
      </c>
    </row>
    <row r="553" spans="2:5" ht="15" customHeight="1" thickBot="1" x14ac:dyDescent="0.35">
      <c r="B553" s="96" t="s">
        <v>1251</v>
      </c>
      <c r="C553" s="97">
        <v>539399</v>
      </c>
      <c r="D553" s="96" t="s">
        <v>388</v>
      </c>
      <c r="E553" s="96" t="s">
        <v>403</v>
      </c>
    </row>
    <row r="554" spans="2:5" ht="15" customHeight="1" thickBot="1" x14ac:dyDescent="0.35">
      <c r="B554" s="96" t="s">
        <v>1252</v>
      </c>
      <c r="C554" s="97">
        <v>522650</v>
      </c>
      <c r="D554" s="96" t="s">
        <v>388</v>
      </c>
      <c r="E554" s="96" t="s">
        <v>573</v>
      </c>
    </row>
    <row r="555" spans="2:5" ht="15" customHeight="1" thickBot="1" x14ac:dyDescent="0.35">
      <c r="B555" s="96" t="s">
        <v>1253</v>
      </c>
      <c r="C555" s="97">
        <v>500048</v>
      </c>
      <c r="D555" s="96" t="s">
        <v>1254</v>
      </c>
      <c r="E555" s="96" t="s">
        <v>466</v>
      </c>
    </row>
    <row r="556" spans="2:5" ht="15" customHeight="1" thickBot="1" x14ac:dyDescent="0.35">
      <c r="B556" s="96" t="s">
        <v>1255</v>
      </c>
      <c r="C556" s="97">
        <v>541178</v>
      </c>
      <c r="D556" s="96" t="s">
        <v>388</v>
      </c>
      <c r="E556" s="96" t="s">
        <v>573</v>
      </c>
    </row>
    <row r="557" spans="2:5" ht="15" customHeight="1" thickBot="1" x14ac:dyDescent="0.35">
      <c r="B557" s="96" t="s">
        <v>1256</v>
      </c>
      <c r="C557" s="97">
        <v>509438</v>
      </c>
      <c r="D557" s="96" t="s">
        <v>388</v>
      </c>
      <c r="E557" s="96" t="s">
        <v>589</v>
      </c>
    </row>
    <row r="558" spans="2:5" ht="15" customHeight="1" thickBot="1" x14ac:dyDescent="0.35">
      <c r="B558" s="96" t="s">
        <v>1257</v>
      </c>
      <c r="C558" s="97">
        <v>533095</v>
      </c>
      <c r="D558" s="96" t="s">
        <v>388</v>
      </c>
      <c r="E558" s="96" t="s">
        <v>405</v>
      </c>
    </row>
    <row r="559" spans="2:5" ht="15" customHeight="1" thickBot="1" x14ac:dyDescent="0.35">
      <c r="B559" s="96" t="s">
        <v>1258</v>
      </c>
      <c r="C559" s="97">
        <v>512404</v>
      </c>
      <c r="D559" s="96" t="s">
        <v>388</v>
      </c>
      <c r="E559" s="96" t="s">
        <v>420</v>
      </c>
    </row>
    <row r="560" spans="2:5" ht="15" customHeight="1" thickBot="1" x14ac:dyDescent="0.35">
      <c r="B560" s="96" t="s">
        <v>1259</v>
      </c>
      <c r="C560" s="97">
        <v>532230</v>
      </c>
      <c r="D560" s="96" t="s">
        <v>388</v>
      </c>
      <c r="E560" s="96" t="s">
        <v>403</v>
      </c>
    </row>
    <row r="561" spans="2:5" ht="15" customHeight="1" thickBot="1" x14ac:dyDescent="0.35">
      <c r="B561" s="96" t="s">
        <v>1260</v>
      </c>
      <c r="C561" s="97">
        <v>512195</v>
      </c>
      <c r="D561" s="96" t="s">
        <v>388</v>
      </c>
      <c r="E561" s="96" t="s">
        <v>809</v>
      </c>
    </row>
    <row r="562" spans="2:5" ht="15" customHeight="1" thickBot="1" x14ac:dyDescent="0.35">
      <c r="B562" s="96" t="s">
        <v>1261</v>
      </c>
      <c r="C562" s="97">
        <v>509480</v>
      </c>
      <c r="D562" s="96" t="s">
        <v>1262</v>
      </c>
      <c r="E562" s="96" t="s">
        <v>665</v>
      </c>
    </row>
    <row r="563" spans="2:5" ht="15" customHeight="1" thickBot="1" x14ac:dyDescent="0.35">
      <c r="B563" s="96" t="s">
        <v>1263</v>
      </c>
      <c r="C563" s="97">
        <v>531340</v>
      </c>
      <c r="D563" s="96" t="s">
        <v>388</v>
      </c>
      <c r="E563" s="96" t="s">
        <v>371</v>
      </c>
    </row>
    <row r="564" spans="2:5" ht="15" customHeight="1" thickBot="1" x14ac:dyDescent="0.35">
      <c r="B564" s="96" t="s">
        <v>1264</v>
      </c>
      <c r="C564" s="97">
        <v>524606</v>
      </c>
      <c r="D564" s="96" t="s">
        <v>388</v>
      </c>
      <c r="E564" s="96" t="s">
        <v>426</v>
      </c>
    </row>
    <row r="565" spans="2:5" ht="15" customHeight="1" thickBot="1" x14ac:dyDescent="0.35">
      <c r="B565" s="96" t="s">
        <v>1265</v>
      </c>
      <c r="C565" s="97">
        <v>531582</v>
      </c>
      <c r="D565" s="96" t="s">
        <v>388</v>
      </c>
      <c r="E565" s="96" t="s">
        <v>405</v>
      </c>
    </row>
    <row r="566" spans="2:5" ht="15" customHeight="1" thickBot="1" x14ac:dyDescent="0.35">
      <c r="B566" s="96" t="s">
        <v>1266</v>
      </c>
      <c r="C566" s="97">
        <v>508664</v>
      </c>
      <c r="D566" s="96" t="s">
        <v>388</v>
      </c>
      <c r="E566" s="96" t="s">
        <v>589</v>
      </c>
    </row>
    <row r="567" spans="2:5" ht="15" customHeight="1" thickBot="1" x14ac:dyDescent="0.35">
      <c r="B567" s="96" t="s">
        <v>1267</v>
      </c>
      <c r="C567" s="96" t="s">
        <v>388</v>
      </c>
      <c r="D567" s="96" t="s">
        <v>1268</v>
      </c>
      <c r="E567" s="96" t="s">
        <v>399</v>
      </c>
    </row>
    <row r="568" spans="2:5" ht="15" customHeight="1" thickBot="1" x14ac:dyDescent="0.35">
      <c r="B568" s="96" t="s">
        <v>1269</v>
      </c>
      <c r="C568" s="97">
        <v>512477</v>
      </c>
      <c r="D568" s="96" t="s">
        <v>388</v>
      </c>
      <c r="E568" s="96" t="s">
        <v>403</v>
      </c>
    </row>
    <row r="569" spans="2:5" ht="15" customHeight="1" thickBot="1" x14ac:dyDescent="0.35">
      <c r="B569" s="96" t="s">
        <v>1270</v>
      </c>
      <c r="C569" s="97">
        <v>512477</v>
      </c>
      <c r="D569" s="96" t="s">
        <v>388</v>
      </c>
      <c r="E569" s="96" t="s">
        <v>403</v>
      </c>
    </row>
    <row r="570" spans="2:5" ht="15" customHeight="1" thickBot="1" x14ac:dyDescent="0.35">
      <c r="B570" s="96" t="s">
        <v>1271</v>
      </c>
      <c r="C570" s="97">
        <v>533303</v>
      </c>
      <c r="D570" s="96" t="s">
        <v>1272</v>
      </c>
      <c r="E570" s="96" t="s">
        <v>554</v>
      </c>
    </row>
    <row r="571" spans="2:5" ht="15" customHeight="1" thickBot="1" x14ac:dyDescent="0.35">
      <c r="B571" s="96" t="s">
        <v>1273</v>
      </c>
      <c r="C571" s="97">
        <v>532430</v>
      </c>
      <c r="D571" s="96" t="s">
        <v>1274</v>
      </c>
      <c r="E571" s="96" t="s">
        <v>527</v>
      </c>
    </row>
    <row r="572" spans="2:5" ht="15" customHeight="1" thickBot="1" x14ac:dyDescent="0.35">
      <c r="B572" s="96" t="s">
        <v>1275</v>
      </c>
      <c r="C572" s="97">
        <v>539662</v>
      </c>
      <c r="D572" s="96" t="s">
        <v>388</v>
      </c>
      <c r="E572" s="96" t="s">
        <v>405</v>
      </c>
    </row>
    <row r="573" spans="2:5" ht="15" customHeight="1" thickBot="1" x14ac:dyDescent="0.35">
      <c r="B573" s="96" t="s">
        <v>1276</v>
      </c>
      <c r="C573" s="97">
        <v>511664</v>
      </c>
      <c r="D573" s="96" t="s">
        <v>388</v>
      </c>
      <c r="E573" s="96" t="s">
        <v>391</v>
      </c>
    </row>
    <row r="574" spans="2:5" ht="15" customHeight="1" thickBot="1" x14ac:dyDescent="0.35">
      <c r="B574" s="96" t="s">
        <v>1277</v>
      </c>
      <c r="C574" s="97">
        <v>532930</v>
      </c>
      <c r="D574" s="96" t="s">
        <v>1278</v>
      </c>
      <c r="E574" s="96" t="s">
        <v>431</v>
      </c>
    </row>
    <row r="575" spans="2:5" ht="15" customHeight="1" thickBot="1" x14ac:dyDescent="0.35">
      <c r="B575" s="96" t="s">
        <v>1279</v>
      </c>
      <c r="C575" s="97">
        <v>530803</v>
      </c>
      <c r="D575" s="96" t="s">
        <v>1280</v>
      </c>
      <c r="E575" s="96" t="s">
        <v>436</v>
      </c>
    </row>
    <row r="576" spans="2:5" ht="15" customHeight="1" thickBot="1" x14ac:dyDescent="0.35">
      <c r="B576" s="96" t="s">
        <v>1281</v>
      </c>
      <c r="C576" s="97">
        <v>531719</v>
      </c>
      <c r="D576" s="96" t="s">
        <v>388</v>
      </c>
      <c r="E576" s="96" t="s">
        <v>532</v>
      </c>
    </row>
    <row r="577" spans="2:5" ht="15" customHeight="1" thickBot="1" x14ac:dyDescent="0.35">
      <c r="B577" s="96" t="s">
        <v>1282</v>
      </c>
      <c r="C577" s="97">
        <v>504646</v>
      </c>
      <c r="D577" s="96" t="s">
        <v>388</v>
      </c>
      <c r="E577" s="96" t="s">
        <v>743</v>
      </c>
    </row>
    <row r="578" spans="2:5" ht="15" customHeight="1" thickBot="1" x14ac:dyDescent="0.35">
      <c r="B578" s="96" t="s">
        <v>1283</v>
      </c>
      <c r="C578" s="97">
        <v>509449</v>
      </c>
      <c r="D578" s="96" t="s">
        <v>388</v>
      </c>
      <c r="E578" s="96" t="s">
        <v>436</v>
      </c>
    </row>
    <row r="579" spans="2:5" ht="15" customHeight="1" thickBot="1" x14ac:dyDescent="0.35">
      <c r="B579" s="96" t="s">
        <v>1284</v>
      </c>
      <c r="C579" s="97">
        <v>512296</v>
      </c>
      <c r="D579" s="96" t="s">
        <v>1285</v>
      </c>
      <c r="E579" s="96" t="s">
        <v>462</v>
      </c>
    </row>
    <row r="580" spans="2:5" ht="15" customHeight="1" thickBot="1" x14ac:dyDescent="0.35">
      <c r="B580" s="96" t="s">
        <v>1286</v>
      </c>
      <c r="C580" s="97">
        <v>512296</v>
      </c>
      <c r="D580" s="96" t="s">
        <v>1285</v>
      </c>
      <c r="E580" s="96" t="s">
        <v>462</v>
      </c>
    </row>
    <row r="581" spans="2:5" ht="15" customHeight="1" thickBot="1" x14ac:dyDescent="0.35">
      <c r="B581" s="96" t="s">
        <v>1287</v>
      </c>
      <c r="C581" s="97">
        <v>540621</v>
      </c>
      <c r="D581" s="96" t="s">
        <v>1288</v>
      </c>
      <c r="E581" s="96" t="s">
        <v>474</v>
      </c>
    </row>
    <row r="582" spans="2:5" ht="15" customHeight="1" thickBot="1" x14ac:dyDescent="0.35">
      <c r="B582" s="96" t="s">
        <v>1289</v>
      </c>
      <c r="C582" s="97">
        <v>540545</v>
      </c>
      <c r="D582" s="96" t="s">
        <v>388</v>
      </c>
      <c r="E582" s="96" t="s">
        <v>502</v>
      </c>
    </row>
    <row r="583" spans="2:5" ht="15" customHeight="1" thickBot="1" x14ac:dyDescent="0.35">
      <c r="B583" s="96" t="s">
        <v>1290</v>
      </c>
      <c r="C583" s="97">
        <v>512608</v>
      </c>
      <c r="D583" s="96" t="s">
        <v>1291</v>
      </c>
      <c r="E583" s="96" t="s">
        <v>502</v>
      </c>
    </row>
    <row r="584" spans="2:5" ht="15" customHeight="1" thickBot="1" x14ac:dyDescent="0.35">
      <c r="B584" s="96" t="s">
        <v>1292</v>
      </c>
      <c r="C584" s="97">
        <v>538576</v>
      </c>
      <c r="D584" s="96" t="s">
        <v>388</v>
      </c>
      <c r="E584" s="96" t="s">
        <v>474</v>
      </c>
    </row>
    <row r="585" spans="2:5" ht="15" customHeight="1" thickBot="1" x14ac:dyDescent="0.35">
      <c r="B585" s="96" t="s">
        <v>1293</v>
      </c>
      <c r="C585" s="97">
        <v>500052</v>
      </c>
      <c r="D585" s="96" t="s">
        <v>1294</v>
      </c>
      <c r="E585" s="96" t="s">
        <v>548</v>
      </c>
    </row>
    <row r="586" spans="2:5" ht="15" customHeight="1" thickBot="1" x14ac:dyDescent="0.35">
      <c r="B586" s="96" t="s">
        <v>1295</v>
      </c>
      <c r="C586" s="97">
        <v>531862</v>
      </c>
      <c r="D586" s="96" t="s">
        <v>388</v>
      </c>
      <c r="E586" s="96" t="s">
        <v>896</v>
      </c>
    </row>
    <row r="587" spans="2:5" ht="15" customHeight="1" thickBot="1" x14ac:dyDescent="0.35">
      <c r="B587" s="96" t="s">
        <v>1296</v>
      </c>
      <c r="C587" s="97">
        <v>511501</v>
      </c>
      <c r="D587" s="96" t="s">
        <v>388</v>
      </c>
      <c r="E587" s="96" t="s">
        <v>371</v>
      </c>
    </row>
    <row r="588" spans="2:5" ht="15" customHeight="1" thickBot="1" x14ac:dyDescent="0.35">
      <c r="B588" s="96" t="s">
        <v>1297</v>
      </c>
      <c r="C588" s="97">
        <v>503960</v>
      </c>
      <c r="D588" s="96" t="s">
        <v>1298</v>
      </c>
      <c r="E588" s="96" t="s">
        <v>686</v>
      </c>
    </row>
    <row r="589" spans="2:5" ht="15" customHeight="1" thickBot="1" x14ac:dyDescent="0.35">
      <c r="B589" s="96" t="s">
        <v>1299</v>
      </c>
      <c r="C589" s="97">
        <v>541143</v>
      </c>
      <c r="D589" s="96" t="s">
        <v>1300</v>
      </c>
      <c r="E589" s="96" t="s">
        <v>861</v>
      </c>
    </row>
    <row r="590" spans="2:5" ht="15" customHeight="1" thickBot="1" x14ac:dyDescent="0.35">
      <c r="B590" s="96" t="s">
        <v>1301</v>
      </c>
      <c r="C590" s="97">
        <v>500049</v>
      </c>
      <c r="D590" s="96" t="s">
        <v>1302</v>
      </c>
      <c r="E590" s="96" t="s">
        <v>861</v>
      </c>
    </row>
    <row r="591" spans="2:5" ht="15" customHeight="1" thickBot="1" x14ac:dyDescent="0.35">
      <c r="B591" s="96" t="s">
        <v>1303</v>
      </c>
      <c r="C591" s="97">
        <v>533228</v>
      </c>
      <c r="D591" s="96" t="s">
        <v>1304</v>
      </c>
      <c r="E591" s="96" t="s">
        <v>405</v>
      </c>
    </row>
    <row r="592" spans="2:5" ht="15" customHeight="1" thickBot="1" x14ac:dyDescent="0.35">
      <c r="B592" s="96" t="s">
        <v>1305</v>
      </c>
      <c r="C592" s="97">
        <v>500493</v>
      </c>
      <c r="D592" s="96" t="s">
        <v>1306</v>
      </c>
      <c r="E592" s="96" t="s">
        <v>1307</v>
      </c>
    </row>
    <row r="593" spans="2:5" ht="15" customHeight="1" thickBot="1" x14ac:dyDescent="0.35">
      <c r="B593" s="96" t="s">
        <v>1308</v>
      </c>
      <c r="C593" s="97">
        <v>505688</v>
      </c>
      <c r="D593" s="96" t="s">
        <v>1309</v>
      </c>
      <c r="E593" s="96" t="s">
        <v>743</v>
      </c>
    </row>
    <row r="594" spans="2:5" ht="15" customHeight="1" thickBot="1" x14ac:dyDescent="0.35">
      <c r="B594" s="96" t="s">
        <v>1310</v>
      </c>
      <c r="C594" s="97">
        <v>500103</v>
      </c>
      <c r="D594" s="96" t="s">
        <v>1311</v>
      </c>
      <c r="E594" s="96" t="s">
        <v>431</v>
      </c>
    </row>
    <row r="595" spans="2:5" ht="15" customHeight="1" thickBot="1" x14ac:dyDescent="0.35">
      <c r="B595" s="96" t="s">
        <v>1312</v>
      </c>
      <c r="C595" s="97">
        <v>524663</v>
      </c>
      <c r="D595" s="96" t="s">
        <v>388</v>
      </c>
      <c r="E595" s="96" t="s">
        <v>426</v>
      </c>
    </row>
    <row r="596" spans="2:5" ht="15" customHeight="1" thickBot="1" x14ac:dyDescent="0.35">
      <c r="B596" s="96" t="s">
        <v>1313</v>
      </c>
      <c r="C596" s="97">
        <v>541096</v>
      </c>
      <c r="D596" s="96" t="s">
        <v>388</v>
      </c>
      <c r="E596" s="96" t="s">
        <v>426</v>
      </c>
    </row>
    <row r="597" spans="2:5" ht="15" customHeight="1" thickBot="1" x14ac:dyDescent="0.35">
      <c r="B597" s="96" t="s">
        <v>1314</v>
      </c>
      <c r="C597" s="97">
        <v>500547</v>
      </c>
      <c r="D597" s="96" t="s">
        <v>1315</v>
      </c>
      <c r="E597" s="96" t="s">
        <v>1316</v>
      </c>
    </row>
    <row r="598" spans="2:5" ht="15" customHeight="1" thickBot="1" x14ac:dyDescent="0.35">
      <c r="B598" s="96" t="s">
        <v>1317</v>
      </c>
      <c r="C598" s="97">
        <v>590021</v>
      </c>
      <c r="D598" s="96" t="s">
        <v>1318</v>
      </c>
      <c r="E598" s="96" t="s">
        <v>532</v>
      </c>
    </row>
    <row r="599" spans="2:5" ht="15" customHeight="1" thickBot="1" x14ac:dyDescent="0.35">
      <c r="B599" s="96" t="s">
        <v>1319</v>
      </c>
      <c r="C599" s="97">
        <v>540700</v>
      </c>
      <c r="D599" s="96" t="s">
        <v>1320</v>
      </c>
      <c r="E599" s="96" t="s">
        <v>983</v>
      </c>
    </row>
    <row r="600" spans="2:5" ht="15" customHeight="1" thickBot="1" x14ac:dyDescent="0.35">
      <c r="B600" s="96" t="s">
        <v>1321</v>
      </c>
      <c r="C600" s="97">
        <v>523229</v>
      </c>
      <c r="D600" s="96" t="s">
        <v>388</v>
      </c>
      <c r="E600" s="96" t="s">
        <v>743</v>
      </c>
    </row>
    <row r="601" spans="2:5" ht="15" customHeight="1" thickBot="1" x14ac:dyDescent="0.35">
      <c r="B601" s="96" t="s">
        <v>1322</v>
      </c>
      <c r="C601" s="97">
        <v>531029</v>
      </c>
      <c r="D601" s="96" t="s">
        <v>388</v>
      </c>
      <c r="E601" s="96" t="s">
        <v>410</v>
      </c>
    </row>
    <row r="602" spans="2:5" ht="15" customHeight="1" thickBot="1" x14ac:dyDescent="0.35">
      <c r="B602" s="96" t="s">
        <v>1323</v>
      </c>
      <c r="C602" s="97">
        <v>539799</v>
      </c>
      <c r="D602" s="96" t="s">
        <v>1324</v>
      </c>
      <c r="E602" s="96" t="s">
        <v>711</v>
      </c>
    </row>
    <row r="603" spans="2:5" ht="15" customHeight="1" thickBot="1" x14ac:dyDescent="0.35">
      <c r="B603" s="96" t="s">
        <v>1325</v>
      </c>
      <c r="C603" s="97">
        <v>532609</v>
      </c>
      <c r="D603" s="96" t="s">
        <v>1326</v>
      </c>
      <c r="E603" s="96" t="s">
        <v>466</v>
      </c>
    </row>
    <row r="604" spans="2:5" ht="15" customHeight="1" thickBot="1" x14ac:dyDescent="0.35">
      <c r="B604" s="96" t="s">
        <v>1327</v>
      </c>
      <c r="C604" s="97">
        <v>533499</v>
      </c>
      <c r="D604" s="96" t="s">
        <v>1328</v>
      </c>
      <c r="E604" s="96" t="s">
        <v>374</v>
      </c>
    </row>
    <row r="605" spans="2:5" ht="15" customHeight="1" thickBot="1" x14ac:dyDescent="0.35">
      <c r="B605" s="96" t="s">
        <v>1329</v>
      </c>
      <c r="C605" s="97">
        <v>532454</v>
      </c>
      <c r="D605" s="96" t="s">
        <v>1330</v>
      </c>
      <c r="E605" s="96" t="s">
        <v>1331</v>
      </c>
    </row>
    <row r="606" spans="2:5" ht="15" customHeight="1" thickBot="1" x14ac:dyDescent="0.35">
      <c r="B606" s="96" t="s">
        <v>1332</v>
      </c>
      <c r="C606" s="97">
        <v>534816</v>
      </c>
      <c r="D606" s="96" t="s">
        <v>1333</v>
      </c>
      <c r="E606" s="96" t="s">
        <v>1334</v>
      </c>
    </row>
    <row r="607" spans="2:5" ht="15" customHeight="1" thickBot="1" x14ac:dyDescent="0.35">
      <c r="B607" s="96" t="s">
        <v>1335</v>
      </c>
      <c r="C607" s="97">
        <v>526666</v>
      </c>
      <c r="D607" s="96" t="s">
        <v>1336</v>
      </c>
      <c r="E607" s="96" t="s">
        <v>502</v>
      </c>
    </row>
    <row r="608" spans="2:5" ht="15" customHeight="1" thickBot="1" x14ac:dyDescent="0.35">
      <c r="B608" s="96" t="s">
        <v>1337</v>
      </c>
      <c r="C608" s="97">
        <v>524534</v>
      </c>
      <c r="D608" s="96" t="s">
        <v>388</v>
      </c>
      <c r="E608" s="96" t="s">
        <v>532</v>
      </c>
    </row>
    <row r="609" spans="2:5" ht="15" customHeight="1" thickBot="1" x14ac:dyDescent="0.35">
      <c r="B609" s="96" t="s">
        <v>1338</v>
      </c>
      <c r="C609" s="97">
        <v>540956</v>
      </c>
      <c r="D609" s="96" t="s">
        <v>388</v>
      </c>
      <c r="E609" s="96" t="s">
        <v>389</v>
      </c>
    </row>
    <row r="610" spans="2:5" ht="15" customHeight="1" thickBot="1" x14ac:dyDescent="0.35">
      <c r="B610" s="96" t="s">
        <v>1339</v>
      </c>
      <c r="C610" s="97">
        <v>540956</v>
      </c>
      <c r="D610" s="96" t="s">
        <v>388</v>
      </c>
      <c r="E610" s="96" t="s">
        <v>389</v>
      </c>
    </row>
    <row r="611" spans="2:5" ht="15" customHeight="1" thickBot="1" x14ac:dyDescent="0.35">
      <c r="B611" s="96" t="s">
        <v>1340</v>
      </c>
      <c r="C611" s="97">
        <v>514272</v>
      </c>
      <c r="D611" s="96" t="s">
        <v>388</v>
      </c>
      <c r="E611" s="96" t="s">
        <v>403</v>
      </c>
    </row>
    <row r="612" spans="2:5" ht="15" customHeight="1" thickBot="1" x14ac:dyDescent="0.35">
      <c r="B612" s="96" t="s">
        <v>1341</v>
      </c>
      <c r="C612" s="97">
        <v>533108</v>
      </c>
      <c r="D612" s="96" t="s">
        <v>388</v>
      </c>
      <c r="E612" s="96" t="s">
        <v>403</v>
      </c>
    </row>
    <row r="613" spans="2:5" ht="15" customHeight="1" thickBot="1" x14ac:dyDescent="0.35">
      <c r="B613" s="96" t="s">
        <v>1342</v>
      </c>
      <c r="C613" s="97">
        <v>506027</v>
      </c>
      <c r="D613" s="96" t="s">
        <v>388</v>
      </c>
      <c r="E613" s="96" t="s">
        <v>693</v>
      </c>
    </row>
    <row r="614" spans="2:5" ht="15" customHeight="1" thickBot="1" x14ac:dyDescent="0.35">
      <c r="B614" s="96" t="s">
        <v>1343</v>
      </c>
      <c r="C614" s="97">
        <v>500055</v>
      </c>
      <c r="D614" s="96" t="s">
        <v>1344</v>
      </c>
      <c r="E614" s="96" t="s">
        <v>420</v>
      </c>
    </row>
    <row r="615" spans="2:5" ht="15" customHeight="1" thickBot="1" x14ac:dyDescent="0.35">
      <c r="B615" s="96" t="s">
        <v>1345</v>
      </c>
      <c r="C615" s="97">
        <v>540061</v>
      </c>
      <c r="D615" s="96" t="s">
        <v>1346</v>
      </c>
      <c r="E615" s="96" t="s">
        <v>401</v>
      </c>
    </row>
    <row r="616" spans="2:5" ht="15" customHeight="1" thickBot="1" x14ac:dyDescent="0.35">
      <c r="B616" s="96" t="s">
        <v>1347</v>
      </c>
      <c r="C616" s="97">
        <v>500058</v>
      </c>
      <c r="D616" s="96" t="s">
        <v>388</v>
      </c>
      <c r="E616" s="96" t="s">
        <v>420</v>
      </c>
    </row>
    <row r="617" spans="2:5" ht="15" customHeight="1" thickBot="1" x14ac:dyDescent="0.35">
      <c r="B617" s="96" t="s">
        <v>1348</v>
      </c>
      <c r="C617" s="97">
        <v>524723</v>
      </c>
      <c r="D617" s="96" t="s">
        <v>388</v>
      </c>
      <c r="E617" s="96" t="s">
        <v>410</v>
      </c>
    </row>
    <row r="618" spans="2:5" ht="15" customHeight="1" thickBot="1" x14ac:dyDescent="0.35">
      <c r="B618" s="96" t="s">
        <v>1349</v>
      </c>
      <c r="C618" s="97">
        <v>533321</v>
      </c>
      <c r="D618" s="96" t="s">
        <v>1350</v>
      </c>
      <c r="E618" s="96" t="s">
        <v>686</v>
      </c>
    </row>
    <row r="619" spans="2:5" ht="15" customHeight="1" thickBot="1" x14ac:dyDescent="0.35">
      <c r="B619" s="96" t="s">
        <v>1351</v>
      </c>
      <c r="C619" s="97">
        <v>526853</v>
      </c>
      <c r="D619" s="96" t="s">
        <v>388</v>
      </c>
      <c r="E619" s="96" t="s">
        <v>1352</v>
      </c>
    </row>
    <row r="620" spans="2:5" ht="15" customHeight="1" thickBot="1" x14ac:dyDescent="0.35">
      <c r="B620" s="96" t="s">
        <v>1353</v>
      </c>
      <c r="C620" s="97">
        <v>505681</v>
      </c>
      <c r="D620" s="96" t="s">
        <v>388</v>
      </c>
      <c r="E620" s="96" t="s">
        <v>743</v>
      </c>
    </row>
    <row r="621" spans="2:5" ht="15" customHeight="1" thickBot="1" x14ac:dyDescent="0.35">
      <c r="B621" s="96" t="s">
        <v>1354</v>
      </c>
      <c r="C621" s="97">
        <v>500059</v>
      </c>
      <c r="D621" s="96" t="s">
        <v>1355</v>
      </c>
      <c r="E621" s="96" t="s">
        <v>554</v>
      </c>
    </row>
    <row r="622" spans="2:5" ht="15" customHeight="1" thickBot="1" x14ac:dyDescent="0.35">
      <c r="B622" s="96" t="s">
        <v>1356</v>
      </c>
      <c r="C622" s="97">
        <v>523054</v>
      </c>
      <c r="D622" s="96" t="s">
        <v>388</v>
      </c>
      <c r="E622" s="96" t="s">
        <v>403</v>
      </c>
    </row>
    <row r="623" spans="2:5" ht="15" customHeight="1" thickBot="1" x14ac:dyDescent="0.35">
      <c r="B623" s="96" t="s">
        <v>1357</v>
      </c>
      <c r="C623" s="97">
        <v>540148</v>
      </c>
      <c r="D623" s="96" t="s">
        <v>388</v>
      </c>
      <c r="E623" s="96" t="s">
        <v>502</v>
      </c>
    </row>
    <row r="624" spans="2:5" ht="15" customHeight="1" thickBot="1" x14ac:dyDescent="0.35">
      <c r="B624" s="96" t="s">
        <v>1358</v>
      </c>
      <c r="C624" s="97">
        <v>514215</v>
      </c>
      <c r="D624" s="96" t="s">
        <v>388</v>
      </c>
      <c r="E624" s="96" t="s">
        <v>403</v>
      </c>
    </row>
    <row r="625" spans="2:5" ht="15" customHeight="1" thickBot="1" x14ac:dyDescent="0.35">
      <c r="B625" s="96" t="s">
        <v>1359</v>
      </c>
      <c r="C625" s="97">
        <v>535620</v>
      </c>
      <c r="D625" s="96" t="s">
        <v>388</v>
      </c>
      <c r="E625" s="96" t="s">
        <v>410</v>
      </c>
    </row>
    <row r="626" spans="2:5" ht="15" customHeight="1" thickBot="1" x14ac:dyDescent="0.35">
      <c r="B626" s="96" t="s">
        <v>1360</v>
      </c>
      <c r="C626" s="97">
        <v>534535</v>
      </c>
      <c r="D626" s="96" t="s">
        <v>388</v>
      </c>
      <c r="E626" s="96" t="s">
        <v>382</v>
      </c>
    </row>
    <row r="627" spans="2:5" ht="15" customHeight="1" thickBot="1" x14ac:dyDescent="0.35">
      <c r="B627" s="96" t="s">
        <v>1361</v>
      </c>
      <c r="C627" s="97">
        <v>532523</v>
      </c>
      <c r="D627" s="96" t="s">
        <v>1362</v>
      </c>
      <c r="E627" s="96" t="s">
        <v>726</v>
      </c>
    </row>
    <row r="628" spans="2:5" ht="15" customHeight="1" thickBot="1" x14ac:dyDescent="0.35">
      <c r="B628" s="96" t="s">
        <v>1363</v>
      </c>
      <c r="C628" s="97">
        <v>524396</v>
      </c>
      <c r="D628" s="96" t="s">
        <v>1364</v>
      </c>
      <c r="E628" s="96" t="s">
        <v>426</v>
      </c>
    </row>
    <row r="629" spans="2:5" ht="15" customHeight="1" thickBot="1" x14ac:dyDescent="0.35">
      <c r="B629" s="96" t="s">
        <v>1365</v>
      </c>
      <c r="C629" s="97">
        <v>532330</v>
      </c>
      <c r="D629" s="96" t="s">
        <v>388</v>
      </c>
      <c r="E629" s="96" t="s">
        <v>508</v>
      </c>
    </row>
    <row r="630" spans="2:5" ht="15" customHeight="1" thickBot="1" x14ac:dyDescent="0.35">
      <c r="B630" s="96" t="s">
        <v>1366</v>
      </c>
      <c r="C630" s="97">
        <v>538364</v>
      </c>
      <c r="D630" s="96" t="s">
        <v>388</v>
      </c>
      <c r="E630" s="96" t="s">
        <v>403</v>
      </c>
    </row>
    <row r="631" spans="2:5" ht="15" customHeight="1" thickBot="1" x14ac:dyDescent="0.35">
      <c r="B631" s="96" t="s">
        <v>1367</v>
      </c>
      <c r="C631" s="97">
        <v>500060</v>
      </c>
      <c r="D631" s="96" t="s">
        <v>1368</v>
      </c>
      <c r="E631" s="96" t="s">
        <v>686</v>
      </c>
    </row>
    <row r="632" spans="2:5" ht="15" customHeight="1" thickBot="1" x14ac:dyDescent="0.35">
      <c r="B632" s="96" t="s">
        <v>1369</v>
      </c>
      <c r="C632" s="97">
        <v>500335</v>
      </c>
      <c r="D632" s="96" t="s">
        <v>1370</v>
      </c>
      <c r="E632" s="96" t="s">
        <v>401</v>
      </c>
    </row>
    <row r="633" spans="2:5" ht="15" customHeight="1" thickBot="1" x14ac:dyDescent="0.35">
      <c r="B633" s="96" t="s">
        <v>1371</v>
      </c>
      <c r="C633" s="97">
        <v>533006</v>
      </c>
      <c r="D633" s="96" t="s">
        <v>388</v>
      </c>
      <c r="E633" s="96" t="s">
        <v>403</v>
      </c>
    </row>
    <row r="634" spans="2:5" ht="15" customHeight="1" thickBot="1" x14ac:dyDescent="0.35">
      <c r="B634" s="96" t="s">
        <v>1372</v>
      </c>
      <c r="C634" s="97">
        <v>533006</v>
      </c>
      <c r="D634" s="96" t="s">
        <v>388</v>
      </c>
      <c r="E634" s="96" t="s">
        <v>403</v>
      </c>
    </row>
    <row r="635" spans="2:5" ht="15" customHeight="1" thickBot="1" x14ac:dyDescent="0.35">
      <c r="B635" s="96" t="s">
        <v>1373</v>
      </c>
      <c r="C635" s="97">
        <v>522105</v>
      </c>
      <c r="D635" s="96" t="s">
        <v>388</v>
      </c>
      <c r="E635" s="96" t="s">
        <v>396</v>
      </c>
    </row>
    <row r="636" spans="2:5" ht="15" customHeight="1" thickBot="1" x14ac:dyDescent="0.35">
      <c r="B636" s="96" t="s">
        <v>1374</v>
      </c>
      <c r="C636" s="97">
        <v>533408</v>
      </c>
      <c r="D636" s="96" t="s">
        <v>1375</v>
      </c>
      <c r="E636" s="96" t="s">
        <v>371</v>
      </c>
    </row>
    <row r="637" spans="2:5" ht="15" customHeight="1" thickBot="1" x14ac:dyDescent="0.35">
      <c r="B637" s="96" t="s">
        <v>1376</v>
      </c>
      <c r="C637" s="96" t="s">
        <v>388</v>
      </c>
      <c r="D637" s="96" t="s">
        <v>1377</v>
      </c>
      <c r="E637" s="96" t="s">
        <v>374</v>
      </c>
    </row>
    <row r="638" spans="2:5" ht="15" customHeight="1" thickBot="1" x14ac:dyDescent="0.35">
      <c r="B638" s="96" t="s">
        <v>1378</v>
      </c>
      <c r="C638" s="97">
        <v>539043</v>
      </c>
      <c r="D638" s="96" t="s">
        <v>1379</v>
      </c>
      <c r="E638" s="96" t="s">
        <v>583</v>
      </c>
    </row>
    <row r="639" spans="2:5" ht="15" customHeight="1" thickBot="1" x14ac:dyDescent="0.35">
      <c r="B639" s="96" t="s">
        <v>1380</v>
      </c>
      <c r="C639" s="97">
        <v>514183</v>
      </c>
      <c r="D639" s="96" t="s">
        <v>388</v>
      </c>
      <c r="E639" s="96" t="s">
        <v>548</v>
      </c>
    </row>
    <row r="640" spans="2:5" ht="15" customHeight="1" thickBot="1" x14ac:dyDescent="0.35">
      <c r="B640" s="96" t="s">
        <v>1381</v>
      </c>
      <c r="C640" s="97">
        <v>532290</v>
      </c>
      <c r="D640" s="96" t="s">
        <v>1382</v>
      </c>
      <c r="E640" s="96" t="s">
        <v>371</v>
      </c>
    </row>
    <row r="641" spans="2:5" ht="15" customHeight="1" thickBot="1" x14ac:dyDescent="0.35">
      <c r="B641" s="96" t="s">
        <v>1383</v>
      </c>
      <c r="C641" s="97">
        <v>506197</v>
      </c>
      <c r="D641" s="96" t="s">
        <v>1384</v>
      </c>
      <c r="E641" s="96" t="s">
        <v>426</v>
      </c>
    </row>
    <row r="642" spans="2:5" ht="15" customHeight="1" thickBot="1" x14ac:dyDescent="0.35">
      <c r="B642" s="96" t="s">
        <v>1385</v>
      </c>
      <c r="C642" s="97">
        <v>526225</v>
      </c>
      <c r="D642" s="96" t="s">
        <v>388</v>
      </c>
      <c r="E642" s="96" t="s">
        <v>508</v>
      </c>
    </row>
    <row r="643" spans="2:5" ht="15" customHeight="1" thickBot="1" x14ac:dyDescent="0.35">
      <c r="B643" s="96" t="s">
        <v>1386</v>
      </c>
      <c r="C643" s="97">
        <v>513422</v>
      </c>
      <c r="D643" s="96" t="s">
        <v>388</v>
      </c>
      <c r="E643" s="96" t="s">
        <v>420</v>
      </c>
    </row>
    <row r="644" spans="2:5" ht="15" customHeight="1" thickBot="1" x14ac:dyDescent="0.35">
      <c r="B644" s="96" t="s">
        <v>1387</v>
      </c>
      <c r="C644" s="97">
        <v>531175</v>
      </c>
      <c r="D644" s="96" t="s">
        <v>388</v>
      </c>
      <c r="E644" s="96" t="s">
        <v>481</v>
      </c>
    </row>
    <row r="645" spans="2:5" ht="15" customHeight="1" thickBot="1" x14ac:dyDescent="0.35">
      <c r="B645" s="96" t="s">
        <v>1388</v>
      </c>
      <c r="C645" s="97">
        <v>540073</v>
      </c>
      <c r="D645" s="96" t="s">
        <v>1389</v>
      </c>
      <c r="E645" s="96" t="s">
        <v>1390</v>
      </c>
    </row>
    <row r="646" spans="2:5" ht="15" customHeight="1" thickBot="1" x14ac:dyDescent="0.35">
      <c r="B646" s="96" t="s">
        <v>1391</v>
      </c>
      <c r="C646" s="97">
        <v>502761</v>
      </c>
      <c r="D646" s="96" t="s">
        <v>388</v>
      </c>
      <c r="E646" s="96" t="s">
        <v>403</v>
      </c>
    </row>
    <row r="647" spans="2:5" ht="15" customHeight="1" thickBot="1" x14ac:dyDescent="0.35">
      <c r="B647" s="96" t="s">
        <v>1392</v>
      </c>
      <c r="C647" s="96" t="s">
        <v>388</v>
      </c>
      <c r="D647" s="96" t="s">
        <v>1393</v>
      </c>
      <c r="E647" s="96" t="s">
        <v>479</v>
      </c>
    </row>
    <row r="648" spans="2:5" ht="15" customHeight="1" thickBot="1" x14ac:dyDescent="0.35">
      <c r="B648" s="96" t="s">
        <v>1394</v>
      </c>
      <c r="C648" s="97">
        <v>502761</v>
      </c>
      <c r="D648" s="96" t="s">
        <v>388</v>
      </c>
      <c r="E648" s="96" t="s">
        <v>403</v>
      </c>
    </row>
    <row r="649" spans="2:5" ht="15" customHeight="1" thickBot="1" x14ac:dyDescent="0.35">
      <c r="B649" s="96" t="s">
        <v>1395</v>
      </c>
      <c r="C649" s="97">
        <v>506981</v>
      </c>
      <c r="D649" s="96" t="s">
        <v>388</v>
      </c>
      <c r="E649" s="96" t="s">
        <v>403</v>
      </c>
    </row>
    <row r="650" spans="2:5" ht="15" customHeight="1" thickBot="1" x14ac:dyDescent="0.35">
      <c r="B650" s="96" t="s">
        <v>1396</v>
      </c>
      <c r="C650" s="97">
        <v>508939</v>
      </c>
      <c r="D650" s="96" t="s">
        <v>388</v>
      </c>
      <c r="E650" s="96" t="s">
        <v>405</v>
      </c>
    </row>
    <row r="651" spans="2:5" ht="15" customHeight="1" thickBot="1" x14ac:dyDescent="0.35">
      <c r="B651" s="96" t="s">
        <v>1397</v>
      </c>
      <c r="C651" s="97">
        <v>539607</v>
      </c>
      <c r="D651" s="96" t="s">
        <v>388</v>
      </c>
      <c r="E651" s="96" t="s">
        <v>481</v>
      </c>
    </row>
    <row r="652" spans="2:5" ht="15" customHeight="1" thickBot="1" x14ac:dyDescent="0.35">
      <c r="B652" s="96" t="s">
        <v>1398</v>
      </c>
      <c r="C652" s="97">
        <v>531495</v>
      </c>
      <c r="D652" s="96" t="s">
        <v>1399</v>
      </c>
      <c r="E652" s="96" t="s">
        <v>589</v>
      </c>
    </row>
    <row r="653" spans="2:5" ht="15" customHeight="1" thickBot="1" x14ac:dyDescent="0.35">
      <c r="B653" s="96" t="s">
        <v>1400</v>
      </c>
      <c r="C653" s="97">
        <v>526612</v>
      </c>
      <c r="D653" s="96" t="s">
        <v>1401</v>
      </c>
      <c r="E653" s="96" t="s">
        <v>709</v>
      </c>
    </row>
    <row r="654" spans="2:5" ht="15" customHeight="1" thickBot="1" x14ac:dyDescent="0.35">
      <c r="B654" s="96" t="s">
        <v>1402</v>
      </c>
      <c r="C654" s="97">
        <v>514440</v>
      </c>
      <c r="D654" s="96" t="s">
        <v>388</v>
      </c>
      <c r="E654" s="96" t="s">
        <v>436</v>
      </c>
    </row>
    <row r="655" spans="2:5" ht="15" customHeight="1" thickBot="1" x14ac:dyDescent="0.35">
      <c r="B655" s="96" t="s">
        <v>1403</v>
      </c>
      <c r="C655" s="97">
        <v>500067</v>
      </c>
      <c r="D655" s="96" t="s">
        <v>1404</v>
      </c>
      <c r="E655" s="96" t="s">
        <v>757</v>
      </c>
    </row>
    <row r="656" spans="2:5" ht="15" customHeight="1" thickBot="1" x14ac:dyDescent="0.35">
      <c r="B656" s="96" t="s">
        <v>1405</v>
      </c>
      <c r="C656" s="97">
        <v>539637</v>
      </c>
      <c r="D656" s="96" t="s">
        <v>388</v>
      </c>
      <c r="E656" s="96" t="s">
        <v>371</v>
      </c>
    </row>
    <row r="657" spans="2:5" ht="15" customHeight="1" thickBot="1" x14ac:dyDescent="0.35">
      <c r="B657" s="96" t="s">
        <v>1406</v>
      </c>
      <c r="C657" s="97">
        <v>531713</v>
      </c>
      <c r="D657" s="96" t="s">
        <v>388</v>
      </c>
      <c r="E657" s="96" t="s">
        <v>809</v>
      </c>
    </row>
    <row r="658" spans="2:5" ht="15" customHeight="1" thickBot="1" x14ac:dyDescent="0.35">
      <c r="B658" s="96" t="s">
        <v>1407</v>
      </c>
      <c r="C658" s="97">
        <v>531420</v>
      </c>
      <c r="D658" s="96" t="s">
        <v>388</v>
      </c>
      <c r="E658" s="96" t="s">
        <v>391</v>
      </c>
    </row>
    <row r="659" spans="2:5" ht="15" customHeight="1" thickBot="1" x14ac:dyDescent="0.35">
      <c r="B659" s="96" t="s">
        <v>1408</v>
      </c>
      <c r="C659" s="97">
        <v>542669</v>
      </c>
      <c r="D659" s="96" t="s">
        <v>1409</v>
      </c>
      <c r="E659" s="96" t="s">
        <v>506</v>
      </c>
    </row>
    <row r="660" spans="2:5" ht="15" customHeight="1" thickBot="1" x14ac:dyDescent="0.35">
      <c r="B660" s="96" t="s">
        <v>1410</v>
      </c>
      <c r="C660" s="97">
        <v>500069</v>
      </c>
      <c r="D660" s="96" t="s">
        <v>388</v>
      </c>
      <c r="E660" s="96" t="s">
        <v>371</v>
      </c>
    </row>
    <row r="661" spans="2:5" ht="15" customHeight="1" thickBot="1" x14ac:dyDescent="0.35">
      <c r="B661" s="96" t="s">
        <v>1411</v>
      </c>
      <c r="C661" s="97">
        <v>530809</v>
      </c>
      <c r="D661" s="96" t="s">
        <v>388</v>
      </c>
      <c r="E661" s="96" t="s">
        <v>718</v>
      </c>
    </row>
    <row r="662" spans="2:5" ht="15" customHeight="1" thickBot="1" x14ac:dyDescent="0.35">
      <c r="B662" s="96" t="s">
        <v>1412</v>
      </c>
      <c r="C662" s="97">
        <v>524370</v>
      </c>
      <c r="D662" s="96" t="s">
        <v>1413</v>
      </c>
      <c r="E662" s="96" t="s">
        <v>548</v>
      </c>
    </row>
    <row r="663" spans="2:5" ht="15" customHeight="1" thickBot="1" x14ac:dyDescent="0.35">
      <c r="B663" s="96" t="s">
        <v>1414</v>
      </c>
      <c r="C663" s="97">
        <v>539122</v>
      </c>
      <c r="D663" s="96" t="s">
        <v>388</v>
      </c>
      <c r="E663" s="96" t="s">
        <v>374</v>
      </c>
    </row>
    <row r="664" spans="2:5" ht="15" customHeight="1" thickBot="1" x14ac:dyDescent="0.35">
      <c r="B664" s="96" t="s">
        <v>1415</v>
      </c>
      <c r="C664" s="96" t="s">
        <v>388</v>
      </c>
      <c r="D664" s="96" t="s">
        <v>1416</v>
      </c>
      <c r="E664" s="96" t="s">
        <v>399</v>
      </c>
    </row>
    <row r="665" spans="2:5" ht="15" customHeight="1" thickBot="1" x14ac:dyDescent="0.35">
      <c r="B665" s="96" t="s">
        <v>1417</v>
      </c>
      <c r="C665" s="97">
        <v>501425</v>
      </c>
      <c r="D665" s="96" t="s">
        <v>1418</v>
      </c>
      <c r="E665" s="96" t="s">
        <v>795</v>
      </c>
    </row>
    <row r="666" spans="2:5" ht="15" customHeight="1" thickBot="1" x14ac:dyDescent="0.35">
      <c r="B666" s="96" t="s">
        <v>1419</v>
      </c>
      <c r="C666" s="97">
        <v>501430</v>
      </c>
      <c r="D666" s="96" t="s">
        <v>388</v>
      </c>
      <c r="E666" s="96" t="s">
        <v>410</v>
      </c>
    </row>
    <row r="667" spans="2:5" ht="15" customHeight="1" thickBot="1" x14ac:dyDescent="0.35">
      <c r="B667" s="96" t="s">
        <v>1420</v>
      </c>
      <c r="C667" s="97">
        <v>500020</v>
      </c>
      <c r="D667" s="96" t="s">
        <v>1421</v>
      </c>
      <c r="E667" s="96" t="s">
        <v>403</v>
      </c>
    </row>
    <row r="668" spans="2:5" ht="15" customHeight="1" thickBot="1" x14ac:dyDescent="0.35">
      <c r="B668" s="96" t="s">
        <v>1422</v>
      </c>
      <c r="C668" s="97">
        <v>509470</v>
      </c>
      <c r="D668" s="96" t="s">
        <v>388</v>
      </c>
      <c r="E668" s="96" t="s">
        <v>1423</v>
      </c>
    </row>
    <row r="669" spans="2:5" ht="15" customHeight="1" thickBot="1" x14ac:dyDescent="0.35">
      <c r="B669" s="96" t="s">
        <v>1424</v>
      </c>
      <c r="C669" s="97">
        <v>502216</v>
      </c>
      <c r="D669" s="96" t="s">
        <v>388</v>
      </c>
      <c r="E669" s="96" t="s">
        <v>474</v>
      </c>
    </row>
    <row r="670" spans="2:5" ht="15" customHeight="1" thickBot="1" x14ac:dyDescent="0.35">
      <c r="B670" s="96" t="s">
        <v>1425</v>
      </c>
      <c r="C670" s="97">
        <v>532678</v>
      </c>
      <c r="D670" s="96" t="s">
        <v>1426</v>
      </c>
      <c r="E670" s="96" t="s">
        <v>403</v>
      </c>
    </row>
    <row r="671" spans="2:5" ht="15" customHeight="1" thickBot="1" x14ac:dyDescent="0.35">
      <c r="B671" s="96" t="s">
        <v>1427</v>
      </c>
      <c r="C671" s="96" t="s">
        <v>388</v>
      </c>
      <c r="D671" s="96" t="s">
        <v>1428</v>
      </c>
      <c r="E671" s="96" t="s">
        <v>399</v>
      </c>
    </row>
    <row r="672" spans="2:5" ht="15" customHeight="1" thickBot="1" x14ac:dyDescent="0.35">
      <c r="B672" s="96" t="s">
        <v>1429</v>
      </c>
      <c r="C672" s="97">
        <v>504648</v>
      </c>
      <c r="D672" s="96" t="s">
        <v>388</v>
      </c>
      <c r="E672" s="96" t="s">
        <v>711</v>
      </c>
    </row>
    <row r="673" spans="2:5" ht="15" customHeight="1" thickBot="1" x14ac:dyDescent="0.35">
      <c r="B673" s="96" t="s">
        <v>1430</v>
      </c>
      <c r="C673" s="97">
        <v>523133</v>
      </c>
      <c r="D673" s="96" t="s">
        <v>388</v>
      </c>
      <c r="E673" s="96" t="s">
        <v>403</v>
      </c>
    </row>
    <row r="674" spans="2:5" ht="15" customHeight="1" thickBot="1" x14ac:dyDescent="0.35">
      <c r="B674" s="96" t="s">
        <v>1431</v>
      </c>
      <c r="C674" s="97">
        <v>502219</v>
      </c>
      <c r="D674" s="96" t="s">
        <v>1432</v>
      </c>
      <c r="E674" s="96" t="s">
        <v>1433</v>
      </c>
    </row>
    <row r="675" spans="2:5" ht="15" customHeight="1" thickBot="1" x14ac:dyDescent="0.35">
      <c r="B675" s="96" t="s">
        <v>1434</v>
      </c>
      <c r="C675" s="97">
        <v>500530</v>
      </c>
      <c r="D675" s="96" t="s">
        <v>1435</v>
      </c>
      <c r="E675" s="96" t="s">
        <v>743</v>
      </c>
    </row>
    <row r="676" spans="2:5" ht="15" customHeight="1" thickBot="1" x14ac:dyDescent="0.35">
      <c r="B676" s="96" t="s">
        <v>1436</v>
      </c>
      <c r="C676" s="97">
        <v>536820</v>
      </c>
      <c r="D676" s="96" t="s">
        <v>388</v>
      </c>
      <c r="E676" s="96" t="s">
        <v>481</v>
      </c>
    </row>
    <row r="677" spans="2:5" ht="15" customHeight="1" thickBot="1" x14ac:dyDescent="0.35">
      <c r="B677" s="96" t="s">
        <v>1437</v>
      </c>
      <c r="C677" s="97">
        <v>536820</v>
      </c>
      <c r="D677" s="96" t="s">
        <v>388</v>
      </c>
      <c r="E677" s="96" t="s">
        <v>481</v>
      </c>
    </row>
    <row r="678" spans="2:5" ht="15" customHeight="1" thickBot="1" x14ac:dyDescent="0.35">
      <c r="B678" s="96" t="s">
        <v>1438</v>
      </c>
      <c r="C678" s="97">
        <v>535279</v>
      </c>
      <c r="D678" s="96" t="s">
        <v>388</v>
      </c>
      <c r="E678" s="96" t="s">
        <v>693</v>
      </c>
    </row>
    <row r="679" spans="2:5" ht="15" customHeight="1" thickBot="1" x14ac:dyDescent="0.35">
      <c r="B679" s="96" t="s">
        <v>1439</v>
      </c>
      <c r="C679" s="97">
        <v>500074</v>
      </c>
      <c r="D679" s="96" t="s">
        <v>1440</v>
      </c>
      <c r="E679" s="96" t="s">
        <v>757</v>
      </c>
    </row>
    <row r="680" spans="2:5" ht="15" customHeight="1" thickBot="1" x14ac:dyDescent="0.35">
      <c r="B680" s="96" t="s">
        <v>1441</v>
      </c>
      <c r="C680" s="97">
        <v>505690</v>
      </c>
      <c r="D680" s="96" t="s">
        <v>388</v>
      </c>
      <c r="E680" s="96" t="s">
        <v>466</v>
      </c>
    </row>
    <row r="681" spans="2:5" ht="15" customHeight="1" thickBot="1" x14ac:dyDescent="0.35">
      <c r="B681" s="96" t="s">
        <v>1442</v>
      </c>
      <c r="C681" s="97">
        <v>535693</v>
      </c>
      <c r="D681" s="96" t="s">
        <v>388</v>
      </c>
      <c r="E681" s="96" t="s">
        <v>786</v>
      </c>
    </row>
    <row r="682" spans="2:5" ht="15" customHeight="1" thickBot="1" x14ac:dyDescent="0.35">
      <c r="B682" s="96" t="s">
        <v>1443</v>
      </c>
      <c r="C682" s="96" t="s">
        <v>388</v>
      </c>
      <c r="D682" s="96" t="s">
        <v>1444</v>
      </c>
      <c r="E682" s="96" t="s">
        <v>399</v>
      </c>
    </row>
    <row r="683" spans="2:5" ht="15" customHeight="1" thickBot="1" x14ac:dyDescent="0.35">
      <c r="B683" s="96" t="s">
        <v>1445</v>
      </c>
      <c r="C683" s="97">
        <v>531203</v>
      </c>
      <c r="D683" s="96" t="s">
        <v>388</v>
      </c>
      <c r="E683" s="96" t="s">
        <v>472</v>
      </c>
    </row>
    <row r="684" spans="2:5" ht="15" customHeight="1" thickBot="1" x14ac:dyDescent="0.35">
      <c r="B684" s="96" t="s">
        <v>1446</v>
      </c>
      <c r="C684" s="97">
        <v>530207</v>
      </c>
      <c r="D684" s="96" t="s">
        <v>388</v>
      </c>
      <c r="E684" s="96" t="s">
        <v>426</v>
      </c>
    </row>
    <row r="685" spans="2:5" ht="15" customHeight="1" thickBot="1" x14ac:dyDescent="0.35">
      <c r="B685" s="96" t="s">
        <v>1447</v>
      </c>
      <c r="C685" s="97">
        <v>530249</v>
      </c>
      <c r="D685" s="96" t="s">
        <v>388</v>
      </c>
      <c r="E685" s="96" t="s">
        <v>371</v>
      </c>
    </row>
    <row r="686" spans="2:5" ht="15" customHeight="1" thickBot="1" x14ac:dyDescent="0.35">
      <c r="B686" s="96" t="s">
        <v>1448</v>
      </c>
      <c r="C686" s="97">
        <v>532929</v>
      </c>
      <c r="D686" s="96" t="s">
        <v>1449</v>
      </c>
      <c r="E686" s="96" t="s">
        <v>474</v>
      </c>
    </row>
    <row r="687" spans="2:5" ht="15" customHeight="1" thickBot="1" x14ac:dyDescent="0.35">
      <c r="B687" s="96" t="s">
        <v>1450</v>
      </c>
      <c r="C687" s="97">
        <v>526731</v>
      </c>
      <c r="D687" s="96" t="s">
        <v>388</v>
      </c>
      <c r="E687" s="96" t="s">
        <v>583</v>
      </c>
    </row>
    <row r="688" spans="2:5" ht="15" customHeight="1" thickBot="1" x14ac:dyDescent="0.35">
      <c r="B688" s="96" t="s">
        <v>1451</v>
      </c>
      <c r="C688" s="96" t="s">
        <v>388</v>
      </c>
      <c r="D688" s="96" t="s">
        <v>1452</v>
      </c>
      <c r="E688" s="96" t="s">
        <v>399</v>
      </c>
    </row>
    <row r="689" spans="2:5" ht="15" customHeight="1" thickBot="1" x14ac:dyDescent="0.35">
      <c r="B689" s="96" t="s">
        <v>1453</v>
      </c>
      <c r="C689" s="97">
        <v>532368</v>
      </c>
      <c r="D689" s="96" t="s">
        <v>1454</v>
      </c>
      <c r="E689" s="96" t="s">
        <v>481</v>
      </c>
    </row>
    <row r="690" spans="2:5" ht="15" customHeight="1" thickBot="1" x14ac:dyDescent="0.35">
      <c r="B690" s="96" t="s">
        <v>1455</v>
      </c>
      <c r="C690" s="97">
        <v>532113</v>
      </c>
      <c r="D690" s="96" t="s">
        <v>1456</v>
      </c>
      <c r="E690" s="96" t="s">
        <v>405</v>
      </c>
    </row>
    <row r="691" spans="2:5" ht="15" customHeight="1" thickBot="1" x14ac:dyDescent="0.35">
      <c r="B691" s="96" t="s">
        <v>1457</v>
      </c>
      <c r="C691" s="97">
        <v>539434</v>
      </c>
      <c r="D691" s="96" t="s">
        <v>388</v>
      </c>
      <c r="E691" s="96" t="s">
        <v>405</v>
      </c>
    </row>
    <row r="692" spans="2:5" ht="15" customHeight="1" thickBot="1" x14ac:dyDescent="0.35">
      <c r="B692" s="96" t="s">
        <v>1458</v>
      </c>
      <c r="C692" s="97">
        <v>500825</v>
      </c>
      <c r="D692" s="96" t="s">
        <v>1459</v>
      </c>
      <c r="E692" s="96" t="s">
        <v>448</v>
      </c>
    </row>
    <row r="693" spans="2:5" ht="15" customHeight="1" thickBot="1" x14ac:dyDescent="0.35">
      <c r="B693" s="96" t="s">
        <v>1460</v>
      </c>
      <c r="C693" s="97">
        <v>534731</v>
      </c>
      <c r="D693" s="96" t="s">
        <v>388</v>
      </c>
      <c r="E693" s="96" t="s">
        <v>786</v>
      </c>
    </row>
    <row r="694" spans="2:5" ht="15" customHeight="1" thickBot="1" x14ac:dyDescent="0.35">
      <c r="B694" s="96" t="s">
        <v>1461</v>
      </c>
      <c r="C694" s="97">
        <v>533543</v>
      </c>
      <c r="D694" s="96" t="s">
        <v>1462</v>
      </c>
      <c r="E694" s="96" t="s">
        <v>426</v>
      </c>
    </row>
    <row r="695" spans="2:5" ht="15" customHeight="1" thickBot="1" x14ac:dyDescent="0.35">
      <c r="B695" s="96" t="s">
        <v>1463</v>
      </c>
      <c r="C695" s="96" t="s">
        <v>388</v>
      </c>
      <c r="D695" s="96" t="s">
        <v>363</v>
      </c>
      <c r="E695" s="96" t="s">
        <v>479</v>
      </c>
    </row>
    <row r="696" spans="2:5" ht="15" customHeight="1" thickBot="1" x14ac:dyDescent="0.35">
      <c r="B696" s="96" t="s">
        <v>1464</v>
      </c>
      <c r="C696" s="97">
        <v>532123</v>
      </c>
      <c r="D696" s="96" t="s">
        <v>1465</v>
      </c>
      <c r="E696" s="96" t="s">
        <v>474</v>
      </c>
    </row>
    <row r="697" spans="2:5" ht="15" customHeight="1" thickBot="1" x14ac:dyDescent="0.35">
      <c r="B697" s="96" t="s">
        <v>1466</v>
      </c>
      <c r="C697" s="97">
        <v>514045</v>
      </c>
      <c r="D697" s="96" t="s">
        <v>1467</v>
      </c>
      <c r="E697" s="96" t="s">
        <v>403</v>
      </c>
    </row>
    <row r="698" spans="2:5" ht="15" customHeight="1" thickBot="1" x14ac:dyDescent="0.35">
      <c r="B698" s="96" t="s">
        <v>1468</v>
      </c>
      <c r="C698" s="97">
        <v>538789</v>
      </c>
      <c r="D698" s="96" t="s">
        <v>388</v>
      </c>
      <c r="E698" s="96" t="s">
        <v>625</v>
      </c>
    </row>
    <row r="699" spans="2:5" ht="15" customHeight="1" thickBot="1" x14ac:dyDescent="0.35">
      <c r="B699" s="96" t="s">
        <v>1469</v>
      </c>
      <c r="C699" s="97">
        <v>540006</v>
      </c>
      <c r="D699" s="96" t="s">
        <v>388</v>
      </c>
      <c r="E699" s="96" t="s">
        <v>371</v>
      </c>
    </row>
    <row r="700" spans="2:5" ht="15" customHeight="1" thickBot="1" x14ac:dyDescent="0.35">
      <c r="B700" s="96" t="s">
        <v>1470</v>
      </c>
      <c r="C700" s="97">
        <v>532931</v>
      </c>
      <c r="D700" s="96" t="s">
        <v>1471</v>
      </c>
      <c r="E700" s="96" t="s">
        <v>401</v>
      </c>
    </row>
    <row r="701" spans="2:5" ht="15" customHeight="1" thickBot="1" x14ac:dyDescent="0.35">
      <c r="B701" s="96" t="s">
        <v>1472</v>
      </c>
      <c r="C701" s="97">
        <v>517421</v>
      </c>
      <c r="D701" s="96" t="s">
        <v>1473</v>
      </c>
      <c r="E701" s="96" t="s">
        <v>1152</v>
      </c>
    </row>
    <row r="702" spans="2:5" ht="15" customHeight="1" thickBot="1" x14ac:dyDescent="0.35">
      <c r="B702" s="96" t="s">
        <v>1474</v>
      </c>
      <c r="C702" s="97">
        <v>504643</v>
      </c>
      <c r="D702" s="96" t="s">
        <v>388</v>
      </c>
      <c r="E702" s="96" t="s">
        <v>711</v>
      </c>
    </row>
    <row r="703" spans="2:5" ht="15" customHeight="1" thickBot="1" x14ac:dyDescent="0.35">
      <c r="B703" s="96" t="s">
        <v>1475</v>
      </c>
      <c r="C703" s="97">
        <v>532813</v>
      </c>
      <c r="D703" s="96" t="s">
        <v>1476</v>
      </c>
      <c r="E703" s="96" t="s">
        <v>786</v>
      </c>
    </row>
    <row r="704" spans="2:5" ht="15" customHeight="1" thickBot="1" x14ac:dyDescent="0.35">
      <c r="B704" s="96" t="s">
        <v>1477</v>
      </c>
      <c r="C704" s="97">
        <v>507515</v>
      </c>
      <c r="D704" s="96" t="s">
        <v>388</v>
      </c>
      <c r="E704" s="96" t="s">
        <v>548</v>
      </c>
    </row>
    <row r="705" spans="2:5" ht="15" customHeight="1" thickBot="1" x14ac:dyDescent="0.35">
      <c r="B705" s="96" t="s">
        <v>1478</v>
      </c>
      <c r="C705" s="97">
        <v>532321</v>
      </c>
      <c r="D705" s="96" t="s">
        <v>1479</v>
      </c>
      <c r="E705" s="96" t="s">
        <v>426</v>
      </c>
    </row>
    <row r="706" spans="2:5" ht="15" customHeight="1" thickBot="1" x14ac:dyDescent="0.35">
      <c r="B706" s="96" t="s">
        <v>1480</v>
      </c>
      <c r="C706" s="96" t="s">
        <v>388</v>
      </c>
      <c r="D706" s="96" t="s">
        <v>1481</v>
      </c>
      <c r="E706" s="96" t="s">
        <v>399</v>
      </c>
    </row>
    <row r="707" spans="2:5" ht="15" customHeight="1" thickBot="1" x14ac:dyDescent="0.35">
      <c r="B707" s="96" t="s">
        <v>1482</v>
      </c>
      <c r="C707" s="96" t="s">
        <v>388</v>
      </c>
      <c r="D707" s="96" t="s">
        <v>1481</v>
      </c>
      <c r="E707" s="96" t="s">
        <v>399</v>
      </c>
    </row>
    <row r="708" spans="2:5" ht="15" customHeight="1" thickBot="1" x14ac:dyDescent="0.35">
      <c r="B708" s="96" t="s">
        <v>1483</v>
      </c>
      <c r="C708" s="97">
        <v>517236</v>
      </c>
      <c r="D708" s="96" t="s">
        <v>388</v>
      </c>
      <c r="E708" s="96" t="s">
        <v>757</v>
      </c>
    </row>
    <row r="709" spans="2:5" ht="15" customHeight="1" thickBot="1" x14ac:dyDescent="0.35">
      <c r="B709" s="96" t="s">
        <v>1484</v>
      </c>
      <c r="C709" s="97">
        <v>532386</v>
      </c>
      <c r="D709" s="96" t="s">
        <v>1485</v>
      </c>
      <c r="E709" s="96" t="s">
        <v>481</v>
      </c>
    </row>
    <row r="710" spans="2:5" ht="15" customHeight="1" thickBot="1" x14ac:dyDescent="0.35">
      <c r="B710" s="96" t="s">
        <v>1486</v>
      </c>
      <c r="C710" s="97">
        <v>532801</v>
      </c>
      <c r="D710" s="96" t="s">
        <v>1487</v>
      </c>
      <c r="E710" s="96" t="s">
        <v>481</v>
      </c>
    </row>
    <row r="711" spans="2:5" ht="15" customHeight="1" thickBot="1" x14ac:dyDescent="0.35">
      <c r="B711" s="96" t="s">
        <v>1488</v>
      </c>
      <c r="C711" s="97">
        <v>524440</v>
      </c>
      <c r="D711" s="96" t="s">
        <v>388</v>
      </c>
      <c r="E711" s="96" t="s">
        <v>436</v>
      </c>
    </row>
    <row r="712" spans="2:5" ht="15" customHeight="1" thickBot="1" x14ac:dyDescent="0.35">
      <c r="B712" s="96" t="s">
        <v>1489</v>
      </c>
      <c r="C712" s="97">
        <v>532834</v>
      </c>
      <c r="D712" s="96" t="s">
        <v>1490</v>
      </c>
      <c r="E712" s="96" t="s">
        <v>548</v>
      </c>
    </row>
    <row r="713" spans="2:5" ht="15" customHeight="1" thickBot="1" x14ac:dyDescent="0.35">
      <c r="B713" s="96" t="s">
        <v>1491</v>
      </c>
      <c r="C713" s="97">
        <v>538858</v>
      </c>
      <c r="D713" s="96" t="s">
        <v>388</v>
      </c>
      <c r="E713" s="96" t="s">
        <v>726</v>
      </c>
    </row>
    <row r="714" spans="2:5" ht="15" customHeight="1" thickBot="1" x14ac:dyDescent="0.35">
      <c r="B714" s="96" t="s">
        <v>1492</v>
      </c>
      <c r="C714" s="97">
        <v>540071</v>
      </c>
      <c r="D714" s="96" t="s">
        <v>388</v>
      </c>
      <c r="E714" s="96" t="s">
        <v>586</v>
      </c>
    </row>
    <row r="715" spans="2:5" ht="15" customHeight="1" thickBot="1" x14ac:dyDescent="0.35">
      <c r="B715" s="96" t="s">
        <v>1493</v>
      </c>
      <c r="C715" s="97">
        <v>511196</v>
      </c>
      <c r="D715" s="96" t="s">
        <v>1494</v>
      </c>
      <c r="E715" s="96" t="s">
        <v>446</v>
      </c>
    </row>
    <row r="716" spans="2:5" ht="15" customHeight="1" thickBot="1" x14ac:dyDescent="0.35">
      <c r="B716" s="96" t="s">
        <v>1495</v>
      </c>
      <c r="C716" s="97">
        <v>532483</v>
      </c>
      <c r="D716" s="96" t="s">
        <v>1496</v>
      </c>
      <c r="E716" s="96" t="s">
        <v>706</v>
      </c>
    </row>
    <row r="717" spans="2:5" ht="15" customHeight="1" thickBot="1" x14ac:dyDescent="0.35">
      <c r="B717" s="96" t="s">
        <v>1497</v>
      </c>
      <c r="C717" s="97">
        <v>539304</v>
      </c>
      <c r="D717" s="96" t="s">
        <v>388</v>
      </c>
      <c r="E717" s="96" t="s">
        <v>371</v>
      </c>
    </row>
    <row r="718" spans="2:5" ht="15" customHeight="1" thickBot="1" x14ac:dyDescent="0.35">
      <c r="B718" s="96" t="s">
        <v>1498</v>
      </c>
      <c r="C718" s="97">
        <v>533267</v>
      </c>
      <c r="D718" s="96" t="s">
        <v>1499</v>
      </c>
      <c r="E718" s="96" t="s">
        <v>502</v>
      </c>
    </row>
    <row r="719" spans="2:5" ht="15" customHeight="1" thickBot="1" x14ac:dyDescent="0.35">
      <c r="B719" s="96" t="s">
        <v>1500</v>
      </c>
      <c r="C719" s="97">
        <v>533267</v>
      </c>
      <c r="D719" s="96" t="s">
        <v>1499</v>
      </c>
      <c r="E719" s="96" t="s">
        <v>502</v>
      </c>
    </row>
    <row r="720" spans="2:5" ht="15" customHeight="1" thickBot="1" x14ac:dyDescent="0.35">
      <c r="B720" s="96" t="s">
        <v>1501</v>
      </c>
      <c r="C720" s="97">
        <v>540710</v>
      </c>
      <c r="D720" s="96" t="s">
        <v>1502</v>
      </c>
      <c r="E720" s="96" t="s">
        <v>474</v>
      </c>
    </row>
    <row r="721" spans="2:5" ht="15" customHeight="1" thickBot="1" x14ac:dyDescent="0.35">
      <c r="B721" s="96" t="s">
        <v>1503</v>
      </c>
      <c r="C721" s="97">
        <v>539198</v>
      </c>
      <c r="D721" s="96" t="s">
        <v>388</v>
      </c>
      <c r="E721" s="96" t="s">
        <v>371</v>
      </c>
    </row>
    <row r="722" spans="2:5" ht="15" customHeight="1" thickBot="1" x14ac:dyDescent="0.35">
      <c r="B722" s="96" t="s">
        <v>1504</v>
      </c>
      <c r="C722" s="97">
        <v>539198</v>
      </c>
      <c r="D722" s="96" t="s">
        <v>388</v>
      </c>
      <c r="E722" s="96" t="s">
        <v>371</v>
      </c>
    </row>
    <row r="723" spans="2:5" ht="15" customHeight="1" thickBot="1" x14ac:dyDescent="0.35">
      <c r="B723" s="96" t="s">
        <v>1505</v>
      </c>
      <c r="C723" s="97">
        <v>532938</v>
      </c>
      <c r="D723" s="96" t="s">
        <v>1506</v>
      </c>
      <c r="E723" s="96" t="s">
        <v>371</v>
      </c>
    </row>
    <row r="724" spans="2:5" ht="15" customHeight="1" thickBot="1" x14ac:dyDescent="0.35">
      <c r="B724" s="96" t="s">
        <v>1507</v>
      </c>
      <c r="C724" s="97">
        <v>530879</v>
      </c>
      <c r="D724" s="96" t="s">
        <v>388</v>
      </c>
      <c r="E724" s="96" t="s">
        <v>371</v>
      </c>
    </row>
    <row r="725" spans="2:5" ht="15" customHeight="1" thickBot="1" x14ac:dyDescent="0.35">
      <c r="B725" s="96" t="s">
        <v>1508</v>
      </c>
      <c r="C725" s="97">
        <v>538476</v>
      </c>
      <c r="D725" s="96" t="s">
        <v>388</v>
      </c>
      <c r="E725" s="96" t="s">
        <v>405</v>
      </c>
    </row>
    <row r="726" spans="2:5" ht="15" customHeight="1" thickBot="1" x14ac:dyDescent="0.35">
      <c r="B726" s="96" t="s">
        <v>1509</v>
      </c>
      <c r="C726" s="97">
        <v>511505</v>
      </c>
      <c r="D726" s="96" t="s">
        <v>1510</v>
      </c>
      <c r="E726" s="96" t="s">
        <v>405</v>
      </c>
    </row>
    <row r="727" spans="2:5" ht="15" customHeight="1" thickBot="1" x14ac:dyDescent="0.35">
      <c r="B727" s="96" t="s">
        <v>1511</v>
      </c>
      <c r="C727" s="97">
        <v>524742</v>
      </c>
      <c r="D727" s="96" t="s">
        <v>1512</v>
      </c>
      <c r="E727" s="96" t="s">
        <v>426</v>
      </c>
    </row>
    <row r="728" spans="2:5" ht="15" customHeight="1" thickBot="1" x14ac:dyDescent="0.35">
      <c r="B728" s="96" t="s">
        <v>1513</v>
      </c>
      <c r="C728" s="97">
        <v>531595</v>
      </c>
      <c r="D728" s="96" t="s">
        <v>1514</v>
      </c>
      <c r="E728" s="96" t="s">
        <v>405</v>
      </c>
    </row>
    <row r="729" spans="2:5" ht="15" customHeight="1" thickBot="1" x14ac:dyDescent="0.35">
      <c r="B729" s="96" t="s">
        <v>1515</v>
      </c>
      <c r="C729" s="97">
        <v>512169</v>
      </c>
      <c r="D729" s="96" t="s">
        <v>388</v>
      </c>
      <c r="E729" s="96" t="s">
        <v>809</v>
      </c>
    </row>
    <row r="730" spans="2:5" ht="15" customHeight="1" thickBot="1" x14ac:dyDescent="0.35">
      <c r="B730" s="96" t="s">
        <v>1516</v>
      </c>
      <c r="C730" s="97">
        <v>509486</v>
      </c>
      <c r="D730" s="96" t="s">
        <v>388</v>
      </c>
      <c r="E730" s="96" t="s">
        <v>508</v>
      </c>
    </row>
    <row r="731" spans="2:5" ht="15" customHeight="1" thickBot="1" x14ac:dyDescent="0.35">
      <c r="B731" s="96" t="s">
        <v>1517</v>
      </c>
      <c r="C731" s="97">
        <v>509486</v>
      </c>
      <c r="D731" s="96" t="s">
        <v>388</v>
      </c>
      <c r="E731" s="96" t="s">
        <v>508</v>
      </c>
    </row>
    <row r="732" spans="2:5" ht="15" customHeight="1" thickBot="1" x14ac:dyDescent="0.35">
      <c r="B732" s="96" t="s">
        <v>1518</v>
      </c>
      <c r="C732" s="97">
        <v>507486</v>
      </c>
      <c r="D732" s="96" t="s">
        <v>388</v>
      </c>
      <c r="E732" s="96" t="s">
        <v>436</v>
      </c>
    </row>
    <row r="733" spans="2:5" ht="15" customHeight="1" thickBot="1" x14ac:dyDescent="0.35">
      <c r="B733" s="96" t="s">
        <v>1519</v>
      </c>
      <c r="C733" s="97">
        <v>538817</v>
      </c>
      <c r="D733" s="96" t="s">
        <v>388</v>
      </c>
      <c r="E733" s="96" t="s">
        <v>508</v>
      </c>
    </row>
    <row r="734" spans="2:5" ht="15" customHeight="1" thickBot="1" x14ac:dyDescent="0.35">
      <c r="B734" s="96" t="s">
        <v>1520</v>
      </c>
      <c r="C734" s="97">
        <v>536974</v>
      </c>
      <c r="D734" s="96" t="s">
        <v>388</v>
      </c>
      <c r="E734" s="96" t="s">
        <v>508</v>
      </c>
    </row>
    <row r="735" spans="2:5" ht="15" customHeight="1" thickBot="1" x14ac:dyDescent="0.35">
      <c r="B735" s="96" t="s">
        <v>1521</v>
      </c>
      <c r="C735" s="97">
        <v>540652</v>
      </c>
      <c r="D735" s="96" t="s">
        <v>388</v>
      </c>
      <c r="E735" s="96" t="s">
        <v>573</v>
      </c>
    </row>
    <row r="736" spans="2:5" ht="15" customHeight="1" thickBot="1" x14ac:dyDescent="0.35">
      <c r="B736" s="96" t="s">
        <v>1522</v>
      </c>
      <c r="C736" s="97">
        <v>513375</v>
      </c>
      <c r="D736" s="96" t="s">
        <v>1523</v>
      </c>
      <c r="E736" s="96" t="s">
        <v>1307</v>
      </c>
    </row>
    <row r="737" spans="2:5" ht="15" customHeight="1" thickBot="1" x14ac:dyDescent="0.35">
      <c r="B737" s="96" t="s">
        <v>1524</v>
      </c>
      <c r="C737" s="97">
        <v>534804</v>
      </c>
      <c r="D737" s="96" t="s">
        <v>1525</v>
      </c>
      <c r="E737" s="96" t="s">
        <v>371</v>
      </c>
    </row>
    <row r="738" spans="2:5" ht="15" customHeight="1" thickBot="1" x14ac:dyDescent="0.35">
      <c r="B738" s="96" t="s">
        <v>1526</v>
      </c>
      <c r="C738" s="97">
        <v>533260</v>
      </c>
      <c r="D738" s="96" t="s">
        <v>1527</v>
      </c>
      <c r="E738" s="96" t="s">
        <v>493</v>
      </c>
    </row>
    <row r="739" spans="2:5" ht="15" customHeight="1" thickBot="1" x14ac:dyDescent="0.35">
      <c r="B739" s="96" t="s">
        <v>1528</v>
      </c>
      <c r="C739" s="97">
        <v>530609</v>
      </c>
      <c r="D739" s="96" t="s">
        <v>388</v>
      </c>
      <c r="E739" s="96" t="s">
        <v>1307</v>
      </c>
    </row>
    <row r="740" spans="2:5" ht="15" customHeight="1" thickBot="1" x14ac:dyDescent="0.35">
      <c r="B740" s="96" t="s">
        <v>1529</v>
      </c>
      <c r="C740" s="97">
        <v>532282</v>
      </c>
      <c r="D740" s="96" t="s">
        <v>1530</v>
      </c>
      <c r="E740" s="96" t="s">
        <v>743</v>
      </c>
    </row>
    <row r="741" spans="2:5" ht="15" customHeight="1" thickBot="1" x14ac:dyDescent="0.35">
      <c r="B741" s="96" t="s">
        <v>1531</v>
      </c>
      <c r="C741" s="97">
        <v>500870</v>
      </c>
      <c r="D741" s="96" t="s">
        <v>1532</v>
      </c>
      <c r="E741" s="96" t="s">
        <v>598</v>
      </c>
    </row>
    <row r="742" spans="2:5" ht="15" customHeight="1" thickBot="1" x14ac:dyDescent="0.35">
      <c r="B742" s="96" t="s">
        <v>1533</v>
      </c>
      <c r="C742" s="97">
        <v>500870</v>
      </c>
      <c r="D742" s="96" t="s">
        <v>1532</v>
      </c>
      <c r="E742" s="96" t="s">
        <v>598</v>
      </c>
    </row>
    <row r="743" spans="2:5" ht="15" customHeight="1" thickBot="1" x14ac:dyDescent="0.35">
      <c r="B743" s="96" t="s">
        <v>1534</v>
      </c>
      <c r="C743" s="97">
        <v>531682</v>
      </c>
      <c r="D743" s="96" t="s">
        <v>388</v>
      </c>
      <c r="E743" s="96" t="s">
        <v>374</v>
      </c>
    </row>
    <row r="744" spans="2:5" ht="15" customHeight="1" thickBot="1" x14ac:dyDescent="0.35">
      <c r="B744" s="96" t="s">
        <v>1535</v>
      </c>
      <c r="C744" s="97">
        <v>531158</v>
      </c>
      <c r="D744" s="96" t="s">
        <v>388</v>
      </c>
      <c r="E744" s="96" t="s">
        <v>410</v>
      </c>
    </row>
    <row r="745" spans="2:5" ht="15" customHeight="1" thickBot="1" x14ac:dyDescent="0.35">
      <c r="B745" s="96" t="s">
        <v>1536</v>
      </c>
      <c r="C745" s="97">
        <v>531900</v>
      </c>
      <c r="D745" s="96" t="s">
        <v>388</v>
      </c>
      <c r="E745" s="96" t="s">
        <v>410</v>
      </c>
    </row>
    <row r="746" spans="2:5" ht="15" customHeight="1" thickBot="1" x14ac:dyDescent="0.35">
      <c r="B746" s="96" t="s">
        <v>1537</v>
      </c>
      <c r="C746" s="97">
        <v>519600</v>
      </c>
      <c r="D746" s="96" t="s">
        <v>1538</v>
      </c>
      <c r="E746" s="96" t="s">
        <v>795</v>
      </c>
    </row>
    <row r="747" spans="2:5" ht="15" customHeight="1" thickBot="1" x14ac:dyDescent="0.35">
      <c r="B747" s="96" t="s">
        <v>1539</v>
      </c>
      <c r="C747" s="97">
        <v>519600</v>
      </c>
      <c r="D747" s="96" t="s">
        <v>1538</v>
      </c>
      <c r="E747" s="96" t="s">
        <v>795</v>
      </c>
    </row>
    <row r="748" spans="2:5" ht="15" customHeight="1" thickBot="1" x14ac:dyDescent="0.35">
      <c r="B748" s="96" t="s">
        <v>1540</v>
      </c>
      <c r="C748" s="97">
        <v>500878</v>
      </c>
      <c r="D748" s="96" t="s">
        <v>1541</v>
      </c>
      <c r="E748" s="96" t="s">
        <v>868</v>
      </c>
    </row>
    <row r="749" spans="2:5" ht="15" customHeight="1" thickBot="1" x14ac:dyDescent="0.35">
      <c r="B749" s="96" t="s">
        <v>1542</v>
      </c>
      <c r="C749" s="97">
        <v>530789</v>
      </c>
      <c r="D749" s="96" t="s">
        <v>388</v>
      </c>
      <c r="E749" s="96" t="s">
        <v>508</v>
      </c>
    </row>
    <row r="750" spans="2:5" ht="15" customHeight="1" thickBot="1" x14ac:dyDescent="0.35">
      <c r="B750" s="96" t="s">
        <v>1543</v>
      </c>
      <c r="C750" s="97">
        <v>531119</v>
      </c>
      <c r="D750" s="96" t="s">
        <v>388</v>
      </c>
      <c r="E750" s="96" t="s">
        <v>502</v>
      </c>
    </row>
    <row r="751" spans="2:5" ht="15" customHeight="1" thickBot="1" x14ac:dyDescent="0.35">
      <c r="B751" s="96" t="s">
        <v>1544</v>
      </c>
      <c r="C751" s="97">
        <v>531119</v>
      </c>
      <c r="D751" s="96" t="s">
        <v>388</v>
      </c>
      <c r="E751" s="96" t="s">
        <v>502</v>
      </c>
    </row>
    <row r="752" spans="2:5" ht="15" customHeight="1" thickBot="1" x14ac:dyDescent="0.35">
      <c r="B752" s="96" t="s">
        <v>1545</v>
      </c>
      <c r="C752" s="97">
        <v>514171</v>
      </c>
      <c r="D752" s="96" t="s">
        <v>388</v>
      </c>
      <c r="E752" s="96" t="s">
        <v>916</v>
      </c>
    </row>
    <row r="753" spans="2:5" ht="15" customHeight="1" thickBot="1" x14ac:dyDescent="0.35">
      <c r="B753" s="96" t="s">
        <v>1546</v>
      </c>
      <c r="C753" s="97">
        <v>538734</v>
      </c>
      <c r="D753" s="96" t="s">
        <v>388</v>
      </c>
      <c r="E753" s="96" t="s">
        <v>374</v>
      </c>
    </row>
    <row r="754" spans="2:5" ht="15" customHeight="1" thickBot="1" x14ac:dyDescent="0.35">
      <c r="B754" s="96" t="s">
        <v>1547</v>
      </c>
      <c r="C754" s="97">
        <v>532695</v>
      </c>
      <c r="D754" s="96" t="s">
        <v>1548</v>
      </c>
      <c r="E754" s="96" t="s">
        <v>502</v>
      </c>
    </row>
    <row r="755" spans="2:5" ht="15" customHeight="1" thickBot="1" x14ac:dyDescent="0.35">
      <c r="B755" s="96" t="s">
        <v>1549</v>
      </c>
      <c r="C755" s="97">
        <v>532871</v>
      </c>
      <c r="D755" s="96" t="s">
        <v>1550</v>
      </c>
      <c r="E755" s="96" t="s">
        <v>726</v>
      </c>
    </row>
    <row r="756" spans="2:5" ht="15" customHeight="1" thickBot="1" x14ac:dyDescent="0.35">
      <c r="B756" s="96" t="s">
        <v>1551</v>
      </c>
      <c r="C756" s="97">
        <v>532701</v>
      </c>
      <c r="D756" s="96" t="s">
        <v>388</v>
      </c>
      <c r="E756" s="96" t="s">
        <v>382</v>
      </c>
    </row>
    <row r="757" spans="2:5" ht="15" customHeight="1" thickBot="1" x14ac:dyDescent="0.35">
      <c r="B757" s="96" t="s">
        <v>1552</v>
      </c>
      <c r="C757" s="97">
        <v>522251</v>
      </c>
      <c r="D757" s="96" t="s">
        <v>388</v>
      </c>
      <c r="E757" s="96" t="s">
        <v>396</v>
      </c>
    </row>
    <row r="758" spans="2:5" ht="15" customHeight="1" thickBot="1" x14ac:dyDescent="0.35">
      <c r="B758" s="96" t="s">
        <v>1553</v>
      </c>
      <c r="C758" s="97">
        <v>531380</v>
      </c>
      <c r="D758" s="96" t="s">
        <v>388</v>
      </c>
      <c r="E758" s="96" t="s">
        <v>1554</v>
      </c>
    </row>
    <row r="759" spans="2:5" ht="15" customHeight="1" thickBot="1" x14ac:dyDescent="0.35">
      <c r="B759" s="96" t="s">
        <v>1555</v>
      </c>
      <c r="C759" s="97">
        <v>532885</v>
      </c>
      <c r="D759" s="96" t="s">
        <v>1556</v>
      </c>
      <c r="E759" s="96" t="s">
        <v>706</v>
      </c>
    </row>
    <row r="760" spans="2:5" ht="15" customHeight="1" thickBot="1" x14ac:dyDescent="0.35">
      <c r="B760" s="96" t="s">
        <v>1557</v>
      </c>
      <c r="C760" s="96" t="s">
        <v>388</v>
      </c>
      <c r="D760" s="96" t="s">
        <v>1558</v>
      </c>
      <c r="E760" s="96" t="s">
        <v>479</v>
      </c>
    </row>
    <row r="761" spans="2:5" ht="15" customHeight="1" thickBot="1" x14ac:dyDescent="0.35">
      <c r="B761" s="96" t="s">
        <v>1559</v>
      </c>
      <c r="C761" s="96" t="s">
        <v>388</v>
      </c>
      <c r="D761" s="96" t="s">
        <v>1558</v>
      </c>
      <c r="E761" s="96" t="s">
        <v>479</v>
      </c>
    </row>
    <row r="762" spans="2:5" ht="15" customHeight="1" thickBot="1" x14ac:dyDescent="0.35">
      <c r="B762" s="96" t="s">
        <v>1560</v>
      </c>
      <c r="C762" s="97">
        <v>501827</v>
      </c>
      <c r="D762" s="96" t="s">
        <v>388</v>
      </c>
      <c r="E762" s="96" t="s">
        <v>460</v>
      </c>
    </row>
    <row r="763" spans="2:5" ht="15" customHeight="1" thickBot="1" x14ac:dyDescent="0.35">
      <c r="B763" s="96" t="s">
        <v>1561</v>
      </c>
      <c r="C763" s="97">
        <v>501150</v>
      </c>
      <c r="D763" s="96" t="s">
        <v>1562</v>
      </c>
      <c r="E763" s="96" t="s">
        <v>371</v>
      </c>
    </row>
    <row r="764" spans="2:5" ht="15" customHeight="1" thickBot="1" x14ac:dyDescent="0.35">
      <c r="B764" s="96" t="s">
        <v>1563</v>
      </c>
      <c r="C764" s="97">
        <v>517544</v>
      </c>
      <c r="D764" s="96" t="s">
        <v>1564</v>
      </c>
      <c r="E764" s="96" t="s">
        <v>809</v>
      </c>
    </row>
    <row r="765" spans="2:5" ht="15" customHeight="1" thickBot="1" x14ac:dyDescent="0.35">
      <c r="B765" s="96" t="s">
        <v>1565</v>
      </c>
      <c r="C765" s="97">
        <v>500280</v>
      </c>
      <c r="D765" s="96" t="s">
        <v>1566</v>
      </c>
      <c r="E765" s="96" t="s">
        <v>403</v>
      </c>
    </row>
    <row r="766" spans="2:5" ht="15" customHeight="1" thickBot="1" x14ac:dyDescent="0.35">
      <c r="B766" s="96" t="s">
        <v>1567</v>
      </c>
      <c r="C766" s="97">
        <v>500083</v>
      </c>
      <c r="D766" s="96" t="s">
        <v>1568</v>
      </c>
      <c r="E766" s="96" t="s">
        <v>693</v>
      </c>
    </row>
    <row r="767" spans="2:5" ht="15" customHeight="1" thickBot="1" x14ac:dyDescent="0.35">
      <c r="B767" s="96" t="s">
        <v>1569</v>
      </c>
      <c r="C767" s="97">
        <v>532548</v>
      </c>
      <c r="D767" s="96" t="s">
        <v>1570</v>
      </c>
      <c r="E767" s="96" t="s">
        <v>883</v>
      </c>
    </row>
    <row r="768" spans="2:5" ht="15" customHeight="1" thickBot="1" x14ac:dyDescent="0.35">
      <c r="B768" s="96" t="s">
        <v>1571</v>
      </c>
      <c r="C768" s="97">
        <v>532548</v>
      </c>
      <c r="D768" s="96" t="s">
        <v>1570</v>
      </c>
      <c r="E768" s="96" t="s">
        <v>883</v>
      </c>
    </row>
    <row r="769" spans="2:5" ht="15" customHeight="1" thickBot="1" x14ac:dyDescent="0.35">
      <c r="B769" s="96" t="s">
        <v>1572</v>
      </c>
      <c r="C769" s="97">
        <v>500040</v>
      </c>
      <c r="D769" s="96" t="s">
        <v>1573</v>
      </c>
      <c r="E769" s="96" t="s">
        <v>401</v>
      </c>
    </row>
    <row r="770" spans="2:5" ht="15" customHeight="1" thickBot="1" x14ac:dyDescent="0.35">
      <c r="B770" s="96" t="s">
        <v>1574</v>
      </c>
      <c r="C770" s="97">
        <v>530881</v>
      </c>
      <c r="D770" s="96" t="s">
        <v>388</v>
      </c>
      <c r="E770" s="96" t="s">
        <v>371</v>
      </c>
    </row>
    <row r="771" spans="2:5" ht="15" customHeight="1" thickBot="1" x14ac:dyDescent="0.35">
      <c r="B771" s="96" t="s">
        <v>1575</v>
      </c>
      <c r="C771" s="97">
        <v>532443</v>
      </c>
      <c r="D771" s="96" t="s">
        <v>1576</v>
      </c>
      <c r="E771" s="96" t="s">
        <v>665</v>
      </c>
    </row>
    <row r="772" spans="2:5" ht="15" customHeight="1" thickBot="1" x14ac:dyDescent="0.35">
      <c r="B772" s="96" t="s">
        <v>1577</v>
      </c>
      <c r="C772" s="97">
        <v>532413</v>
      </c>
      <c r="D772" s="96" t="s">
        <v>1578</v>
      </c>
      <c r="E772" s="96" t="s">
        <v>713</v>
      </c>
    </row>
    <row r="773" spans="2:5" ht="15" customHeight="1" thickBot="1" x14ac:dyDescent="0.35">
      <c r="B773" s="96" t="s">
        <v>1579</v>
      </c>
      <c r="C773" s="97">
        <v>512341</v>
      </c>
      <c r="D773" s="96" t="s">
        <v>388</v>
      </c>
      <c r="E773" s="96" t="s">
        <v>718</v>
      </c>
    </row>
    <row r="774" spans="2:5" ht="15" customHeight="1" thickBot="1" x14ac:dyDescent="0.35">
      <c r="B774" s="96" t="s">
        <v>1580</v>
      </c>
      <c r="C774" s="97">
        <v>500084</v>
      </c>
      <c r="D774" s="96" t="s">
        <v>1581</v>
      </c>
      <c r="E774" s="96" t="s">
        <v>527</v>
      </c>
    </row>
    <row r="775" spans="2:5" ht="15" customHeight="1" thickBot="1" x14ac:dyDescent="0.35">
      <c r="B775" s="96" t="s">
        <v>1582</v>
      </c>
      <c r="C775" s="96" t="s">
        <v>388</v>
      </c>
      <c r="D775" s="96" t="s">
        <v>1583</v>
      </c>
      <c r="E775" s="96" t="s">
        <v>1584</v>
      </c>
    </row>
    <row r="776" spans="2:5" ht="15" customHeight="1" thickBot="1" x14ac:dyDescent="0.35">
      <c r="B776" s="96" t="s">
        <v>1585</v>
      </c>
      <c r="C776" s="97">
        <v>542333</v>
      </c>
      <c r="D776" s="96" t="s">
        <v>1586</v>
      </c>
      <c r="E776" s="96" t="s">
        <v>1584</v>
      </c>
    </row>
    <row r="777" spans="2:5" ht="15" customHeight="1" thickBot="1" x14ac:dyDescent="0.35">
      <c r="B777" s="96" t="s">
        <v>1587</v>
      </c>
      <c r="C777" s="97">
        <v>500093</v>
      </c>
      <c r="D777" s="96" t="s">
        <v>1588</v>
      </c>
      <c r="E777" s="96" t="s">
        <v>431</v>
      </c>
    </row>
    <row r="778" spans="2:5" ht="15" customHeight="1" thickBot="1" x14ac:dyDescent="0.35">
      <c r="B778" s="96" t="s">
        <v>1589</v>
      </c>
      <c r="C778" s="97">
        <v>531489</v>
      </c>
      <c r="D778" s="96" t="s">
        <v>388</v>
      </c>
      <c r="E778" s="96" t="s">
        <v>481</v>
      </c>
    </row>
    <row r="779" spans="2:5" ht="15" customHeight="1" thickBot="1" x14ac:dyDescent="0.35">
      <c r="B779" s="96" t="s">
        <v>1590</v>
      </c>
      <c r="C779" s="97">
        <v>531946</v>
      </c>
      <c r="D779" s="96" t="s">
        <v>388</v>
      </c>
      <c r="E779" s="96" t="s">
        <v>382</v>
      </c>
    </row>
    <row r="780" spans="2:5" ht="15" customHeight="1" thickBot="1" x14ac:dyDescent="0.35">
      <c r="B780" s="96" t="s">
        <v>1591</v>
      </c>
      <c r="C780" s="97">
        <v>542399</v>
      </c>
      <c r="D780" s="96" t="s">
        <v>1592</v>
      </c>
      <c r="E780" s="96" t="s">
        <v>589</v>
      </c>
    </row>
    <row r="781" spans="2:5" ht="15" customHeight="1" thickBot="1" x14ac:dyDescent="0.35">
      <c r="B781" s="96" t="s">
        <v>1593</v>
      </c>
      <c r="C781" s="97">
        <v>539600</v>
      </c>
      <c r="D781" s="96" t="s">
        <v>388</v>
      </c>
      <c r="E781" s="96" t="s">
        <v>410</v>
      </c>
    </row>
    <row r="782" spans="2:5" ht="15" customHeight="1" thickBot="1" x14ac:dyDescent="0.35">
      <c r="B782" s="96" t="s">
        <v>1594</v>
      </c>
      <c r="C782" s="97">
        <v>530307</v>
      </c>
      <c r="D782" s="96" t="s">
        <v>388</v>
      </c>
      <c r="E782" s="96" t="s">
        <v>586</v>
      </c>
    </row>
    <row r="783" spans="2:5" ht="15" customHeight="1" thickBot="1" x14ac:dyDescent="0.35">
      <c r="B783" s="96" t="s">
        <v>1595</v>
      </c>
      <c r="C783" s="97">
        <v>512301</v>
      </c>
      <c r="D783" s="96" t="s">
        <v>388</v>
      </c>
      <c r="E783" s="96" t="s">
        <v>410</v>
      </c>
    </row>
    <row r="784" spans="2:5" ht="15" customHeight="1" thickBot="1" x14ac:dyDescent="0.35">
      <c r="B784" s="96" t="s">
        <v>1596</v>
      </c>
      <c r="C784" s="97">
        <v>500085</v>
      </c>
      <c r="D784" s="96" t="s">
        <v>1597</v>
      </c>
      <c r="E784" s="96" t="s">
        <v>896</v>
      </c>
    </row>
    <row r="785" spans="2:5" ht="15" customHeight="1" thickBot="1" x14ac:dyDescent="0.35">
      <c r="B785" s="96" t="s">
        <v>1598</v>
      </c>
      <c r="C785" s="97">
        <v>542627</v>
      </c>
      <c r="D785" s="96" t="s">
        <v>1599</v>
      </c>
      <c r="E785" s="96" t="s">
        <v>754</v>
      </c>
    </row>
    <row r="786" spans="2:5" ht="15" customHeight="1" thickBot="1" x14ac:dyDescent="0.35">
      <c r="B786" s="96" t="s">
        <v>1600</v>
      </c>
      <c r="C786" s="97">
        <v>522292</v>
      </c>
      <c r="D786" s="96" t="s">
        <v>388</v>
      </c>
      <c r="E786" s="96" t="s">
        <v>403</v>
      </c>
    </row>
    <row r="787" spans="2:5" ht="15" customHeight="1" thickBot="1" x14ac:dyDescent="0.35">
      <c r="B787" s="96" t="s">
        <v>1601</v>
      </c>
      <c r="C787" s="97">
        <v>530309</v>
      </c>
      <c r="D787" s="96" t="s">
        <v>388</v>
      </c>
      <c r="E787" s="96" t="s">
        <v>410</v>
      </c>
    </row>
    <row r="788" spans="2:5" ht="15" customHeight="1" thickBot="1" x14ac:dyDescent="0.35">
      <c r="B788" s="96" t="s">
        <v>1602</v>
      </c>
      <c r="C788" s="97">
        <v>540829</v>
      </c>
      <c r="D788" s="96" t="s">
        <v>388</v>
      </c>
      <c r="E788" s="96" t="s">
        <v>410</v>
      </c>
    </row>
    <row r="789" spans="2:5" ht="15" customHeight="1" thickBot="1" x14ac:dyDescent="0.35">
      <c r="B789" s="96" t="s">
        <v>1603</v>
      </c>
      <c r="C789" s="97">
        <v>535142</v>
      </c>
      <c r="D789" s="96" t="s">
        <v>388</v>
      </c>
      <c r="E789" s="96" t="s">
        <v>391</v>
      </c>
    </row>
    <row r="790" spans="2:5" ht="15" customHeight="1" thickBot="1" x14ac:dyDescent="0.35">
      <c r="B790" s="96" t="s">
        <v>1604</v>
      </c>
      <c r="C790" s="97">
        <v>531327</v>
      </c>
      <c r="D790" s="96" t="s">
        <v>388</v>
      </c>
      <c r="E790" s="96" t="s">
        <v>371</v>
      </c>
    </row>
    <row r="791" spans="2:5" ht="15" customHeight="1" thickBot="1" x14ac:dyDescent="0.35">
      <c r="B791" s="96" t="s">
        <v>1605</v>
      </c>
      <c r="C791" s="97">
        <v>511696</v>
      </c>
      <c r="D791" s="96" t="s">
        <v>388</v>
      </c>
      <c r="E791" s="96" t="s">
        <v>371</v>
      </c>
    </row>
    <row r="792" spans="2:5" ht="15" customHeight="1" thickBot="1" x14ac:dyDescent="0.35">
      <c r="B792" s="96" t="s">
        <v>1606</v>
      </c>
      <c r="C792" s="97">
        <v>531977</v>
      </c>
      <c r="D792" s="96" t="s">
        <v>388</v>
      </c>
      <c r="E792" s="96" t="s">
        <v>460</v>
      </c>
    </row>
    <row r="793" spans="2:5" ht="15" customHeight="1" thickBot="1" x14ac:dyDescent="0.35">
      <c r="B793" s="96" t="s">
        <v>1607</v>
      </c>
      <c r="C793" s="97">
        <v>504671</v>
      </c>
      <c r="D793" s="96" t="s">
        <v>388</v>
      </c>
      <c r="E793" s="96" t="s">
        <v>420</v>
      </c>
    </row>
    <row r="794" spans="2:5" ht="15" customHeight="1" thickBot="1" x14ac:dyDescent="0.35">
      <c r="B794" s="96" t="s">
        <v>1608</v>
      </c>
      <c r="C794" s="97">
        <v>539800</v>
      </c>
      <c r="D794" s="96" t="s">
        <v>388</v>
      </c>
      <c r="E794" s="96" t="s">
        <v>410</v>
      </c>
    </row>
    <row r="795" spans="2:5" ht="15" customHeight="1" thickBot="1" x14ac:dyDescent="0.35">
      <c r="B795" s="96" t="s">
        <v>1609</v>
      </c>
      <c r="C795" s="97">
        <v>526917</v>
      </c>
      <c r="D795" s="96" t="s">
        <v>388</v>
      </c>
      <c r="E795" s="96" t="s">
        <v>474</v>
      </c>
    </row>
    <row r="796" spans="2:5" ht="15" customHeight="1" thickBot="1" x14ac:dyDescent="0.35">
      <c r="B796" s="96" t="s">
        <v>1610</v>
      </c>
      <c r="C796" s="97">
        <v>530871</v>
      </c>
      <c r="D796" s="96" t="s">
        <v>388</v>
      </c>
      <c r="E796" s="96" t="s">
        <v>548</v>
      </c>
    </row>
    <row r="797" spans="2:5" ht="15" customHeight="1" thickBot="1" x14ac:dyDescent="0.35">
      <c r="B797" s="96" t="s">
        <v>1611</v>
      </c>
      <c r="C797" s="97">
        <v>540395</v>
      </c>
      <c r="D797" s="96" t="s">
        <v>388</v>
      </c>
      <c r="E797" s="96" t="s">
        <v>548</v>
      </c>
    </row>
    <row r="798" spans="2:5" ht="15" customHeight="1" thickBot="1" x14ac:dyDescent="0.35">
      <c r="B798" s="96" t="s">
        <v>1612</v>
      </c>
      <c r="C798" s="97">
        <v>541269</v>
      </c>
      <c r="D798" s="96" t="s">
        <v>1613</v>
      </c>
      <c r="E798" s="96" t="s">
        <v>436</v>
      </c>
    </row>
    <row r="799" spans="2:5" ht="15" customHeight="1" thickBot="1" x14ac:dyDescent="0.35">
      <c r="B799" s="96" t="s">
        <v>1614</v>
      </c>
      <c r="C799" s="97">
        <v>539230</v>
      </c>
      <c r="D799" s="96" t="s">
        <v>388</v>
      </c>
      <c r="E799" s="96" t="s">
        <v>548</v>
      </c>
    </row>
    <row r="800" spans="2:5" ht="15" customHeight="1" thickBot="1" x14ac:dyDescent="0.35">
      <c r="B800" s="96" t="s">
        <v>1615</v>
      </c>
      <c r="C800" s="97">
        <v>506365</v>
      </c>
      <c r="D800" s="96" t="s">
        <v>388</v>
      </c>
      <c r="E800" s="96" t="s">
        <v>426</v>
      </c>
    </row>
    <row r="801" spans="2:5" ht="15" customHeight="1" thickBot="1" x14ac:dyDescent="0.35">
      <c r="B801" s="96" t="s">
        <v>1616</v>
      </c>
      <c r="C801" s="97">
        <v>537326</v>
      </c>
      <c r="D801" s="96" t="s">
        <v>388</v>
      </c>
      <c r="E801" s="96" t="s">
        <v>396</v>
      </c>
    </row>
    <row r="802" spans="2:5" ht="15" customHeight="1" thickBot="1" x14ac:dyDescent="0.35">
      <c r="B802" s="96" t="s">
        <v>1617</v>
      </c>
      <c r="C802" s="97">
        <v>539011</v>
      </c>
      <c r="D802" s="96" t="s">
        <v>388</v>
      </c>
      <c r="E802" s="96" t="s">
        <v>420</v>
      </c>
    </row>
    <row r="803" spans="2:5" ht="15" customHeight="1" thickBot="1" x14ac:dyDescent="0.35">
      <c r="B803" s="96" t="s">
        <v>1618</v>
      </c>
      <c r="C803" s="97">
        <v>523489</v>
      </c>
      <c r="D803" s="96" t="s">
        <v>388</v>
      </c>
      <c r="E803" s="96" t="s">
        <v>577</v>
      </c>
    </row>
    <row r="804" spans="2:5" ht="15" customHeight="1" thickBot="1" x14ac:dyDescent="0.35">
      <c r="B804" s="96" t="s">
        <v>1619</v>
      </c>
      <c r="C804" s="97">
        <v>500110</v>
      </c>
      <c r="D804" s="96" t="s">
        <v>1620</v>
      </c>
      <c r="E804" s="96" t="s">
        <v>1316</v>
      </c>
    </row>
    <row r="805" spans="2:5" ht="15" customHeight="1" thickBot="1" x14ac:dyDescent="0.35">
      <c r="B805" s="96" t="s">
        <v>1621</v>
      </c>
      <c r="C805" s="97">
        <v>526817</v>
      </c>
      <c r="D805" s="96" t="s">
        <v>388</v>
      </c>
      <c r="E805" s="96" t="s">
        <v>625</v>
      </c>
    </row>
    <row r="806" spans="2:5" ht="15" customHeight="1" thickBot="1" x14ac:dyDescent="0.35">
      <c r="B806" s="96" t="s">
        <v>1622</v>
      </c>
      <c r="C806" s="97">
        <v>521244</v>
      </c>
      <c r="D806" s="96" t="s">
        <v>388</v>
      </c>
      <c r="E806" s="96" t="s">
        <v>403</v>
      </c>
    </row>
    <row r="807" spans="2:5" ht="15" customHeight="1" thickBot="1" x14ac:dyDescent="0.35">
      <c r="B807" s="96" t="s">
        <v>1623</v>
      </c>
      <c r="C807" s="97">
        <v>532992</v>
      </c>
      <c r="D807" s="96" t="s">
        <v>388</v>
      </c>
      <c r="E807" s="96" t="s">
        <v>589</v>
      </c>
    </row>
    <row r="808" spans="2:5" ht="15" customHeight="1" thickBot="1" x14ac:dyDescent="0.35">
      <c r="B808" s="96" t="s">
        <v>1624</v>
      </c>
      <c r="C808" s="97">
        <v>531358</v>
      </c>
      <c r="D808" s="96" t="s">
        <v>388</v>
      </c>
      <c r="E808" s="96" t="s">
        <v>405</v>
      </c>
    </row>
    <row r="809" spans="2:5" ht="15" customHeight="1" thickBot="1" x14ac:dyDescent="0.35">
      <c r="B809" s="96" t="s">
        <v>1625</v>
      </c>
      <c r="C809" s="97">
        <v>530427</v>
      </c>
      <c r="D809" s="96" t="s">
        <v>388</v>
      </c>
      <c r="E809" s="96" t="s">
        <v>1626</v>
      </c>
    </row>
    <row r="810" spans="2:5" ht="15" customHeight="1" thickBot="1" x14ac:dyDescent="0.35">
      <c r="B810" s="96" t="s">
        <v>1627</v>
      </c>
      <c r="C810" s="97">
        <v>526546</v>
      </c>
      <c r="D810" s="96" t="s">
        <v>388</v>
      </c>
      <c r="E810" s="96" t="s">
        <v>577</v>
      </c>
    </row>
    <row r="811" spans="2:5" ht="15" customHeight="1" thickBot="1" x14ac:dyDescent="0.35">
      <c r="B811" s="96" t="s">
        <v>1628</v>
      </c>
      <c r="C811" s="97">
        <v>511243</v>
      </c>
      <c r="D811" s="96" t="s">
        <v>1629</v>
      </c>
      <c r="E811" s="96" t="s">
        <v>405</v>
      </c>
    </row>
    <row r="812" spans="2:5" ht="15" customHeight="1" thickBot="1" x14ac:dyDescent="0.35">
      <c r="B812" s="96" t="s">
        <v>1630</v>
      </c>
      <c r="C812" s="97">
        <v>511243</v>
      </c>
      <c r="D812" s="96" t="s">
        <v>1631</v>
      </c>
      <c r="E812" s="96" t="s">
        <v>405</v>
      </c>
    </row>
    <row r="813" spans="2:5" ht="15" customHeight="1" thickBot="1" x14ac:dyDescent="0.35">
      <c r="B813" s="96" t="s">
        <v>1632</v>
      </c>
      <c r="C813" s="97">
        <v>519475</v>
      </c>
      <c r="D813" s="96" t="s">
        <v>388</v>
      </c>
      <c r="E813" s="96" t="s">
        <v>468</v>
      </c>
    </row>
    <row r="814" spans="2:5" ht="15" customHeight="1" thickBot="1" x14ac:dyDescent="0.35">
      <c r="B814" s="96" t="s">
        <v>1633</v>
      </c>
      <c r="C814" s="97">
        <v>540681</v>
      </c>
      <c r="D814" s="96" t="s">
        <v>388</v>
      </c>
      <c r="E814" s="96" t="s">
        <v>448</v>
      </c>
    </row>
    <row r="815" spans="2:5" ht="15" customHeight="1" thickBot="1" x14ac:dyDescent="0.35">
      <c r="B815" s="96" t="s">
        <v>1634</v>
      </c>
      <c r="C815" s="97">
        <v>501833</v>
      </c>
      <c r="D815" s="96" t="s">
        <v>388</v>
      </c>
      <c r="E815" s="96" t="s">
        <v>1635</v>
      </c>
    </row>
    <row r="816" spans="2:5" ht="15" customHeight="1" thickBot="1" x14ac:dyDescent="0.35">
      <c r="B816" s="96" t="s">
        <v>1636</v>
      </c>
      <c r="C816" s="97">
        <v>539335</v>
      </c>
      <c r="D816" s="96" t="s">
        <v>388</v>
      </c>
      <c r="E816" s="96" t="s">
        <v>410</v>
      </c>
    </row>
    <row r="817" spans="2:5" ht="15" customHeight="1" thickBot="1" x14ac:dyDescent="0.35">
      <c r="B817" s="96" t="s">
        <v>1637</v>
      </c>
      <c r="C817" s="97">
        <v>530191</v>
      </c>
      <c r="D817" s="96" t="s">
        <v>1638</v>
      </c>
      <c r="E817" s="96" t="s">
        <v>548</v>
      </c>
    </row>
    <row r="818" spans="2:5" ht="15" customHeight="1" thickBot="1" x14ac:dyDescent="0.35">
      <c r="B818" s="96" t="s">
        <v>1639</v>
      </c>
      <c r="C818" s="97">
        <v>530191</v>
      </c>
      <c r="D818" s="96" t="s">
        <v>1638</v>
      </c>
      <c r="E818" s="96" t="s">
        <v>548</v>
      </c>
    </row>
    <row r="819" spans="2:5" ht="15" customHeight="1" thickBot="1" x14ac:dyDescent="0.35">
      <c r="B819" s="96" t="s">
        <v>1640</v>
      </c>
      <c r="C819" s="97">
        <v>519477</v>
      </c>
      <c r="D819" s="96" t="s">
        <v>388</v>
      </c>
      <c r="E819" s="96" t="s">
        <v>637</v>
      </c>
    </row>
    <row r="820" spans="2:5" ht="15" customHeight="1" thickBot="1" x14ac:dyDescent="0.35">
      <c r="B820" s="96" t="s">
        <v>1641</v>
      </c>
      <c r="C820" s="97">
        <v>542678</v>
      </c>
      <c r="D820" s="96" t="s">
        <v>1642</v>
      </c>
      <c r="E820" s="96" t="s">
        <v>426</v>
      </c>
    </row>
    <row r="821" spans="2:5" ht="15" customHeight="1" thickBot="1" x14ac:dyDescent="0.35">
      <c r="B821" s="96" t="s">
        <v>1643</v>
      </c>
      <c r="C821" s="97">
        <v>534758</v>
      </c>
      <c r="D821" s="96" t="s">
        <v>1644</v>
      </c>
      <c r="E821" s="96" t="s">
        <v>374</v>
      </c>
    </row>
    <row r="822" spans="2:5" ht="15" customHeight="1" thickBot="1" x14ac:dyDescent="0.35">
      <c r="B822" s="96" t="s">
        <v>1645</v>
      </c>
      <c r="C822" s="97">
        <v>533407</v>
      </c>
      <c r="D822" s="96" t="s">
        <v>1646</v>
      </c>
      <c r="E822" s="96" t="s">
        <v>403</v>
      </c>
    </row>
    <row r="823" spans="2:5" ht="15" customHeight="1" thickBot="1" x14ac:dyDescent="0.35">
      <c r="B823" s="96" t="s">
        <v>1647</v>
      </c>
      <c r="C823" s="97">
        <v>530829</v>
      </c>
      <c r="D823" s="96" t="s">
        <v>388</v>
      </c>
      <c r="E823" s="96" t="s">
        <v>405</v>
      </c>
    </row>
    <row r="824" spans="2:5" ht="15" customHeight="1" thickBot="1" x14ac:dyDescent="0.35">
      <c r="B824" s="96" t="s">
        <v>1648</v>
      </c>
      <c r="C824" s="97">
        <v>505230</v>
      </c>
      <c r="D824" s="96" t="s">
        <v>1649</v>
      </c>
      <c r="E824" s="96" t="s">
        <v>377</v>
      </c>
    </row>
    <row r="825" spans="2:5" ht="15" customHeight="1" thickBot="1" x14ac:dyDescent="0.35">
      <c r="B825" s="96" t="s">
        <v>1650</v>
      </c>
      <c r="C825" s="97">
        <v>531283</v>
      </c>
      <c r="D825" s="96" t="s">
        <v>388</v>
      </c>
      <c r="E825" s="96" t="s">
        <v>405</v>
      </c>
    </row>
    <row r="826" spans="2:5" ht="15" customHeight="1" thickBot="1" x14ac:dyDescent="0.35">
      <c r="B826" s="96" t="s">
        <v>1651</v>
      </c>
      <c r="C826" s="97">
        <v>526373</v>
      </c>
      <c r="D826" s="96" t="s">
        <v>388</v>
      </c>
      <c r="E826" s="96" t="s">
        <v>589</v>
      </c>
    </row>
    <row r="827" spans="2:5" ht="15" customHeight="1" thickBot="1" x14ac:dyDescent="0.35">
      <c r="B827" s="96" t="s">
        <v>1652</v>
      </c>
      <c r="C827" s="97">
        <v>532807</v>
      </c>
      <c r="D827" s="96" t="s">
        <v>1653</v>
      </c>
      <c r="E827" s="96" t="s">
        <v>389</v>
      </c>
    </row>
    <row r="828" spans="2:5" ht="15" customHeight="1" thickBot="1" x14ac:dyDescent="0.35">
      <c r="B828" s="96" t="s">
        <v>1654</v>
      </c>
      <c r="C828" s="97">
        <v>532807</v>
      </c>
      <c r="D828" s="96" t="s">
        <v>1653</v>
      </c>
      <c r="E828" s="96" t="s">
        <v>389</v>
      </c>
    </row>
    <row r="829" spans="2:5" ht="15" customHeight="1" thickBot="1" x14ac:dyDescent="0.35">
      <c r="B829" s="96" t="s">
        <v>1655</v>
      </c>
      <c r="C829" s="97">
        <v>530457</v>
      </c>
      <c r="D829" s="96" t="s">
        <v>388</v>
      </c>
      <c r="E829" s="96" t="s">
        <v>391</v>
      </c>
    </row>
    <row r="830" spans="2:5" ht="15" customHeight="1" thickBot="1" x14ac:dyDescent="0.35">
      <c r="B830" s="96" t="s">
        <v>1656</v>
      </c>
      <c r="C830" s="97">
        <v>532324</v>
      </c>
      <c r="D830" s="96" t="s">
        <v>1657</v>
      </c>
      <c r="E830" s="96" t="s">
        <v>391</v>
      </c>
    </row>
    <row r="831" spans="2:5" ht="15" customHeight="1" thickBot="1" x14ac:dyDescent="0.35">
      <c r="B831" s="96" t="s">
        <v>1658</v>
      </c>
      <c r="C831" s="97">
        <v>500087</v>
      </c>
      <c r="D831" s="96" t="s">
        <v>1659</v>
      </c>
      <c r="E831" s="96" t="s">
        <v>426</v>
      </c>
    </row>
    <row r="832" spans="2:5" ht="15" customHeight="1" thickBot="1" x14ac:dyDescent="0.35">
      <c r="B832" s="96" t="s">
        <v>1660</v>
      </c>
      <c r="C832" s="97">
        <v>531775</v>
      </c>
      <c r="D832" s="96" t="s">
        <v>388</v>
      </c>
      <c r="E832" s="96" t="s">
        <v>410</v>
      </c>
    </row>
    <row r="833" spans="2:5" ht="15" customHeight="1" thickBot="1" x14ac:dyDescent="0.35">
      <c r="B833" s="96" t="s">
        <v>1661</v>
      </c>
      <c r="C833" s="97">
        <v>502445</v>
      </c>
      <c r="D833" s="96" t="s">
        <v>388</v>
      </c>
      <c r="E833" s="96" t="s">
        <v>474</v>
      </c>
    </row>
    <row r="834" spans="2:5" ht="15" customHeight="1" thickBot="1" x14ac:dyDescent="0.35">
      <c r="B834" s="96" t="s">
        <v>1662</v>
      </c>
      <c r="C834" s="97">
        <v>531235</v>
      </c>
      <c r="D834" s="96" t="s">
        <v>388</v>
      </c>
      <c r="E834" s="96" t="s">
        <v>405</v>
      </c>
    </row>
    <row r="835" spans="2:5" ht="15" customHeight="1" thickBot="1" x14ac:dyDescent="0.35">
      <c r="B835" s="96" t="s">
        <v>1663</v>
      </c>
      <c r="C835" s="97">
        <v>538786</v>
      </c>
      <c r="D835" s="96" t="s">
        <v>388</v>
      </c>
      <c r="E835" s="96" t="s">
        <v>912</v>
      </c>
    </row>
    <row r="836" spans="2:5" ht="15" customHeight="1" thickBot="1" x14ac:dyDescent="0.35">
      <c r="B836" s="96" t="s">
        <v>1664</v>
      </c>
      <c r="C836" s="97">
        <v>538674</v>
      </c>
      <c r="D836" s="96" t="s">
        <v>388</v>
      </c>
      <c r="E836" s="96" t="s">
        <v>1331</v>
      </c>
    </row>
    <row r="837" spans="2:5" ht="15" customHeight="1" thickBot="1" x14ac:dyDescent="0.35">
      <c r="B837" s="96" t="s">
        <v>1665</v>
      </c>
      <c r="C837" s="97">
        <v>532210</v>
      </c>
      <c r="D837" s="96" t="s">
        <v>1666</v>
      </c>
      <c r="E837" s="96" t="s">
        <v>706</v>
      </c>
    </row>
    <row r="838" spans="2:5" ht="15" customHeight="1" thickBot="1" x14ac:dyDescent="0.35">
      <c r="B838" s="96" t="s">
        <v>1667</v>
      </c>
      <c r="C838" s="97">
        <v>521210</v>
      </c>
      <c r="D838" s="96" t="s">
        <v>388</v>
      </c>
      <c r="E838" s="96" t="s">
        <v>502</v>
      </c>
    </row>
    <row r="839" spans="2:5" ht="15" customHeight="1" thickBot="1" x14ac:dyDescent="0.35">
      <c r="B839" s="96" t="s">
        <v>1668</v>
      </c>
      <c r="C839" s="97">
        <v>780013</v>
      </c>
      <c r="D839" s="96" t="s">
        <v>388</v>
      </c>
      <c r="E839" s="96" t="s">
        <v>479</v>
      </c>
    </row>
    <row r="840" spans="2:5" ht="15" customHeight="1" thickBot="1" x14ac:dyDescent="0.35">
      <c r="B840" s="96" t="s">
        <v>1669</v>
      </c>
      <c r="C840" s="97">
        <v>780013</v>
      </c>
      <c r="D840" s="96" t="s">
        <v>388</v>
      </c>
      <c r="E840" s="96" t="s">
        <v>479</v>
      </c>
    </row>
    <row r="841" spans="2:5" ht="15" customHeight="1" thickBot="1" x14ac:dyDescent="0.35">
      <c r="B841" s="96" t="s">
        <v>1670</v>
      </c>
      <c r="C841" s="96" t="s">
        <v>388</v>
      </c>
      <c r="D841" s="96" t="s">
        <v>1671</v>
      </c>
      <c r="E841" s="96" t="s">
        <v>399</v>
      </c>
    </row>
    <row r="842" spans="2:5" ht="15" customHeight="1" thickBot="1" x14ac:dyDescent="0.35">
      <c r="B842" s="96" t="s">
        <v>1672</v>
      </c>
      <c r="C842" s="96" t="s">
        <v>388</v>
      </c>
      <c r="D842" s="96" t="s">
        <v>1673</v>
      </c>
      <c r="E842" s="96" t="s">
        <v>399</v>
      </c>
    </row>
    <row r="843" spans="2:5" ht="15" customHeight="1" thickBot="1" x14ac:dyDescent="0.35">
      <c r="B843" s="96" t="s">
        <v>1674</v>
      </c>
      <c r="C843" s="97">
        <v>540403</v>
      </c>
      <c r="D843" s="96" t="s">
        <v>1675</v>
      </c>
      <c r="E843" s="96" t="s">
        <v>493</v>
      </c>
    </row>
    <row r="844" spans="2:5" ht="15" customHeight="1" thickBot="1" x14ac:dyDescent="0.35">
      <c r="B844" s="96" t="s">
        <v>1676</v>
      </c>
      <c r="C844" s="97">
        <v>506390</v>
      </c>
      <c r="D844" s="96" t="s">
        <v>1677</v>
      </c>
      <c r="E844" s="96" t="s">
        <v>548</v>
      </c>
    </row>
    <row r="845" spans="2:5" ht="15" customHeight="1" thickBot="1" x14ac:dyDescent="0.35">
      <c r="B845" s="96" t="s">
        <v>1678</v>
      </c>
      <c r="C845" s="97">
        <v>506390</v>
      </c>
      <c r="D845" s="96" t="s">
        <v>1679</v>
      </c>
      <c r="E845" s="96" t="s">
        <v>548</v>
      </c>
    </row>
    <row r="846" spans="2:5" ht="15" customHeight="1" thickBot="1" x14ac:dyDescent="0.35">
      <c r="B846" s="96" t="s">
        <v>1680</v>
      </c>
      <c r="C846" s="97">
        <v>512213</v>
      </c>
      <c r="D846" s="96" t="s">
        <v>388</v>
      </c>
      <c r="E846" s="96" t="s">
        <v>410</v>
      </c>
    </row>
    <row r="847" spans="2:5" ht="15" customHeight="1" thickBot="1" x14ac:dyDescent="0.35">
      <c r="B847" s="96" t="s">
        <v>1681</v>
      </c>
      <c r="C847" s="97">
        <v>540310</v>
      </c>
      <c r="D847" s="96" t="s">
        <v>388</v>
      </c>
      <c r="E847" s="96" t="s">
        <v>403</v>
      </c>
    </row>
    <row r="848" spans="2:5" ht="15" customHeight="1" thickBot="1" x14ac:dyDescent="0.35">
      <c r="B848" s="96" t="s">
        <v>1682</v>
      </c>
      <c r="C848" s="97">
        <v>538433</v>
      </c>
      <c r="D848" s="96" t="s">
        <v>388</v>
      </c>
      <c r="E848" s="96" t="s">
        <v>371</v>
      </c>
    </row>
    <row r="849" spans="2:5" ht="15" customHeight="1" thickBot="1" x14ac:dyDescent="0.35">
      <c r="B849" s="96" t="s">
        <v>1683</v>
      </c>
      <c r="C849" s="97">
        <v>540481</v>
      </c>
      <c r="D849" s="96" t="s">
        <v>388</v>
      </c>
      <c r="E849" s="96" t="s">
        <v>371</v>
      </c>
    </row>
    <row r="850" spans="2:5" ht="15" customHeight="1" thickBot="1" x14ac:dyDescent="0.35">
      <c r="B850" s="96" t="s">
        <v>1684</v>
      </c>
      <c r="C850" s="97">
        <v>530839</v>
      </c>
      <c r="D850" s="96" t="s">
        <v>388</v>
      </c>
      <c r="E850" s="96" t="s">
        <v>481</v>
      </c>
    </row>
    <row r="851" spans="2:5" ht="15" customHeight="1" thickBot="1" x14ac:dyDescent="0.35">
      <c r="B851" s="96" t="s">
        <v>1685</v>
      </c>
      <c r="C851" s="97">
        <v>500147</v>
      </c>
      <c r="D851" s="96" t="s">
        <v>388</v>
      </c>
      <c r="E851" s="96" t="s">
        <v>396</v>
      </c>
    </row>
    <row r="852" spans="2:5" ht="15" customHeight="1" thickBot="1" x14ac:dyDescent="0.35">
      <c r="B852" s="96" t="s">
        <v>1686</v>
      </c>
      <c r="C852" s="97">
        <v>517330</v>
      </c>
      <c r="D852" s="96" t="s">
        <v>1687</v>
      </c>
      <c r="E852" s="96" t="s">
        <v>686</v>
      </c>
    </row>
    <row r="853" spans="2:5" ht="15" customHeight="1" thickBot="1" x14ac:dyDescent="0.35">
      <c r="B853" s="96" t="s">
        <v>1688</v>
      </c>
      <c r="C853" s="96" t="s">
        <v>388</v>
      </c>
      <c r="D853" s="96" t="s">
        <v>1689</v>
      </c>
      <c r="E853" s="96" t="s">
        <v>399</v>
      </c>
    </row>
    <row r="854" spans="2:5" ht="15" customHeight="1" thickBot="1" x14ac:dyDescent="0.35">
      <c r="B854" s="96" t="s">
        <v>1690</v>
      </c>
      <c r="C854" s="97">
        <v>512018</v>
      </c>
      <c r="D854" s="96" t="s">
        <v>388</v>
      </c>
      <c r="E854" s="96" t="s">
        <v>394</v>
      </c>
    </row>
    <row r="855" spans="2:5" ht="15" customHeight="1" thickBot="1" x14ac:dyDescent="0.35">
      <c r="B855" s="96" t="s">
        <v>1691</v>
      </c>
      <c r="C855" s="97">
        <v>533278</v>
      </c>
      <c r="D855" s="96" t="s">
        <v>1692</v>
      </c>
      <c r="E855" s="96" t="s">
        <v>1066</v>
      </c>
    </row>
    <row r="856" spans="2:5" ht="15" customHeight="1" thickBot="1" x14ac:dyDescent="0.35">
      <c r="B856" s="96" t="s">
        <v>1693</v>
      </c>
      <c r="C856" s="97">
        <v>533278</v>
      </c>
      <c r="D856" s="96" t="s">
        <v>1694</v>
      </c>
      <c r="E856" s="96" t="s">
        <v>1066</v>
      </c>
    </row>
    <row r="857" spans="2:5" ht="15" customHeight="1" thickBot="1" x14ac:dyDescent="0.35">
      <c r="B857" s="96" t="s">
        <v>1695</v>
      </c>
      <c r="C857" s="97">
        <v>501831</v>
      </c>
      <c r="D857" s="96" t="s">
        <v>388</v>
      </c>
      <c r="E857" s="96" t="s">
        <v>448</v>
      </c>
    </row>
    <row r="858" spans="2:5" ht="15" customHeight="1" thickBot="1" x14ac:dyDescent="0.35">
      <c r="B858" s="96" t="s">
        <v>1696</v>
      </c>
      <c r="C858" s="97">
        <v>520131</v>
      </c>
      <c r="D858" s="96" t="s">
        <v>388</v>
      </c>
      <c r="E858" s="96" t="s">
        <v>460</v>
      </c>
    </row>
    <row r="859" spans="2:5" ht="15" customHeight="1" thickBot="1" x14ac:dyDescent="0.35">
      <c r="B859" s="96" t="s">
        <v>1697</v>
      </c>
      <c r="C859" s="97">
        <v>508571</v>
      </c>
      <c r="D859" s="96" t="s">
        <v>388</v>
      </c>
      <c r="E859" s="96" t="s">
        <v>868</v>
      </c>
    </row>
    <row r="860" spans="2:5" ht="15" customHeight="1" thickBot="1" x14ac:dyDescent="0.35">
      <c r="B860" s="96" t="s">
        <v>1698</v>
      </c>
      <c r="C860" s="97">
        <v>513353</v>
      </c>
      <c r="D860" s="96" t="s">
        <v>388</v>
      </c>
      <c r="E860" s="96" t="s">
        <v>548</v>
      </c>
    </row>
    <row r="861" spans="2:5" ht="15" customHeight="1" thickBot="1" x14ac:dyDescent="0.35">
      <c r="B861" s="96" t="s">
        <v>1699</v>
      </c>
      <c r="C861" s="97">
        <v>540678</v>
      </c>
      <c r="D861" s="96" t="s">
        <v>1700</v>
      </c>
      <c r="E861" s="96" t="s">
        <v>1635</v>
      </c>
    </row>
    <row r="862" spans="2:5" ht="15" customHeight="1" thickBot="1" x14ac:dyDescent="0.35">
      <c r="B862" s="96" t="s">
        <v>1701</v>
      </c>
      <c r="C862" s="97">
        <v>539436</v>
      </c>
      <c r="D862" s="96" t="s">
        <v>1702</v>
      </c>
      <c r="E862" s="96" t="s">
        <v>877</v>
      </c>
    </row>
    <row r="863" spans="2:5" ht="15" customHeight="1" thickBot="1" x14ac:dyDescent="0.35">
      <c r="B863" s="96" t="s">
        <v>1703</v>
      </c>
      <c r="C863" s="97">
        <v>500830</v>
      </c>
      <c r="D863" s="96" t="s">
        <v>1704</v>
      </c>
      <c r="E863" s="96" t="s">
        <v>570</v>
      </c>
    </row>
    <row r="864" spans="2:5" ht="15" customHeight="1" thickBot="1" x14ac:dyDescent="0.35">
      <c r="B864" s="96" t="s">
        <v>1705</v>
      </c>
      <c r="C864" s="97">
        <v>500830</v>
      </c>
      <c r="D864" s="96" t="s">
        <v>1704</v>
      </c>
      <c r="E864" s="96" t="s">
        <v>570</v>
      </c>
    </row>
    <row r="865" spans="2:5" ht="15" customHeight="1" thickBot="1" x14ac:dyDescent="0.35">
      <c r="B865" s="96" t="s">
        <v>1706</v>
      </c>
      <c r="C865" s="97">
        <v>531210</v>
      </c>
      <c r="D865" s="96" t="s">
        <v>388</v>
      </c>
      <c r="E865" s="96" t="s">
        <v>426</v>
      </c>
    </row>
    <row r="866" spans="2:5" ht="15" customHeight="1" thickBot="1" x14ac:dyDescent="0.35">
      <c r="B866" s="96" t="s">
        <v>1707</v>
      </c>
      <c r="C866" s="97">
        <v>540023</v>
      </c>
      <c r="D866" s="96" t="s">
        <v>388</v>
      </c>
      <c r="E866" s="96" t="s">
        <v>1126</v>
      </c>
    </row>
    <row r="867" spans="2:5" ht="15" customHeight="1" thickBot="1" x14ac:dyDescent="0.35">
      <c r="B867" s="96" t="s">
        <v>1708</v>
      </c>
      <c r="C867" s="97">
        <v>524752</v>
      </c>
      <c r="D867" s="96" t="s">
        <v>388</v>
      </c>
      <c r="E867" s="96" t="s">
        <v>426</v>
      </c>
    </row>
    <row r="868" spans="2:5" ht="15" customHeight="1" thickBot="1" x14ac:dyDescent="0.35">
      <c r="B868" s="96" t="s">
        <v>1709</v>
      </c>
      <c r="C868" s="97">
        <v>534691</v>
      </c>
      <c r="D868" s="96" t="s">
        <v>388</v>
      </c>
      <c r="E868" s="96" t="s">
        <v>371</v>
      </c>
    </row>
    <row r="869" spans="2:5" ht="15" customHeight="1" thickBot="1" x14ac:dyDescent="0.35">
      <c r="B869" s="96" t="s">
        <v>1710</v>
      </c>
      <c r="C869" s="97">
        <v>535267</v>
      </c>
      <c r="D869" s="96" t="s">
        <v>388</v>
      </c>
      <c r="E869" s="96" t="s">
        <v>405</v>
      </c>
    </row>
    <row r="870" spans="2:5" ht="15" customHeight="1" thickBot="1" x14ac:dyDescent="0.35">
      <c r="B870" s="96" t="s">
        <v>1711</v>
      </c>
      <c r="C870" s="97">
        <v>531216</v>
      </c>
      <c r="D870" s="96" t="s">
        <v>388</v>
      </c>
      <c r="E870" s="96" t="s">
        <v>405</v>
      </c>
    </row>
    <row r="871" spans="2:5" ht="15" customHeight="1" thickBot="1" x14ac:dyDescent="0.35">
      <c r="B871" s="96" t="s">
        <v>1712</v>
      </c>
      <c r="C871" s="97">
        <v>533272</v>
      </c>
      <c r="D871" s="96" t="s">
        <v>1713</v>
      </c>
      <c r="E871" s="96" t="s">
        <v>466</v>
      </c>
    </row>
    <row r="872" spans="2:5" ht="15" customHeight="1" thickBot="1" x14ac:dyDescent="0.35">
      <c r="B872" s="96" t="s">
        <v>1714</v>
      </c>
      <c r="C872" s="97">
        <v>539986</v>
      </c>
      <c r="D872" s="96" t="s">
        <v>388</v>
      </c>
      <c r="E872" s="96" t="s">
        <v>583</v>
      </c>
    </row>
    <row r="873" spans="2:5" ht="15" customHeight="1" thickBot="1" x14ac:dyDescent="0.35">
      <c r="B873" s="96" t="s">
        <v>1715</v>
      </c>
      <c r="C873" s="97">
        <v>532342</v>
      </c>
      <c r="D873" s="96" t="s">
        <v>388</v>
      </c>
      <c r="E873" s="96" t="s">
        <v>374</v>
      </c>
    </row>
    <row r="874" spans="2:5" ht="15" customHeight="1" thickBot="1" x14ac:dyDescent="0.35">
      <c r="B874" s="96" t="s">
        <v>1716</v>
      </c>
      <c r="C874" s="97">
        <v>531041</v>
      </c>
      <c r="D874" s="96" t="s">
        <v>388</v>
      </c>
      <c r="E874" s="96" t="s">
        <v>410</v>
      </c>
    </row>
    <row r="875" spans="2:5" ht="15" customHeight="1" thickBot="1" x14ac:dyDescent="0.35">
      <c r="B875" s="96" t="s">
        <v>1717</v>
      </c>
      <c r="C875" s="97">
        <v>532456</v>
      </c>
      <c r="D875" s="96" t="s">
        <v>1718</v>
      </c>
      <c r="E875" s="96" t="s">
        <v>485</v>
      </c>
    </row>
    <row r="876" spans="2:5" ht="15" customHeight="1" thickBot="1" x14ac:dyDescent="0.35">
      <c r="B876" s="96" t="s">
        <v>1719</v>
      </c>
      <c r="C876" s="97">
        <v>532339</v>
      </c>
      <c r="D876" s="96" t="s">
        <v>1720</v>
      </c>
      <c r="E876" s="96" t="s">
        <v>873</v>
      </c>
    </row>
    <row r="877" spans="2:5" ht="15" customHeight="1" thickBot="1" x14ac:dyDescent="0.35">
      <c r="B877" s="96" t="s">
        <v>1721</v>
      </c>
      <c r="C877" s="97">
        <v>507833</v>
      </c>
      <c r="D877" s="96" t="s">
        <v>388</v>
      </c>
      <c r="E877" s="96" t="s">
        <v>713</v>
      </c>
    </row>
    <row r="878" spans="2:5" ht="15" customHeight="1" thickBot="1" x14ac:dyDescent="0.35">
      <c r="B878" s="96" t="s">
        <v>1722</v>
      </c>
      <c r="C878" s="97">
        <v>522231</v>
      </c>
      <c r="D878" s="96" t="s">
        <v>388</v>
      </c>
      <c r="E878" s="96" t="s">
        <v>786</v>
      </c>
    </row>
    <row r="879" spans="2:5" ht="15" customHeight="1" thickBot="1" x14ac:dyDescent="0.35">
      <c r="B879" s="96" t="s">
        <v>1723</v>
      </c>
      <c r="C879" s="97">
        <v>538965</v>
      </c>
      <c r="D879" s="96" t="s">
        <v>388</v>
      </c>
      <c r="E879" s="96" t="s">
        <v>426</v>
      </c>
    </row>
    <row r="880" spans="2:5" ht="15" customHeight="1" thickBot="1" x14ac:dyDescent="0.35">
      <c r="B880" s="96" t="s">
        <v>1724</v>
      </c>
      <c r="C880" s="97">
        <v>539266</v>
      </c>
      <c r="D880" s="96" t="s">
        <v>388</v>
      </c>
      <c r="E880" s="96" t="s">
        <v>408</v>
      </c>
    </row>
    <row r="881" spans="2:5" ht="15" customHeight="1" thickBot="1" x14ac:dyDescent="0.35">
      <c r="B881" s="96" t="s">
        <v>1725</v>
      </c>
      <c r="C881" s="97">
        <v>504340</v>
      </c>
      <c r="D881" s="96" t="s">
        <v>388</v>
      </c>
      <c r="E881" s="96" t="s">
        <v>371</v>
      </c>
    </row>
    <row r="882" spans="2:5" ht="15" customHeight="1" thickBot="1" x14ac:dyDescent="0.35">
      <c r="B882" s="96" t="s">
        <v>1726</v>
      </c>
      <c r="C882" s="97">
        <v>539991</v>
      </c>
      <c r="D882" s="96" t="s">
        <v>1727</v>
      </c>
      <c r="E882" s="96" t="s">
        <v>754</v>
      </c>
    </row>
    <row r="883" spans="2:5" ht="15" customHeight="1" thickBot="1" x14ac:dyDescent="0.35">
      <c r="B883" s="96" t="s">
        <v>1728</v>
      </c>
      <c r="C883" s="97">
        <v>526829</v>
      </c>
      <c r="D883" s="96" t="s">
        <v>388</v>
      </c>
      <c r="E883" s="96" t="s">
        <v>598</v>
      </c>
    </row>
    <row r="884" spans="2:5" ht="15" customHeight="1" thickBot="1" x14ac:dyDescent="0.35">
      <c r="B884" s="96" t="s">
        <v>1729</v>
      </c>
      <c r="C884" s="97">
        <v>526829</v>
      </c>
      <c r="D884" s="96" t="s">
        <v>1730</v>
      </c>
      <c r="E884" s="96" t="s">
        <v>598</v>
      </c>
    </row>
    <row r="885" spans="2:5" ht="15" customHeight="1" thickBot="1" x14ac:dyDescent="0.35">
      <c r="B885" s="96" t="s">
        <v>1731</v>
      </c>
      <c r="C885" s="97">
        <v>526829</v>
      </c>
      <c r="D885" s="96" t="s">
        <v>388</v>
      </c>
      <c r="E885" s="96" t="s">
        <v>598</v>
      </c>
    </row>
    <row r="886" spans="2:5" ht="15" customHeight="1" thickBot="1" x14ac:dyDescent="0.35">
      <c r="B886" s="96" t="s">
        <v>1732</v>
      </c>
      <c r="C886" s="97">
        <v>539091</v>
      </c>
      <c r="D886" s="96" t="s">
        <v>388</v>
      </c>
      <c r="E886" s="96" t="s">
        <v>408</v>
      </c>
    </row>
    <row r="887" spans="2:5" ht="15" customHeight="1" thickBot="1" x14ac:dyDescent="0.35">
      <c r="B887" s="96" t="s">
        <v>1733</v>
      </c>
      <c r="C887" s="97">
        <v>532902</v>
      </c>
      <c r="D887" s="96" t="s">
        <v>1734</v>
      </c>
      <c r="E887" s="96" t="s">
        <v>474</v>
      </c>
    </row>
    <row r="888" spans="2:5" ht="15" customHeight="1" thickBot="1" x14ac:dyDescent="0.35">
      <c r="B888" s="96" t="s">
        <v>1735</v>
      </c>
      <c r="C888" s="96" t="s">
        <v>388</v>
      </c>
      <c r="D888" s="96" t="s">
        <v>1736</v>
      </c>
      <c r="E888" s="96" t="s">
        <v>479</v>
      </c>
    </row>
    <row r="889" spans="2:5" ht="15" customHeight="1" thickBot="1" x14ac:dyDescent="0.35">
      <c r="B889" s="96" t="s">
        <v>1737</v>
      </c>
      <c r="C889" s="97">
        <v>531344</v>
      </c>
      <c r="D889" s="96" t="s">
        <v>1738</v>
      </c>
      <c r="E889" s="96" t="s">
        <v>511</v>
      </c>
    </row>
    <row r="890" spans="2:5" ht="15" customHeight="1" thickBot="1" x14ac:dyDescent="0.35">
      <c r="B890" s="96" t="s">
        <v>1739</v>
      </c>
      <c r="C890" s="97">
        <v>531344</v>
      </c>
      <c r="D890" s="96" t="s">
        <v>1738</v>
      </c>
      <c r="E890" s="96" t="s">
        <v>511</v>
      </c>
    </row>
    <row r="891" spans="2:5" ht="15" customHeight="1" thickBot="1" x14ac:dyDescent="0.35">
      <c r="B891" s="96" t="s">
        <v>1740</v>
      </c>
      <c r="C891" s="97">
        <v>540597</v>
      </c>
      <c r="D891" s="96" t="s">
        <v>388</v>
      </c>
      <c r="E891" s="96" t="s">
        <v>709</v>
      </c>
    </row>
    <row r="892" spans="2:5" ht="15" customHeight="1" thickBot="1" x14ac:dyDescent="0.35">
      <c r="B892" s="96" t="s">
        <v>1741</v>
      </c>
      <c r="C892" s="97">
        <v>531067</v>
      </c>
      <c r="D892" s="96" t="s">
        <v>388</v>
      </c>
      <c r="E892" s="96" t="s">
        <v>405</v>
      </c>
    </row>
    <row r="893" spans="2:5" ht="15" customHeight="1" thickBot="1" x14ac:dyDescent="0.35">
      <c r="B893" s="96" t="s">
        <v>1742</v>
      </c>
      <c r="C893" s="97">
        <v>531067</v>
      </c>
      <c r="D893" s="96" t="s">
        <v>388</v>
      </c>
      <c r="E893" s="96" t="s">
        <v>405</v>
      </c>
    </row>
    <row r="894" spans="2:5" ht="15" customHeight="1" thickBot="1" x14ac:dyDescent="0.35">
      <c r="B894" s="96" t="s">
        <v>1743</v>
      </c>
      <c r="C894" s="97">
        <v>506935</v>
      </c>
      <c r="D894" s="96" t="s">
        <v>388</v>
      </c>
      <c r="E894" s="96" t="s">
        <v>481</v>
      </c>
    </row>
    <row r="895" spans="2:5" ht="15" customHeight="1" thickBot="1" x14ac:dyDescent="0.35">
      <c r="B895" s="96" t="s">
        <v>1744</v>
      </c>
      <c r="C895" s="97">
        <v>531460</v>
      </c>
      <c r="D895" s="96" t="s">
        <v>388</v>
      </c>
      <c r="E895" s="96" t="s">
        <v>686</v>
      </c>
    </row>
    <row r="896" spans="2:5" ht="15" customHeight="1" thickBot="1" x14ac:dyDescent="0.35">
      <c r="B896" s="96" t="s">
        <v>1745</v>
      </c>
      <c r="C896" s="97">
        <v>523232</v>
      </c>
      <c r="D896" s="96" t="s">
        <v>388</v>
      </c>
      <c r="E896" s="96" t="s">
        <v>598</v>
      </c>
    </row>
    <row r="897" spans="2:5" ht="15" customHeight="1" thickBot="1" x14ac:dyDescent="0.35">
      <c r="B897" s="96" t="s">
        <v>1746</v>
      </c>
      <c r="C897" s="97">
        <v>538868</v>
      </c>
      <c r="D897" s="96" t="s">
        <v>388</v>
      </c>
      <c r="E897" s="96" t="s">
        <v>405</v>
      </c>
    </row>
    <row r="898" spans="2:5" ht="15" customHeight="1" thickBot="1" x14ac:dyDescent="0.35">
      <c r="B898" s="96" t="s">
        <v>1747</v>
      </c>
      <c r="C898" s="96" t="s">
        <v>388</v>
      </c>
      <c r="D898" s="96" t="s">
        <v>1748</v>
      </c>
      <c r="E898" s="96" t="s">
        <v>399</v>
      </c>
    </row>
    <row r="899" spans="2:5" ht="15" customHeight="1" thickBot="1" x14ac:dyDescent="0.35">
      <c r="B899" s="96" t="s">
        <v>1749</v>
      </c>
      <c r="C899" s="97">
        <v>522295</v>
      </c>
      <c r="D899" s="96" t="s">
        <v>1750</v>
      </c>
      <c r="E899" s="96" t="s">
        <v>583</v>
      </c>
    </row>
    <row r="900" spans="2:5" ht="15" customHeight="1" thickBot="1" x14ac:dyDescent="0.35">
      <c r="B900" s="96" t="s">
        <v>1751</v>
      </c>
      <c r="C900" s="97">
        <v>531556</v>
      </c>
      <c r="D900" s="96" t="s">
        <v>1752</v>
      </c>
      <c r="E900" s="96" t="s">
        <v>446</v>
      </c>
    </row>
    <row r="901" spans="2:5" ht="15" customHeight="1" thickBot="1" x14ac:dyDescent="0.35">
      <c r="B901" s="96" t="s">
        <v>1753</v>
      </c>
      <c r="C901" s="97">
        <v>524506</v>
      </c>
      <c r="D901" s="96" t="s">
        <v>388</v>
      </c>
      <c r="E901" s="96" t="s">
        <v>426</v>
      </c>
    </row>
    <row r="902" spans="2:5" ht="15" customHeight="1" thickBot="1" x14ac:dyDescent="0.35">
      <c r="B902" s="96" t="s">
        <v>1754</v>
      </c>
      <c r="C902" s="97">
        <v>530755</v>
      </c>
      <c r="D902" s="96" t="s">
        <v>1755</v>
      </c>
      <c r="E902" s="96" t="s">
        <v>1756</v>
      </c>
    </row>
    <row r="903" spans="2:5" ht="15" customHeight="1" thickBot="1" x14ac:dyDescent="0.35">
      <c r="B903" s="96" t="s">
        <v>1757</v>
      </c>
      <c r="C903" s="97">
        <v>532941</v>
      </c>
      <c r="D903" s="96" t="s">
        <v>1758</v>
      </c>
      <c r="E903" s="96" t="s">
        <v>686</v>
      </c>
    </row>
    <row r="904" spans="2:5" ht="15" customHeight="1" thickBot="1" x14ac:dyDescent="0.35">
      <c r="B904" s="96" t="s">
        <v>1759</v>
      </c>
      <c r="C904" s="97">
        <v>507543</v>
      </c>
      <c r="D904" s="96" t="s">
        <v>388</v>
      </c>
      <c r="E904" s="96" t="s">
        <v>637</v>
      </c>
    </row>
    <row r="905" spans="2:5" ht="15" customHeight="1" thickBot="1" x14ac:dyDescent="0.35">
      <c r="B905" s="96" t="s">
        <v>1760</v>
      </c>
      <c r="C905" s="97">
        <v>533167</v>
      </c>
      <c r="D905" s="96" t="s">
        <v>388</v>
      </c>
      <c r="E905" s="96" t="s">
        <v>786</v>
      </c>
    </row>
    <row r="906" spans="2:5" ht="15" customHeight="1" thickBot="1" x14ac:dyDescent="0.35">
      <c r="B906" s="96" t="s">
        <v>1761</v>
      </c>
      <c r="C906" s="97">
        <v>506395</v>
      </c>
      <c r="D906" s="96" t="s">
        <v>1762</v>
      </c>
      <c r="E906" s="96" t="s">
        <v>896</v>
      </c>
    </row>
    <row r="907" spans="2:5" ht="15" customHeight="1" thickBot="1" x14ac:dyDescent="0.35">
      <c r="B907" s="96" t="s">
        <v>1763</v>
      </c>
      <c r="C907" s="97">
        <v>526737</v>
      </c>
      <c r="D907" s="96" t="s">
        <v>388</v>
      </c>
      <c r="E907" s="96" t="s">
        <v>709</v>
      </c>
    </row>
    <row r="908" spans="2:5" ht="15" customHeight="1" thickBot="1" x14ac:dyDescent="0.35">
      <c r="B908" s="96" t="s">
        <v>1764</v>
      </c>
      <c r="C908" s="97">
        <v>540199</v>
      </c>
      <c r="D908" s="96" t="s">
        <v>388</v>
      </c>
      <c r="E908" s="96" t="s">
        <v>371</v>
      </c>
    </row>
    <row r="909" spans="2:5" ht="15" customHeight="1" thickBot="1" x14ac:dyDescent="0.35">
      <c r="B909" s="96" t="s">
        <v>1765</v>
      </c>
      <c r="C909" s="97">
        <v>532179</v>
      </c>
      <c r="D909" s="96" t="s">
        <v>1766</v>
      </c>
      <c r="E909" s="96" t="s">
        <v>706</v>
      </c>
    </row>
    <row r="910" spans="2:5" ht="15" customHeight="1" thickBot="1" x14ac:dyDescent="0.35">
      <c r="B910" s="96" t="s">
        <v>1767</v>
      </c>
      <c r="C910" s="97">
        <v>530859</v>
      </c>
      <c r="D910" s="96" t="s">
        <v>388</v>
      </c>
      <c r="E910" s="96" t="s">
        <v>382</v>
      </c>
    </row>
    <row r="911" spans="2:5" ht="15" customHeight="1" thickBot="1" x14ac:dyDescent="0.35">
      <c r="B911" s="96" t="s">
        <v>1768</v>
      </c>
      <c r="C911" s="97">
        <v>530545</v>
      </c>
      <c r="D911" s="96" t="s">
        <v>388</v>
      </c>
      <c r="E911" s="96" t="s">
        <v>377</v>
      </c>
    </row>
    <row r="912" spans="2:5" ht="15" customHeight="1" thickBot="1" x14ac:dyDescent="0.35">
      <c r="B912" s="96" t="s">
        <v>1769</v>
      </c>
      <c r="C912" s="97">
        <v>530545</v>
      </c>
      <c r="D912" s="96" t="s">
        <v>388</v>
      </c>
      <c r="E912" s="96" t="s">
        <v>377</v>
      </c>
    </row>
    <row r="913" spans="2:5" ht="15" customHeight="1" thickBot="1" x14ac:dyDescent="0.35">
      <c r="B913" s="96" t="s">
        <v>1770</v>
      </c>
      <c r="C913" s="97">
        <v>523100</v>
      </c>
      <c r="D913" s="96" t="s">
        <v>388</v>
      </c>
      <c r="E913" s="96" t="s">
        <v>420</v>
      </c>
    </row>
    <row r="914" spans="2:5" ht="15" customHeight="1" thickBot="1" x14ac:dyDescent="0.35">
      <c r="B914" s="96" t="s">
        <v>1771</v>
      </c>
      <c r="C914" s="97">
        <v>508814</v>
      </c>
      <c r="D914" s="96" t="s">
        <v>1772</v>
      </c>
      <c r="E914" s="96" t="s">
        <v>436</v>
      </c>
    </row>
    <row r="915" spans="2:5" ht="15" customHeight="1" thickBot="1" x14ac:dyDescent="0.35">
      <c r="B915" s="96" t="s">
        <v>1773</v>
      </c>
      <c r="C915" s="97">
        <v>538922</v>
      </c>
      <c r="D915" s="96" t="s">
        <v>388</v>
      </c>
      <c r="E915" s="96" t="s">
        <v>481</v>
      </c>
    </row>
    <row r="916" spans="2:5" ht="15" customHeight="1" thickBot="1" x14ac:dyDescent="0.35">
      <c r="B916" s="96" t="s">
        <v>1774</v>
      </c>
      <c r="C916" s="97">
        <v>526550</v>
      </c>
      <c r="D916" s="96" t="s">
        <v>1775</v>
      </c>
      <c r="E916" s="96" t="s">
        <v>589</v>
      </c>
    </row>
    <row r="917" spans="2:5" ht="15" customHeight="1" thickBot="1" x14ac:dyDescent="0.35">
      <c r="B917" s="96" t="s">
        <v>1776</v>
      </c>
      <c r="C917" s="97">
        <v>531624</v>
      </c>
      <c r="D917" s="96" t="s">
        <v>1777</v>
      </c>
      <c r="E917" s="96" t="s">
        <v>474</v>
      </c>
    </row>
    <row r="918" spans="2:5" ht="15" customHeight="1" thickBot="1" x14ac:dyDescent="0.35">
      <c r="B918" s="96" t="s">
        <v>1778</v>
      </c>
      <c r="C918" s="97">
        <v>523415</v>
      </c>
      <c r="D918" s="96" t="s">
        <v>388</v>
      </c>
      <c r="E918" s="96" t="s">
        <v>420</v>
      </c>
    </row>
    <row r="919" spans="2:5" ht="15" customHeight="1" thickBot="1" x14ac:dyDescent="0.35">
      <c r="B919" s="96" t="s">
        <v>1779</v>
      </c>
      <c r="C919" s="97">
        <v>534920</v>
      </c>
      <c r="D919" s="96" t="s">
        <v>388</v>
      </c>
      <c r="E919" s="96" t="s">
        <v>374</v>
      </c>
    </row>
    <row r="920" spans="2:5" ht="15" customHeight="1" thickBot="1" x14ac:dyDescent="0.35">
      <c r="B920" s="96" t="s">
        <v>1780</v>
      </c>
      <c r="C920" s="97">
        <v>533144</v>
      </c>
      <c r="D920" s="96" t="s">
        <v>1781</v>
      </c>
      <c r="E920" s="96" t="s">
        <v>1390</v>
      </c>
    </row>
    <row r="921" spans="2:5" ht="15" customHeight="1" thickBot="1" x14ac:dyDescent="0.35">
      <c r="B921" s="96" t="s">
        <v>1782</v>
      </c>
      <c r="C921" s="97">
        <v>542641</v>
      </c>
      <c r="D921" s="96" t="s">
        <v>1783</v>
      </c>
      <c r="E921" s="96" t="s">
        <v>405</v>
      </c>
    </row>
    <row r="922" spans="2:5" ht="15" customHeight="1" thickBot="1" x14ac:dyDescent="0.35">
      <c r="B922" s="96" t="s">
        <v>1784</v>
      </c>
      <c r="C922" s="97">
        <v>538770</v>
      </c>
      <c r="D922" s="96" t="s">
        <v>388</v>
      </c>
      <c r="E922" s="96" t="s">
        <v>474</v>
      </c>
    </row>
    <row r="923" spans="2:5" ht="15" customHeight="1" thickBot="1" x14ac:dyDescent="0.35">
      <c r="B923" s="96" t="s">
        <v>1785</v>
      </c>
      <c r="C923" s="97">
        <v>512093</v>
      </c>
      <c r="D923" s="96" t="s">
        <v>388</v>
      </c>
      <c r="E923" s="96" t="s">
        <v>481</v>
      </c>
    </row>
    <row r="924" spans="2:5" ht="15" customHeight="1" thickBot="1" x14ac:dyDescent="0.35">
      <c r="B924" s="96" t="s">
        <v>1786</v>
      </c>
      <c r="C924" s="97">
        <v>522001</v>
      </c>
      <c r="D924" s="96" t="s">
        <v>388</v>
      </c>
      <c r="E924" s="96" t="s">
        <v>466</v>
      </c>
    </row>
    <row r="925" spans="2:5" ht="15" customHeight="1" thickBot="1" x14ac:dyDescent="0.35">
      <c r="B925" s="96" t="s">
        <v>1787</v>
      </c>
      <c r="C925" s="97">
        <v>509472</v>
      </c>
      <c r="D925" s="96" t="s">
        <v>388</v>
      </c>
      <c r="E925" s="96" t="s">
        <v>410</v>
      </c>
    </row>
    <row r="926" spans="2:5" ht="15" customHeight="1" thickBot="1" x14ac:dyDescent="0.35">
      <c r="B926" s="96" t="s">
        <v>1788</v>
      </c>
      <c r="C926" s="97">
        <v>524388</v>
      </c>
      <c r="D926" s="96" t="s">
        <v>388</v>
      </c>
      <c r="E926" s="96" t="s">
        <v>713</v>
      </c>
    </row>
    <row r="927" spans="2:5" ht="15" customHeight="1" thickBot="1" x14ac:dyDescent="0.35">
      <c r="B927" s="96" t="s">
        <v>1789</v>
      </c>
      <c r="C927" s="97">
        <v>539527</v>
      </c>
      <c r="D927" s="96" t="s">
        <v>388</v>
      </c>
      <c r="E927" s="96" t="s">
        <v>1307</v>
      </c>
    </row>
    <row r="928" spans="2:5" ht="15" customHeight="1" thickBot="1" x14ac:dyDescent="0.35">
      <c r="B928" s="96" t="s">
        <v>1790</v>
      </c>
      <c r="C928" s="97">
        <v>532392</v>
      </c>
      <c r="D928" s="96" t="s">
        <v>1791</v>
      </c>
      <c r="E928" s="96" t="s">
        <v>391</v>
      </c>
    </row>
    <row r="929" spans="2:5" ht="15" customHeight="1" thickBot="1" x14ac:dyDescent="0.35">
      <c r="B929" s="96" t="s">
        <v>1792</v>
      </c>
      <c r="C929" s="96" t="s">
        <v>388</v>
      </c>
      <c r="D929" s="96" t="s">
        <v>1793</v>
      </c>
      <c r="E929" s="96" t="s">
        <v>399</v>
      </c>
    </row>
    <row r="930" spans="2:5" ht="15" customHeight="1" thickBot="1" x14ac:dyDescent="0.35">
      <c r="B930" s="96" t="s">
        <v>1794</v>
      </c>
      <c r="C930" s="97">
        <v>541770</v>
      </c>
      <c r="D930" s="96" t="s">
        <v>1795</v>
      </c>
      <c r="E930" s="96" t="s">
        <v>405</v>
      </c>
    </row>
    <row r="931" spans="2:5" ht="15" customHeight="1" thickBot="1" x14ac:dyDescent="0.35">
      <c r="B931" s="96" t="s">
        <v>1796</v>
      </c>
      <c r="C931" s="97">
        <v>539131</v>
      </c>
      <c r="D931" s="96" t="s">
        <v>388</v>
      </c>
      <c r="E931" s="96" t="s">
        <v>408</v>
      </c>
    </row>
    <row r="932" spans="2:5" ht="15" customHeight="1" thickBot="1" x14ac:dyDescent="0.35">
      <c r="B932" s="96" t="s">
        <v>1797</v>
      </c>
      <c r="C932" s="97">
        <v>512379</v>
      </c>
      <c r="D932" s="96" t="s">
        <v>388</v>
      </c>
      <c r="E932" s="96" t="s">
        <v>481</v>
      </c>
    </row>
    <row r="933" spans="2:5" ht="15" customHeight="1" thickBot="1" x14ac:dyDescent="0.35">
      <c r="B933" s="96" t="s">
        <v>1798</v>
      </c>
      <c r="C933" s="97">
        <v>511413</v>
      </c>
      <c r="D933" s="96" t="s">
        <v>1799</v>
      </c>
      <c r="E933" s="96" t="s">
        <v>405</v>
      </c>
    </row>
    <row r="934" spans="2:5" ht="15" customHeight="1" thickBot="1" x14ac:dyDescent="0.35">
      <c r="B934" s="96" t="s">
        <v>1800</v>
      </c>
      <c r="C934" s="97">
        <v>526269</v>
      </c>
      <c r="D934" s="96" t="s">
        <v>388</v>
      </c>
      <c r="E934" s="96" t="s">
        <v>548</v>
      </c>
    </row>
    <row r="935" spans="2:5" ht="15" customHeight="1" thickBot="1" x14ac:dyDescent="0.35">
      <c r="B935" s="96" t="s">
        <v>1801</v>
      </c>
      <c r="C935" s="97">
        <v>526977</v>
      </c>
      <c r="D935" s="96" t="s">
        <v>388</v>
      </c>
      <c r="E935" s="96" t="s">
        <v>711</v>
      </c>
    </row>
    <row r="936" spans="2:5" ht="15" customHeight="1" thickBot="1" x14ac:dyDescent="0.35">
      <c r="B936" s="96" t="s">
        <v>1802</v>
      </c>
      <c r="C936" s="97">
        <v>500092</v>
      </c>
      <c r="D936" s="96" t="s">
        <v>1803</v>
      </c>
      <c r="E936" s="96" t="s">
        <v>371</v>
      </c>
    </row>
    <row r="937" spans="2:5" ht="15" customHeight="1" thickBot="1" x14ac:dyDescent="0.35">
      <c r="B937" s="96" t="s">
        <v>1804</v>
      </c>
      <c r="C937" s="97">
        <v>539876</v>
      </c>
      <c r="D937" s="96" t="s">
        <v>1805</v>
      </c>
      <c r="E937" s="96" t="s">
        <v>1152</v>
      </c>
    </row>
    <row r="938" spans="2:5" ht="15" customHeight="1" thickBot="1" x14ac:dyDescent="0.35">
      <c r="B938" s="96" t="s">
        <v>1806</v>
      </c>
      <c r="C938" s="96" t="s">
        <v>388</v>
      </c>
      <c r="D938" s="96" t="s">
        <v>1807</v>
      </c>
      <c r="E938" s="96" t="s">
        <v>399</v>
      </c>
    </row>
    <row r="939" spans="2:5" ht="15" customHeight="1" thickBot="1" x14ac:dyDescent="0.35">
      <c r="B939" s="96" t="s">
        <v>1808</v>
      </c>
      <c r="C939" s="97">
        <v>538521</v>
      </c>
      <c r="D939" s="96" t="s">
        <v>388</v>
      </c>
      <c r="E939" s="96" t="s">
        <v>1390</v>
      </c>
    </row>
    <row r="940" spans="2:5" ht="15" customHeight="1" thickBot="1" x14ac:dyDescent="0.35">
      <c r="B940" s="96" t="s">
        <v>1809</v>
      </c>
      <c r="C940" s="97">
        <v>540903</v>
      </c>
      <c r="D940" s="96" t="s">
        <v>388</v>
      </c>
      <c r="E940" s="96" t="s">
        <v>472</v>
      </c>
    </row>
    <row r="941" spans="2:5" ht="15" customHeight="1" thickBot="1" x14ac:dyDescent="0.35">
      <c r="B941" s="96" t="s">
        <v>1810</v>
      </c>
      <c r="C941" s="97">
        <v>530067</v>
      </c>
      <c r="D941" s="96" t="s">
        <v>388</v>
      </c>
      <c r="E941" s="96" t="s">
        <v>405</v>
      </c>
    </row>
    <row r="942" spans="2:5" ht="15" customHeight="1" thickBot="1" x14ac:dyDescent="0.35">
      <c r="B942" s="96" t="s">
        <v>1811</v>
      </c>
      <c r="C942" s="97">
        <v>526027</v>
      </c>
      <c r="D942" s="96" t="s">
        <v>1812</v>
      </c>
      <c r="E942" s="96" t="s">
        <v>462</v>
      </c>
    </row>
    <row r="943" spans="2:5" ht="15" customHeight="1" thickBot="1" x14ac:dyDescent="0.35">
      <c r="B943" s="96" t="s">
        <v>1813</v>
      </c>
      <c r="C943" s="97">
        <v>511710</v>
      </c>
      <c r="D943" s="96" t="s">
        <v>388</v>
      </c>
      <c r="E943" s="96" t="s">
        <v>405</v>
      </c>
    </row>
    <row r="944" spans="2:5" ht="15" customHeight="1" thickBot="1" x14ac:dyDescent="0.35">
      <c r="B944" s="96" t="s">
        <v>1814</v>
      </c>
      <c r="C944" s="97">
        <v>500480</v>
      </c>
      <c r="D944" s="96" t="s">
        <v>1815</v>
      </c>
      <c r="E944" s="96" t="s">
        <v>396</v>
      </c>
    </row>
    <row r="945" spans="2:5" ht="15" customHeight="1" thickBot="1" x14ac:dyDescent="0.35">
      <c r="B945" s="96" t="s">
        <v>1816</v>
      </c>
      <c r="C945" s="97">
        <v>500480</v>
      </c>
      <c r="D945" s="96" t="s">
        <v>1815</v>
      </c>
      <c r="E945" s="96" t="s">
        <v>396</v>
      </c>
    </row>
    <row r="946" spans="2:5" ht="15" customHeight="1" thickBot="1" x14ac:dyDescent="0.35">
      <c r="B946" s="96" t="s">
        <v>1817</v>
      </c>
      <c r="C946" s="97">
        <v>530843</v>
      </c>
      <c r="D946" s="96" t="s">
        <v>1818</v>
      </c>
      <c r="E946" s="96" t="s">
        <v>570</v>
      </c>
    </row>
    <row r="947" spans="2:5" ht="15" customHeight="1" thickBot="1" x14ac:dyDescent="0.35">
      <c r="B947" s="96" t="s">
        <v>1819</v>
      </c>
      <c r="C947" s="97">
        <v>532332</v>
      </c>
      <c r="D947" s="96" t="s">
        <v>1820</v>
      </c>
      <c r="E947" s="96" t="s">
        <v>481</v>
      </c>
    </row>
    <row r="948" spans="2:5" ht="15" customHeight="1" thickBot="1" x14ac:dyDescent="0.35">
      <c r="B948" s="96" t="s">
        <v>1821</v>
      </c>
      <c r="C948" s="97">
        <v>531472</v>
      </c>
      <c r="D948" s="96" t="s">
        <v>388</v>
      </c>
      <c r="E948" s="96" t="s">
        <v>686</v>
      </c>
    </row>
    <row r="949" spans="2:5" ht="15" customHeight="1" thickBot="1" x14ac:dyDescent="0.35">
      <c r="B949" s="96" t="s">
        <v>1822</v>
      </c>
      <c r="C949" s="97">
        <v>532640</v>
      </c>
      <c r="D949" s="96" t="s">
        <v>1823</v>
      </c>
      <c r="E949" s="96" t="s">
        <v>912</v>
      </c>
    </row>
    <row r="950" spans="2:5" ht="15" customHeight="1" thickBot="1" x14ac:dyDescent="0.35">
      <c r="B950" s="96" t="s">
        <v>1824</v>
      </c>
      <c r="C950" s="97">
        <v>532640</v>
      </c>
      <c r="D950" s="96" t="s">
        <v>1823</v>
      </c>
      <c r="E950" s="96" t="s">
        <v>912</v>
      </c>
    </row>
    <row r="951" spans="2:5" ht="15" customHeight="1" thickBot="1" x14ac:dyDescent="0.35">
      <c r="B951" s="96" t="s">
        <v>1825</v>
      </c>
      <c r="C951" s="97">
        <v>532271</v>
      </c>
      <c r="D951" s="96" t="s">
        <v>388</v>
      </c>
      <c r="E951" s="96" t="s">
        <v>481</v>
      </c>
    </row>
    <row r="952" spans="2:5" ht="15" customHeight="1" thickBot="1" x14ac:dyDescent="0.35">
      <c r="B952" s="96" t="s">
        <v>1826</v>
      </c>
      <c r="C952" s="97">
        <v>532173</v>
      </c>
      <c r="D952" s="96" t="s">
        <v>1827</v>
      </c>
      <c r="E952" s="96" t="s">
        <v>481</v>
      </c>
    </row>
    <row r="953" spans="2:5" ht="15" customHeight="1" thickBot="1" x14ac:dyDescent="0.35">
      <c r="B953" s="96" t="s">
        <v>1828</v>
      </c>
      <c r="C953" s="97">
        <v>532175</v>
      </c>
      <c r="D953" s="96" t="s">
        <v>1829</v>
      </c>
      <c r="E953" s="96" t="s">
        <v>374</v>
      </c>
    </row>
    <row r="954" spans="2:5" ht="15" customHeight="1" thickBot="1" x14ac:dyDescent="0.35">
      <c r="B954" s="96" t="s">
        <v>1830</v>
      </c>
      <c r="C954" s="97">
        <v>533151</v>
      </c>
      <c r="D954" s="96" t="s">
        <v>1831</v>
      </c>
      <c r="E954" s="96" t="s">
        <v>912</v>
      </c>
    </row>
    <row r="955" spans="2:5" ht="15" customHeight="1" thickBot="1" x14ac:dyDescent="0.35">
      <c r="B955" s="96" t="s">
        <v>1832</v>
      </c>
      <c r="C955" s="97">
        <v>533160</v>
      </c>
      <c r="D955" s="96" t="s">
        <v>1833</v>
      </c>
      <c r="E955" s="96" t="s">
        <v>474</v>
      </c>
    </row>
    <row r="956" spans="2:5" ht="15" customHeight="1" thickBot="1" x14ac:dyDescent="0.35">
      <c r="B956" s="96" t="s">
        <v>1834</v>
      </c>
      <c r="C956" s="96" t="s">
        <v>388</v>
      </c>
      <c r="D956" s="96" t="s">
        <v>1835</v>
      </c>
      <c r="E956" s="96" t="s">
        <v>399</v>
      </c>
    </row>
    <row r="957" spans="2:5" ht="15" customHeight="1" thickBot="1" x14ac:dyDescent="0.35">
      <c r="B957" s="96" t="s">
        <v>1836</v>
      </c>
      <c r="C957" s="96" t="s">
        <v>388</v>
      </c>
      <c r="D957" s="96" t="s">
        <v>1837</v>
      </c>
      <c r="E957" s="96" t="s">
        <v>399</v>
      </c>
    </row>
    <row r="958" spans="2:5" ht="15" customHeight="1" thickBot="1" x14ac:dyDescent="0.35">
      <c r="B958" s="96" t="s">
        <v>1838</v>
      </c>
      <c r="C958" s="97">
        <v>517514</v>
      </c>
      <c r="D958" s="96" t="s">
        <v>388</v>
      </c>
      <c r="E958" s="96" t="s">
        <v>573</v>
      </c>
    </row>
    <row r="959" spans="2:5" ht="15" customHeight="1" thickBot="1" x14ac:dyDescent="0.35">
      <c r="B959" s="96" t="s">
        <v>1839</v>
      </c>
      <c r="C959" s="97">
        <v>517514</v>
      </c>
      <c r="D959" s="96" t="s">
        <v>388</v>
      </c>
      <c r="E959" s="96" t="s">
        <v>573</v>
      </c>
    </row>
    <row r="960" spans="2:5" ht="15" customHeight="1" thickBot="1" x14ac:dyDescent="0.35">
      <c r="B960" s="96" t="s">
        <v>1840</v>
      </c>
      <c r="C960" s="97">
        <v>500096</v>
      </c>
      <c r="D960" s="96" t="s">
        <v>1841</v>
      </c>
      <c r="E960" s="96" t="s">
        <v>570</v>
      </c>
    </row>
    <row r="961" spans="2:5" ht="15" customHeight="1" thickBot="1" x14ac:dyDescent="0.35">
      <c r="B961" s="96" t="s">
        <v>1842</v>
      </c>
      <c r="C961" s="97">
        <v>500096</v>
      </c>
      <c r="D961" s="96" t="s">
        <v>1841</v>
      </c>
      <c r="E961" s="96" t="s">
        <v>570</v>
      </c>
    </row>
    <row r="962" spans="2:5" ht="15" customHeight="1" thickBot="1" x14ac:dyDescent="0.35">
      <c r="B962" s="96" t="s">
        <v>1843</v>
      </c>
      <c r="C962" s="97">
        <v>526821</v>
      </c>
      <c r="D962" s="96" t="s">
        <v>388</v>
      </c>
      <c r="E962" s="96" t="s">
        <v>548</v>
      </c>
    </row>
    <row r="963" spans="2:5" ht="15" customHeight="1" thickBot="1" x14ac:dyDescent="0.35">
      <c r="B963" s="96" t="s">
        <v>1844</v>
      </c>
      <c r="C963" s="97">
        <v>530825</v>
      </c>
      <c r="D963" s="96" t="s">
        <v>388</v>
      </c>
      <c r="E963" s="96" t="s">
        <v>548</v>
      </c>
    </row>
    <row r="964" spans="2:5" ht="15" customHeight="1" thickBot="1" x14ac:dyDescent="0.35">
      <c r="B964" s="96" t="s">
        <v>1845</v>
      </c>
      <c r="C964" s="97">
        <v>530825</v>
      </c>
      <c r="D964" s="96" t="s">
        <v>388</v>
      </c>
      <c r="E964" s="96" t="s">
        <v>548</v>
      </c>
    </row>
    <row r="965" spans="2:5" ht="15" customHeight="1" thickBot="1" x14ac:dyDescent="0.35">
      <c r="B965" s="96" t="s">
        <v>1846</v>
      </c>
      <c r="C965" s="97">
        <v>501148</v>
      </c>
      <c r="D965" s="96" t="s">
        <v>388</v>
      </c>
      <c r="E965" s="96" t="s">
        <v>408</v>
      </c>
    </row>
    <row r="966" spans="2:5" ht="15" customHeight="1" thickBot="1" x14ac:dyDescent="0.35">
      <c r="B966" s="96" t="s">
        <v>1847</v>
      </c>
      <c r="C966" s="97">
        <v>542216</v>
      </c>
      <c r="D966" s="96" t="s">
        <v>1848</v>
      </c>
      <c r="E966" s="96" t="s">
        <v>1849</v>
      </c>
    </row>
    <row r="967" spans="2:5" ht="15" customHeight="1" thickBot="1" x14ac:dyDescent="0.35">
      <c r="B967" s="96" t="s">
        <v>1850</v>
      </c>
      <c r="C967" s="97">
        <v>500097</v>
      </c>
      <c r="D967" s="96" t="s">
        <v>1851</v>
      </c>
      <c r="E967" s="96" t="s">
        <v>1087</v>
      </c>
    </row>
    <row r="968" spans="2:5" ht="15" customHeight="1" thickBot="1" x14ac:dyDescent="0.35">
      <c r="B968" s="96" t="s">
        <v>1852</v>
      </c>
      <c r="C968" s="97">
        <v>539900</v>
      </c>
      <c r="D968" s="96" t="s">
        <v>388</v>
      </c>
      <c r="E968" s="96" t="s">
        <v>410</v>
      </c>
    </row>
    <row r="969" spans="2:5" ht="15" customHeight="1" thickBot="1" x14ac:dyDescent="0.35">
      <c r="B969" s="96" t="s">
        <v>1853</v>
      </c>
      <c r="C969" s="97">
        <v>521220</v>
      </c>
      <c r="D969" s="96" t="s">
        <v>1854</v>
      </c>
      <c r="E969" s="96" t="s">
        <v>403</v>
      </c>
    </row>
    <row r="970" spans="2:5" ht="15" customHeight="1" thickBot="1" x14ac:dyDescent="0.35">
      <c r="B970" s="96" t="s">
        <v>1855</v>
      </c>
      <c r="C970" s="96" t="s">
        <v>388</v>
      </c>
      <c r="D970" s="96" t="s">
        <v>1856</v>
      </c>
      <c r="E970" s="96" t="s">
        <v>399</v>
      </c>
    </row>
    <row r="971" spans="2:5" ht="15" customHeight="1" thickBot="1" x14ac:dyDescent="0.35">
      <c r="B971" s="96" t="s">
        <v>1857</v>
      </c>
      <c r="C971" s="97">
        <v>532329</v>
      </c>
      <c r="D971" s="96" t="s">
        <v>388</v>
      </c>
      <c r="E971" s="96" t="s">
        <v>481</v>
      </c>
    </row>
    <row r="972" spans="2:5" ht="15" customHeight="1" thickBot="1" x14ac:dyDescent="0.35">
      <c r="B972" s="96" t="s">
        <v>1858</v>
      </c>
      <c r="C972" s="97">
        <v>532329</v>
      </c>
      <c r="D972" s="96" t="s">
        <v>388</v>
      </c>
      <c r="E972" s="96" t="s">
        <v>481</v>
      </c>
    </row>
    <row r="973" spans="2:5" ht="15" customHeight="1" thickBot="1" x14ac:dyDescent="0.35">
      <c r="B973" s="96" t="s">
        <v>1859</v>
      </c>
      <c r="C973" s="97">
        <v>540361</v>
      </c>
      <c r="D973" s="96" t="s">
        <v>388</v>
      </c>
      <c r="E973" s="96" t="s">
        <v>410</v>
      </c>
    </row>
    <row r="974" spans="2:5" ht="15" customHeight="1" thickBot="1" x14ac:dyDescent="0.35">
      <c r="B974" s="96" t="s">
        <v>1860</v>
      </c>
      <c r="C974" s="97">
        <v>539770</v>
      </c>
      <c r="D974" s="96" t="s">
        <v>388</v>
      </c>
      <c r="E974" s="96" t="s">
        <v>371</v>
      </c>
    </row>
    <row r="975" spans="2:5" ht="15" customHeight="1" thickBot="1" x14ac:dyDescent="0.35">
      <c r="B975" s="96" t="s">
        <v>1861</v>
      </c>
      <c r="C975" s="97">
        <v>539884</v>
      </c>
      <c r="D975" s="96" t="s">
        <v>388</v>
      </c>
      <c r="E975" s="96" t="s">
        <v>502</v>
      </c>
    </row>
    <row r="976" spans="2:5" ht="15" customHeight="1" thickBot="1" x14ac:dyDescent="0.35">
      <c r="B976" s="96" t="s">
        <v>1862</v>
      </c>
      <c r="C976" s="97">
        <v>532528</v>
      </c>
      <c r="D976" s="96" t="s">
        <v>1863</v>
      </c>
      <c r="E976" s="96" t="s">
        <v>481</v>
      </c>
    </row>
    <row r="977" spans="2:5" ht="15" customHeight="1" thickBot="1" x14ac:dyDescent="0.35">
      <c r="B977" s="96" t="s">
        <v>1864</v>
      </c>
      <c r="C977" s="97">
        <v>530171</v>
      </c>
      <c r="D977" s="96" t="s">
        <v>388</v>
      </c>
      <c r="E977" s="96" t="s">
        <v>371</v>
      </c>
    </row>
    <row r="978" spans="2:5" ht="15" customHeight="1" thickBot="1" x14ac:dyDescent="0.35">
      <c r="B978" s="96" t="s">
        <v>1865</v>
      </c>
      <c r="C978" s="97">
        <v>530393</v>
      </c>
      <c r="D978" s="96" t="s">
        <v>1866</v>
      </c>
      <c r="E978" s="96" t="s">
        <v>371</v>
      </c>
    </row>
    <row r="979" spans="2:5" ht="15" customHeight="1" thickBot="1" x14ac:dyDescent="0.35">
      <c r="B979" s="96" t="s">
        <v>1867</v>
      </c>
      <c r="C979" s="97">
        <v>532772</v>
      </c>
      <c r="D979" s="96" t="s">
        <v>1868</v>
      </c>
      <c r="E979" s="96" t="s">
        <v>706</v>
      </c>
    </row>
    <row r="980" spans="2:5" ht="15" customHeight="1" thickBot="1" x14ac:dyDescent="0.35">
      <c r="B980" s="96" t="s">
        <v>1869</v>
      </c>
      <c r="C980" s="97">
        <v>511611</v>
      </c>
      <c r="D980" s="96" t="s">
        <v>1870</v>
      </c>
      <c r="E980" s="96" t="s">
        <v>405</v>
      </c>
    </row>
    <row r="981" spans="2:5" ht="15" customHeight="1" thickBot="1" x14ac:dyDescent="0.35">
      <c r="B981" s="96" t="s">
        <v>1871</v>
      </c>
      <c r="C981" s="97">
        <v>502820</v>
      </c>
      <c r="D981" s="96" t="s">
        <v>1872</v>
      </c>
      <c r="E981" s="96" t="s">
        <v>403</v>
      </c>
    </row>
    <row r="982" spans="2:5" ht="15" customHeight="1" thickBot="1" x14ac:dyDescent="0.35">
      <c r="B982" s="96" t="s">
        <v>1873</v>
      </c>
      <c r="C982" s="97">
        <v>523369</v>
      </c>
      <c r="D982" s="96" t="s">
        <v>388</v>
      </c>
      <c r="E982" s="96" t="s">
        <v>1087</v>
      </c>
    </row>
    <row r="983" spans="2:5" ht="15" customHeight="1" thickBot="1" x14ac:dyDescent="0.35">
      <c r="B983" s="96" t="s">
        <v>1874</v>
      </c>
      <c r="C983" s="97">
        <v>523367</v>
      </c>
      <c r="D983" s="96" t="s">
        <v>1875</v>
      </c>
      <c r="E983" s="96" t="s">
        <v>377</v>
      </c>
    </row>
    <row r="984" spans="2:5" ht="15" customHeight="1" thickBot="1" x14ac:dyDescent="0.35">
      <c r="B984" s="96" t="s">
        <v>1876</v>
      </c>
      <c r="C984" s="97">
        <v>500117</v>
      </c>
      <c r="D984" s="96" t="s">
        <v>1877</v>
      </c>
      <c r="E984" s="96" t="s">
        <v>602</v>
      </c>
    </row>
    <row r="985" spans="2:5" ht="15" customHeight="1" thickBot="1" x14ac:dyDescent="0.35">
      <c r="B985" s="96" t="s">
        <v>1878</v>
      </c>
      <c r="C985" s="97">
        <v>590031</v>
      </c>
      <c r="D985" s="96" t="s">
        <v>1879</v>
      </c>
      <c r="E985" s="96" t="s">
        <v>573</v>
      </c>
    </row>
    <row r="986" spans="2:5" ht="15" customHeight="1" thickBot="1" x14ac:dyDescent="0.35">
      <c r="B986" s="96" t="s">
        <v>1880</v>
      </c>
      <c r="C986" s="97">
        <v>590031</v>
      </c>
      <c r="D986" s="96" t="s">
        <v>1879</v>
      </c>
      <c r="E986" s="96" t="s">
        <v>573</v>
      </c>
    </row>
    <row r="987" spans="2:5" ht="15" customHeight="1" thickBot="1" x14ac:dyDescent="0.35">
      <c r="B987" s="96" t="s">
        <v>1881</v>
      </c>
      <c r="C987" s="96" t="s">
        <v>388</v>
      </c>
      <c r="D987" s="96" t="s">
        <v>1882</v>
      </c>
      <c r="E987" s="96" t="s">
        <v>399</v>
      </c>
    </row>
    <row r="988" spans="2:5" ht="15" customHeight="1" thickBot="1" x14ac:dyDescent="0.35">
      <c r="B988" s="96" t="s">
        <v>1883</v>
      </c>
      <c r="C988" s="97">
        <v>505703</v>
      </c>
      <c r="D988" s="96" t="s">
        <v>388</v>
      </c>
      <c r="E988" s="96" t="s">
        <v>396</v>
      </c>
    </row>
    <row r="989" spans="2:5" ht="15" customHeight="1" thickBot="1" x14ac:dyDescent="0.35">
      <c r="B989" s="96" t="s">
        <v>1884</v>
      </c>
      <c r="C989" s="97">
        <v>502137</v>
      </c>
      <c r="D989" s="96" t="s">
        <v>1885</v>
      </c>
      <c r="E989" s="96" t="s">
        <v>401</v>
      </c>
    </row>
    <row r="990" spans="2:5" ht="15" customHeight="1" thickBot="1" x14ac:dyDescent="0.35">
      <c r="B990" s="96" t="s">
        <v>1886</v>
      </c>
      <c r="C990" s="97">
        <v>512068</v>
      </c>
      <c r="D990" s="96" t="s">
        <v>388</v>
      </c>
      <c r="E990" s="96" t="s">
        <v>368</v>
      </c>
    </row>
    <row r="991" spans="2:5" ht="15" customHeight="1" thickBot="1" x14ac:dyDescent="0.35">
      <c r="B991" s="96" t="s">
        <v>1887</v>
      </c>
      <c r="C991" s="97">
        <v>542248</v>
      </c>
      <c r="D991" s="96" t="s">
        <v>1888</v>
      </c>
      <c r="E991" s="96" t="s">
        <v>577</v>
      </c>
    </row>
    <row r="992" spans="2:5" ht="15" customHeight="1" thickBot="1" x14ac:dyDescent="0.35">
      <c r="B992" s="96" t="s">
        <v>1889</v>
      </c>
      <c r="C992" s="97">
        <v>531989</v>
      </c>
      <c r="D992" s="96" t="s">
        <v>388</v>
      </c>
      <c r="E992" s="96" t="s">
        <v>583</v>
      </c>
    </row>
    <row r="993" spans="2:5" ht="15" customHeight="1" thickBot="1" x14ac:dyDescent="0.35">
      <c r="B993" s="96" t="s">
        <v>1890</v>
      </c>
      <c r="C993" s="97">
        <v>539190</v>
      </c>
      <c r="D993" s="96" t="s">
        <v>388</v>
      </c>
      <c r="E993" s="96" t="s">
        <v>405</v>
      </c>
    </row>
    <row r="994" spans="2:5" ht="15" customHeight="1" thickBot="1" x14ac:dyDescent="0.35">
      <c r="B994" s="96" t="s">
        <v>1891</v>
      </c>
      <c r="C994" s="97">
        <v>531227</v>
      </c>
      <c r="D994" s="96" t="s">
        <v>388</v>
      </c>
      <c r="E994" s="96" t="s">
        <v>436</v>
      </c>
    </row>
    <row r="995" spans="2:5" ht="15" customHeight="1" thickBot="1" x14ac:dyDescent="0.35">
      <c r="B995" s="96" t="s">
        <v>1892</v>
      </c>
      <c r="C995" s="97">
        <v>539405</v>
      </c>
      <c r="D995" s="96" t="s">
        <v>388</v>
      </c>
      <c r="E995" s="96" t="s">
        <v>502</v>
      </c>
    </row>
    <row r="996" spans="2:5" ht="15" customHeight="1" thickBot="1" x14ac:dyDescent="0.35">
      <c r="B996" s="96" t="s">
        <v>1893</v>
      </c>
      <c r="C996" s="97">
        <v>539559</v>
      </c>
      <c r="D996" s="96" t="s">
        <v>388</v>
      </c>
      <c r="E996" s="96" t="s">
        <v>502</v>
      </c>
    </row>
    <row r="997" spans="2:5" ht="15" customHeight="1" thickBot="1" x14ac:dyDescent="0.35">
      <c r="B997" s="96" t="s">
        <v>1894</v>
      </c>
      <c r="C997" s="97">
        <v>539559</v>
      </c>
      <c r="D997" s="96" t="s">
        <v>388</v>
      </c>
      <c r="E997" s="96" t="s">
        <v>502</v>
      </c>
    </row>
    <row r="998" spans="2:5" ht="15" customHeight="1" thickBot="1" x14ac:dyDescent="0.35">
      <c r="B998" s="96" t="s">
        <v>1895</v>
      </c>
      <c r="C998" s="97">
        <v>532760</v>
      </c>
      <c r="D998" s="96" t="s">
        <v>1896</v>
      </c>
      <c r="E998" s="96" t="s">
        <v>519</v>
      </c>
    </row>
    <row r="999" spans="2:5" ht="15" customHeight="1" thickBot="1" x14ac:dyDescent="0.35">
      <c r="B999" s="96" t="s">
        <v>1897</v>
      </c>
      <c r="C999" s="97">
        <v>541778</v>
      </c>
      <c r="D999" s="96" t="s">
        <v>388</v>
      </c>
      <c r="E999" s="96" t="s">
        <v>548</v>
      </c>
    </row>
    <row r="1000" spans="2:5" ht="15" customHeight="1" thickBot="1" x14ac:dyDescent="0.35">
      <c r="B1000" s="96" t="s">
        <v>1898</v>
      </c>
      <c r="C1000" s="97">
        <v>500645</v>
      </c>
      <c r="D1000" s="96" t="s">
        <v>1899</v>
      </c>
      <c r="E1000" s="96" t="s">
        <v>436</v>
      </c>
    </row>
    <row r="1001" spans="2:5" ht="15" customHeight="1" thickBot="1" x14ac:dyDescent="0.35">
      <c r="B1001" s="96" t="s">
        <v>1900</v>
      </c>
      <c r="C1001" s="97">
        <v>506401</v>
      </c>
      <c r="D1001" s="96" t="s">
        <v>1901</v>
      </c>
      <c r="E1001" s="96" t="s">
        <v>436</v>
      </c>
    </row>
    <row r="1002" spans="2:5" ht="15" customHeight="1" thickBot="1" x14ac:dyDescent="0.35">
      <c r="B1002" s="96" t="s">
        <v>1902</v>
      </c>
      <c r="C1002" s="97">
        <v>514030</v>
      </c>
      <c r="D1002" s="96" t="s">
        <v>388</v>
      </c>
      <c r="E1002" s="96" t="s">
        <v>403</v>
      </c>
    </row>
    <row r="1003" spans="2:5" ht="15" customHeight="1" thickBot="1" x14ac:dyDescent="0.35">
      <c r="B1003" s="96" t="s">
        <v>1903</v>
      </c>
      <c r="C1003" s="97">
        <v>539455</v>
      </c>
      <c r="D1003" s="96" t="s">
        <v>388</v>
      </c>
      <c r="E1003" s="96" t="s">
        <v>420</v>
      </c>
    </row>
    <row r="1004" spans="2:5" ht="15" customHeight="1" thickBot="1" x14ac:dyDescent="0.35">
      <c r="B1004" s="96" t="s">
        <v>1904</v>
      </c>
      <c r="C1004" s="97">
        <v>780006</v>
      </c>
      <c r="D1004" s="96" t="s">
        <v>388</v>
      </c>
      <c r="E1004" s="96" t="s">
        <v>479</v>
      </c>
    </row>
    <row r="1005" spans="2:5" ht="15" customHeight="1" thickBot="1" x14ac:dyDescent="0.35">
      <c r="B1005" s="96" t="s">
        <v>1905</v>
      </c>
      <c r="C1005" s="97">
        <v>532848</v>
      </c>
      <c r="D1005" s="96" t="s">
        <v>1906</v>
      </c>
      <c r="E1005" s="96" t="s">
        <v>809</v>
      </c>
    </row>
    <row r="1006" spans="2:5" ht="15" customHeight="1" thickBot="1" x14ac:dyDescent="0.35">
      <c r="B1006" s="96" t="s">
        <v>1907</v>
      </c>
      <c r="C1006" s="97">
        <v>539596</v>
      </c>
      <c r="D1006" s="96" t="s">
        <v>388</v>
      </c>
      <c r="E1006" s="96" t="s">
        <v>371</v>
      </c>
    </row>
    <row r="1007" spans="2:5" ht="15" customHeight="1" thickBot="1" x14ac:dyDescent="0.35">
      <c r="B1007" s="96" t="s">
        <v>1908</v>
      </c>
      <c r="C1007" s="97">
        <v>504286</v>
      </c>
      <c r="D1007" s="96" t="s">
        <v>1909</v>
      </c>
      <c r="E1007" s="96" t="s">
        <v>686</v>
      </c>
    </row>
    <row r="1008" spans="2:5" ht="15" customHeight="1" thickBot="1" x14ac:dyDescent="0.35">
      <c r="B1008" s="96" t="s">
        <v>1910</v>
      </c>
      <c r="C1008" s="97">
        <v>504240</v>
      </c>
      <c r="D1008" s="96" t="s">
        <v>388</v>
      </c>
      <c r="E1008" s="96" t="s">
        <v>686</v>
      </c>
    </row>
    <row r="1009" spans="2:5" ht="15" customHeight="1" thickBot="1" x14ac:dyDescent="0.35">
      <c r="B1009" s="96" t="s">
        <v>1911</v>
      </c>
      <c r="C1009" s="97">
        <v>504256</v>
      </c>
      <c r="D1009" s="96" t="s">
        <v>388</v>
      </c>
      <c r="E1009" s="96" t="s">
        <v>930</v>
      </c>
    </row>
    <row r="1010" spans="2:5" ht="15" customHeight="1" thickBot="1" x14ac:dyDescent="0.35">
      <c r="B1010" s="96" t="s">
        <v>1912</v>
      </c>
      <c r="C1010" s="97">
        <v>533137</v>
      </c>
      <c r="D1010" s="96" t="s">
        <v>1913</v>
      </c>
      <c r="E1010" s="96" t="s">
        <v>1126</v>
      </c>
    </row>
    <row r="1011" spans="2:5" ht="15" customHeight="1" thickBot="1" x14ac:dyDescent="0.35">
      <c r="B1011" s="96" t="s">
        <v>1914</v>
      </c>
      <c r="C1011" s="97">
        <v>532121</v>
      </c>
      <c r="D1011" s="96" t="s">
        <v>1915</v>
      </c>
      <c r="E1011" s="96" t="s">
        <v>706</v>
      </c>
    </row>
    <row r="1012" spans="2:5" ht="15" customHeight="1" thickBot="1" x14ac:dyDescent="0.35">
      <c r="B1012" s="96" t="s">
        <v>1916</v>
      </c>
      <c r="C1012" s="97">
        <v>537536</v>
      </c>
      <c r="D1012" s="96" t="s">
        <v>388</v>
      </c>
      <c r="E1012" s="96" t="s">
        <v>426</v>
      </c>
    </row>
    <row r="1013" spans="2:5" ht="15" customHeight="1" thickBot="1" x14ac:dyDescent="0.35">
      <c r="B1013" s="96" t="s">
        <v>1917</v>
      </c>
      <c r="C1013" s="97">
        <v>531521</v>
      </c>
      <c r="D1013" s="96" t="s">
        <v>388</v>
      </c>
      <c r="E1013" s="96" t="s">
        <v>426</v>
      </c>
    </row>
    <row r="1014" spans="2:5" ht="15" customHeight="1" thickBot="1" x14ac:dyDescent="0.35">
      <c r="B1014" s="96" t="s">
        <v>1918</v>
      </c>
      <c r="C1014" s="96" t="s">
        <v>388</v>
      </c>
      <c r="D1014" s="96" t="s">
        <v>1919</v>
      </c>
      <c r="E1014" s="96" t="s">
        <v>399</v>
      </c>
    </row>
    <row r="1015" spans="2:5" ht="15" customHeight="1" thickBot="1" x14ac:dyDescent="0.35">
      <c r="B1015" s="96" t="s">
        <v>1920</v>
      </c>
      <c r="C1015" s="97">
        <v>539197</v>
      </c>
      <c r="D1015" s="96" t="s">
        <v>388</v>
      </c>
      <c r="E1015" s="96" t="s">
        <v>410</v>
      </c>
    </row>
    <row r="1016" spans="2:5" ht="15" customHeight="1" thickBot="1" x14ac:dyDescent="0.35">
      <c r="B1016" s="96" t="s">
        <v>1921</v>
      </c>
      <c r="C1016" s="97">
        <v>539197</v>
      </c>
      <c r="D1016" s="96" t="s">
        <v>388</v>
      </c>
      <c r="E1016" s="96" t="s">
        <v>410</v>
      </c>
    </row>
    <row r="1017" spans="2:5" ht="15" customHeight="1" thickBot="1" x14ac:dyDescent="0.35">
      <c r="B1017" s="96" t="s">
        <v>1922</v>
      </c>
      <c r="C1017" s="97">
        <v>531585</v>
      </c>
      <c r="D1017" s="96" t="s">
        <v>388</v>
      </c>
      <c r="E1017" s="96" t="s">
        <v>410</v>
      </c>
    </row>
    <row r="1018" spans="2:5" ht="15" customHeight="1" thickBot="1" x14ac:dyDescent="0.35">
      <c r="B1018" s="96" t="s">
        <v>1923</v>
      </c>
      <c r="C1018" s="97">
        <v>512445</v>
      </c>
      <c r="D1018" s="96" t="s">
        <v>388</v>
      </c>
      <c r="E1018" s="96" t="s">
        <v>371</v>
      </c>
    </row>
    <row r="1019" spans="2:5" ht="15" customHeight="1" thickBot="1" x14ac:dyDescent="0.35">
      <c r="B1019" s="96" t="s">
        <v>1924</v>
      </c>
      <c r="C1019" s="97">
        <v>530765</v>
      </c>
      <c r="D1019" s="96" t="s">
        <v>388</v>
      </c>
      <c r="E1019" s="96" t="s">
        <v>405</v>
      </c>
    </row>
    <row r="1020" spans="2:5" ht="15" customHeight="1" thickBot="1" x14ac:dyDescent="0.35">
      <c r="B1020" s="96" t="s">
        <v>1925</v>
      </c>
      <c r="C1020" s="97">
        <v>542002</v>
      </c>
      <c r="D1020" s="96" t="s">
        <v>388</v>
      </c>
      <c r="E1020" s="96" t="s">
        <v>474</v>
      </c>
    </row>
    <row r="1021" spans="2:5" ht="15" customHeight="1" thickBot="1" x14ac:dyDescent="0.35">
      <c r="B1021" s="96" t="s">
        <v>1926</v>
      </c>
      <c r="C1021" s="97">
        <v>511072</v>
      </c>
      <c r="D1021" s="96" t="s">
        <v>1927</v>
      </c>
      <c r="E1021" s="96" t="s">
        <v>446</v>
      </c>
    </row>
    <row r="1022" spans="2:5" ht="15" customHeight="1" thickBot="1" x14ac:dyDescent="0.35">
      <c r="B1022" s="96" t="s">
        <v>1928</v>
      </c>
      <c r="C1022" s="97">
        <v>519588</v>
      </c>
      <c r="D1022" s="96" t="s">
        <v>1929</v>
      </c>
      <c r="E1022" s="96" t="s">
        <v>448</v>
      </c>
    </row>
    <row r="1023" spans="2:5" ht="15" customHeight="1" thickBot="1" x14ac:dyDescent="0.35">
      <c r="B1023" s="96" t="s">
        <v>1930</v>
      </c>
      <c r="C1023" s="97">
        <v>538715</v>
      </c>
      <c r="D1023" s="96" t="s">
        <v>388</v>
      </c>
      <c r="E1023" s="96" t="s">
        <v>508</v>
      </c>
    </row>
    <row r="1024" spans="2:5" ht="15" customHeight="1" thickBot="1" x14ac:dyDescent="0.35">
      <c r="B1024" s="96" t="s">
        <v>1931</v>
      </c>
      <c r="C1024" s="97">
        <v>500119</v>
      </c>
      <c r="D1024" s="96" t="s">
        <v>1932</v>
      </c>
      <c r="E1024" s="96" t="s">
        <v>1087</v>
      </c>
    </row>
    <row r="1025" spans="2:5" ht="15" customHeight="1" thickBot="1" x14ac:dyDescent="0.35">
      <c r="B1025" s="96" t="s">
        <v>1933</v>
      </c>
      <c r="C1025" s="97">
        <v>531923</v>
      </c>
      <c r="D1025" s="96" t="s">
        <v>388</v>
      </c>
      <c r="E1025" s="96" t="s">
        <v>1087</v>
      </c>
    </row>
    <row r="1026" spans="2:5" ht="15" customHeight="1" thickBot="1" x14ac:dyDescent="0.35">
      <c r="B1026" s="96" t="s">
        <v>1934</v>
      </c>
      <c r="C1026" s="97">
        <v>531198</v>
      </c>
      <c r="D1026" s="96" t="s">
        <v>388</v>
      </c>
      <c r="E1026" s="96" t="s">
        <v>589</v>
      </c>
    </row>
    <row r="1027" spans="2:5" ht="15" customHeight="1" thickBot="1" x14ac:dyDescent="0.35">
      <c r="B1027" s="96" t="s">
        <v>1935</v>
      </c>
      <c r="C1027" s="97">
        <v>521216</v>
      </c>
      <c r="D1027" s="96" t="s">
        <v>388</v>
      </c>
      <c r="E1027" s="96" t="s">
        <v>403</v>
      </c>
    </row>
    <row r="1028" spans="2:5" ht="15" customHeight="1" thickBot="1" x14ac:dyDescent="0.35">
      <c r="B1028" s="96" t="s">
        <v>1936</v>
      </c>
      <c r="C1028" s="97">
        <v>542679</v>
      </c>
      <c r="D1028" s="96" t="s">
        <v>1937</v>
      </c>
      <c r="E1028" s="96" t="s">
        <v>686</v>
      </c>
    </row>
    <row r="1029" spans="2:5" ht="15" customHeight="1" thickBot="1" x14ac:dyDescent="0.35">
      <c r="B1029" s="96" t="s">
        <v>1938</v>
      </c>
      <c r="C1029" s="97">
        <v>532180</v>
      </c>
      <c r="D1029" s="96" t="s">
        <v>1939</v>
      </c>
      <c r="E1029" s="96" t="s">
        <v>706</v>
      </c>
    </row>
    <row r="1030" spans="2:5" ht="15" customHeight="1" thickBot="1" x14ac:dyDescent="0.35">
      <c r="B1030" s="96" t="s">
        <v>1940</v>
      </c>
      <c r="C1030" s="97">
        <v>512485</v>
      </c>
      <c r="D1030" s="96" t="s">
        <v>388</v>
      </c>
      <c r="E1030" s="96" t="s">
        <v>410</v>
      </c>
    </row>
    <row r="1031" spans="2:5" ht="15" customHeight="1" thickBot="1" x14ac:dyDescent="0.35">
      <c r="B1031" s="96" t="s">
        <v>1941</v>
      </c>
      <c r="C1031" s="97">
        <v>521151</v>
      </c>
      <c r="D1031" s="96" t="s">
        <v>388</v>
      </c>
      <c r="E1031" s="96" t="s">
        <v>403</v>
      </c>
    </row>
    <row r="1032" spans="2:5" ht="15" customHeight="1" thickBot="1" x14ac:dyDescent="0.35">
      <c r="B1032" s="96" t="s">
        <v>1942</v>
      </c>
      <c r="C1032" s="97">
        <v>503637</v>
      </c>
      <c r="D1032" s="96" t="s">
        <v>388</v>
      </c>
      <c r="E1032" s="96" t="s">
        <v>371</v>
      </c>
    </row>
    <row r="1033" spans="2:5" ht="15" customHeight="1" thickBot="1" x14ac:dyDescent="0.35">
      <c r="B1033" s="96" t="s">
        <v>1943</v>
      </c>
      <c r="C1033" s="97">
        <v>507717</v>
      </c>
      <c r="D1033" s="96" t="s">
        <v>1944</v>
      </c>
      <c r="E1033" s="96" t="s">
        <v>532</v>
      </c>
    </row>
    <row r="1034" spans="2:5" ht="15" customHeight="1" thickBot="1" x14ac:dyDescent="0.35">
      <c r="B1034" s="96" t="s">
        <v>1945</v>
      </c>
      <c r="C1034" s="97">
        <v>538446</v>
      </c>
      <c r="D1034" s="96" t="s">
        <v>388</v>
      </c>
      <c r="E1034" s="96" t="s">
        <v>371</v>
      </c>
    </row>
    <row r="1035" spans="2:5" ht="15" customHeight="1" thickBot="1" x14ac:dyDescent="0.35">
      <c r="B1035" s="96" t="s">
        <v>1946</v>
      </c>
      <c r="C1035" s="96" t="s">
        <v>388</v>
      </c>
      <c r="D1035" s="96" t="s">
        <v>1947</v>
      </c>
      <c r="E1035" s="96" t="s">
        <v>399</v>
      </c>
    </row>
    <row r="1036" spans="2:5" ht="15" customHeight="1" thickBot="1" x14ac:dyDescent="0.35">
      <c r="B1036" s="96" t="s">
        <v>1948</v>
      </c>
      <c r="C1036" s="97">
        <v>531043</v>
      </c>
      <c r="D1036" s="96" t="s">
        <v>388</v>
      </c>
      <c r="E1036" s="96" t="s">
        <v>577</v>
      </c>
    </row>
    <row r="1037" spans="2:5" ht="15" customHeight="1" thickBot="1" x14ac:dyDescent="0.35">
      <c r="B1037" s="96" t="s">
        <v>1949</v>
      </c>
      <c r="C1037" s="97">
        <v>540268</v>
      </c>
      <c r="D1037" s="96" t="s">
        <v>388</v>
      </c>
      <c r="E1037" s="96" t="s">
        <v>371</v>
      </c>
    </row>
    <row r="1038" spans="2:5" ht="15" customHeight="1" thickBot="1" x14ac:dyDescent="0.35">
      <c r="B1038" s="96" t="s">
        <v>1950</v>
      </c>
      <c r="C1038" s="97">
        <v>506405</v>
      </c>
      <c r="D1038" s="96" t="s">
        <v>388</v>
      </c>
      <c r="E1038" s="96" t="s">
        <v>548</v>
      </c>
    </row>
    <row r="1039" spans="2:5" ht="15" customHeight="1" thickBot="1" x14ac:dyDescent="0.35">
      <c r="B1039" s="96" t="s">
        <v>1951</v>
      </c>
      <c r="C1039" s="97">
        <v>511451</v>
      </c>
      <c r="D1039" s="96" t="s">
        <v>388</v>
      </c>
      <c r="E1039" s="96" t="s">
        <v>405</v>
      </c>
    </row>
    <row r="1040" spans="2:5" ht="15" customHeight="1" thickBot="1" x14ac:dyDescent="0.35">
      <c r="B1040" s="96" t="s">
        <v>1952</v>
      </c>
      <c r="C1040" s="97">
        <v>507442</v>
      </c>
      <c r="D1040" s="96" t="s">
        <v>1953</v>
      </c>
      <c r="E1040" s="96" t="s">
        <v>1087</v>
      </c>
    </row>
    <row r="1041" spans="2:5" ht="15" customHeight="1" thickBot="1" x14ac:dyDescent="0.35">
      <c r="B1041" s="96" t="s">
        <v>1954</v>
      </c>
      <c r="C1041" s="97">
        <v>501945</v>
      </c>
      <c r="D1041" s="96" t="s">
        <v>388</v>
      </c>
      <c r="E1041" s="96" t="s">
        <v>405</v>
      </c>
    </row>
    <row r="1042" spans="2:5" ht="15" customHeight="1" thickBot="1" x14ac:dyDescent="0.35">
      <c r="B1042" s="96" t="s">
        <v>1955</v>
      </c>
      <c r="C1042" s="97">
        <v>526971</v>
      </c>
      <c r="D1042" s="96" t="s">
        <v>388</v>
      </c>
      <c r="E1042" s="96" t="s">
        <v>410</v>
      </c>
    </row>
    <row r="1043" spans="2:5" ht="15" customHeight="1" thickBot="1" x14ac:dyDescent="0.35">
      <c r="B1043" s="96" t="s">
        <v>1956</v>
      </c>
      <c r="C1043" s="97">
        <v>531306</v>
      </c>
      <c r="D1043" s="96" t="s">
        <v>388</v>
      </c>
      <c r="E1043" s="96" t="s">
        <v>396</v>
      </c>
    </row>
    <row r="1044" spans="2:5" ht="15" customHeight="1" thickBot="1" x14ac:dyDescent="0.35">
      <c r="B1044" s="96" t="s">
        <v>1957</v>
      </c>
      <c r="C1044" s="97">
        <v>531306</v>
      </c>
      <c r="D1044" s="96" t="s">
        <v>388</v>
      </c>
      <c r="E1044" s="96" t="s">
        <v>396</v>
      </c>
    </row>
    <row r="1045" spans="2:5" ht="15" customHeight="1" thickBot="1" x14ac:dyDescent="0.35">
      <c r="B1045" s="96" t="s">
        <v>1958</v>
      </c>
      <c r="C1045" s="97">
        <v>541302</v>
      </c>
      <c r="D1045" s="96" t="s">
        <v>388</v>
      </c>
      <c r="E1045" s="96" t="s">
        <v>786</v>
      </c>
    </row>
    <row r="1046" spans="2:5" ht="15" customHeight="1" thickBot="1" x14ac:dyDescent="0.35">
      <c r="B1046" s="96" t="s">
        <v>1959</v>
      </c>
      <c r="C1046" s="97">
        <v>507886</v>
      </c>
      <c r="D1046" s="96" t="s">
        <v>388</v>
      </c>
      <c r="E1046" s="96" t="s">
        <v>474</v>
      </c>
    </row>
    <row r="1047" spans="2:5" ht="15" customHeight="1" thickBot="1" x14ac:dyDescent="0.35">
      <c r="B1047" s="96" t="s">
        <v>1960</v>
      </c>
      <c r="C1047" s="97">
        <v>540695</v>
      </c>
      <c r="D1047" s="96" t="s">
        <v>388</v>
      </c>
      <c r="E1047" s="96" t="s">
        <v>410</v>
      </c>
    </row>
    <row r="1048" spans="2:5" ht="15" customHeight="1" thickBot="1" x14ac:dyDescent="0.35">
      <c r="B1048" s="96" t="s">
        <v>1961</v>
      </c>
      <c r="C1048" s="97">
        <v>531237</v>
      </c>
      <c r="D1048" s="96" t="s">
        <v>388</v>
      </c>
      <c r="E1048" s="96" t="s">
        <v>405</v>
      </c>
    </row>
    <row r="1049" spans="2:5" ht="15" customHeight="1" thickBot="1" x14ac:dyDescent="0.35">
      <c r="B1049" s="96" t="s">
        <v>1962</v>
      </c>
      <c r="C1049" s="97">
        <v>533336</v>
      </c>
      <c r="D1049" s="96" t="s">
        <v>1963</v>
      </c>
      <c r="E1049" s="96" t="s">
        <v>408</v>
      </c>
    </row>
    <row r="1050" spans="2:5" ht="15" customHeight="1" thickBot="1" x14ac:dyDescent="0.35">
      <c r="B1050" s="96" t="s">
        <v>1964</v>
      </c>
      <c r="C1050" s="97">
        <v>523736</v>
      </c>
      <c r="D1050" s="96" t="s">
        <v>1965</v>
      </c>
      <c r="E1050" s="96" t="s">
        <v>765</v>
      </c>
    </row>
    <row r="1051" spans="2:5" ht="15" customHeight="1" thickBot="1" x14ac:dyDescent="0.35">
      <c r="B1051" s="96" t="s">
        <v>1966</v>
      </c>
      <c r="C1051" s="97">
        <v>538902</v>
      </c>
      <c r="D1051" s="96" t="s">
        <v>1967</v>
      </c>
      <c r="E1051" s="96" t="s">
        <v>795</v>
      </c>
    </row>
    <row r="1052" spans="2:5" ht="15" customHeight="1" thickBot="1" x14ac:dyDescent="0.35">
      <c r="B1052" s="96" t="s">
        <v>1968</v>
      </c>
      <c r="C1052" s="96" t="s">
        <v>388</v>
      </c>
      <c r="D1052" s="96" t="s">
        <v>1969</v>
      </c>
      <c r="E1052" s="96" t="s">
        <v>795</v>
      </c>
    </row>
    <row r="1053" spans="2:5" ht="15" customHeight="1" thickBot="1" x14ac:dyDescent="0.35">
      <c r="B1053" s="96" t="s">
        <v>1970</v>
      </c>
      <c r="C1053" s="97">
        <v>508860</v>
      </c>
      <c r="D1053" s="96" t="s">
        <v>388</v>
      </c>
      <c r="E1053" s="96" t="s">
        <v>786</v>
      </c>
    </row>
    <row r="1054" spans="2:5" ht="15" customHeight="1" thickBot="1" x14ac:dyDescent="0.35">
      <c r="B1054" s="96" t="s">
        <v>1971</v>
      </c>
      <c r="C1054" s="97">
        <v>500120</v>
      </c>
      <c r="D1054" s="96" t="s">
        <v>388</v>
      </c>
      <c r="E1054" s="96" t="s">
        <v>436</v>
      </c>
    </row>
    <row r="1055" spans="2:5" ht="15" customHeight="1" thickBot="1" x14ac:dyDescent="0.35">
      <c r="B1055" s="96" t="s">
        <v>1972</v>
      </c>
      <c r="C1055" s="97">
        <v>522163</v>
      </c>
      <c r="D1055" s="96" t="s">
        <v>1973</v>
      </c>
      <c r="E1055" s="96" t="s">
        <v>686</v>
      </c>
    </row>
    <row r="1056" spans="2:5" ht="15" customHeight="1" thickBot="1" x14ac:dyDescent="0.35">
      <c r="B1056" s="96" t="s">
        <v>1974</v>
      </c>
      <c r="C1056" s="97">
        <v>530959</v>
      </c>
      <c r="D1056" s="96" t="s">
        <v>388</v>
      </c>
      <c r="E1056" s="96" t="s">
        <v>795</v>
      </c>
    </row>
    <row r="1057" spans="2:5" ht="15" customHeight="1" thickBot="1" x14ac:dyDescent="0.35">
      <c r="B1057" s="96" t="s">
        <v>1975</v>
      </c>
      <c r="C1057" s="97">
        <v>500089</v>
      </c>
      <c r="D1057" s="96" t="s">
        <v>1976</v>
      </c>
      <c r="E1057" s="96" t="s">
        <v>548</v>
      </c>
    </row>
    <row r="1058" spans="2:5" ht="15" customHeight="1" thickBot="1" x14ac:dyDescent="0.35">
      <c r="B1058" s="96" t="s">
        <v>1977</v>
      </c>
      <c r="C1058" s="97">
        <v>500089</v>
      </c>
      <c r="D1058" s="96" t="s">
        <v>1976</v>
      </c>
      <c r="E1058" s="96" t="s">
        <v>548</v>
      </c>
    </row>
    <row r="1059" spans="2:5" ht="15" customHeight="1" thickBot="1" x14ac:dyDescent="0.35">
      <c r="B1059" s="96" t="s">
        <v>1978</v>
      </c>
      <c r="C1059" s="97">
        <v>540811</v>
      </c>
      <c r="D1059" s="96" t="s">
        <v>388</v>
      </c>
      <c r="E1059" s="96" t="s">
        <v>410</v>
      </c>
    </row>
    <row r="1060" spans="2:5" ht="15" customHeight="1" thickBot="1" x14ac:dyDescent="0.35">
      <c r="B1060" s="96" t="s">
        <v>1979</v>
      </c>
      <c r="C1060" s="97">
        <v>542685</v>
      </c>
      <c r="D1060" s="96" t="s">
        <v>1980</v>
      </c>
      <c r="E1060" s="96" t="s">
        <v>912</v>
      </c>
    </row>
    <row r="1061" spans="2:5" ht="15" customHeight="1" thickBot="1" x14ac:dyDescent="0.35">
      <c r="B1061" s="96" t="s">
        <v>1981</v>
      </c>
      <c r="C1061" s="97">
        <v>539979</v>
      </c>
      <c r="D1061" s="96" t="s">
        <v>1982</v>
      </c>
      <c r="E1061" s="96" t="s">
        <v>403</v>
      </c>
    </row>
    <row r="1062" spans="2:5" ht="15" customHeight="1" thickBot="1" x14ac:dyDescent="0.35">
      <c r="B1062" s="96" t="s">
        <v>1983</v>
      </c>
      <c r="C1062" s="97">
        <v>540151</v>
      </c>
      <c r="D1062" s="96" t="s">
        <v>388</v>
      </c>
      <c r="E1062" s="96" t="s">
        <v>391</v>
      </c>
    </row>
    <row r="1063" spans="2:5" ht="15" customHeight="1" thickBot="1" x14ac:dyDescent="0.35">
      <c r="B1063" s="96" t="s">
        <v>1984</v>
      </c>
      <c r="C1063" s="97">
        <v>542155</v>
      </c>
      <c r="D1063" s="96" t="s">
        <v>1985</v>
      </c>
      <c r="E1063" s="96" t="s">
        <v>754</v>
      </c>
    </row>
    <row r="1064" spans="2:5" ht="15" customHeight="1" thickBot="1" x14ac:dyDescent="0.35">
      <c r="B1064" s="96" t="s">
        <v>1986</v>
      </c>
      <c r="C1064" s="97">
        <v>506414</v>
      </c>
      <c r="D1064" s="96" t="s">
        <v>388</v>
      </c>
      <c r="E1064" s="96" t="s">
        <v>426</v>
      </c>
    </row>
    <row r="1065" spans="2:5" ht="15" customHeight="1" thickBot="1" x14ac:dyDescent="0.35">
      <c r="B1065" s="96" t="s">
        <v>1987</v>
      </c>
      <c r="C1065" s="97">
        <v>531153</v>
      </c>
      <c r="D1065" s="96" t="s">
        <v>388</v>
      </c>
      <c r="E1065" s="96" t="s">
        <v>637</v>
      </c>
    </row>
    <row r="1066" spans="2:5" ht="15" customHeight="1" thickBot="1" x14ac:dyDescent="0.35">
      <c r="B1066" s="96" t="s">
        <v>1988</v>
      </c>
      <c r="C1066" s="97">
        <v>540789</v>
      </c>
      <c r="D1066" s="96" t="s">
        <v>1989</v>
      </c>
      <c r="E1066" s="96" t="s">
        <v>1990</v>
      </c>
    </row>
    <row r="1067" spans="2:5" ht="15" customHeight="1" thickBot="1" x14ac:dyDescent="0.35">
      <c r="B1067" s="96" t="s">
        <v>1991</v>
      </c>
      <c r="C1067" s="97">
        <v>540047</v>
      </c>
      <c r="D1067" s="96" t="s">
        <v>1992</v>
      </c>
      <c r="E1067" s="96" t="s">
        <v>983</v>
      </c>
    </row>
    <row r="1068" spans="2:5" ht="15" customHeight="1" thickBot="1" x14ac:dyDescent="0.35">
      <c r="B1068" s="96" t="s">
        <v>1993</v>
      </c>
      <c r="C1068" s="97">
        <v>526927</v>
      </c>
      <c r="D1068" s="96" t="s">
        <v>388</v>
      </c>
      <c r="E1068" s="96" t="s">
        <v>481</v>
      </c>
    </row>
    <row r="1069" spans="2:5" ht="15" customHeight="1" thickBot="1" x14ac:dyDescent="0.35">
      <c r="B1069" s="96" t="s">
        <v>1994</v>
      </c>
      <c r="C1069" s="97">
        <v>500068</v>
      </c>
      <c r="D1069" s="96" t="s">
        <v>388</v>
      </c>
      <c r="E1069" s="96" t="s">
        <v>396</v>
      </c>
    </row>
    <row r="1070" spans="2:5" ht="15" customHeight="1" thickBot="1" x14ac:dyDescent="0.35">
      <c r="B1070" s="96" t="s">
        <v>1995</v>
      </c>
      <c r="C1070" s="97">
        <v>500068</v>
      </c>
      <c r="D1070" s="96" t="s">
        <v>388</v>
      </c>
      <c r="E1070" s="96" t="s">
        <v>396</v>
      </c>
    </row>
    <row r="1071" spans="2:5" ht="15" customHeight="1" thickBot="1" x14ac:dyDescent="0.35">
      <c r="B1071" s="96" t="s">
        <v>1996</v>
      </c>
      <c r="C1071" s="97">
        <v>532839</v>
      </c>
      <c r="D1071" s="96" t="s">
        <v>1997</v>
      </c>
      <c r="E1071" s="96" t="s">
        <v>1126</v>
      </c>
    </row>
    <row r="1072" spans="2:5" ht="15" customHeight="1" thickBot="1" x14ac:dyDescent="0.35">
      <c r="B1072" s="96" t="s">
        <v>1998</v>
      </c>
      <c r="C1072" s="97">
        <v>532839</v>
      </c>
      <c r="D1072" s="96" t="s">
        <v>1997</v>
      </c>
      <c r="E1072" s="96" t="s">
        <v>1126</v>
      </c>
    </row>
    <row r="1073" spans="2:5" ht="15" customHeight="1" thickBot="1" x14ac:dyDescent="0.35">
      <c r="B1073" s="96" t="s">
        <v>1999</v>
      </c>
      <c r="C1073" s="97">
        <v>531553</v>
      </c>
      <c r="D1073" s="96" t="s">
        <v>388</v>
      </c>
      <c r="E1073" s="96" t="s">
        <v>809</v>
      </c>
    </row>
    <row r="1074" spans="2:5" ht="15" customHeight="1" thickBot="1" x14ac:dyDescent="0.35">
      <c r="B1074" s="96" t="s">
        <v>2000</v>
      </c>
      <c r="C1074" s="97">
        <v>540701</v>
      </c>
      <c r="D1074" s="96" t="s">
        <v>2001</v>
      </c>
      <c r="E1074" s="96" t="s">
        <v>426</v>
      </c>
    </row>
    <row r="1075" spans="2:5" ht="15" customHeight="1" thickBot="1" x14ac:dyDescent="0.35">
      <c r="B1075" s="96" t="s">
        <v>2002</v>
      </c>
      <c r="C1075" s="97">
        <v>538432</v>
      </c>
      <c r="D1075" s="96" t="s">
        <v>388</v>
      </c>
      <c r="E1075" s="96" t="s">
        <v>410</v>
      </c>
    </row>
    <row r="1076" spans="2:5" ht="15" customHeight="1" thickBot="1" x14ac:dyDescent="0.35">
      <c r="B1076" s="96" t="s">
        <v>2003</v>
      </c>
      <c r="C1076" s="97">
        <v>532488</v>
      </c>
      <c r="D1076" s="96" t="s">
        <v>2004</v>
      </c>
      <c r="E1076" s="96" t="s">
        <v>426</v>
      </c>
    </row>
    <row r="1077" spans="2:5" ht="15" customHeight="1" thickBot="1" x14ac:dyDescent="0.35">
      <c r="B1077" s="96" t="s">
        <v>2005</v>
      </c>
      <c r="C1077" s="97">
        <v>526285</v>
      </c>
      <c r="D1077" s="96" t="s">
        <v>388</v>
      </c>
      <c r="E1077" s="96" t="s">
        <v>637</v>
      </c>
    </row>
    <row r="1078" spans="2:5" ht="15" customHeight="1" thickBot="1" x14ac:dyDescent="0.35">
      <c r="B1078" s="96" t="s">
        <v>2006</v>
      </c>
      <c r="C1078" s="97">
        <v>526315</v>
      </c>
      <c r="D1078" s="96" t="s">
        <v>388</v>
      </c>
      <c r="E1078" s="96" t="s">
        <v>916</v>
      </c>
    </row>
    <row r="1079" spans="2:5" ht="15" customHeight="1" thickBot="1" x14ac:dyDescent="0.35">
      <c r="B1079" s="96" t="s">
        <v>2007</v>
      </c>
      <c r="C1079" s="97">
        <v>540699</v>
      </c>
      <c r="D1079" s="96" t="s">
        <v>2008</v>
      </c>
      <c r="E1079" s="96" t="s">
        <v>757</v>
      </c>
    </row>
    <row r="1080" spans="2:5" ht="15" customHeight="1" thickBot="1" x14ac:dyDescent="0.35">
      <c r="B1080" s="96" t="s">
        <v>2009</v>
      </c>
      <c r="C1080" s="97">
        <v>540699</v>
      </c>
      <c r="D1080" s="96" t="s">
        <v>2008</v>
      </c>
      <c r="E1080" s="96" t="s">
        <v>757</v>
      </c>
    </row>
    <row r="1081" spans="2:5" ht="15" customHeight="1" thickBot="1" x14ac:dyDescent="0.35">
      <c r="B1081" s="96" t="s">
        <v>2010</v>
      </c>
      <c r="C1081" s="97">
        <v>532868</v>
      </c>
      <c r="D1081" s="96" t="s">
        <v>2011</v>
      </c>
      <c r="E1081" s="96" t="s">
        <v>474</v>
      </c>
    </row>
    <row r="1082" spans="2:5" ht="15" customHeight="1" thickBot="1" x14ac:dyDescent="0.35">
      <c r="B1082" s="96" t="s">
        <v>2012</v>
      </c>
      <c r="C1082" s="97">
        <v>533146</v>
      </c>
      <c r="D1082" s="96" t="s">
        <v>2013</v>
      </c>
      <c r="E1082" s="96" t="s">
        <v>2014</v>
      </c>
    </row>
    <row r="1083" spans="2:5" ht="15" customHeight="1" thickBot="1" x14ac:dyDescent="0.35">
      <c r="B1083" s="96" t="s">
        <v>2015</v>
      </c>
      <c r="C1083" s="97">
        <v>533146</v>
      </c>
      <c r="D1083" s="96" t="s">
        <v>2016</v>
      </c>
      <c r="E1083" s="96" t="s">
        <v>2014</v>
      </c>
    </row>
    <row r="1084" spans="2:5" ht="15" customHeight="1" thickBot="1" x14ac:dyDescent="0.35">
      <c r="B1084" s="96" t="s">
        <v>2017</v>
      </c>
      <c r="C1084" s="97">
        <v>505526</v>
      </c>
      <c r="D1084" s="96" t="s">
        <v>388</v>
      </c>
      <c r="E1084" s="96" t="s">
        <v>408</v>
      </c>
    </row>
    <row r="1085" spans="2:5" ht="15" customHeight="1" thickBot="1" x14ac:dyDescent="0.35">
      <c r="B1085" s="96" t="s">
        <v>2018</v>
      </c>
      <c r="C1085" s="97">
        <v>542013</v>
      </c>
      <c r="D1085" s="96" t="s">
        <v>388</v>
      </c>
      <c r="E1085" s="96" t="s">
        <v>868</v>
      </c>
    </row>
    <row r="1086" spans="2:5" ht="15" customHeight="1" thickBot="1" x14ac:dyDescent="0.35">
      <c r="B1086" s="96" t="s">
        <v>2019</v>
      </c>
      <c r="C1086" s="97">
        <v>541403</v>
      </c>
      <c r="D1086" s="96" t="s">
        <v>2020</v>
      </c>
      <c r="E1086" s="96" t="s">
        <v>502</v>
      </c>
    </row>
    <row r="1087" spans="2:5" ht="15" customHeight="1" thickBot="1" x14ac:dyDescent="0.35">
      <c r="B1087" s="96" t="s">
        <v>2021</v>
      </c>
      <c r="C1087" s="97">
        <v>526504</v>
      </c>
      <c r="D1087" s="96" t="s">
        <v>388</v>
      </c>
      <c r="E1087" s="96" t="s">
        <v>577</v>
      </c>
    </row>
    <row r="1088" spans="2:5" ht="15" customHeight="1" thickBot="1" x14ac:dyDescent="0.35">
      <c r="B1088" s="96" t="s">
        <v>2022</v>
      </c>
      <c r="C1088" s="97">
        <v>522261</v>
      </c>
      <c r="D1088" s="96" t="s">
        <v>2023</v>
      </c>
      <c r="E1088" s="96" t="s">
        <v>729</v>
      </c>
    </row>
    <row r="1089" spans="2:5" ht="15" customHeight="1" thickBot="1" x14ac:dyDescent="0.35">
      <c r="B1089" s="96" t="s">
        <v>2024</v>
      </c>
      <c r="C1089" s="97">
        <v>522261</v>
      </c>
      <c r="D1089" s="96" t="s">
        <v>2023</v>
      </c>
      <c r="E1089" s="96" t="s">
        <v>729</v>
      </c>
    </row>
    <row r="1090" spans="2:5" ht="15" customHeight="1" thickBot="1" x14ac:dyDescent="0.35">
      <c r="B1090" s="96" t="s">
        <v>2025</v>
      </c>
      <c r="C1090" s="97">
        <v>512519</v>
      </c>
      <c r="D1090" s="96" t="s">
        <v>2026</v>
      </c>
      <c r="E1090" s="96" t="s">
        <v>403</v>
      </c>
    </row>
    <row r="1091" spans="2:5" ht="15" customHeight="1" thickBot="1" x14ac:dyDescent="0.35">
      <c r="B1091" s="96" t="s">
        <v>2027</v>
      </c>
      <c r="C1091" s="96" t="s">
        <v>388</v>
      </c>
      <c r="D1091" s="96" t="s">
        <v>2028</v>
      </c>
      <c r="E1091" s="96" t="s">
        <v>479</v>
      </c>
    </row>
    <row r="1092" spans="2:5" ht="15" customHeight="1" thickBot="1" x14ac:dyDescent="0.35">
      <c r="B1092" s="96" t="s">
        <v>2029</v>
      </c>
      <c r="C1092" s="97">
        <v>533176</v>
      </c>
      <c r="D1092" s="96" t="s">
        <v>2030</v>
      </c>
      <c r="E1092" s="96" t="s">
        <v>391</v>
      </c>
    </row>
    <row r="1093" spans="2:5" ht="15" customHeight="1" thickBot="1" x14ac:dyDescent="0.35">
      <c r="B1093" s="96" t="s">
        <v>2031</v>
      </c>
      <c r="C1093" s="97">
        <v>526783</v>
      </c>
      <c r="D1093" s="96" t="s">
        <v>388</v>
      </c>
      <c r="E1093" s="96" t="s">
        <v>577</v>
      </c>
    </row>
    <row r="1094" spans="2:5" ht="15" customHeight="1" thickBot="1" x14ac:dyDescent="0.35">
      <c r="B1094" s="96" t="s">
        <v>2032</v>
      </c>
      <c r="C1094" s="97">
        <v>539267</v>
      </c>
      <c r="D1094" s="96" t="s">
        <v>388</v>
      </c>
      <c r="E1094" s="96" t="s">
        <v>410</v>
      </c>
    </row>
    <row r="1095" spans="2:5" ht="15" customHeight="1" thickBot="1" x14ac:dyDescent="0.35">
      <c r="B1095" s="96" t="s">
        <v>2033</v>
      </c>
      <c r="C1095" s="97">
        <v>539524</v>
      </c>
      <c r="D1095" s="96" t="s">
        <v>2034</v>
      </c>
      <c r="E1095" s="96" t="s">
        <v>577</v>
      </c>
    </row>
    <row r="1096" spans="2:5" ht="15" customHeight="1" thickBot="1" x14ac:dyDescent="0.35">
      <c r="B1096" s="96" t="s">
        <v>2035</v>
      </c>
      <c r="C1096" s="97">
        <v>541299</v>
      </c>
      <c r="D1096" s="96" t="s">
        <v>388</v>
      </c>
      <c r="E1096" s="96" t="s">
        <v>577</v>
      </c>
    </row>
    <row r="1097" spans="2:5" ht="15" customHeight="1" thickBot="1" x14ac:dyDescent="0.35">
      <c r="B1097" s="96" t="s">
        <v>2036</v>
      </c>
      <c r="C1097" s="97">
        <v>500124</v>
      </c>
      <c r="D1097" s="96" t="s">
        <v>2037</v>
      </c>
      <c r="E1097" s="96" t="s">
        <v>426</v>
      </c>
    </row>
    <row r="1098" spans="2:5" ht="15" customHeight="1" thickBot="1" x14ac:dyDescent="0.35">
      <c r="B1098" s="96" t="s">
        <v>2038</v>
      </c>
      <c r="C1098" s="97">
        <v>540144</v>
      </c>
      <c r="D1098" s="96" t="s">
        <v>388</v>
      </c>
      <c r="E1098" s="96" t="s">
        <v>472</v>
      </c>
    </row>
    <row r="1099" spans="2:5" ht="15" customHeight="1" thickBot="1" x14ac:dyDescent="0.35">
      <c r="B1099" s="96" t="s">
        <v>2039</v>
      </c>
      <c r="C1099" s="97">
        <v>523618</v>
      </c>
      <c r="D1099" s="96" t="s">
        <v>2040</v>
      </c>
      <c r="E1099" s="96" t="s">
        <v>1635</v>
      </c>
    </row>
    <row r="1100" spans="2:5" ht="15" customHeight="1" thickBot="1" x14ac:dyDescent="0.35">
      <c r="B1100" s="96" t="s">
        <v>2041</v>
      </c>
      <c r="C1100" s="97">
        <v>523618</v>
      </c>
      <c r="D1100" s="96" t="s">
        <v>2040</v>
      </c>
      <c r="E1100" s="96" t="s">
        <v>1635</v>
      </c>
    </row>
    <row r="1101" spans="2:5" ht="15" customHeight="1" thickBot="1" x14ac:dyDescent="0.35">
      <c r="B1101" s="96" t="s">
        <v>2042</v>
      </c>
      <c r="C1101" s="97">
        <v>534674</v>
      </c>
      <c r="D1101" s="96" t="s">
        <v>2043</v>
      </c>
      <c r="E1101" s="96" t="s">
        <v>410</v>
      </c>
    </row>
    <row r="1102" spans="2:5" ht="15" customHeight="1" thickBot="1" x14ac:dyDescent="0.35">
      <c r="B1102" s="96" t="s">
        <v>2044</v>
      </c>
      <c r="C1102" s="97">
        <v>511634</v>
      </c>
      <c r="D1102" s="96" t="s">
        <v>388</v>
      </c>
      <c r="E1102" s="96" t="s">
        <v>786</v>
      </c>
    </row>
    <row r="1103" spans="2:5" ht="15" customHeight="1" thickBot="1" x14ac:dyDescent="0.35">
      <c r="B1103" s="96" t="s">
        <v>2045</v>
      </c>
      <c r="C1103" s="97">
        <v>531471</v>
      </c>
      <c r="D1103" s="96" t="s">
        <v>388</v>
      </c>
      <c r="E1103" s="96" t="s">
        <v>729</v>
      </c>
    </row>
    <row r="1104" spans="2:5" ht="15" customHeight="1" thickBot="1" x14ac:dyDescent="0.35">
      <c r="B1104" s="96" t="s">
        <v>2046</v>
      </c>
      <c r="C1104" s="97">
        <v>504908</v>
      </c>
      <c r="D1104" s="96" t="s">
        <v>388</v>
      </c>
      <c r="E1104" s="96" t="s">
        <v>743</v>
      </c>
    </row>
    <row r="1105" spans="2:5" ht="15" customHeight="1" thickBot="1" x14ac:dyDescent="0.35">
      <c r="B1105" s="96" t="s">
        <v>2047</v>
      </c>
      <c r="C1105" s="97">
        <v>526355</v>
      </c>
      <c r="D1105" s="96" t="s">
        <v>388</v>
      </c>
      <c r="E1105" s="96" t="s">
        <v>508</v>
      </c>
    </row>
    <row r="1106" spans="2:5" ht="15" customHeight="1" thickBot="1" x14ac:dyDescent="0.35">
      <c r="B1106" s="96" t="s">
        <v>2048</v>
      </c>
      <c r="C1106" s="97">
        <v>517437</v>
      </c>
      <c r="D1106" s="96" t="s">
        <v>388</v>
      </c>
      <c r="E1106" s="96" t="s">
        <v>508</v>
      </c>
    </row>
    <row r="1107" spans="2:5" ht="15" customHeight="1" thickBot="1" x14ac:dyDescent="0.35">
      <c r="B1107" s="96" t="s">
        <v>2049</v>
      </c>
      <c r="C1107" s="97">
        <v>532610</v>
      </c>
      <c r="D1107" s="96" t="s">
        <v>2050</v>
      </c>
      <c r="E1107" s="96" t="s">
        <v>1087</v>
      </c>
    </row>
    <row r="1108" spans="2:5" ht="15" customHeight="1" thickBot="1" x14ac:dyDescent="0.35">
      <c r="B1108" s="96" t="s">
        <v>2051</v>
      </c>
      <c r="C1108" s="97">
        <v>538608</v>
      </c>
      <c r="D1108" s="96" t="s">
        <v>2052</v>
      </c>
      <c r="E1108" s="96" t="s">
        <v>754</v>
      </c>
    </row>
    <row r="1109" spans="2:5" ht="15" customHeight="1" thickBot="1" x14ac:dyDescent="0.35">
      <c r="B1109" s="96" t="s">
        <v>2053</v>
      </c>
      <c r="C1109" s="97">
        <v>532365</v>
      </c>
      <c r="D1109" s="96" t="s">
        <v>2054</v>
      </c>
      <c r="E1109" s="96" t="s">
        <v>374</v>
      </c>
    </row>
    <row r="1110" spans="2:5" ht="15" customHeight="1" thickBot="1" x14ac:dyDescent="0.35">
      <c r="B1110" s="96" t="s">
        <v>2055</v>
      </c>
      <c r="C1110" s="97">
        <v>505242</v>
      </c>
      <c r="D1110" s="96" t="s">
        <v>2056</v>
      </c>
      <c r="E1110" s="96" t="s">
        <v>396</v>
      </c>
    </row>
    <row r="1111" spans="2:5" ht="15" customHeight="1" thickBot="1" x14ac:dyDescent="0.35">
      <c r="B1111" s="96" t="s">
        <v>2057</v>
      </c>
      <c r="C1111" s="97">
        <v>539681</v>
      </c>
      <c r="D1111" s="96" t="s">
        <v>388</v>
      </c>
      <c r="E1111" s="96" t="s">
        <v>405</v>
      </c>
    </row>
    <row r="1112" spans="2:5" ht="15" customHeight="1" thickBot="1" x14ac:dyDescent="0.35">
      <c r="B1112" s="96" t="s">
        <v>2058</v>
      </c>
      <c r="C1112" s="97">
        <v>540795</v>
      </c>
      <c r="D1112" s="96" t="s">
        <v>388</v>
      </c>
      <c r="E1112" s="96" t="s">
        <v>686</v>
      </c>
    </row>
    <row r="1113" spans="2:5" ht="15" customHeight="1" thickBot="1" x14ac:dyDescent="0.35">
      <c r="B1113" s="96" t="s">
        <v>2059</v>
      </c>
      <c r="C1113" s="97">
        <v>524818</v>
      </c>
      <c r="D1113" s="96" t="s">
        <v>388</v>
      </c>
      <c r="E1113" s="96" t="s">
        <v>548</v>
      </c>
    </row>
    <row r="1114" spans="2:5" ht="15" customHeight="1" thickBot="1" x14ac:dyDescent="0.35">
      <c r="B1114" s="96" t="s">
        <v>2060</v>
      </c>
      <c r="C1114" s="97">
        <v>530779</v>
      </c>
      <c r="D1114" s="96" t="s">
        <v>388</v>
      </c>
      <c r="E1114" s="96" t="s">
        <v>405</v>
      </c>
    </row>
    <row r="1115" spans="2:5" ht="15" customHeight="1" thickBot="1" x14ac:dyDescent="0.35">
      <c r="B1115" s="96" t="s">
        <v>2061</v>
      </c>
      <c r="C1115" s="97">
        <v>517238</v>
      </c>
      <c r="D1115" s="96" t="s">
        <v>388</v>
      </c>
      <c r="E1115" s="96" t="s">
        <v>930</v>
      </c>
    </row>
    <row r="1116" spans="2:5" ht="15" customHeight="1" thickBot="1" x14ac:dyDescent="0.35">
      <c r="B1116" s="96" t="s">
        <v>2062</v>
      </c>
      <c r="C1116" s="97">
        <v>532707</v>
      </c>
      <c r="D1116" s="96" t="s">
        <v>2063</v>
      </c>
      <c r="E1116" s="96" t="s">
        <v>548</v>
      </c>
    </row>
    <row r="1117" spans="2:5" ht="15" customHeight="1" thickBot="1" x14ac:dyDescent="0.35">
      <c r="B1117" s="96" t="s">
        <v>2064</v>
      </c>
      <c r="C1117" s="97">
        <v>531533</v>
      </c>
      <c r="D1117" s="96" t="s">
        <v>388</v>
      </c>
      <c r="E1117" s="96" t="s">
        <v>374</v>
      </c>
    </row>
    <row r="1118" spans="2:5" ht="15" customHeight="1" thickBot="1" x14ac:dyDescent="0.35">
      <c r="B1118" s="96" t="s">
        <v>2065</v>
      </c>
      <c r="C1118" s="96" t="s">
        <v>388</v>
      </c>
      <c r="D1118" s="96" t="s">
        <v>2066</v>
      </c>
      <c r="E1118" s="96" t="s">
        <v>399</v>
      </c>
    </row>
    <row r="1119" spans="2:5" ht="15" customHeight="1" thickBot="1" x14ac:dyDescent="0.35">
      <c r="B1119" s="96" t="s">
        <v>2067</v>
      </c>
      <c r="C1119" s="97">
        <v>507917</v>
      </c>
      <c r="D1119" s="96" t="s">
        <v>388</v>
      </c>
      <c r="E1119" s="96" t="s">
        <v>474</v>
      </c>
    </row>
    <row r="1120" spans="2:5" ht="15" customHeight="1" thickBot="1" x14ac:dyDescent="0.35">
      <c r="B1120" s="96" t="s">
        <v>2068</v>
      </c>
      <c r="C1120" s="97">
        <v>520081</v>
      </c>
      <c r="D1120" s="96" t="s">
        <v>388</v>
      </c>
      <c r="E1120" s="96" t="s">
        <v>420</v>
      </c>
    </row>
    <row r="1121" spans="2:5" ht="15" customHeight="1" thickBot="1" x14ac:dyDescent="0.35">
      <c r="B1121" s="96" t="s">
        <v>2069</v>
      </c>
      <c r="C1121" s="97">
        <v>541053</v>
      </c>
      <c r="D1121" s="96" t="s">
        <v>388</v>
      </c>
      <c r="E1121" s="96" t="s">
        <v>371</v>
      </c>
    </row>
    <row r="1122" spans="2:5" ht="15" customHeight="1" thickBot="1" x14ac:dyDescent="0.35">
      <c r="B1122" s="96" t="s">
        <v>2070</v>
      </c>
      <c r="C1122" s="97">
        <v>590022</v>
      </c>
      <c r="D1122" s="96" t="s">
        <v>2071</v>
      </c>
      <c r="E1122" s="96" t="s">
        <v>403</v>
      </c>
    </row>
    <row r="1123" spans="2:5" ht="15" customHeight="1" thickBot="1" x14ac:dyDescent="0.35">
      <c r="B1123" s="96" t="s">
        <v>2072</v>
      </c>
      <c r="C1123" s="97">
        <v>531346</v>
      </c>
      <c r="D1123" s="96" t="s">
        <v>388</v>
      </c>
      <c r="E1123" s="96" t="s">
        <v>868</v>
      </c>
    </row>
    <row r="1124" spans="2:5" ht="15" customHeight="1" thickBot="1" x14ac:dyDescent="0.35">
      <c r="B1124" s="96" t="s">
        <v>2073</v>
      </c>
      <c r="C1124" s="97">
        <v>532751</v>
      </c>
      <c r="D1124" s="96" t="s">
        <v>2074</v>
      </c>
      <c r="E1124" s="96" t="s">
        <v>686</v>
      </c>
    </row>
    <row r="1125" spans="2:5" ht="15" customHeight="1" thickBot="1" x14ac:dyDescent="0.35">
      <c r="B1125" s="96" t="s">
        <v>2075</v>
      </c>
      <c r="C1125" s="96" t="s">
        <v>388</v>
      </c>
      <c r="D1125" s="96" t="s">
        <v>2076</v>
      </c>
      <c r="E1125" s="96" t="s">
        <v>479</v>
      </c>
    </row>
    <row r="1126" spans="2:5" ht="15" customHeight="1" thickBot="1" x14ac:dyDescent="0.35">
      <c r="B1126" s="96" t="s">
        <v>2077</v>
      </c>
      <c r="C1126" s="97">
        <v>532927</v>
      </c>
      <c r="D1126" s="96" t="s">
        <v>2078</v>
      </c>
      <c r="E1126" s="96" t="s">
        <v>718</v>
      </c>
    </row>
    <row r="1127" spans="2:5" ht="15" customHeight="1" thickBot="1" x14ac:dyDescent="0.35">
      <c r="B1127" s="96" t="s">
        <v>2079</v>
      </c>
      <c r="C1127" s="97">
        <v>534839</v>
      </c>
      <c r="D1127" s="96" t="s">
        <v>388</v>
      </c>
      <c r="E1127" s="96" t="s">
        <v>586</v>
      </c>
    </row>
    <row r="1128" spans="2:5" ht="15" customHeight="1" thickBot="1" x14ac:dyDescent="0.35">
      <c r="B1128" s="96" t="s">
        <v>2080</v>
      </c>
      <c r="C1128" s="97">
        <v>530643</v>
      </c>
      <c r="D1128" s="96" t="s">
        <v>388</v>
      </c>
      <c r="E1128" s="96" t="s">
        <v>930</v>
      </c>
    </row>
    <row r="1129" spans="2:5" ht="15" customHeight="1" thickBot="1" x14ac:dyDescent="0.35">
      <c r="B1129" s="96" t="s">
        <v>2081</v>
      </c>
      <c r="C1129" s="97">
        <v>523732</v>
      </c>
      <c r="D1129" s="96" t="s">
        <v>388</v>
      </c>
      <c r="E1129" s="96" t="s">
        <v>883</v>
      </c>
    </row>
    <row r="1130" spans="2:5" ht="15" customHeight="1" thickBot="1" x14ac:dyDescent="0.35">
      <c r="B1130" s="96" t="s">
        <v>2082</v>
      </c>
      <c r="C1130" s="97">
        <v>538708</v>
      </c>
      <c r="D1130" s="96" t="s">
        <v>388</v>
      </c>
      <c r="E1130" s="96" t="s">
        <v>405</v>
      </c>
    </row>
    <row r="1131" spans="2:5" ht="15" customHeight="1" thickBot="1" x14ac:dyDescent="0.35">
      <c r="B1131" s="96" t="s">
        <v>2083</v>
      </c>
      <c r="C1131" s="97">
        <v>538708</v>
      </c>
      <c r="D1131" s="96" t="s">
        <v>388</v>
      </c>
      <c r="E1131" s="96" t="s">
        <v>405</v>
      </c>
    </row>
    <row r="1132" spans="2:5" ht="15" customHeight="1" thickBot="1" x14ac:dyDescent="0.35">
      <c r="B1132" s="96" t="s">
        <v>2084</v>
      </c>
      <c r="C1132" s="97">
        <v>526703</v>
      </c>
      <c r="D1132" s="96" t="s">
        <v>388</v>
      </c>
      <c r="E1132" s="96" t="s">
        <v>508</v>
      </c>
    </row>
    <row r="1133" spans="2:5" ht="15" customHeight="1" thickBot="1" x14ac:dyDescent="0.35">
      <c r="B1133" s="96" t="s">
        <v>2085</v>
      </c>
      <c r="C1133" s="97">
        <v>540063</v>
      </c>
      <c r="D1133" s="96" t="s">
        <v>388</v>
      </c>
      <c r="E1133" s="96" t="s">
        <v>374</v>
      </c>
    </row>
    <row r="1134" spans="2:5" ht="15" customHeight="1" thickBot="1" x14ac:dyDescent="0.35">
      <c r="B1134" s="96" t="s">
        <v>2086</v>
      </c>
      <c r="C1134" s="97">
        <v>532922</v>
      </c>
      <c r="D1134" s="96" t="s">
        <v>2087</v>
      </c>
      <c r="E1134" s="96" t="s">
        <v>371</v>
      </c>
    </row>
    <row r="1135" spans="2:5" ht="15" customHeight="1" thickBot="1" x14ac:dyDescent="0.35">
      <c r="B1135" s="96" t="s">
        <v>2088</v>
      </c>
      <c r="C1135" s="97">
        <v>532696</v>
      </c>
      <c r="D1135" s="96" t="s">
        <v>2089</v>
      </c>
      <c r="E1135" s="96" t="s">
        <v>493</v>
      </c>
    </row>
    <row r="1136" spans="2:5" ht="15" customHeight="1" thickBot="1" x14ac:dyDescent="0.35">
      <c r="B1136" s="96" t="s">
        <v>2090</v>
      </c>
      <c r="C1136" s="97">
        <v>526483</v>
      </c>
      <c r="D1136" s="96" t="s">
        <v>388</v>
      </c>
      <c r="E1136" s="96" t="s">
        <v>1626</v>
      </c>
    </row>
    <row r="1137" spans="2:5" ht="15" customHeight="1" thickBot="1" x14ac:dyDescent="0.35">
      <c r="B1137" s="96" t="s">
        <v>2091</v>
      </c>
      <c r="C1137" s="97">
        <v>535694</v>
      </c>
      <c r="D1137" s="96" t="s">
        <v>388</v>
      </c>
      <c r="E1137" s="96" t="s">
        <v>410</v>
      </c>
    </row>
    <row r="1138" spans="2:5" ht="15" customHeight="1" thickBot="1" x14ac:dyDescent="0.35">
      <c r="B1138" s="96" t="s">
        <v>2092</v>
      </c>
      <c r="C1138" s="97">
        <v>505200</v>
      </c>
      <c r="D1138" s="96" t="s">
        <v>2093</v>
      </c>
      <c r="E1138" s="96" t="s">
        <v>1046</v>
      </c>
    </row>
    <row r="1139" spans="2:5" ht="15" customHeight="1" thickBot="1" x14ac:dyDescent="0.35">
      <c r="B1139" s="96" t="s">
        <v>2094</v>
      </c>
      <c r="C1139" s="97">
        <v>500125</v>
      </c>
      <c r="D1139" s="96" t="s">
        <v>2095</v>
      </c>
      <c r="E1139" s="96" t="s">
        <v>1087</v>
      </c>
    </row>
    <row r="1140" spans="2:5" ht="15" customHeight="1" thickBot="1" x14ac:dyDescent="0.35">
      <c r="B1140" s="96" t="s">
        <v>2096</v>
      </c>
      <c r="C1140" s="97">
        <v>500125</v>
      </c>
      <c r="D1140" s="96" t="s">
        <v>2095</v>
      </c>
      <c r="E1140" s="96" t="s">
        <v>1087</v>
      </c>
    </row>
    <row r="1141" spans="2:5" ht="15" customHeight="1" thickBot="1" x14ac:dyDescent="0.35">
      <c r="B1141" s="96" t="s">
        <v>2097</v>
      </c>
      <c r="C1141" s="97">
        <v>523127</v>
      </c>
      <c r="D1141" s="96" t="s">
        <v>2098</v>
      </c>
      <c r="E1141" s="96" t="s">
        <v>589</v>
      </c>
    </row>
    <row r="1142" spans="2:5" ht="15" customHeight="1" thickBot="1" x14ac:dyDescent="0.35">
      <c r="B1142" s="96" t="s">
        <v>2099</v>
      </c>
      <c r="C1142" s="97">
        <v>500840</v>
      </c>
      <c r="D1142" s="96" t="s">
        <v>2100</v>
      </c>
      <c r="E1142" s="96" t="s">
        <v>589</v>
      </c>
    </row>
    <row r="1143" spans="2:5" ht="15" customHeight="1" thickBot="1" x14ac:dyDescent="0.35">
      <c r="B1143" s="96" t="s">
        <v>2101</v>
      </c>
      <c r="C1143" s="97">
        <v>523708</v>
      </c>
      <c r="D1143" s="96" t="s">
        <v>2102</v>
      </c>
      <c r="E1143" s="96" t="s">
        <v>396</v>
      </c>
    </row>
    <row r="1144" spans="2:5" ht="15" customHeight="1" thickBot="1" x14ac:dyDescent="0.35">
      <c r="B1144" s="96" t="s">
        <v>2103</v>
      </c>
      <c r="C1144" s="97">
        <v>523708</v>
      </c>
      <c r="D1144" s="96" t="s">
        <v>2102</v>
      </c>
      <c r="E1144" s="96" t="s">
        <v>396</v>
      </c>
    </row>
    <row r="1145" spans="2:5" ht="15" customHeight="1" thickBot="1" x14ac:dyDescent="0.35">
      <c r="B1145" s="96" t="s">
        <v>2104</v>
      </c>
      <c r="C1145" s="97">
        <v>538653</v>
      </c>
      <c r="D1145" s="96" t="s">
        <v>2105</v>
      </c>
      <c r="E1145" s="96" t="s">
        <v>754</v>
      </c>
    </row>
    <row r="1146" spans="2:5" ht="15" customHeight="1" thickBot="1" x14ac:dyDescent="0.35">
      <c r="B1146" s="96" t="s">
        <v>2106</v>
      </c>
      <c r="C1146" s="97">
        <v>530581</v>
      </c>
      <c r="D1146" s="96" t="s">
        <v>388</v>
      </c>
      <c r="E1146" s="96" t="s">
        <v>809</v>
      </c>
    </row>
    <row r="1147" spans="2:5" ht="15" customHeight="1" thickBot="1" x14ac:dyDescent="0.35">
      <c r="B1147" s="96" t="s">
        <v>2107</v>
      </c>
      <c r="C1147" s="97">
        <v>532820</v>
      </c>
      <c r="D1147" s="96" t="s">
        <v>2108</v>
      </c>
      <c r="E1147" s="96" t="s">
        <v>403</v>
      </c>
    </row>
    <row r="1148" spans="2:5" ht="15" customHeight="1" thickBot="1" x14ac:dyDescent="0.35">
      <c r="B1148" s="96" t="s">
        <v>2109</v>
      </c>
      <c r="C1148" s="97">
        <v>513452</v>
      </c>
      <c r="D1148" s="96" t="s">
        <v>388</v>
      </c>
      <c r="E1148" s="96" t="s">
        <v>420</v>
      </c>
    </row>
    <row r="1149" spans="2:5" ht="15" customHeight="1" thickBot="1" x14ac:dyDescent="0.35">
      <c r="B1149" s="96" t="s">
        <v>2110</v>
      </c>
      <c r="C1149" s="97">
        <v>500123</v>
      </c>
      <c r="D1149" s="96" t="s">
        <v>388</v>
      </c>
      <c r="E1149" s="96" t="s">
        <v>436</v>
      </c>
    </row>
    <row r="1150" spans="2:5" ht="15" customHeight="1" thickBot="1" x14ac:dyDescent="0.35">
      <c r="B1150" s="96" t="s">
        <v>2111</v>
      </c>
      <c r="C1150" s="97">
        <v>500123</v>
      </c>
      <c r="D1150" s="96" t="s">
        <v>388</v>
      </c>
      <c r="E1150" s="96" t="s">
        <v>436</v>
      </c>
    </row>
    <row r="1151" spans="2:5" ht="15" customHeight="1" thickBot="1" x14ac:dyDescent="0.35">
      <c r="B1151" s="96" t="s">
        <v>2112</v>
      </c>
      <c r="C1151" s="97">
        <v>503681</v>
      </c>
      <c r="D1151" s="96" t="s">
        <v>388</v>
      </c>
      <c r="E1151" s="96" t="s">
        <v>809</v>
      </c>
    </row>
    <row r="1152" spans="2:5" ht="15" customHeight="1" thickBot="1" x14ac:dyDescent="0.35">
      <c r="B1152" s="96" t="s">
        <v>2113</v>
      </c>
      <c r="C1152" s="97">
        <v>523329</v>
      </c>
      <c r="D1152" s="96" t="s">
        <v>388</v>
      </c>
      <c r="E1152" s="96" t="s">
        <v>474</v>
      </c>
    </row>
    <row r="1153" spans="2:5" ht="15" customHeight="1" thickBot="1" x14ac:dyDescent="0.35">
      <c r="B1153" s="96" t="s">
        <v>2114</v>
      </c>
      <c r="C1153" s="97">
        <v>505700</v>
      </c>
      <c r="D1153" s="96" t="s">
        <v>2115</v>
      </c>
      <c r="E1153" s="96" t="s">
        <v>396</v>
      </c>
    </row>
    <row r="1154" spans="2:5" ht="15" customHeight="1" thickBot="1" x14ac:dyDescent="0.35">
      <c r="B1154" s="96" t="s">
        <v>2116</v>
      </c>
      <c r="C1154" s="97">
        <v>500128</v>
      </c>
      <c r="D1154" s="96" t="s">
        <v>2117</v>
      </c>
      <c r="E1154" s="96" t="s">
        <v>786</v>
      </c>
    </row>
    <row r="1155" spans="2:5" ht="15" customHeight="1" thickBot="1" x14ac:dyDescent="0.35">
      <c r="B1155" s="96" t="s">
        <v>2118</v>
      </c>
      <c r="C1155" s="97">
        <v>533264</v>
      </c>
      <c r="D1155" s="96" t="s">
        <v>2119</v>
      </c>
      <c r="E1155" s="96" t="s">
        <v>786</v>
      </c>
    </row>
    <row r="1156" spans="2:5" ht="15" customHeight="1" thickBot="1" x14ac:dyDescent="0.35">
      <c r="B1156" s="96" t="s">
        <v>2120</v>
      </c>
      <c r="C1156" s="97">
        <v>526608</v>
      </c>
      <c r="D1156" s="96" t="s">
        <v>2121</v>
      </c>
      <c r="E1156" s="96" t="s">
        <v>711</v>
      </c>
    </row>
    <row r="1157" spans="2:5" ht="15" customHeight="1" thickBot="1" x14ac:dyDescent="0.35">
      <c r="B1157" s="96" t="s">
        <v>2122</v>
      </c>
      <c r="C1157" s="97">
        <v>526608</v>
      </c>
      <c r="D1157" s="96" t="s">
        <v>2121</v>
      </c>
      <c r="E1157" s="96" t="s">
        <v>711</v>
      </c>
    </row>
    <row r="1158" spans="2:5" ht="15" customHeight="1" thickBot="1" x14ac:dyDescent="0.35">
      <c r="B1158" s="96" t="s">
        <v>2123</v>
      </c>
      <c r="C1158" s="97">
        <v>526473</v>
      </c>
      <c r="D1158" s="96" t="s">
        <v>388</v>
      </c>
      <c r="E1158" s="96" t="s">
        <v>586</v>
      </c>
    </row>
    <row r="1159" spans="2:5" ht="15" customHeight="1" thickBot="1" x14ac:dyDescent="0.35">
      <c r="B1159" s="96" t="s">
        <v>2124</v>
      </c>
      <c r="C1159" s="97">
        <v>526473</v>
      </c>
      <c r="D1159" s="96" t="s">
        <v>388</v>
      </c>
      <c r="E1159" s="96" t="s">
        <v>586</v>
      </c>
    </row>
    <row r="1160" spans="2:5" ht="15" customHeight="1" thickBot="1" x14ac:dyDescent="0.35">
      <c r="B1160" s="96" t="s">
        <v>2125</v>
      </c>
      <c r="C1160" s="97">
        <v>526705</v>
      </c>
      <c r="D1160" s="96" t="s">
        <v>388</v>
      </c>
      <c r="E1160" s="96" t="s">
        <v>410</v>
      </c>
    </row>
    <row r="1161" spans="2:5" ht="15" customHeight="1" thickBot="1" x14ac:dyDescent="0.35">
      <c r="B1161" s="96" t="s">
        <v>2126</v>
      </c>
      <c r="C1161" s="97">
        <v>522074</v>
      </c>
      <c r="D1161" s="96" t="s">
        <v>2127</v>
      </c>
      <c r="E1161" s="96" t="s">
        <v>396</v>
      </c>
    </row>
    <row r="1162" spans="2:5" ht="15" customHeight="1" thickBot="1" x14ac:dyDescent="0.35">
      <c r="B1162" s="96" t="s">
        <v>2128</v>
      </c>
      <c r="C1162" s="96" t="s">
        <v>388</v>
      </c>
      <c r="D1162" s="96" t="s">
        <v>2129</v>
      </c>
      <c r="E1162" s="96" t="s">
        <v>479</v>
      </c>
    </row>
    <row r="1163" spans="2:5" ht="15" customHeight="1" thickBot="1" x14ac:dyDescent="0.35">
      <c r="B1163" s="96" t="s">
        <v>2130</v>
      </c>
      <c r="C1163" s="97">
        <v>531278</v>
      </c>
      <c r="D1163" s="96" t="s">
        <v>388</v>
      </c>
      <c r="E1163" s="96" t="s">
        <v>371</v>
      </c>
    </row>
    <row r="1164" spans="2:5" ht="15" customHeight="1" thickBot="1" x14ac:dyDescent="0.35">
      <c r="B1164" s="96" t="s">
        <v>2131</v>
      </c>
      <c r="C1164" s="97">
        <v>517477</v>
      </c>
      <c r="D1164" s="96" t="s">
        <v>388</v>
      </c>
      <c r="E1164" s="96" t="s">
        <v>481</v>
      </c>
    </row>
    <row r="1165" spans="2:5" ht="15" customHeight="1" thickBot="1" x14ac:dyDescent="0.35">
      <c r="B1165" s="96" t="s">
        <v>2132</v>
      </c>
      <c r="C1165" s="97">
        <v>504000</v>
      </c>
      <c r="D1165" s="96" t="s">
        <v>388</v>
      </c>
      <c r="E1165" s="96" t="s">
        <v>686</v>
      </c>
    </row>
    <row r="1166" spans="2:5" ht="15" customHeight="1" thickBot="1" x14ac:dyDescent="0.35">
      <c r="B1166" s="96" t="s">
        <v>2133</v>
      </c>
      <c r="C1166" s="97">
        <v>522027</v>
      </c>
      <c r="D1166" s="96" t="s">
        <v>388</v>
      </c>
      <c r="E1166" s="96" t="s">
        <v>396</v>
      </c>
    </row>
    <row r="1167" spans="2:5" ht="15" customHeight="1" thickBot="1" x14ac:dyDescent="0.35">
      <c r="B1167" s="96" t="s">
        <v>2134</v>
      </c>
      <c r="C1167" s="97">
        <v>522027</v>
      </c>
      <c r="D1167" s="96" t="s">
        <v>388</v>
      </c>
      <c r="E1167" s="96" t="s">
        <v>396</v>
      </c>
    </row>
    <row r="1168" spans="2:5" ht="15" customHeight="1" thickBot="1" x14ac:dyDescent="0.35">
      <c r="B1168" s="96" t="s">
        <v>2135</v>
      </c>
      <c r="C1168" s="97">
        <v>531162</v>
      </c>
      <c r="D1168" s="96" t="s">
        <v>2136</v>
      </c>
      <c r="E1168" s="96" t="s">
        <v>570</v>
      </c>
    </row>
    <row r="1169" spans="2:5" ht="15" customHeight="1" thickBot="1" x14ac:dyDescent="0.35">
      <c r="B1169" s="96" t="s">
        <v>2137</v>
      </c>
      <c r="C1169" s="96" t="s">
        <v>388</v>
      </c>
      <c r="D1169" s="96" t="s">
        <v>2138</v>
      </c>
      <c r="E1169" s="96" t="s">
        <v>570</v>
      </c>
    </row>
    <row r="1170" spans="2:5" ht="15" customHeight="1" thickBot="1" x14ac:dyDescent="0.35">
      <c r="B1170" s="96" t="s">
        <v>2139</v>
      </c>
      <c r="C1170" s="97">
        <v>533208</v>
      </c>
      <c r="D1170" s="96" t="s">
        <v>388</v>
      </c>
      <c r="E1170" s="96" t="s">
        <v>382</v>
      </c>
    </row>
    <row r="1171" spans="2:5" ht="15" customHeight="1" thickBot="1" x14ac:dyDescent="0.35">
      <c r="B1171" s="96" t="s">
        <v>2140</v>
      </c>
      <c r="C1171" s="97">
        <v>533218</v>
      </c>
      <c r="D1171" s="96" t="s">
        <v>2141</v>
      </c>
      <c r="E1171" s="96" t="s">
        <v>474</v>
      </c>
    </row>
    <row r="1172" spans="2:5" ht="15" customHeight="1" thickBot="1" x14ac:dyDescent="0.35">
      <c r="B1172" s="96" t="s">
        <v>2142</v>
      </c>
      <c r="C1172" s="97">
        <v>542602</v>
      </c>
      <c r="D1172" s="96" t="s">
        <v>2143</v>
      </c>
      <c r="E1172" s="96" t="s">
        <v>408</v>
      </c>
    </row>
    <row r="1173" spans="2:5" ht="15" customHeight="1" thickBot="1" x14ac:dyDescent="0.35">
      <c r="B1173" s="96" t="s">
        <v>2144</v>
      </c>
      <c r="C1173" s="97">
        <v>504008</v>
      </c>
      <c r="D1173" s="96" t="s">
        <v>2145</v>
      </c>
      <c r="E1173" s="96" t="s">
        <v>431</v>
      </c>
    </row>
    <row r="1174" spans="2:5" ht="15" customHeight="1" thickBot="1" x14ac:dyDescent="0.35">
      <c r="B1174" s="96" t="s">
        <v>2146</v>
      </c>
      <c r="C1174" s="97">
        <v>538882</v>
      </c>
      <c r="D1174" s="96" t="s">
        <v>388</v>
      </c>
      <c r="E1174" s="96" t="s">
        <v>371</v>
      </c>
    </row>
    <row r="1175" spans="2:5" ht="15" customHeight="1" thickBot="1" x14ac:dyDescent="0.35">
      <c r="B1175" s="96" t="s">
        <v>2147</v>
      </c>
      <c r="C1175" s="97">
        <v>507265</v>
      </c>
      <c r="D1175" s="96" t="s">
        <v>388</v>
      </c>
      <c r="E1175" s="96" t="s">
        <v>566</v>
      </c>
    </row>
    <row r="1176" spans="2:5" ht="15" customHeight="1" thickBot="1" x14ac:dyDescent="0.35">
      <c r="B1176" s="96" t="s">
        <v>2148</v>
      </c>
      <c r="C1176" s="97">
        <v>530333</v>
      </c>
      <c r="D1176" s="96" t="s">
        <v>388</v>
      </c>
      <c r="E1176" s="96" t="s">
        <v>686</v>
      </c>
    </row>
    <row r="1177" spans="2:5" ht="15" customHeight="1" thickBot="1" x14ac:dyDescent="0.35">
      <c r="B1177" s="96" t="s">
        <v>2149</v>
      </c>
      <c r="C1177" s="97">
        <v>532737</v>
      </c>
      <c r="D1177" s="96" t="s">
        <v>2150</v>
      </c>
      <c r="E1177" s="96" t="s">
        <v>371</v>
      </c>
    </row>
    <row r="1178" spans="2:5" ht="15" customHeight="1" thickBot="1" x14ac:dyDescent="0.35">
      <c r="B1178" s="96" t="s">
        <v>2151</v>
      </c>
      <c r="C1178" s="96" t="s">
        <v>388</v>
      </c>
      <c r="D1178" s="96" t="s">
        <v>2152</v>
      </c>
      <c r="E1178" s="96" t="s">
        <v>399</v>
      </c>
    </row>
    <row r="1179" spans="2:5" ht="15" customHeight="1" thickBot="1" x14ac:dyDescent="0.35">
      <c r="B1179" s="96" t="s">
        <v>2153</v>
      </c>
      <c r="C1179" s="97">
        <v>533161</v>
      </c>
      <c r="D1179" s="96" t="s">
        <v>2154</v>
      </c>
      <c r="E1179" s="96" t="s">
        <v>583</v>
      </c>
    </row>
    <row r="1180" spans="2:5" ht="15" customHeight="1" thickBot="1" x14ac:dyDescent="0.35">
      <c r="B1180" s="96" t="s">
        <v>2155</v>
      </c>
      <c r="C1180" s="97">
        <v>524768</v>
      </c>
      <c r="D1180" s="96" t="s">
        <v>388</v>
      </c>
      <c r="E1180" s="96" t="s">
        <v>436</v>
      </c>
    </row>
    <row r="1181" spans="2:5" ht="15" customHeight="1" thickBot="1" x14ac:dyDescent="0.35">
      <c r="B1181" s="96" t="s">
        <v>2156</v>
      </c>
      <c r="C1181" s="97">
        <v>532038</v>
      </c>
      <c r="D1181" s="96" t="s">
        <v>388</v>
      </c>
      <c r="E1181" s="96" t="s">
        <v>410</v>
      </c>
    </row>
    <row r="1182" spans="2:5" ht="15" customHeight="1" thickBot="1" x14ac:dyDescent="0.35">
      <c r="B1182" s="96" t="s">
        <v>2157</v>
      </c>
      <c r="C1182" s="97">
        <v>532920</v>
      </c>
      <c r="D1182" s="96" t="s">
        <v>2158</v>
      </c>
      <c r="E1182" s="96" t="s">
        <v>1020</v>
      </c>
    </row>
    <row r="1183" spans="2:5" ht="15" customHeight="1" thickBot="1" x14ac:dyDescent="0.35">
      <c r="B1183" s="96" t="s">
        <v>2159</v>
      </c>
      <c r="C1183" s="97">
        <v>500132</v>
      </c>
      <c r="D1183" s="96" t="s">
        <v>388</v>
      </c>
      <c r="E1183" s="96" t="s">
        <v>1087</v>
      </c>
    </row>
    <row r="1184" spans="2:5" ht="15" customHeight="1" thickBot="1" x14ac:dyDescent="0.35">
      <c r="B1184" s="96" t="s">
        <v>2160</v>
      </c>
      <c r="C1184" s="97">
        <v>509525</v>
      </c>
      <c r="D1184" s="96" t="s">
        <v>388</v>
      </c>
      <c r="E1184" s="96" t="s">
        <v>377</v>
      </c>
    </row>
    <row r="1185" spans="2:5" ht="15" customHeight="1" thickBot="1" x14ac:dyDescent="0.35">
      <c r="B1185" s="96" t="s">
        <v>2161</v>
      </c>
      <c r="C1185" s="97">
        <v>504351</v>
      </c>
      <c r="D1185" s="96" t="s">
        <v>388</v>
      </c>
      <c r="E1185" s="96" t="s">
        <v>374</v>
      </c>
    </row>
    <row r="1186" spans="2:5" ht="15" customHeight="1" thickBot="1" x14ac:dyDescent="0.35">
      <c r="B1186" s="96" t="s">
        <v>2162</v>
      </c>
      <c r="C1186" s="97">
        <v>504351</v>
      </c>
      <c r="D1186" s="96" t="s">
        <v>388</v>
      </c>
      <c r="E1186" s="96" t="s">
        <v>374</v>
      </c>
    </row>
    <row r="1187" spans="2:5" ht="15" customHeight="1" thickBot="1" x14ac:dyDescent="0.35">
      <c r="B1187" s="96" t="s">
        <v>2163</v>
      </c>
      <c r="C1187" s="97">
        <v>512441</v>
      </c>
      <c r="D1187" s="96" t="s">
        <v>388</v>
      </c>
      <c r="E1187" s="96" t="s">
        <v>809</v>
      </c>
    </row>
    <row r="1188" spans="2:5" ht="15" customHeight="1" thickBot="1" x14ac:dyDescent="0.35">
      <c r="B1188" s="96" t="s">
        <v>2164</v>
      </c>
      <c r="C1188" s="97">
        <v>538684</v>
      </c>
      <c r="D1188" s="96" t="s">
        <v>388</v>
      </c>
      <c r="E1188" s="96" t="s">
        <v>391</v>
      </c>
    </row>
    <row r="1189" spans="2:5" ht="15" customHeight="1" thickBot="1" x14ac:dyDescent="0.35">
      <c r="B1189" s="96" t="s">
        <v>2165</v>
      </c>
      <c r="C1189" s="97">
        <v>540153</v>
      </c>
      <c r="D1189" s="96" t="s">
        <v>2166</v>
      </c>
      <c r="E1189" s="96" t="s">
        <v>1046</v>
      </c>
    </row>
    <row r="1190" spans="2:5" ht="15" customHeight="1" thickBot="1" x14ac:dyDescent="0.35">
      <c r="B1190" s="96" t="s">
        <v>2167</v>
      </c>
      <c r="C1190" s="97">
        <v>532219</v>
      </c>
      <c r="D1190" s="96" t="s">
        <v>2168</v>
      </c>
      <c r="E1190" s="96" t="s">
        <v>527</v>
      </c>
    </row>
    <row r="1191" spans="2:5" ht="15" customHeight="1" thickBot="1" x14ac:dyDescent="0.35">
      <c r="B1191" s="96" t="s">
        <v>2169</v>
      </c>
      <c r="C1191" s="97">
        <v>532178</v>
      </c>
      <c r="D1191" s="96" t="s">
        <v>2170</v>
      </c>
      <c r="E1191" s="96" t="s">
        <v>472</v>
      </c>
    </row>
    <row r="1192" spans="2:5" ht="15" customHeight="1" thickBot="1" x14ac:dyDescent="0.35">
      <c r="B1192" s="96" t="s">
        <v>2171</v>
      </c>
      <c r="C1192" s="97">
        <v>532178</v>
      </c>
      <c r="D1192" s="96" t="s">
        <v>2170</v>
      </c>
      <c r="E1192" s="96" t="s">
        <v>472</v>
      </c>
    </row>
    <row r="1193" spans="2:5" ht="15" customHeight="1" thickBot="1" x14ac:dyDescent="0.35">
      <c r="B1193" s="96" t="s">
        <v>2172</v>
      </c>
      <c r="C1193" s="97">
        <v>533477</v>
      </c>
      <c r="D1193" s="96" t="s">
        <v>388</v>
      </c>
      <c r="E1193" s="96" t="s">
        <v>743</v>
      </c>
    </row>
    <row r="1194" spans="2:5" ht="15" customHeight="1" thickBot="1" x14ac:dyDescent="0.35">
      <c r="B1194" s="96" t="s">
        <v>2173</v>
      </c>
      <c r="C1194" s="97">
        <v>533477</v>
      </c>
      <c r="D1194" s="96" t="s">
        <v>388</v>
      </c>
      <c r="E1194" s="96" t="s">
        <v>743</v>
      </c>
    </row>
    <row r="1195" spans="2:5" ht="15" customHeight="1" thickBot="1" x14ac:dyDescent="0.35">
      <c r="B1195" s="96" t="s">
        <v>2174</v>
      </c>
      <c r="C1195" s="97">
        <v>526574</v>
      </c>
      <c r="D1195" s="96" t="s">
        <v>388</v>
      </c>
      <c r="E1195" s="96" t="s">
        <v>410</v>
      </c>
    </row>
    <row r="1196" spans="2:5" ht="15" customHeight="1" thickBot="1" x14ac:dyDescent="0.35">
      <c r="B1196" s="96" t="s">
        <v>2175</v>
      </c>
      <c r="C1196" s="97">
        <v>532700</v>
      </c>
      <c r="D1196" s="96" t="s">
        <v>2176</v>
      </c>
      <c r="E1196" s="96" t="s">
        <v>1126</v>
      </c>
    </row>
    <row r="1197" spans="2:5" ht="15" customHeight="1" thickBot="1" x14ac:dyDescent="0.35">
      <c r="B1197" s="96" t="s">
        <v>2177</v>
      </c>
      <c r="C1197" s="97">
        <v>532700</v>
      </c>
      <c r="D1197" s="96" t="s">
        <v>2176</v>
      </c>
      <c r="E1197" s="96" t="s">
        <v>1126</v>
      </c>
    </row>
    <row r="1198" spans="2:5" ht="15" customHeight="1" thickBot="1" x14ac:dyDescent="0.35">
      <c r="B1198" s="96" t="s">
        <v>2178</v>
      </c>
      <c r="C1198" s="97">
        <v>500246</v>
      </c>
      <c r="D1198" s="96" t="s">
        <v>388</v>
      </c>
      <c r="E1198" s="96" t="s">
        <v>396</v>
      </c>
    </row>
    <row r="1199" spans="2:5" ht="15" customHeight="1" thickBot="1" x14ac:dyDescent="0.35">
      <c r="B1199" s="96" t="s">
        <v>2179</v>
      </c>
      <c r="C1199" s="97">
        <v>532658</v>
      </c>
      <c r="D1199" s="96" t="s">
        <v>2180</v>
      </c>
      <c r="E1199" s="96" t="s">
        <v>686</v>
      </c>
    </row>
    <row r="1200" spans="2:5" ht="15" customHeight="1" thickBot="1" x14ac:dyDescent="0.35">
      <c r="B1200" s="96" t="s">
        <v>2181</v>
      </c>
      <c r="C1200" s="97">
        <v>523754</v>
      </c>
      <c r="D1200" s="96" t="s">
        <v>388</v>
      </c>
      <c r="E1200" s="96" t="s">
        <v>508</v>
      </c>
    </row>
    <row r="1201" spans="2:5" ht="15" customHeight="1" thickBot="1" x14ac:dyDescent="0.35">
      <c r="B1201" s="96" t="s">
        <v>2182</v>
      </c>
      <c r="C1201" s="97">
        <v>530407</v>
      </c>
      <c r="D1201" s="96" t="s">
        <v>388</v>
      </c>
      <c r="E1201" s="96" t="s">
        <v>405</v>
      </c>
    </row>
    <row r="1202" spans="2:5" ht="15" customHeight="1" thickBot="1" x14ac:dyDescent="0.35">
      <c r="B1202" s="96" t="s">
        <v>2183</v>
      </c>
      <c r="C1202" s="97">
        <v>531155</v>
      </c>
      <c r="D1202" s="96" t="s">
        <v>388</v>
      </c>
      <c r="E1202" s="96" t="s">
        <v>426</v>
      </c>
    </row>
    <row r="1203" spans="2:5" ht="15" customHeight="1" thickBot="1" x14ac:dyDescent="0.35">
      <c r="B1203" s="96" t="s">
        <v>2184</v>
      </c>
      <c r="C1203" s="97">
        <v>539844</v>
      </c>
      <c r="D1203" s="96" t="s">
        <v>2185</v>
      </c>
      <c r="E1203" s="96" t="s">
        <v>554</v>
      </c>
    </row>
    <row r="1204" spans="2:5" ht="15" customHeight="1" thickBot="1" x14ac:dyDescent="0.35">
      <c r="B1204" s="96" t="s">
        <v>2186</v>
      </c>
      <c r="C1204" s="97">
        <v>540596</v>
      </c>
      <c r="D1204" s="96" t="s">
        <v>2187</v>
      </c>
      <c r="E1204" s="96" t="s">
        <v>426</v>
      </c>
    </row>
    <row r="1205" spans="2:5" ht="15" customHeight="1" thickBot="1" x14ac:dyDescent="0.35">
      <c r="B1205" s="96" t="s">
        <v>2188</v>
      </c>
      <c r="C1205" s="97">
        <v>533261</v>
      </c>
      <c r="D1205" s="96" t="s">
        <v>2189</v>
      </c>
      <c r="E1205" s="96" t="s">
        <v>391</v>
      </c>
    </row>
    <row r="1206" spans="2:5" ht="15" customHeight="1" thickBot="1" x14ac:dyDescent="0.35">
      <c r="B1206" s="96" t="s">
        <v>2190</v>
      </c>
      <c r="C1206" s="97">
        <v>530909</v>
      </c>
      <c r="D1206" s="96" t="s">
        <v>388</v>
      </c>
      <c r="E1206" s="96" t="s">
        <v>809</v>
      </c>
    </row>
    <row r="1207" spans="2:5" ht="15" customHeight="1" thickBot="1" x14ac:dyDescent="0.35">
      <c r="B1207" s="96" t="s">
        <v>2191</v>
      </c>
      <c r="C1207" s="97">
        <v>531502</v>
      </c>
      <c r="D1207" s="96" t="s">
        <v>388</v>
      </c>
      <c r="E1207" s="96" t="s">
        <v>809</v>
      </c>
    </row>
    <row r="1208" spans="2:5" ht="15" customHeight="1" thickBot="1" x14ac:dyDescent="0.35">
      <c r="B1208" s="96" t="s">
        <v>2192</v>
      </c>
      <c r="C1208" s="97">
        <v>531502</v>
      </c>
      <c r="D1208" s="96" t="s">
        <v>388</v>
      </c>
      <c r="E1208" s="96" t="s">
        <v>809</v>
      </c>
    </row>
    <row r="1209" spans="2:5" ht="15" customHeight="1" thickBot="1" x14ac:dyDescent="0.35">
      <c r="B1209" s="96" t="s">
        <v>2193</v>
      </c>
      <c r="C1209" s="97">
        <v>500133</v>
      </c>
      <c r="D1209" s="96" t="s">
        <v>2194</v>
      </c>
      <c r="E1209" s="96" t="s">
        <v>573</v>
      </c>
    </row>
    <row r="1210" spans="2:5" ht="15" customHeight="1" thickBot="1" x14ac:dyDescent="0.35">
      <c r="B1210" s="96" t="s">
        <v>2195</v>
      </c>
      <c r="C1210" s="97">
        <v>500133</v>
      </c>
      <c r="D1210" s="96" t="s">
        <v>2196</v>
      </c>
      <c r="E1210" s="96" t="s">
        <v>573</v>
      </c>
    </row>
    <row r="1211" spans="2:5" ht="15" customHeight="1" thickBot="1" x14ac:dyDescent="0.35">
      <c r="B1211" s="96" t="s">
        <v>2197</v>
      </c>
      <c r="C1211" s="97">
        <v>540455</v>
      </c>
      <c r="D1211" s="96" t="s">
        <v>388</v>
      </c>
      <c r="E1211" s="96" t="s">
        <v>371</v>
      </c>
    </row>
    <row r="1212" spans="2:5" ht="15" customHeight="1" thickBot="1" x14ac:dyDescent="0.35">
      <c r="B1212" s="96" t="s">
        <v>2198</v>
      </c>
      <c r="C1212" s="97">
        <v>511716</v>
      </c>
      <c r="D1212" s="96" t="s">
        <v>388</v>
      </c>
      <c r="E1212" s="96" t="s">
        <v>405</v>
      </c>
    </row>
    <row r="1213" spans="2:5" ht="15" customHeight="1" thickBot="1" x14ac:dyDescent="0.35">
      <c r="B1213" s="96" t="s">
        <v>2199</v>
      </c>
      <c r="C1213" s="97">
        <v>500495</v>
      </c>
      <c r="D1213" s="96" t="s">
        <v>2200</v>
      </c>
      <c r="E1213" s="96" t="s">
        <v>466</v>
      </c>
    </row>
    <row r="1214" spans="2:5" ht="15" customHeight="1" thickBot="1" x14ac:dyDescent="0.35">
      <c r="B1214" s="96" t="s">
        <v>2201</v>
      </c>
      <c r="C1214" s="97">
        <v>531259</v>
      </c>
      <c r="D1214" s="96" t="s">
        <v>388</v>
      </c>
      <c r="E1214" s="96" t="s">
        <v>1990</v>
      </c>
    </row>
    <row r="1215" spans="2:5" ht="15" customHeight="1" thickBot="1" x14ac:dyDescent="0.35">
      <c r="B1215" s="96" t="s">
        <v>2202</v>
      </c>
      <c r="C1215" s="97">
        <v>514118</v>
      </c>
      <c r="D1215" s="96" t="s">
        <v>388</v>
      </c>
      <c r="E1215" s="96" t="s">
        <v>403</v>
      </c>
    </row>
    <row r="1216" spans="2:5" ht="15" customHeight="1" thickBot="1" x14ac:dyDescent="0.35">
      <c r="B1216" s="96" t="s">
        <v>2203</v>
      </c>
      <c r="C1216" s="97">
        <v>514118</v>
      </c>
      <c r="D1216" s="96" t="s">
        <v>388</v>
      </c>
      <c r="E1216" s="96" t="s">
        <v>403</v>
      </c>
    </row>
    <row r="1217" spans="2:5" ht="15" customHeight="1" thickBot="1" x14ac:dyDescent="0.35">
      <c r="B1217" s="96" t="s">
        <v>2204</v>
      </c>
      <c r="C1217" s="97">
        <v>532787</v>
      </c>
      <c r="D1217" s="96" t="s">
        <v>2205</v>
      </c>
      <c r="E1217" s="96" t="s">
        <v>2206</v>
      </c>
    </row>
    <row r="1218" spans="2:5" ht="15" customHeight="1" thickBot="1" x14ac:dyDescent="0.35">
      <c r="B1218" s="96" t="s">
        <v>2207</v>
      </c>
      <c r="C1218" s="97">
        <v>533149</v>
      </c>
      <c r="D1218" s="96" t="s">
        <v>388</v>
      </c>
      <c r="E1218" s="96" t="s">
        <v>371</v>
      </c>
    </row>
    <row r="1219" spans="2:5" ht="15" customHeight="1" thickBot="1" x14ac:dyDescent="0.35">
      <c r="B1219" s="96" t="s">
        <v>2208</v>
      </c>
      <c r="C1219" s="97">
        <v>533704</v>
      </c>
      <c r="D1219" s="96" t="s">
        <v>2209</v>
      </c>
      <c r="E1219" s="96" t="s">
        <v>1635</v>
      </c>
    </row>
    <row r="1220" spans="2:5" ht="15" customHeight="1" thickBot="1" x14ac:dyDescent="0.35">
      <c r="B1220" s="96" t="s">
        <v>2210</v>
      </c>
      <c r="C1220" s="97">
        <v>500135</v>
      </c>
      <c r="D1220" s="96" t="s">
        <v>2211</v>
      </c>
      <c r="E1220" s="96" t="s">
        <v>583</v>
      </c>
    </row>
    <row r="1221" spans="2:5" ht="15" customHeight="1" thickBot="1" x14ac:dyDescent="0.35">
      <c r="B1221" s="96" t="s">
        <v>2212</v>
      </c>
      <c r="C1221" s="97">
        <v>534927</v>
      </c>
      <c r="D1221" s="96" t="s">
        <v>388</v>
      </c>
      <c r="E1221" s="96" t="s">
        <v>586</v>
      </c>
    </row>
    <row r="1222" spans="2:5" ht="15" customHeight="1" thickBot="1" x14ac:dyDescent="0.35">
      <c r="B1222" s="96" t="s">
        <v>2213</v>
      </c>
      <c r="C1222" s="97">
        <v>500136</v>
      </c>
      <c r="D1222" s="96" t="s">
        <v>2214</v>
      </c>
      <c r="E1222" s="96" t="s">
        <v>436</v>
      </c>
    </row>
    <row r="1223" spans="2:5" ht="15" customHeight="1" thickBot="1" x14ac:dyDescent="0.35">
      <c r="B1223" s="96" t="s">
        <v>2215</v>
      </c>
      <c r="C1223" s="97">
        <v>537707</v>
      </c>
      <c r="D1223" s="96" t="s">
        <v>388</v>
      </c>
      <c r="E1223" s="96" t="s">
        <v>474</v>
      </c>
    </row>
    <row r="1224" spans="2:5" ht="15" customHeight="1" thickBot="1" x14ac:dyDescent="0.35">
      <c r="B1224" s="96" t="s">
        <v>2216</v>
      </c>
      <c r="C1224" s="97">
        <v>521137</v>
      </c>
      <c r="D1224" s="96" t="s">
        <v>388</v>
      </c>
      <c r="E1224" s="96" t="s">
        <v>403</v>
      </c>
    </row>
    <row r="1225" spans="2:5" ht="15" customHeight="1" thickBot="1" x14ac:dyDescent="0.35">
      <c r="B1225" s="96" t="s">
        <v>2217</v>
      </c>
      <c r="C1225" s="97">
        <v>530929</v>
      </c>
      <c r="D1225" s="96" t="s">
        <v>388</v>
      </c>
      <c r="E1225" s="96" t="s">
        <v>410</v>
      </c>
    </row>
    <row r="1226" spans="2:5" ht="15" customHeight="1" thickBot="1" x14ac:dyDescent="0.35">
      <c r="B1226" s="96" t="s">
        <v>2218</v>
      </c>
      <c r="C1226" s="97">
        <v>532823</v>
      </c>
      <c r="D1226" s="96" t="s">
        <v>2219</v>
      </c>
      <c r="E1226" s="96" t="s">
        <v>665</v>
      </c>
    </row>
    <row r="1227" spans="2:5" ht="15" customHeight="1" thickBot="1" x14ac:dyDescent="0.35">
      <c r="B1227" s="96" t="s">
        <v>2220</v>
      </c>
      <c r="C1227" s="96" t="s">
        <v>388</v>
      </c>
      <c r="D1227" s="96" t="s">
        <v>2221</v>
      </c>
      <c r="E1227" s="96" t="s">
        <v>399</v>
      </c>
    </row>
    <row r="1228" spans="2:5" ht="15" customHeight="1" thickBot="1" x14ac:dyDescent="0.35">
      <c r="B1228" s="96" t="s">
        <v>2222</v>
      </c>
      <c r="C1228" s="97">
        <v>533109</v>
      </c>
      <c r="D1228" s="96" t="s">
        <v>2223</v>
      </c>
      <c r="E1228" s="96" t="s">
        <v>485</v>
      </c>
    </row>
    <row r="1229" spans="2:5" ht="15" customHeight="1" thickBot="1" x14ac:dyDescent="0.35">
      <c r="B1229" s="96" t="s">
        <v>2224</v>
      </c>
      <c r="C1229" s="97">
        <v>521014</v>
      </c>
      <c r="D1229" s="96" t="s">
        <v>388</v>
      </c>
      <c r="E1229" s="96" t="s">
        <v>403</v>
      </c>
    </row>
    <row r="1230" spans="2:5" ht="15" customHeight="1" thickBot="1" x14ac:dyDescent="0.35">
      <c r="B1230" s="96" t="s">
        <v>2225</v>
      </c>
      <c r="C1230" s="96" t="s">
        <v>388</v>
      </c>
      <c r="D1230" s="96" t="s">
        <v>2226</v>
      </c>
      <c r="E1230" s="96" t="s">
        <v>403</v>
      </c>
    </row>
    <row r="1231" spans="2:5" ht="15" customHeight="1" thickBot="1" x14ac:dyDescent="0.35">
      <c r="B1231" s="96" t="s">
        <v>2227</v>
      </c>
      <c r="C1231" s="97">
        <v>542668</v>
      </c>
      <c r="D1231" s="96" t="s">
        <v>2228</v>
      </c>
      <c r="E1231" s="96" t="s">
        <v>809</v>
      </c>
    </row>
    <row r="1232" spans="2:5" ht="15" customHeight="1" thickBot="1" x14ac:dyDescent="0.35">
      <c r="B1232" s="96" t="s">
        <v>2229</v>
      </c>
      <c r="C1232" s="97">
        <v>531508</v>
      </c>
      <c r="D1232" s="96" t="s">
        <v>2230</v>
      </c>
      <c r="E1232" s="96" t="s">
        <v>934</v>
      </c>
    </row>
    <row r="1233" spans="2:5" ht="15" customHeight="1" thickBot="1" x14ac:dyDescent="0.35">
      <c r="B1233" s="96" t="s">
        <v>2231</v>
      </c>
      <c r="C1233" s="97">
        <v>531508</v>
      </c>
      <c r="D1233" s="96" t="s">
        <v>2230</v>
      </c>
      <c r="E1233" s="96" t="s">
        <v>934</v>
      </c>
    </row>
    <row r="1234" spans="2:5" ht="15" customHeight="1" thickBot="1" x14ac:dyDescent="0.35">
      <c r="B1234" s="96" t="s">
        <v>2232</v>
      </c>
      <c r="C1234" s="97">
        <v>508906</v>
      </c>
      <c r="D1234" s="96" t="s">
        <v>2233</v>
      </c>
      <c r="E1234" s="96" t="s">
        <v>401</v>
      </c>
    </row>
    <row r="1235" spans="2:5" ht="15" customHeight="1" thickBot="1" x14ac:dyDescent="0.35">
      <c r="B1235" s="96" t="s">
        <v>2234</v>
      </c>
      <c r="C1235" s="97">
        <v>532684</v>
      </c>
      <c r="D1235" s="96" t="s">
        <v>2235</v>
      </c>
      <c r="E1235" s="96" t="s">
        <v>1307</v>
      </c>
    </row>
    <row r="1236" spans="2:5" ht="15" customHeight="1" thickBot="1" x14ac:dyDescent="0.35">
      <c r="B1236" s="96" t="s">
        <v>2236</v>
      </c>
      <c r="C1236" s="97">
        <v>524790</v>
      </c>
      <c r="D1236" s="96" t="s">
        <v>388</v>
      </c>
      <c r="E1236" s="96" t="s">
        <v>426</v>
      </c>
    </row>
    <row r="1237" spans="2:5" ht="15" customHeight="1" thickBot="1" x14ac:dyDescent="0.35">
      <c r="B1237" s="96" t="s">
        <v>2237</v>
      </c>
      <c r="C1237" s="97">
        <v>514060</v>
      </c>
      <c r="D1237" s="96" t="s">
        <v>388</v>
      </c>
      <c r="E1237" s="96" t="s">
        <v>403</v>
      </c>
    </row>
    <row r="1238" spans="2:5" ht="15" customHeight="1" thickBot="1" x14ac:dyDescent="0.35">
      <c r="B1238" s="96" t="s">
        <v>2238</v>
      </c>
      <c r="C1238" s="97">
        <v>514358</v>
      </c>
      <c r="D1238" s="96" t="s">
        <v>388</v>
      </c>
      <c r="E1238" s="96" t="s">
        <v>403</v>
      </c>
    </row>
    <row r="1239" spans="2:5" ht="15" customHeight="1" thickBot="1" x14ac:dyDescent="0.35">
      <c r="B1239" s="96" t="s">
        <v>2239</v>
      </c>
      <c r="C1239" s="97">
        <v>532511</v>
      </c>
      <c r="D1239" s="96" t="s">
        <v>2240</v>
      </c>
      <c r="E1239" s="96" t="s">
        <v>532</v>
      </c>
    </row>
    <row r="1240" spans="2:5" ht="15" customHeight="1" thickBot="1" x14ac:dyDescent="0.35">
      <c r="B1240" s="96" t="s">
        <v>2241</v>
      </c>
      <c r="C1240" s="97">
        <v>500650</v>
      </c>
      <c r="D1240" s="96" t="s">
        <v>2242</v>
      </c>
      <c r="E1240" s="96" t="s">
        <v>548</v>
      </c>
    </row>
    <row r="1241" spans="2:5" ht="15" customHeight="1" thickBot="1" x14ac:dyDescent="0.35">
      <c r="B1241" s="96" t="s">
        <v>2243</v>
      </c>
      <c r="C1241" s="97">
        <v>533090</v>
      </c>
      <c r="D1241" s="96" t="s">
        <v>2244</v>
      </c>
      <c r="E1241" s="96" t="s">
        <v>718</v>
      </c>
    </row>
    <row r="1242" spans="2:5" ht="15" customHeight="1" thickBot="1" x14ac:dyDescent="0.35">
      <c r="B1242" s="96" t="s">
        <v>2245</v>
      </c>
      <c r="C1242" s="97">
        <v>500086</v>
      </c>
      <c r="D1242" s="96" t="s">
        <v>2246</v>
      </c>
      <c r="E1242" s="96" t="s">
        <v>743</v>
      </c>
    </row>
    <row r="1243" spans="2:5" ht="15" customHeight="1" thickBot="1" x14ac:dyDescent="0.35">
      <c r="B1243" s="96" t="s">
        <v>2247</v>
      </c>
      <c r="C1243" s="96" t="s">
        <v>388</v>
      </c>
      <c r="D1243" s="96" t="s">
        <v>2248</v>
      </c>
      <c r="E1243" s="96" t="s">
        <v>743</v>
      </c>
    </row>
    <row r="1244" spans="2:5" ht="15" customHeight="1" thickBot="1" x14ac:dyDescent="0.35">
      <c r="B1244" s="96" t="s">
        <v>2249</v>
      </c>
      <c r="C1244" s="97">
        <v>530571</v>
      </c>
      <c r="D1244" s="96" t="s">
        <v>388</v>
      </c>
      <c r="E1244" s="96" t="s">
        <v>809</v>
      </c>
    </row>
    <row r="1245" spans="2:5" ht="15" customHeight="1" thickBot="1" x14ac:dyDescent="0.35">
      <c r="B1245" s="96" t="s">
        <v>2250</v>
      </c>
      <c r="C1245" s="97">
        <v>526614</v>
      </c>
      <c r="D1245" s="96" t="s">
        <v>388</v>
      </c>
      <c r="E1245" s="96" t="s">
        <v>1307</v>
      </c>
    </row>
    <row r="1246" spans="2:5" ht="15" customHeight="1" thickBot="1" x14ac:dyDescent="0.35">
      <c r="B1246" s="96" t="s">
        <v>2251</v>
      </c>
      <c r="C1246" s="97">
        <v>539552</v>
      </c>
      <c r="D1246" s="96" t="s">
        <v>388</v>
      </c>
      <c r="E1246" s="96" t="s">
        <v>405</v>
      </c>
    </row>
    <row r="1247" spans="2:5" ht="15" customHeight="1" thickBot="1" x14ac:dyDescent="0.35">
      <c r="B1247" s="96" t="s">
        <v>2252</v>
      </c>
      <c r="C1247" s="97">
        <v>532656</v>
      </c>
      <c r="D1247" s="96" t="s">
        <v>388</v>
      </c>
      <c r="E1247" s="96" t="s">
        <v>420</v>
      </c>
    </row>
    <row r="1248" spans="2:5" ht="15" customHeight="1" thickBot="1" x14ac:dyDescent="0.35">
      <c r="B1248" s="96" t="s">
        <v>2253</v>
      </c>
      <c r="C1248" s="97">
        <v>514474</v>
      </c>
      <c r="D1248" s="96" t="s">
        <v>388</v>
      </c>
      <c r="E1248" s="96" t="s">
        <v>403</v>
      </c>
    </row>
    <row r="1249" spans="2:5" ht="15" customHeight="1" thickBot="1" x14ac:dyDescent="0.35">
      <c r="B1249" s="96" t="s">
        <v>2254</v>
      </c>
      <c r="C1249" s="97">
        <v>530117</v>
      </c>
      <c r="D1249" s="96" t="s">
        <v>2255</v>
      </c>
      <c r="E1249" s="96" t="s">
        <v>548</v>
      </c>
    </row>
    <row r="1250" spans="2:5" ht="15" customHeight="1" thickBot="1" x14ac:dyDescent="0.35">
      <c r="B1250" s="96" t="s">
        <v>2256</v>
      </c>
      <c r="C1250" s="97">
        <v>530079</v>
      </c>
      <c r="D1250" s="96" t="s">
        <v>388</v>
      </c>
      <c r="E1250" s="96" t="s">
        <v>403</v>
      </c>
    </row>
    <row r="1251" spans="2:5" ht="15" customHeight="1" thickBot="1" x14ac:dyDescent="0.35">
      <c r="B1251" s="96" t="s">
        <v>2257</v>
      </c>
      <c r="C1251" s="97">
        <v>532666</v>
      </c>
      <c r="D1251" s="96" t="s">
        <v>2258</v>
      </c>
      <c r="E1251" s="96" t="s">
        <v>374</v>
      </c>
    </row>
    <row r="1252" spans="2:5" ht="15" customHeight="1" thickBot="1" x14ac:dyDescent="0.35">
      <c r="B1252" s="96" t="s">
        <v>2259</v>
      </c>
      <c r="C1252" s="97">
        <v>531599</v>
      </c>
      <c r="D1252" s="96" t="s">
        <v>2260</v>
      </c>
      <c r="E1252" s="96" t="s">
        <v>426</v>
      </c>
    </row>
    <row r="1253" spans="2:5" ht="15" customHeight="1" thickBot="1" x14ac:dyDescent="0.35">
      <c r="B1253" s="96" t="s">
        <v>2261</v>
      </c>
      <c r="C1253" s="97">
        <v>505744</v>
      </c>
      <c r="D1253" s="96" t="s">
        <v>2262</v>
      </c>
      <c r="E1253" s="96" t="s">
        <v>743</v>
      </c>
    </row>
    <row r="1254" spans="2:5" ht="15" customHeight="1" thickBot="1" x14ac:dyDescent="0.35">
      <c r="B1254" s="96" t="s">
        <v>2263</v>
      </c>
      <c r="C1254" s="97">
        <v>505744</v>
      </c>
      <c r="D1254" s="96" t="s">
        <v>2262</v>
      </c>
      <c r="E1254" s="96" t="s">
        <v>743</v>
      </c>
    </row>
    <row r="1255" spans="2:5" ht="15" customHeight="1" thickBot="1" x14ac:dyDescent="0.35">
      <c r="B1255" s="96" t="s">
        <v>2264</v>
      </c>
      <c r="C1255" s="96" t="s">
        <v>388</v>
      </c>
      <c r="D1255" s="96" t="s">
        <v>2265</v>
      </c>
      <c r="E1255" s="96" t="s">
        <v>399</v>
      </c>
    </row>
    <row r="1256" spans="2:5" ht="15" customHeight="1" thickBot="1" x14ac:dyDescent="0.35">
      <c r="B1256" s="96" t="s">
        <v>2266</v>
      </c>
      <c r="C1256" s="97">
        <v>526689</v>
      </c>
      <c r="D1256" s="96" t="s">
        <v>388</v>
      </c>
      <c r="E1256" s="96" t="s">
        <v>508</v>
      </c>
    </row>
    <row r="1257" spans="2:5" ht="15" customHeight="1" thickBot="1" x14ac:dyDescent="0.35">
      <c r="B1257" s="96" t="s">
        <v>2267</v>
      </c>
      <c r="C1257" s="97">
        <v>500141</v>
      </c>
      <c r="D1257" s="96" t="s">
        <v>388</v>
      </c>
      <c r="E1257" s="96" t="s">
        <v>420</v>
      </c>
    </row>
    <row r="1258" spans="2:5" ht="15" customHeight="1" thickBot="1" x14ac:dyDescent="0.35">
      <c r="B1258" s="96" t="s">
        <v>2268</v>
      </c>
      <c r="C1258" s="97">
        <v>590024</v>
      </c>
      <c r="D1258" s="96" t="s">
        <v>2269</v>
      </c>
      <c r="E1258" s="96" t="s">
        <v>896</v>
      </c>
    </row>
    <row r="1259" spans="2:5" ht="15" customHeight="1" thickBot="1" x14ac:dyDescent="0.35">
      <c r="B1259" s="96" t="s">
        <v>2270</v>
      </c>
      <c r="C1259" s="97">
        <v>533896</v>
      </c>
      <c r="D1259" s="96" t="s">
        <v>388</v>
      </c>
      <c r="E1259" s="96" t="s">
        <v>426</v>
      </c>
    </row>
    <row r="1260" spans="2:5" ht="15" customHeight="1" thickBot="1" x14ac:dyDescent="0.35">
      <c r="B1260" s="96" t="s">
        <v>2271</v>
      </c>
      <c r="C1260" s="97">
        <v>500142</v>
      </c>
      <c r="D1260" s="96" t="s">
        <v>388</v>
      </c>
      <c r="E1260" s="96" t="s">
        <v>405</v>
      </c>
    </row>
    <row r="1261" spans="2:5" ht="15" customHeight="1" thickBot="1" x14ac:dyDescent="0.35">
      <c r="B1261" s="96" t="s">
        <v>2272</v>
      </c>
      <c r="C1261" s="97">
        <v>507910</v>
      </c>
      <c r="D1261" s="96" t="s">
        <v>388</v>
      </c>
      <c r="E1261" s="96" t="s">
        <v>508</v>
      </c>
    </row>
    <row r="1262" spans="2:5" ht="15" customHeight="1" thickBot="1" x14ac:dyDescent="0.35">
      <c r="B1262" s="96" t="s">
        <v>2273</v>
      </c>
      <c r="C1262" s="97">
        <v>507910</v>
      </c>
      <c r="D1262" s="96" t="s">
        <v>388</v>
      </c>
      <c r="E1262" s="96" t="s">
        <v>508</v>
      </c>
    </row>
    <row r="1263" spans="2:5" ht="15" customHeight="1" thickBot="1" x14ac:dyDescent="0.35">
      <c r="B1263" s="96" t="s">
        <v>2274</v>
      </c>
      <c r="C1263" s="97">
        <v>532768</v>
      </c>
      <c r="D1263" s="96" t="s">
        <v>2275</v>
      </c>
      <c r="E1263" s="96" t="s">
        <v>743</v>
      </c>
    </row>
    <row r="1264" spans="2:5" ht="15" customHeight="1" thickBot="1" x14ac:dyDescent="0.35">
      <c r="B1264" s="96" t="s">
        <v>2276</v>
      </c>
      <c r="C1264" s="97">
        <v>526227</v>
      </c>
      <c r="D1264" s="96" t="s">
        <v>2277</v>
      </c>
      <c r="E1264" s="96" t="s">
        <v>403</v>
      </c>
    </row>
    <row r="1265" spans="2:5" ht="15" customHeight="1" thickBot="1" x14ac:dyDescent="0.35">
      <c r="B1265" s="96" t="s">
        <v>2278</v>
      </c>
      <c r="C1265" s="97">
        <v>532022</v>
      </c>
      <c r="D1265" s="96" t="s">
        <v>388</v>
      </c>
      <c r="E1265" s="96" t="s">
        <v>403</v>
      </c>
    </row>
    <row r="1266" spans="2:5" ht="15" customHeight="1" thickBot="1" x14ac:dyDescent="0.35">
      <c r="B1266" s="96" t="s">
        <v>2279</v>
      </c>
      <c r="C1266" s="97">
        <v>526227</v>
      </c>
      <c r="D1266" s="96" t="s">
        <v>2277</v>
      </c>
      <c r="E1266" s="96" t="s">
        <v>403</v>
      </c>
    </row>
    <row r="1267" spans="2:5" ht="15" customHeight="1" thickBot="1" x14ac:dyDescent="0.35">
      <c r="B1267" s="96" t="s">
        <v>2280</v>
      </c>
      <c r="C1267" s="97">
        <v>539098</v>
      </c>
      <c r="D1267" s="96" t="s">
        <v>388</v>
      </c>
      <c r="E1267" s="96" t="s">
        <v>413</v>
      </c>
    </row>
    <row r="1268" spans="2:5" ht="15" customHeight="1" thickBot="1" x14ac:dyDescent="0.35">
      <c r="B1268" s="96" t="s">
        <v>2281</v>
      </c>
      <c r="C1268" s="97">
        <v>541557</v>
      </c>
      <c r="D1268" s="96" t="s">
        <v>2282</v>
      </c>
      <c r="E1268" s="96" t="s">
        <v>548</v>
      </c>
    </row>
    <row r="1269" spans="2:5" ht="15" customHeight="1" thickBot="1" x14ac:dyDescent="0.35">
      <c r="B1269" s="96" t="s">
        <v>2283</v>
      </c>
      <c r="C1269" s="97">
        <v>517264</v>
      </c>
      <c r="D1269" s="96" t="s">
        <v>2284</v>
      </c>
      <c r="E1269" s="96" t="s">
        <v>930</v>
      </c>
    </row>
    <row r="1270" spans="2:5" ht="15" customHeight="1" thickBot="1" x14ac:dyDescent="0.35">
      <c r="B1270" s="96" t="s">
        <v>2285</v>
      </c>
      <c r="C1270" s="97">
        <v>533333</v>
      </c>
      <c r="D1270" s="96" t="s">
        <v>2286</v>
      </c>
      <c r="E1270" s="96" t="s">
        <v>548</v>
      </c>
    </row>
    <row r="1271" spans="2:5" ht="15" customHeight="1" thickBot="1" x14ac:dyDescent="0.35">
      <c r="B1271" s="96" t="s">
        <v>2287</v>
      </c>
      <c r="C1271" s="97">
        <v>508954</v>
      </c>
      <c r="D1271" s="96" t="s">
        <v>388</v>
      </c>
      <c r="E1271" s="96" t="s">
        <v>405</v>
      </c>
    </row>
    <row r="1272" spans="2:5" ht="15" customHeight="1" thickBot="1" x14ac:dyDescent="0.35">
      <c r="B1272" s="96" t="s">
        <v>2288</v>
      </c>
      <c r="C1272" s="97">
        <v>500144</v>
      </c>
      <c r="D1272" s="96" t="s">
        <v>2289</v>
      </c>
      <c r="E1272" s="96" t="s">
        <v>686</v>
      </c>
    </row>
    <row r="1273" spans="2:5" ht="15" customHeight="1" thickBot="1" x14ac:dyDescent="0.35">
      <c r="B1273" s="96" t="s">
        <v>2290</v>
      </c>
      <c r="C1273" s="97">
        <v>500940</v>
      </c>
      <c r="D1273" s="96" t="s">
        <v>2291</v>
      </c>
      <c r="E1273" s="96" t="s">
        <v>508</v>
      </c>
    </row>
    <row r="1274" spans="2:5" ht="15" customHeight="1" thickBot="1" x14ac:dyDescent="0.35">
      <c r="B1274" s="96" t="s">
        <v>2292</v>
      </c>
      <c r="C1274" s="97">
        <v>511122</v>
      </c>
      <c r="D1274" s="96" t="s">
        <v>388</v>
      </c>
      <c r="E1274" s="96" t="s">
        <v>405</v>
      </c>
    </row>
    <row r="1275" spans="2:5" ht="15" customHeight="1" thickBot="1" x14ac:dyDescent="0.35">
      <c r="B1275" s="96" t="s">
        <v>2293</v>
      </c>
      <c r="C1275" s="97">
        <v>511122</v>
      </c>
      <c r="D1275" s="96" t="s">
        <v>388</v>
      </c>
      <c r="E1275" s="96" t="s">
        <v>405</v>
      </c>
    </row>
    <row r="1276" spans="2:5" ht="15" customHeight="1" thickBot="1" x14ac:dyDescent="0.35">
      <c r="B1276" s="96" t="s">
        <v>2294</v>
      </c>
      <c r="C1276" s="97">
        <v>532379</v>
      </c>
      <c r="D1276" s="96" t="s">
        <v>388</v>
      </c>
      <c r="E1276" s="96" t="s">
        <v>481</v>
      </c>
    </row>
    <row r="1277" spans="2:5" ht="15" customHeight="1" thickBot="1" x14ac:dyDescent="0.35">
      <c r="B1277" s="96" t="s">
        <v>2295</v>
      </c>
      <c r="C1277" s="97">
        <v>532809</v>
      </c>
      <c r="D1277" s="96" t="s">
        <v>2296</v>
      </c>
      <c r="E1277" s="96" t="s">
        <v>718</v>
      </c>
    </row>
    <row r="1278" spans="2:5" ht="15" customHeight="1" thickBot="1" x14ac:dyDescent="0.35">
      <c r="B1278" s="96" t="s">
        <v>2297</v>
      </c>
      <c r="C1278" s="97">
        <v>524743</v>
      </c>
      <c r="D1278" s="96" t="s">
        <v>388</v>
      </c>
      <c r="E1278" s="96" t="s">
        <v>436</v>
      </c>
    </row>
    <row r="1279" spans="2:5" ht="15" customHeight="1" thickBot="1" x14ac:dyDescent="0.35">
      <c r="B1279" s="96" t="s">
        <v>2298</v>
      </c>
      <c r="C1279" s="96" t="s">
        <v>388</v>
      </c>
      <c r="D1279" s="96" t="s">
        <v>2299</v>
      </c>
      <c r="E1279" s="96" t="s">
        <v>399</v>
      </c>
    </row>
    <row r="1280" spans="2:5" ht="15" customHeight="1" thickBot="1" x14ac:dyDescent="0.35">
      <c r="B1280" s="96" t="s">
        <v>2300</v>
      </c>
      <c r="C1280" s="97">
        <v>530885</v>
      </c>
      <c r="D1280" s="96" t="s">
        <v>388</v>
      </c>
      <c r="E1280" s="96" t="s">
        <v>374</v>
      </c>
    </row>
    <row r="1281" spans="2:5" ht="15" customHeight="1" thickBot="1" x14ac:dyDescent="0.35">
      <c r="B1281" s="96" t="s">
        <v>2301</v>
      </c>
      <c r="C1281" s="97">
        <v>536751</v>
      </c>
      <c r="D1281" s="96" t="s">
        <v>388</v>
      </c>
      <c r="E1281" s="96" t="s">
        <v>371</v>
      </c>
    </row>
    <row r="1282" spans="2:5" ht="15" customHeight="1" thickBot="1" x14ac:dyDescent="0.35">
      <c r="B1282" s="96" t="s">
        <v>2302</v>
      </c>
      <c r="C1282" s="97">
        <v>523672</v>
      </c>
      <c r="D1282" s="96" t="s">
        <v>388</v>
      </c>
      <c r="E1282" s="96" t="s">
        <v>586</v>
      </c>
    </row>
    <row r="1283" spans="2:5" ht="15" customHeight="1" thickBot="1" x14ac:dyDescent="0.35">
      <c r="B1283" s="96" t="s">
        <v>2303</v>
      </c>
      <c r="C1283" s="97">
        <v>533638</v>
      </c>
      <c r="D1283" s="96" t="s">
        <v>2304</v>
      </c>
      <c r="E1283" s="96" t="s">
        <v>508</v>
      </c>
    </row>
    <row r="1284" spans="2:5" ht="15" customHeight="1" thickBot="1" x14ac:dyDescent="0.35">
      <c r="B1284" s="96" t="s">
        <v>2305</v>
      </c>
      <c r="C1284" s="97">
        <v>540267</v>
      </c>
      <c r="D1284" s="96" t="s">
        <v>388</v>
      </c>
      <c r="E1284" s="96" t="s">
        <v>410</v>
      </c>
    </row>
    <row r="1285" spans="2:5" ht="15" customHeight="1" thickBot="1" x14ac:dyDescent="0.35">
      <c r="B1285" s="96" t="s">
        <v>2306</v>
      </c>
      <c r="C1285" s="97">
        <v>530705</v>
      </c>
      <c r="D1285" s="96" t="s">
        <v>388</v>
      </c>
      <c r="E1285" s="96" t="s">
        <v>403</v>
      </c>
    </row>
    <row r="1286" spans="2:5" ht="15" customHeight="1" thickBot="1" x14ac:dyDescent="0.35">
      <c r="B1286" s="96" t="s">
        <v>2307</v>
      </c>
      <c r="C1286" s="97">
        <v>532518</v>
      </c>
      <c r="D1286" s="96" t="s">
        <v>388</v>
      </c>
      <c r="E1286" s="96" t="s">
        <v>408</v>
      </c>
    </row>
    <row r="1287" spans="2:5" ht="15" customHeight="1" thickBot="1" x14ac:dyDescent="0.35">
      <c r="B1287" s="96" t="s">
        <v>2308</v>
      </c>
      <c r="C1287" s="97">
        <v>522017</v>
      </c>
      <c r="D1287" s="96" t="s">
        <v>388</v>
      </c>
      <c r="E1287" s="96" t="s">
        <v>686</v>
      </c>
    </row>
    <row r="1288" spans="2:5" ht="15" customHeight="1" thickBot="1" x14ac:dyDescent="0.35">
      <c r="B1288" s="96" t="s">
        <v>2309</v>
      </c>
      <c r="C1288" s="97">
        <v>534757</v>
      </c>
      <c r="D1288" s="96" t="s">
        <v>388</v>
      </c>
      <c r="E1288" s="96" t="s">
        <v>405</v>
      </c>
    </row>
    <row r="1289" spans="2:5" ht="15" customHeight="1" thickBot="1" x14ac:dyDescent="0.35">
      <c r="B1289" s="96" t="s">
        <v>2310</v>
      </c>
      <c r="C1289" s="96" t="s">
        <v>388</v>
      </c>
      <c r="D1289" s="96" t="s">
        <v>2311</v>
      </c>
      <c r="E1289" s="96" t="s">
        <v>399</v>
      </c>
    </row>
    <row r="1290" spans="2:5" ht="15" customHeight="1" thickBot="1" x14ac:dyDescent="0.35">
      <c r="B1290" s="96" t="s">
        <v>2312</v>
      </c>
      <c r="C1290" s="97">
        <v>540945</v>
      </c>
      <c r="D1290" s="96" t="s">
        <v>388</v>
      </c>
      <c r="E1290" s="96" t="s">
        <v>472</v>
      </c>
    </row>
    <row r="1291" spans="2:5" ht="15" customHeight="1" thickBot="1" x14ac:dyDescent="0.35">
      <c r="B1291" s="96" t="s">
        <v>2313</v>
      </c>
      <c r="C1291" s="97">
        <v>503831</v>
      </c>
      <c r="D1291" s="96" t="s">
        <v>388</v>
      </c>
      <c r="E1291" s="96" t="s">
        <v>589</v>
      </c>
    </row>
    <row r="1292" spans="2:5" ht="15" customHeight="1" thickBot="1" x14ac:dyDescent="0.35">
      <c r="B1292" s="96" t="s">
        <v>2314</v>
      </c>
      <c r="C1292" s="97">
        <v>507552</v>
      </c>
      <c r="D1292" s="96" t="s">
        <v>388</v>
      </c>
      <c r="E1292" s="96" t="s">
        <v>468</v>
      </c>
    </row>
    <row r="1293" spans="2:5" ht="15" customHeight="1" thickBot="1" x14ac:dyDescent="0.35">
      <c r="B1293" s="96" t="s">
        <v>2315</v>
      </c>
      <c r="C1293" s="97">
        <v>502865</v>
      </c>
      <c r="D1293" s="96" t="s">
        <v>388</v>
      </c>
      <c r="E1293" s="96" t="s">
        <v>396</v>
      </c>
    </row>
    <row r="1294" spans="2:5" ht="15" customHeight="1" thickBot="1" x14ac:dyDescent="0.35">
      <c r="B1294" s="96" t="s">
        <v>2316</v>
      </c>
      <c r="C1294" s="97">
        <v>500033</v>
      </c>
      <c r="D1294" s="96" t="s">
        <v>388</v>
      </c>
      <c r="E1294" s="96" t="s">
        <v>2317</v>
      </c>
    </row>
    <row r="1295" spans="2:5" ht="15" customHeight="1" thickBot="1" x14ac:dyDescent="0.35">
      <c r="B1295" s="96" t="s">
        <v>2318</v>
      </c>
      <c r="C1295" s="97">
        <v>532843</v>
      </c>
      <c r="D1295" s="96" t="s">
        <v>2319</v>
      </c>
      <c r="E1295" s="96" t="s">
        <v>858</v>
      </c>
    </row>
    <row r="1296" spans="2:5" ht="15" customHeight="1" thickBot="1" x14ac:dyDescent="0.35">
      <c r="B1296" s="96" t="s">
        <v>2320</v>
      </c>
      <c r="C1296" s="97">
        <v>523696</v>
      </c>
      <c r="D1296" s="96" t="s">
        <v>388</v>
      </c>
      <c r="E1296" s="96" t="s">
        <v>577</v>
      </c>
    </row>
    <row r="1297" spans="2:5" ht="15" customHeight="1" thickBot="1" x14ac:dyDescent="0.35">
      <c r="B1297" s="96" t="s">
        <v>2321</v>
      </c>
      <c r="C1297" s="97">
        <v>530213</v>
      </c>
      <c r="D1297" s="96" t="s">
        <v>388</v>
      </c>
      <c r="E1297" s="96" t="s">
        <v>410</v>
      </c>
    </row>
    <row r="1298" spans="2:5" ht="15" customHeight="1" thickBot="1" x14ac:dyDescent="0.35">
      <c r="B1298" s="96" t="s">
        <v>2322</v>
      </c>
      <c r="C1298" s="97">
        <v>500150</v>
      </c>
      <c r="D1298" s="96" t="s">
        <v>2323</v>
      </c>
      <c r="E1298" s="96" t="s">
        <v>436</v>
      </c>
    </row>
    <row r="1299" spans="2:5" ht="15" customHeight="1" thickBot="1" x14ac:dyDescent="0.35">
      <c r="B1299" s="96" t="s">
        <v>2324</v>
      </c>
      <c r="C1299" s="97">
        <v>500150</v>
      </c>
      <c r="D1299" s="96" t="s">
        <v>2323</v>
      </c>
      <c r="E1299" s="96" t="s">
        <v>436</v>
      </c>
    </row>
    <row r="1300" spans="2:5" ht="15" customHeight="1" thickBot="1" x14ac:dyDescent="0.35">
      <c r="B1300" s="96" t="s">
        <v>2325</v>
      </c>
      <c r="C1300" s="97">
        <v>513579</v>
      </c>
      <c r="D1300" s="96" t="s">
        <v>388</v>
      </c>
      <c r="E1300" s="96" t="s">
        <v>1066</v>
      </c>
    </row>
    <row r="1301" spans="2:5" ht="15" customHeight="1" thickBot="1" x14ac:dyDescent="0.35">
      <c r="B1301" s="96" t="s">
        <v>2326</v>
      </c>
      <c r="C1301" s="96" t="s">
        <v>388</v>
      </c>
      <c r="D1301" s="96" t="s">
        <v>2327</v>
      </c>
      <c r="E1301" s="96" t="s">
        <v>399</v>
      </c>
    </row>
    <row r="1302" spans="2:5" ht="15" customHeight="1" thickBot="1" x14ac:dyDescent="0.35">
      <c r="B1302" s="96" t="s">
        <v>2328</v>
      </c>
      <c r="C1302" s="97">
        <v>532403</v>
      </c>
      <c r="D1302" s="96" t="s">
        <v>388</v>
      </c>
      <c r="E1302" s="96" t="s">
        <v>481</v>
      </c>
    </row>
    <row r="1303" spans="2:5" ht="15" customHeight="1" thickBot="1" x14ac:dyDescent="0.35">
      <c r="B1303" s="96" t="s">
        <v>2329</v>
      </c>
      <c r="C1303" s="97">
        <v>540190</v>
      </c>
      <c r="D1303" s="96" t="s">
        <v>388</v>
      </c>
      <c r="E1303" s="96" t="s">
        <v>410</v>
      </c>
    </row>
    <row r="1304" spans="2:5" ht="15" customHeight="1" thickBot="1" x14ac:dyDescent="0.35">
      <c r="B1304" s="96" t="s">
        <v>2330</v>
      </c>
      <c r="C1304" s="97">
        <v>539839</v>
      </c>
      <c r="D1304" s="96" t="s">
        <v>388</v>
      </c>
      <c r="E1304" s="96" t="s">
        <v>405</v>
      </c>
    </row>
    <row r="1305" spans="2:5" ht="15" customHeight="1" thickBot="1" x14ac:dyDescent="0.35">
      <c r="B1305" s="96" t="s">
        <v>2331</v>
      </c>
      <c r="C1305" s="97">
        <v>539032</v>
      </c>
      <c r="D1305" s="96" t="s">
        <v>2332</v>
      </c>
      <c r="E1305" s="96" t="s">
        <v>754</v>
      </c>
    </row>
    <row r="1306" spans="2:5" ht="15" customHeight="1" thickBot="1" x14ac:dyDescent="0.35">
      <c r="B1306" s="96" t="s">
        <v>2333</v>
      </c>
      <c r="C1306" s="97">
        <v>539730</v>
      </c>
      <c r="D1306" s="96" t="s">
        <v>388</v>
      </c>
      <c r="E1306" s="96" t="s">
        <v>426</v>
      </c>
    </row>
    <row r="1307" spans="2:5" ht="15" customHeight="1" thickBot="1" x14ac:dyDescent="0.35">
      <c r="B1307" s="96" t="s">
        <v>2334</v>
      </c>
      <c r="C1307" s="97">
        <v>530077</v>
      </c>
      <c r="D1307" s="96" t="s">
        <v>388</v>
      </c>
      <c r="E1307" s="96" t="s">
        <v>586</v>
      </c>
    </row>
    <row r="1308" spans="2:5" ht="15" customHeight="1" thickBot="1" x14ac:dyDescent="0.35">
      <c r="B1308" s="96" t="s">
        <v>2335</v>
      </c>
      <c r="C1308" s="97">
        <v>508980</v>
      </c>
      <c r="D1308" s="96" t="s">
        <v>388</v>
      </c>
      <c r="E1308" s="96" t="s">
        <v>809</v>
      </c>
    </row>
    <row r="1309" spans="2:5" ht="15" customHeight="1" thickBot="1" x14ac:dyDescent="0.35">
      <c r="B1309" s="96" t="s">
        <v>2336</v>
      </c>
      <c r="C1309" s="97">
        <v>522195</v>
      </c>
      <c r="D1309" s="96" t="s">
        <v>388</v>
      </c>
      <c r="E1309" s="96" t="s">
        <v>743</v>
      </c>
    </row>
    <row r="1310" spans="2:5" ht="15" customHeight="1" thickBot="1" x14ac:dyDescent="0.35">
      <c r="B1310" s="96" t="s">
        <v>2337</v>
      </c>
      <c r="C1310" s="97">
        <v>521167</v>
      </c>
      <c r="D1310" s="96" t="s">
        <v>2338</v>
      </c>
      <c r="E1310" s="96" t="s">
        <v>944</v>
      </c>
    </row>
    <row r="1311" spans="2:5" ht="15" customHeight="1" thickBot="1" x14ac:dyDescent="0.35">
      <c r="B1311" s="96" t="s">
        <v>2339</v>
      </c>
      <c r="C1311" s="97">
        <v>532042</v>
      </c>
      <c r="D1311" s="96" t="s">
        <v>388</v>
      </c>
      <c r="E1311" s="96" t="s">
        <v>460</v>
      </c>
    </row>
    <row r="1312" spans="2:5" ht="15" customHeight="1" thickBot="1" x14ac:dyDescent="0.35">
      <c r="B1312" s="96" t="s">
        <v>2340</v>
      </c>
      <c r="C1312" s="97">
        <v>533213</v>
      </c>
      <c r="D1312" s="96" t="s">
        <v>388</v>
      </c>
      <c r="E1312" s="96" t="s">
        <v>371</v>
      </c>
    </row>
    <row r="1313" spans="2:5" ht="15" customHeight="1" thickBot="1" x14ac:dyDescent="0.35">
      <c r="B1313" s="96" t="s">
        <v>2341</v>
      </c>
      <c r="C1313" s="97">
        <v>538568</v>
      </c>
      <c r="D1313" s="96" t="s">
        <v>388</v>
      </c>
      <c r="E1313" s="96" t="s">
        <v>410</v>
      </c>
    </row>
    <row r="1314" spans="2:5" ht="15" customHeight="1" thickBot="1" x14ac:dyDescent="0.35">
      <c r="B1314" s="96" t="s">
        <v>2342</v>
      </c>
      <c r="C1314" s="97">
        <v>539169</v>
      </c>
      <c r="D1314" s="96" t="s">
        <v>388</v>
      </c>
      <c r="E1314" s="96" t="s">
        <v>374</v>
      </c>
    </row>
    <row r="1315" spans="2:5" ht="15" customHeight="1" thickBot="1" x14ac:dyDescent="0.35">
      <c r="B1315" s="96" t="s">
        <v>2343</v>
      </c>
      <c r="C1315" s="97">
        <v>533400</v>
      </c>
      <c r="D1315" s="96" t="s">
        <v>2344</v>
      </c>
      <c r="E1315" s="96" t="s">
        <v>448</v>
      </c>
    </row>
    <row r="1316" spans="2:5" ht="15" customHeight="1" thickBot="1" x14ac:dyDescent="0.35">
      <c r="B1316" s="96" t="s">
        <v>2345</v>
      </c>
      <c r="C1316" s="97">
        <v>523574</v>
      </c>
      <c r="D1316" s="96" t="s">
        <v>2346</v>
      </c>
      <c r="E1316" s="96" t="s">
        <v>557</v>
      </c>
    </row>
    <row r="1317" spans="2:5" ht="15" customHeight="1" thickBot="1" x14ac:dyDescent="0.35">
      <c r="B1317" s="96" t="s">
        <v>2345</v>
      </c>
      <c r="C1317" s="97">
        <v>570002</v>
      </c>
      <c r="D1317" s="96" t="s">
        <v>2347</v>
      </c>
      <c r="E1317" s="96" t="s">
        <v>557</v>
      </c>
    </row>
    <row r="1318" spans="2:5" ht="15" customHeight="1" thickBot="1" x14ac:dyDescent="0.35">
      <c r="B1318" s="96" t="s">
        <v>2348</v>
      </c>
      <c r="C1318" s="97">
        <v>536507</v>
      </c>
      <c r="D1318" s="96" t="s">
        <v>2349</v>
      </c>
      <c r="E1318" s="96" t="s">
        <v>557</v>
      </c>
    </row>
    <row r="1319" spans="2:5" ht="15" customHeight="1" thickBot="1" x14ac:dyDescent="0.35">
      <c r="B1319" s="96" t="s">
        <v>2350</v>
      </c>
      <c r="C1319" s="97">
        <v>533296</v>
      </c>
      <c r="D1319" s="96" t="s">
        <v>2351</v>
      </c>
      <c r="E1319" s="96" t="s">
        <v>557</v>
      </c>
    </row>
    <row r="1320" spans="2:5" ht="15" customHeight="1" thickBot="1" x14ac:dyDescent="0.35">
      <c r="B1320" s="96" t="s">
        <v>2352</v>
      </c>
      <c r="C1320" s="97">
        <v>540064</v>
      </c>
      <c r="D1320" s="96" t="s">
        <v>2353</v>
      </c>
      <c r="E1320" s="96" t="s">
        <v>557</v>
      </c>
    </row>
    <row r="1321" spans="2:5" ht="15" customHeight="1" thickBot="1" x14ac:dyDescent="0.35">
      <c r="B1321" s="96" t="s">
        <v>2354</v>
      </c>
      <c r="C1321" s="97">
        <v>540798</v>
      </c>
      <c r="D1321" s="96" t="s">
        <v>2355</v>
      </c>
      <c r="E1321" s="96" t="s">
        <v>709</v>
      </c>
    </row>
    <row r="1322" spans="2:5" ht="15" customHeight="1" thickBot="1" x14ac:dyDescent="0.35">
      <c r="B1322" s="96" t="s">
        <v>2356</v>
      </c>
      <c r="C1322" s="97">
        <v>523113</v>
      </c>
      <c r="D1322" s="96" t="s">
        <v>388</v>
      </c>
      <c r="E1322" s="96" t="s">
        <v>405</v>
      </c>
    </row>
    <row r="1323" spans="2:5" ht="15" customHeight="1" thickBot="1" x14ac:dyDescent="0.35">
      <c r="B1323" s="96" t="s">
        <v>2357</v>
      </c>
      <c r="C1323" s="97">
        <v>534063</v>
      </c>
      <c r="D1323" s="96" t="s">
        <v>388</v>
      </c>
      <c r="E1323" s="96" t="s">
        <v>371</v>
      </c>
    </row>
    <row r="1324" spans="2:5" ht="15" customHeight="1" thickBot="1" x14ac:dyDescent="0.35">
      <c r="B1324" s="96" t="s">
        <v>2358</v>
      </c>
      <c r="C1324" s="97">
        <v>504346</v>
      </c>
      <c r="D1324" s="96" t="s">
        <v>388</v>
      </c>
      <c r="E1324" s="96" t="s">
        <v>371</v>
      </c>
    </row>
    <row r="1325" spans="2:5" ht="15" customHeight="1" thickBot="1" x14ac:dyDescent="0.35">
      <c r="B1325" s="96" t="s">
        <v>2359</v>
      </c>
      <c r="C1325" s="97">
        <v>505250</v>
      </c>
      <c r="D1325" s="96" t="s">
        <v>388</v>
      </c>
      <c r="E1325" s="96" t="s">
        <v>396</v>
      </c>
    </row>
    <row r="1326" spans="2:5" ht="15" customHeight="1" thickBot="1" x14ac:dyDescent="0.35">
      <c r="B1326" s="96" t="s">
        <v>2360</v>
      </c>
      <c r="C1326" s="97">
        <v>540614</v>
      </c>
      <c r="D1326" s="96" t="s">
        <v>388</v>
      </c>
      <c r="E1326" s="96" t="s">
        <v>431</v>
      </c>
    </row>
    <row r="1327" spans="2:5" ht="15" customHeight="1" thickBot="1" x14ac:dyDescent="0.35">
      <c r="B1327" s="96" t="s">
        <v>2361</v>
      </c>
      <c r="C1327" s="97">
        <v>531758</v>
      </c>
      <c r="D1327" s="96" t="s">
        <v>388</v>
      </c>
      <c r="E1327" s="96" t="s">
        <v>405</v>
      </c>
    </row>
    <row r="1328" spans="2:5" ht="15" customHeight="1" thickBot="1" x14ac:dyDescent="0.35">
      <c r="B1328" s="96" t="s">
        <v>2362</v>
      </c>
      <c r="C1328" s="97">
        <v>513059</v>
      </c>
      <c r="D1328" s="96" t="s">
        <v>388</v>
      </c>
      <c r="E1328" s="96" t="s">
        <v>743</v>
      </c>
    </row>
    <row r="1329" spans="2:5" ht="15" customHeight="1" thickBot="1" x14ac:dyDescent="0.35">
      <c r="B1329" s="96" t="s">
        <v>2363</v>
      </c>
      <c r="C1329" s="97">
        <v>542666</v>
      </c>
      <c r="D1329" s="96" t="s">
        <v>2364</v>
      </c>
      <c r="E1329" s="96" t="s">
        <v>2365</v>
      </c>
    </row>
    <row r="1330" spans="2:5" ht="15" customHeight="1" thickBot="1" x14ac:dyDescent="0.35">
      <c r="B1330" s="96" t="s">
        <v>2366</v>
      </c>
      <c r="C1330" s="97">
        <v>505714</v>
      </c>
      <c r="D1330" s="96" t="s">
        <v>2367</v>
      </c>
      <c r="E1330" s="96" t="s">
        <v>743</v>
      </c>
    </row>
    <row r="1331" spans="2:5" ht="15" customHeight="1" thickBot="1" x14ac:dyDescent="0.35">
      <c r="B1331" s="96" t="s">
        <v>2368</v>
      </c>
      <c r="C1331" s="97">
        <v>505714</v>
      </c>
      <c r="D1331" s="96" t="s">
        <v>2367</v>
      </c>
      <c r="E1331" s="96" t="s">
        <v>743</v>
      </c>
    </row>
    <row r="1332" spans="2:5" ht="15" customHeight="1" thickBot="1" x14ac:dyDescent="0.35">
      <c r="B1332" s="96" t="s">
        <v>2369</v>
      </c>
      <c r="C1332" s="97">
        <v>524624</v>
      </c>
      <c r="D1332" s="96" t="s">
        <v>2370</v>
      </c>
      <c r="E1332" s="96" t="s">
        <v>2371</v>
      </c>
    </row>
    <row r="1333" spans="2:5" ht="15" customHeight="1" thickBot="1" x14ac:dyDescent="0.35">
      <c r="B1333" s="96" t="s">
        <v>2372</v>
      </c>
      <c r="C1333" s="97">
        <v>531196</v>
      </c>
      <c r="D1333" s="96" t="s">
        <v>388</v>
      </c>
      <c r="E1333" s="96" t="s">
        <v>410</v>
      </c>
    </row>
    <row r="1334" spans="2:5" ht="15" customHeight="1" thickBot="1" x14ac:dyDescent="0.35">
      <c r="B1334" s="96" t="s">
        <v>2373</v>
      </c>
      <c r="C1334" s="97">
        <v>531196</v>
      </c>
      <c r="D1334" s="96" t="s">
        <v>388</v>
      </c>
      <c r="E1334" s="96" t="s">
        <v>410</v>
      </c>
    </row>
    <row r="1335" spans="2:5" ht="15" customHeight="1" thickBot="1" x14ac:dyDescent="0.35">
      <c r="B1335" s="96" t="s">
        <v>2374</v>
      </c>
      <c r="C1335" s="97">
        <v>532155</v>
      </c>
      <c r="D1335" s="96" t="s">
        <v>2375</v>
      </c>
      <c r="E1335" s="96" t="s">
        <v>413</v>
      </c>
    </row>
    <row r="1336" spans="2:5" ht="15" customHeight="1" thickBot="1" x14ac:dyDescent="0.35">
      <c r="B1336" s="96" t="s">
        <v>2376</v>
      </c>
      <c r="C1336" s="97">
        <v>532155</v>
      </c>
      <c r="D1336" s="96" t="s">
        <v>2375</v>
      </c>
      <c r="E1336" s="96" t="s">
        <v>413</v>
      </c>
    </row>
    <row r="1337" spans="2:5" ht="15" customHeight="1" thickBot="1" x14ac:dyDescent="0.35">
      <c r="B1337" s="96" t="s">
        <v>2377</v>
      </c>
      <c r="C1337" s="97">
        <v>538609</v>
      </c>
      <c r="D1337" s="96" t="s">
        <v>388</v>
      </c>
      <c r="E1337" s="96" t="s">
        <v>371</v>
      </c>
    </row>
    <row r="1338" spans="2:5" ht="15" customHeight="1" thickBot="1" x14ac:dyDescent="0.35">
      <c r="B1338" s="96" t="s">
        <v>2378</v>
      </c>
      <c r="C1338" s="97">
        <v>505711</v>
      </c>
      <c r="D1338" s="96" t="s">
        <v>388</v>
      </c>
      <c r="E1338" s="96" t="s">
        <v>743</v>
      </c>
    </row>
    <row r="1339" spans="2:5" ht="15" customHeight="1" thickBot="1" x14ac:dyDescent="0.35">
      <c r="B1339" s="96" t="s">
        <v>2379</v>
      </c>
      <c r="C1339" s="97">
        <v>539228</v>
      </c>
      <c r="D1339" s="96" t="s">
        <v>388</v>
      </c>
      <c r="E1339" s="96" t="s">
        <v>2380</v>
      </c>
    </row>
    <row r="1340" spans="2:5" ht="15" customHeight="1" thickBot="1" x14ac:dyDescent="0.35">
      <c r="B1340" s="96" t="s">
        <v>2381</v>
      </c>
      <c r="C1340" s="97">
        <v>538881</v>
      </c>
      <c r="D1340" s="96" t="s">
        <v>388</v>
      </c>
      <c r="E1340" s="96" t="s">
        <v>405</v>
      </c>
    </row>
    <row r="1341" spans="2:5" ht="15" customHeight="1" thickBot="1" x14ac:dyDescent="0.35">
      <c r="B1341" s="96" t="s">
        <v>2382</v>
      </c>
      <c r="C1341" s="97">
        <v>504697</v>
      </c>
      <c r="D1341" s="96" t="s">
        <v>388</v>
      </c>
      <c r="E1341" s="96" t="s">
        <v>686</v>
      </c>
    </row>
    <row r="1342" spans="2:5" ht="15" customHeight="1" thickBot="1" x14ac:dyDescent="0.35">
      <c r="B1342" s="96" t="s">
        <v>2383</v>
      </c>
      <c r="C1342" s="97">
        <v>531911</v>
      </c>
      <c r="D1342" s="96" t="s">
        <v>388</v>
      </c>
      <c r="E1342" s="96" t="s">
        <v>396</v>
      </c>
    </row>
    <row r="1343" spans="2:5" ht="15" customHeight="1" thickBot="1" x14ac:dyDescent="0.35">
      <c r="B1343" s="96" t="s">
        <v>2384</v>
      </c>
      <c r="C1343" s="97">
        <v>526073</v>
      </c>
      <c r="D1343" s="96" t="s">
        <v>388</v>
      </c>
      <c r="E1343" s="96" t="s">
        <v>573</v>
      </c>
    </row>
    <row r="1344" spans="2:5" ht="15" customHeight="1" thickBot="1" x14ac:dyDescent="0.35">
      <c r="B1344" s="96" t="s">
        <v>2385</v>
      </c>
      <c r="C1344" s="97">
        <v>506186</v>
      </c>
      <c r="D1344" s="96" t="s">
        <v>388</v>
      </c>
      <c r="E1344" s="96" t="s">
        <v>391</v>
      </c>
    </row>
    <row r="1345" spans="2:5" ht="15" customHeight="1" thickBot="1" x14ac:dyDescent="0.35">
      <c r="B1345" s="96" t="s">
        <v>2386</v>
      </c>
      <c r="C1345" s="97">
        <v>540935</v>
      </c>
      <c r="D1345" s="96" t="s">
        <v>2387</v>
      </c>
      <c r="E1345" s="96" t="s">
        <v>548</v>
      </c>
    </row>
    <row r="1346" spans="2:5" ht="15" customHeight="1" thickBot="1" x14ac:dyDescent="0.35">
      <c r="B1346" s="96" t="s">
        <v>2388</v>
      </c>
      <c r="C1346" s="97">
        <v>533265</v>
      </c>
      <c r="D1346" s="96" t="s">
        <v>2389</v>
      </c>
      <c r="E1346" s="96" t="s">
        <v>420</v>
      </c>
    </row>
    <row r="1347" spans="2:5" ht="15" customHeight="1" thickBot="1" x14ac:dyDescent="0.35">
      <c r="B1347" s="96" t="s">
        <v>2390</v>
      </c>
      <c r="C1347" s="97">
        <v>532726</v>
      </c>
      <c r="D1347" s="96" t="s">
        <v>2391</v>
      </c>
      <c r="E1347" s="96" t="s">
        <v>420</v>
      </c>
    </row>
    <row r="1348" spans="2:5" ht="15" customHeight="1" thickBot="1" x14ac:dyDescent="0.35">
      <c r="B1348" s="96" t="s">
        <v>2392</v>
      </c>
      <c r="C1348" s="97">
        <v>531902</v>
      </c>
      <c r="D1348" s="96" t="s">
        <v>2393</v>
      </c>
      <c r="E1348" s="96" t="s">
        <v>474</v>
      </c>
    </row>
    <row r="1349" spans="2:5" ht="15" customHeight="1" thickBot="1" x14ac:dyDescent="0.35">
      <c r="B1349" s="96" t="s">
        <v>2394</v>
      </c>
      <c r="C1349" s="97">
        <v>532959</v>
      </c>
      <c r="D1349" s="96" t="s">
        <v>2395</v>
      </c>
      <c r="E1349" s="96" t="s">
        <v>786</v>
      </c>
    </row>
    <row r="1350" spans="2:5" ht="15" customHeight="1" thickBot="1" x14ac:dyDescent="0.35">
      <c r="B1350" s="96" t="s">
        <v>2396</v>
      </c>
      <c r="C1350" s="97">
        <v>513108</v>
      </c>
      <c r="D1350" s="96" t="s">
        <v>2397</v>
      </c>
      <c r="E1350" s="96" t="s">
        <v>711</v>
      </c>
    </row>
    <row r="1351" spans="2:5" ht="15" customHeight="1" thickBot="1" x14ac:dyDescent="0.35">
      <c r="B1351" s="96" t="s">
        <v>2398</v>
      </c>
      <c r="C1351" s="97">
        <v>500153</v>
      </c>
      <c r="D1351" s="96" t="s">
        <v>388</v>
      </c>
      <c r="E1351" s="96" t="s">
        <v>436</v>
      </c>
    </row>
    <row r="1352" spans="2:5" ht="15" customHeight="1" thickBot="1" x14ac:dyDescent="0.35">
      <c r="B1352" s="96" t="s">
        <v>2399</v>
      </c>
      <c r="C1352" s="97">
        <v>541703</v>
      </c>
      <c r="D1352" s="96" t="s">
        <v>388</v>
      </c>
      <c r="E1352" s="96" t="s">
        <v>389</v>
      </c>
    </row>
    <row r="1353" spans="2:5" ht="15" customHeight="1" thickBot="1" x14ac:dyDescent="0.35">
      <c r="B1353" s="96" t="s">
        <v>2400</v>
      </c>
      <c r="C1353" s="97">
        <v>541703</v>
      </c>
      <c r="D1353" s="96" t="s">
        <v>388</v>
      </c>
      <c r="E1353" s="96" t="s">
        <v>389</v>
      </c>
    </row>
    <row r="1354" spans="2:5" ht="15" customHeight="1" thickBot="1" x14ac:dyDescent="0.35">
      <c r="B1354" s="96" t="s">
        <v>2401</v>
      </c>
      <c r="C1354" s="97">
        <v>504397</v>
      </c>
      <c r="D1354" s="96" t="s">
        <v>388</v>
      </c>
      <c r="E1354" s="96" t="s">
        <v>809</v>
      </c>
    </row>
    <row r="1355" spans="2:5" ht="15" customHeight="1" thickBot="1" x14ac:dyDescent="0.35">
      <c r="B1355" s="96" t="s">
        <v>2402</v>
      </c>
      <c r="C1355" s="97">
        <v>526367</v>
      </c>
      <c r="D1355" s="96" t="s">
        <v>2403</v>
      </c>
      <c r="E1355" s="96" t="s">
        <v>474</v>
      </c>
    </row>
    <row r="1356" spans="2:5" ht="15" customHeight="1" thickBot="1" x14ac:dyDescent="0.35">
      <c r="B1356" s="96" t="s">
        <v>2404</v>
      </c>
      <c r="C1356" s="97">
        <v>514167</v>
      </c>
      <c r="D1356" s="96" t="s">
        <v>2405</v>
      </c>
      <c r="E1356" s="96" t="s">
        <v>809</v>
      </c>
    </row>
    <row r="1357" spans="2:5" ht="15" customHeight="1" thickBot="1" x14ac:dyDescent="0.35">
      <c r="B1357" s="96" t="s">
        <v>2406</v>
      </c>
      <c r="C1357" s="96" t="s">
        <v>388</v>
      </c>
      <c r="D1357" s="96" t="s">
        <v>2407</v>
      </c>
      <c r="E1357" s="96" t="s">
        <v>399</v>
      </c>
    </row>
    <row r="1358" spans="2:5" ht="15" customHeight="1" thickBot="1" x14ac:dyDescent="0.35">
      <c r="B1358" s="96" t="s">
        <v>2408</v>
      </c>
      <c r="C1358" s="97">
        <v>531813</v>
      </c>
      <c r="D1358" s="96" t="s">
        <v>388</v>
      </c>
      <c r="E1358" s="96" t="s">
        <v>382</v>
      </c>
    </row>
    <row r="1359" spans="2:5" ht="15" customHeight="1" thickBot="1" x14ac:dyDescent="0.35">
      <c r="B1359" s="96" t="s">
        <v>2409</v>
      </c>
      <c r="C1359" s="97">
        <v>531813</v>
      </c>
      <c r="D1359" s="96" t="s">
        <v>388</v>
      </c>
      <c r="E1359" s="96" t="s">
        <v>382</v>
      </c>
    </row>
    <row r="1360" spans="2:5" ht="15" customHeight="1" thickBot="1" x14ac:dyDescent="0.35">
      <c r="B1360" s="96" t="s">
        <v>2410</v>
      </c>
      <c r="C1360" s="97">
        <v>539680</v>
      </c>
      <c r="D1360" s="96" t="s">
        <v>388</v>
      </c>
      <c r="E1360" s="96" t="s">
        <v>426</v>
      </c>
    </row>
    <row r="1361" spans="2:5" ht="15" customHeight="1" thickBot="1" x14ac:dyDescent="0.35">
      <c r="B1361" s="96" t="s">
        <v>2411</v>
      </c>
      <c r="C1361" s="97">
        <v>540647</v>
      </c>
      <c r="D1361" s="96" t="s">
        <v>2412</v>
      </c>
      <c r="E1361" s="96" t="s">
        <v>408</v>
      </c>
    </row>
    <row r="1362" spans="2:5" ht="15" customHeight="1" thickBot="1" x14ac:dyDescent="0.35">
      <c r="B1362" s="96" t="s">
        <v>2413</v>
      </c>
      <c r="C1362" s="97">
        <v>521176</v>
      </c>
      <c r="D1362" s="96" t="s">
        <v>2414</v>
      </c>
      <c r="E1362" s="96" t="s">
        <v>403</v>
      </c>
    </row>
    <row r="1363" spans="2:5" ht="15" customHeight="1" thickBot="1" x14ac:dyDescent="0.35">
      <c r="B1363" s="96" t="s">
        <v>2415</v>
      </c>
      <c r="C1363" s="97">
        <v>512443</v>
      </c>
      <c r="D1363" s="96" t="s">
        <v>388</v>
      </c>
      <c r="E1363" s="96" t="s">
        <v>410</v>
      </c>
    </row>
    <row r="1364" spans="2:5" ht="15" customHeight="1" thickBot="1" x14ac:dyDescent="0.35">
      <c r="B1364" s="96" t="s">
        <v>2416</v>
      </c>
      <c r="C1364" s="97">
        <v>539492</v>
      </c>
      <c r="D1364" s="96" t="s">
        <v>388</v>
      </c>
      <c r="E1364" s="96" t="s">
        <v>405</v>
      </c>
    </row>
    <row r="1365" spans="2:5" ht="15" customHeight="1" thickBot="1" x14ac:dyDescent="0.35">
      <c r="B1365" s="96" t="s">
        <v>2417</v>
      </c>
      <c r="C1365" s="97">
        <v>542011</v>
      </c>
      <c r="D1365" s="96" t="s">
        <v>2418</v>
      </c>
      <c r="E1365" s="96" t="s">
        <v>466</v>
      </c>
    </row>
    <row r="1366" spans="2:5" ht="15" customHeight="1" thickBot="1" x14ac:dyDescent="0.35">
      <c r="B1366" s="96" t="s">
        <v>2419</v>
      </c>
      <c r="C1366" s="97">
        <v>500155</v>
      </c>
      <c r="D1366" s="96" t="s">
        <v>2420</v>
      </c>
      <c r="E1366" s="96" t="s">
        <v>403</v>
      </c>
    </row>
    <row r="1367" spans="2:5" ht="15" customHeight="1" thickBot="1" x14ac:dyDescent="0.35">
      <c r="B1367" s="96" t="s">
        <v>2421</v>
      </c>
      <c r="C1367" s="97">
        <v>530615</v>
      </c>
      <c r="D1367" s="96" t="s">
        <v>388</v>
      </c>
      <c r="E1367" s="96" t="s">
        <v>420</v>
      </c>
    </row>
    <row r="1368" spans="2:5" ht="15" customHeight="1" thickBot="1" x14ac:dyDescent="0.35">
      <c r="B1368" s="96" t="s">
        <v>2422</v>
      </c>
      <c r="C1368" s="97">
        <v>526727</v>
      </c>
      <c r="D1368" s="96" t="s">
        <v>388</v>
      </c>
      <c r="E1368" s="96" t="s">
        <v>786</v>
      </c>
    </row>
    <row r="1369" spans="2:5" ht="15" customHeight="1" thickBot="1" x14ac:dyDescent="0.35">
      <c r="B1369" s="96" t="s">
        <v>2423</v>
      </c>
      <c r="C1369" s="97">
        <v>512493</v>
      </c>
      <c r="D1369" s="96" t="s">
        <v>388</v>
      </c>
      <c r="E1369" s="96" t="s">
        <v>371</v>
      </c>
    </row>
    <row r="1370" spans="2:5" ht="15" customHeight="1" thickBot="1" x14ac:dyDescent="0.35">
      <c r="B1370" s="96" t="s">
        <v>2424</v>
      </c>
      <c r="C1370" s="97">
        <v>530161</v>
      </c>
      <c r="D1370" s="96" t="s">
        <v>388</v>
      </c>
      <c r="E1370" s="96" t="s">
        <v>410</v>
      </c>
    </row>
    <row r="1371" spans="2:5" ht="15" customHeight="1" thickBot="1" x14ac:dyDescent="0.35">
      <c r="B1371" s="96" t="s">
        <v>2425</v>
      </c>
      <c r="C1371" s="97">
        <v>541276</v>
      </c>
      <c r="D1371" s="96" t="s">
        <v>388</v>
      </c>
      <c r="E1371" s="96" t="s">
        <v>410</v>
      </c>
    </row>
    <row r="1372" spans="2:5" ht="15" customHeight="1" thickBot="1" x14ac:dyDescent="0.35">
      <c r="B1372" s="96" t="s">
        <v>2426</v>
      </c>
      <c r="C1372" s="97">
        <v>509563</v>
      </c>
      <c r="D1372" s="96" t="s">
        <v>388</v>
      </c>
      <c r="E1372" s="96" t="s">
        <v>403</v>
      </c>
    </row>
    <row r="1373" spans="2:5" ht="15" customHeight="1" thickBot="1" x14ac:dyDescent="0.35">
      <c r="B1373" s="96" t="s">
        <v>2427</v>
      </c>
      <c r="C1373" s="97">
        <v>500655</v>
      </c>
      <c r="D1373" s="96" t="s">
        <v>388</v>
      </c>
      <c r="E1373" s="96" t="s">
        <v>436</v>
      </c>
    </row>
    <row r="1374" spans="2:5" ht="15" customHeight="1" thickBot="1" x14ac:dyDescent="0.35">
      <c r="B1374" s="96" t="s">
        <v>2428</v>
      </c>
      <c r="C1374" s="97">
        <v>514400</v>
      </c>
      <c r="D1374" s="96" t="s">
        <v>388</v>
      </c>
      <c r="E1374" s="96" t="s">
        <v>410</v>
      </c>
    </row>
    <row r="1375" spans="2:5" ht="15" customHeight="1" thickBot="1" x14ac:dyDescent="0.35">
      <c r="B1375" s="96" t="s">
        <v>2429</v>
      </c>
      <c r="C1375" s="97">
        <v>509557</v>
      </c>
      <c r="D1375" s="96" t="s">
        <v>2430</v>
      </c>
      <c r="E1375" s="96" t="s">
        <v>403</v>
      </c>
    </row>
    <row r="1376" spans="2:5" ht="15" customHeight="1" thickBot="1" x14ac:dyDescent="0.35">
      <c r="B1376" s="96" t="s">
        <v>2431</v>
      </c>
      <c r="C1376" s="97">
        <v>532622</v>
      </c>
      <c r="D1376" s="96" t="s">
        <v>2432</v>
      </c>
      <c r="E1376" s="96" t="s">
        <v>709</v>
      </c>
    </row>
    <row r="1377" spans="2:5" ht="15" customHeight="1" thickBot="1" x14ac:dyDescent="0.35">
      <c r="B1377" s="96" t="s">
        <v>2433</v>
      </c>
      <c r="C1377" s="97">
        <v>532345</v>
      </c>
      <c r="D1377" s="96" t="s">
        <v>2434</v>
      </c>
      <c r="E1377" s="96" t="s">
        <v>709</v>
      </c>
    </row>
    <row r="1378" spans="2:5" ht="15" customHeight="1" thickBot="1" x14ac:dyDescent="0.35">
      <c r="B1378" s="96" t="s">
        <v>2435</v>
      </c>
      <c r="C1378" s="97">
        <v>539515</v>
      </c>
      <c r="D1378" s="96" t="s">
        <v>388</v>
      </c>
      <c r="E1378" s="96" t="s">
        <v>410</v>
      </c>
    </row>
    <row r="1379" spans="2:5" ht="15" customHeight="1" thickBot="1" x14ac:dyDescent="0.35">
      <c r="B1379" s="96" t="s">
        <v>2436</v>
      </c>
      <c r="C1379" s="97">
        <v>540613</v>
      </c>
      <c r="D1379" s="96" t="s">
        <v>388</v>
      </c>
      <c r="E1379" s="96" t="s">
        <v>410</v>
      </c>
    </row>
    <row r="1380" spans="2:5" ht="15" customHeight="1" thickBot="1" x14ac:dyDescent="0.35">
      <c r="B1380" s="96" t="s">
        <v>2437</v>
      </c>
      <c r="C1380" s="97">
        <v>540936</v>
      </c>
      <c r="D1380" s="96" t="s">
        <v>388</v>
      </c>
      <c r="E1380" s="96" t="s">
        <v>410</v>
      </c>
    </row>
    <row r="1381" spans="2:5" ht="15" customHeight="1" thickBot="1" x14ac:dyDescent="0.35">
      <c r="B1381" s="96" t="s">
        <v>2438</v>
      </c>
      <c r="C1381" s="97">
        <v>524564</v>
      </c>
      <c r="D1381" s="96" t="s">
        <v>388</v>
      </c>
      <c r="E1381" s="96" t="s">
        <v>436</v>
      </c>
    </row>
    <row r="1382" spans="2:5" ht="15" customHeight="1" thickBot="1" x14ac:dyDescent="0.35">
      <c r="B1382" s="96" t="s">
        <v>2439</v>
      </c>
      <c r="C1382" s="97">
        <v>541546</v>
      </c>
      <c r="D1382" s="96" t="s">
        <v>2440</v>
      </c>
      <c r="E1382" s="96" t="s">
        <v>786</v>
      </c>
    </row>
    <row r="1383" spans="2:5" ht="15" customHeight="1" thickBot="1" x14ac:dyDescent="0.35">
      <c r="B1383" s="96" t="s">
        <v>2441</v>
      </c>
      <c r="C1383" s="97">
        <v>532767</v>
      </c>
      <c r="D1383" s="96" t="s">
        <v>2442</v>
      </c>
      <c r="E1383" s="96" t="s">
        <v>786</v>
      </c>
    </row>
    <row r="1384" spans="2:5" ht="15" customHeight="1" thickBot="1" x14ac:dyDescent="0.35">
      <c r="B1384" s="96" t="s">
        <v>2443</v>
      </c>
      <c r="C1384" s="97">
        <v>532183</v>
      </c>
      <c r="D1384" s="96" t="s">
        <v>388</v>
      </c>
      <c r="E1384" s="96" t="s">
        <v>1087</v>
      </c>
    </row>
    <row r="1385" spans="2:5" ht="15" customHeight="1" thickBot="1" x14ac:dyDescent="0.35">
      <c r="B1385" s="96" t="s">
        <v>2444</v>
      </c>
      <c r="C1385" s="97">
        <v>539009</v>
      </c>
      <c r="D1385" s="96" t="s">
        <v>388</v>
      </c>
      <c r="E1385" s="96" t="s">
        <v>786</v>
      </c>
    </row>
    <row r="1386" spans="2:5" ht="15" customHeight="1" thickBot="1" x14ac:dyDescent="0.35">
      <c r="B1386" s="96" t="s">
        <v>2445</v>
      </c>
      <c r="C1386" s="97">
        <v>538319</v>
      </c>
      <c r="D1386" s="96" t="s">
        <v>388</v>
      </c>
      <c r="E1386" s="96" t="s">
        <v>371</v>
      </c>
    </row>
    <row r="1387" spans="2:5" ht="15" customHeight="1" thickBot="1" x14ac:dyDescent="0.35">
      <c r="B1387" s="96" t="s">
        <v>2446</v>
      </c>
      <c r="C1387" s="97">
        <v>535917</v>
      </c>
      <c r="D1387" s="96" t="s">
        <v>388</v>
      </c>
      <c r="E1387" s="96" t="s">
        <v>371</v>
      </c>
    </row>
    <row r="1388" spans="2:5" ht="15" customHeight="1" thickBot="1" x14ac:dyDescent="0.35">
      <c r="B1388" s="96" t="s">
        <v>2447</v>
      </c>
      <c r="C1388" s="97">
        <v>535431</v>
      </c>
      <c r="D1388" s="96" t="s">
        <v>388</v>
      </c>
      <c r="E1388" s="96" t="s">
        <v>371</v>
      </c>
    </row>
    <row r="1389" spans="2:5" ht="15" customHeight="1" thickBot="1" x14ac:dyDescent="0.35">
      <c r="B1389" s="96" t="s">
        <v>2448</v>
      </c>
      <c r="C1389" s="97">
        <v>530855</v>
      </c>
      <c r="D1389" s="96" t="s">
        <v>388</v>
      </c>
      <c r="E1389" s="96" t="s">
        <v>405</v>
      </c>
    </row>
    <row r="1390" spans="2:5" ht="15" customHeight="1" thickBot="1" x14ac:dyDescent="0.35">
      <c r="B1390" s="96" t="s">
        <v>2449</v>
      </c>
      <c r="C1390" s="97">
        <v>532309</v>
      </c>
      <c r="D1390" s="96" t="s">
        <v>2450</v>
      </c>
      <c r="E1390" s="96" t="s">
        <v>431</v>
      </c>
    </row>
    <row r="1391" spans="2:5" ht="15" customHeight="1" thickBot="1" x14ac:dyDescent="0.35">
      <c r="B1391" s="96" t="s">
        <v>2451</v>
      </c>
      <c r="C1391" s="97">
        <v>532309</v>
      </c>
      <c r="D1391" s="96" t="s">
        <v>2450</v>
      </c>
      <c r="E1391" s="96" t="s">
        <v>431</v>
      </c>
    </row>
    <row r="1392" spans="2:5" ht="15" customHeight="1" thickBot="1" x14ac:dyDescent="0.35">
      <c r="B1392" s="96" t="s">
        <v>2452</v>
      </c>
      <c r="C1392" s="97">
        <v>522275</v>
      </c>
      <c r="D1392" s="96" t="s">
        <v>2453</v>
      </c>
      <c r="E1392" s="96" t="s">
        <v>527</v>
      </c>
    </row>
    <row r="1393" spans="2:5" ht="15" customHeight="1" thickBot="1" x14ac:dyDescent="0.35">
      <c r="B1393" s="96" t="s">
        <v>2454</v>
      </c>
      <c r="C1393" s="97">
        <v>522275</v>
      </c>
      <c r="D1393" s="96" t="s">
        <v>2453</v>
      </c>
      <c r="E1393" s="96" t="s">
        <v>527</v>
      </c>
    </row>
    <row r="1394" spans="2:5" ht="15" customHeight="1" thickBot="1" x14ac:dyDescent="0.35">
      <c r="B1394" s="96" t="s">
        <v>2455</v>
      </c>
      <c r="C1394" s="97">
        <v>504028</v>
      </c>
      <c r="D1394" s="96" t="s">
        <v>388</v>
      </c>
      <c r="E1394" s="96" t="s">
        <v>573</v>
      </c>
    </row>
    <row r="1395" spans="2:5" ht="15" customHeight="1" thickBot="1" x14ac:dyDescent="0.35">
      <c r="B1395" s="96" t="s">
        <v>2456</v>
      </c>
      <c r="C1395" s="97">
        <v>532764</v>
      </c>
      <c r="D1395" s="96" t="s">
        <v>2457</v>
      </c>
      <c r="E1395" s="96" t="s">
        <v>474</v>
      </c>
    </row>
    <row r="1396" spans="2:5" ht="15" customHeight="1" thickBot="1" x14ac:dyDescent="0.35">
      <c r="B1396" s="96" t="s">
        <v>2458</v>
      </c>
      <c r="C1396" s="97">
        <v>530389</v>
      </c>
      <c r="D1396" s="96" t="s">
        <v>388</v>
      </c>
      <c r="E1396" s="96" t="s">
        <v>408</v>
      </c>
    </row>
    <row r="1397" spans="2:5" ht="15" customHeight="1" thickBot="1" x14ac:dyDescent="0.35">
      <c r="B1397" s="96" t="s">
        <v>2459</v>
      </c>
      <c r="C1397" s="96" t="s">
        <v>388</v>
      </c>
      <c r="D1397" s="96" t="s">
        <v>2460</v>
      </c>
      <c r="E1397" s="96" t="s">
        <v>399</v>
      </c>
    </row>
    <row r="1398" spans="2:5" ht="15" customHeight="1" thickBot="1" x14ac:dyDescent="0.35">
      <c r="B1398" s="96" t="s">
        <v>2461</v>
      </c>
      <c r="C1398" s="97">
        <v>539486</v>
      </c>
      <c r="D1398" s="96" t="s">
        <v>388</v>
      </c>
      <c r="E1398" s="96" t="s">
        <v>405</v>
      </c>
    </row>
    <row r="1399" spans="2:5" ht="15" customHeight="1" thickBot="1" x14ac:dyDescent="0.35">
      <c r="B1399" s="96" t="s">
        <v>2462</v>
      </c>
      <c r="C1399" s="97">
        <v>521133</v>
      </c>
      <c r="D1399" s="96" t="s">
        <v>388</v>
      </c>
      <c r="E1399" s="96" t="s">
        <v>403</v>
      </c>
    </row>
    <row r="1400" spans="2:5" ht="15" customHeight="1" thickBot="1" x14ac:dyDescent="0.35">
      <c r="B1400" s="96" t="s">
        <v>2463</v>
      </c>
      <c r="C1400" s="97">
        <v>521133</v>
      </c>
      <c r="D1400" s="96" t="s">
        <v>388</v>
      </c>
      <c r="E1400" s="96" t="s">
        <v>403</v>
      </c>
    </row>
    <row r="1401" spans="2:5" ht="15" customHeight="1" thickBot="1" x14ac:dyDescent="0.35">
      <c r="B1401" s="96" t="s">
        <v>2464</v>
      </c>
      <c r="C1401" s="97">
        <v>532318</v>
      </c>
      <c r="D1401" s="96" t="s">
        <v>2465</v>
      </c>
      <c r="E1401" s="96" t="s">
        <v>2014</v>
      </c>
    </row>
    <row r="1402" spans="2:5" ht="15" customHeight="1" thickBot="1" x14ac:dyDescent="0.35">
      <c r="B1402" s="96" t="s">
        <v>2466</v>
      </c>
      <c r="C1402" s="97">
        <v>531137</v>
      </c>
      <c r="D1402" s="96" t="s">
        <v>388</v>
      </c>
      <c r="E1402" s="96" t="s">
        <v>809</v>
      </c>
    </row>
    <row r="1403" spans="2:5" ht="15" customHeight="1" thickBot="1" x14ac:dyDescent="0.35">
      <c r="B1403" s="96" t="s">
        <v>2467</v>
      </c>
      <c r="C1403" s="97">
        <v>541999</v>
      </c>
      <c r="D1403" s="96" t="s">
        <v>388</v>
      </c>
      <c r="E1403" s="96" t="s">
        <v>586</v>
      </c>
    </row>
    <row r="1404" spans="2:5" ht="15" customHeight="1" thickBot="1" x14ac:dyDescent="0.35">
      <c r="B1404" s="96" t="s">
        <v>2468</v>
      </c>
      <c r="C1404" s="97">
        <v>540755</v>
      </c>
      <c r="D1404" s="96" t="s">
        <v>2469</v>
      </c>
      <c r="E1404" s="96" t="s">
        <v>2470</v>
      </c>
    </row>
    <row r="1405" spans="2:5" ht="15" customHeight="1" thickBot="1" x14ac:dyDescent="0.35">
      <c r="B1405" s="96" t="s">
        <v>2471</v>
      </c>
      <c r="C1405" s="97">
        <v>539407</v>
      </c>
      <c r="D1405" s="96" t="s">
        <v>388</v>
      </c>
      <c r="E1405" s="96" t="s">
        <v>786</v>
      </c>
    </row>
    <row r="1406" spans="2:5" ht="15" customHeight="1" thickBot="1" x14ac:dyDescent="0.35">
      <c r="B1406" s="96" t="s">
        <v>2472</v>
      </c>
      <c r="C1406" s="97">
        <v>514336</v>
      </c>
      <c r="D1406" s="96" t="s">
        <v>388</v>
      </c>
      <c r="E1406" s="96" t="s">
        <v>726</v>
      </c>
    </row>
    <row r="1407" spans="2:5" ht="15" customHeight="1" thickBot="1" x14ac:dyDescent="0.35">
      <c r="B1407" s="96" t="s">
        <v>2473</v>
      </c>
      <c r="C1407" s="97">
        <v>514336</v>
      </c>
      <c r="D1407" s="96" t="s">
        <v>388</v>
      </c>
      <c r="E1407" s="96" t="s">
        <v>726</v>
      </c>
    </row>
    <row r="1408" spans="2:5" ht="15" customHeight="1" thickBot="1" x14ac:dyDescent="0.35">
      <c r="B1408" s="96" t="s">
        <v>2474</v>
      </c>
      <c r="C1408" s="97">
        <v>506109</v>
      </c>
      <c r="D1408" s="96" t="s">
        <v>2475</v>
      </c>
      <c r="E1408" s="96" t="s">
        <v>481</v>
      </c>
    </row>
    <row r="1409" spans="2:5" ht="15" customHeight="1" thickBot="1" x14ac:dyDescent="0.35">
      <c r="B1409" s="96" t="s">
        <v>2476</v>
      </c>
      <c r="C1409" s="97">
        <v>531739</v>
      </c>
      <c r="D1409" s="96" t="s">
        <v>388</v>
      </c>
      <c r="E1409" s="96" t="s">
        <v>426</v>
      </c>
    </row>
    <row r="1410" spans="2:5" ht="15" customHeight="1" thickBot="1" x14ac:dyDescent="0.35">
      <c r="B1410" s="96" t="s">
        <v>2477</v>
      </c>
      <c r="C1410" s="97">
        <v>539206</v>
      </c>
      <c r="D1410" s="96" t="s">
        <v>388</v>
      </c>
      <c r="E1410" s="96" t="s">
        <v>726</v>
      </c>
    </row>
    <row r="1411" spans="2:5" ht="15" customHeight="1" thickBot="1" x14ac:dyDescent="0.35">
      <c r="B1411" s="96" t="s">
        <v>2478</v>
      </c>
      <c r="C1411" s="97">
        <v>538961</v>
      </c>
      <c r="D1411" s="96" t="s">
        <v>2479</v>
      </c>
      <c r="E1411" s="96" t="s">
        <v>382</v>
      </c>
    </row>
    <row r="1412" spans="2:5" ht="15" customHeight="1" thickBot="1" x14ac:dyDescent="0.35">
      <c r="B1412" s="96" t="s">
        <v>2480</v>
      </c>
      <c r="C1412" s="97">
        <v>530343</v>
      </c>
      <c r="D1412" s="96" t="s">
        <v>2481</v>
      </c>
      <c r="E1412" s="96" t="s">
        <v>686</v>
      </c>
    </row>
    <row r="1413" spans="2:5" ht="15" customHeight="1" thickBot="1" x14ac:dyDescent="0.35">
      <c r="B1413" s="96" t="s">
        <v>2482</v>
      </c>
      <c r="C1413" s="97">
        <v>532285</v>
      </c>
      <c r="D1413" s="96" t="s">
        <v>2483</v>
      </c>
      <c r="E1413" s="96" t="s">
        <v>371</v>
      </c>
    </row>
    <row r="1414" spans="2:5" ht="15" customHeight="1" thickBot="1" x14ac:dyDescent="0.35">
      <c r="B1414" s="96" t="s">
        <v>2484</v>
      </c>
      <c r="C1414" s="97">
        <v>500171</v>
      </c>
      <c r="D1414" s="96" t="s">
        <v>2485</v>
      </c>
      <c r="E1414" s="96" t="s">
        <v>436</v>
      </c>
    </row>
    <row r="1415" spans="2:5" ht="15" customHeight="1" thickBot="1" x14ac:dyDescent="0.35">
      <c r="B1415" s="96" t="s">
        <v>2486</v>
      </c>
      <c r="C1415" s="97">
        <v>533048</v>
      </c>
      <c r="D1415" s="96" t="s">
        <v>2487</v>
      </c>
      <c r="E1415" s="96" t="s">
        <v>786</v>
      </c>
    </row>
    <row r="1416" spans="2:5" ht="15" customHeight="1" thickBot="1" x14ac:dyDescent="0.35">
      <c r="B1416" s="96" t="s">
        <v>2488</v>
      </c>
      <c r="C1416" s="97">
        <v>511676</v>
      </c>
      <c r="D1416" s="96" t="s">
        <v>2489</v>
      </c>
      <c r="E1416" s="96" t="s">
        <v>446</v>
      </c>
    </row>
    <row r="1417" spans="2:5" ht="15" customHeight="1" thickBot="1" x14ac:dyDescent="0.35">
      <c r="B1417" s="96" t="s">
        <v>2490</v>
      </c>
      <c r="C1417" s="97">
        <v>538788</v>
      </c>
      <c r="D1417" s="96" t="s">
        <v>388</v>
      </c>
      <c r="E1417" s="96" t="s">
        <v>405</v>
      </c>
    </row>
    <row r="1418" spans="2:5" ht="15" customHeight="1" thickBot="1" x14ac:dyDescent="0.35">
      <c r="B1418" s="96" t="s">
        <v>2491</v>
      </c>
      <c r="C1418" s="97">
        <v>532716</v>
      </c>
      <c r="D1418" s="96" t="s">
        <v>2492</v>
      </c>
      <c r="E1418" s="96" t="s">
        <v>377</v>
      </c>
    </row>
    <row r="1419" spans="2:5" ht="15" customHeight="1" thickBot="1" x14ac:dyDescent="0.35">
      <c r="B1419" s="96" t="s">
        <v>2493</v>
      </c>
      <c r="C1419" s="97">
        <v>507815</v>
      </c>
      <c r="D1419" s="96" t="s">
        <v>2494</v>
      </c>
      <c r="E1419" s="96" t="s">
        <v>570</v>
      </c>
    </row>
    <row r="1420" spans="2:5" ht="15" customHeight="1" thickBot="1" x14ac:dyDescent="0.35">
      <c r="B1420" s="96" t="s">
        <v>2495</v>
      </c>
      <c r="C1420" s="97">
        <v>507815</v>
      </c>
      <c r="D1420" s="96" t="s">
        <v>2494</v>
      </c>
      <c r="E1420" s="96" t="s">
        <v>570</v>
      </c>
    </row>
    <row r="1421" spans="2:5" ht="15" customHeight="1" thickBot="1" x14ac:dyDescent="0.35">
      <c r="B1421" s="96" t="s">
        <v>2496</v>
      </c>
      <c r="C1421" s="97">
        <v>531744</v>
      </c>
      <c r="D1421" s="96" t="s">
        <v>388</v>
      </c>
      <c r="E1421" s="96" t="s">
        <v>410</v>
      </c>
    </row>
    <row r="1422" spans="2:5" ht="15" customHeight="1" thickBot="1" x14ac:dyDescent="0.35">
      <c r="B1422" s="96" t="s">
        <v>2497</v>
      </c>
      <c r="C1422" s="97">
        <v>590025</v>
      </c>
      <c r="D1422" s="96" t="s">
        <v>2498</v>
      </c>
      <c r="E1422" s="96" t="s">
        <v>403</v>
      </c>
    </row>
    <row r="1423" spans="2:5" ht="15" customHeight="1" thickBot="1" x14ac:dyDescent="0.35">
      <c r="B1423" s="96" t="s">
        <v>2499</v>
      </c>
      <c r="C1423" s="97">
        <v>507506</v>
      </c>
      <c r="D1423" s="96" t="s">
        <v>388</v>
      </c>
      <c r="E1423" s="96" t="s">
        <v>1087</v>
      </c>
    </row>
    <row r="1424" spans="2:5" ht="15" customHeight="1" thickBot="1" x14ac:dyDescent="0.35">
      <c r="B1424" s="96" t="s">
        <v>2500</v>
      </c>
      <c r="C1424" s="96" t="s">
        <v>388</v>
      </c>
      <c r="D1424" s="96" t="s">
        <v>2501</v>
      </c>
      <c r="E1424" s="96" t="s">
        <v>399</v>
      </c>
    </row>
    <row r="1425" spans="2:5" ht="15" customHeight="1" thickBot="1" x14ac:dyDescent="0.35">
      <c r="B1425" s="96" t="s">
        <v>2502</v>
      </c>
      <c r="C1425" s="97">
        <v>539013</v>
      </c>
      <c r="D1425" s="96" t="s">
        <v>388</v>
      </c>
      <c r="E1425" s="96" t="s">
        <v>527</v>
      </c>
    </row>
    <row r="1426" spans="2:5" ht="15" customHeight="1" thickBot="1" x14ac:dyDescent="0.35">
      <c r="B1426" s="96" t="s">
        <v>2503</v>
      </c>
      <c r="C1426" s="97">
        <v>533212</v>
      </c>
      <c r="D1426" s="96" t="s">
        <v>388</v>
      </c>
      <c r="E1426" s="96" t="s">
        <v>577</v>
      </c>
    </row>
    <row r="1427" spans="2:5" ht="15" customHeight="1" thickBot="1" x14ac:dyDescent="0.35">
      <c r="B1427" s="96" t="s">
        <v>2504</v>
      </c>
      <c r="C1427" s="96" t="s">
        <v>388</v>
      </c>
      <c r="D1427" s="96" t="s">
        <v>2505</v>
      </c>
      <c r="E1427" s="96" t="s">
        <v>479</v>
      </c>
    </row>
    <row r="1428" spans="2:5" ht="15" customHeight="1" thickBot="1" x14ac:dyDescent="0.35">
      <c r="B1428" s="96" t="s">
        <v>2506</v>
      </c>
      <c r="C1428" s="97">
        <v>531199</v>
      </c>
      <c r="D1428" s="96" t="s">
        <v>388</v>
      </c>
      <c r="E1428" s="96" t="s">
        <v>405</v>
      </c>
    </row>
    <row r="1429" spans="2:5" ht="15" customHeight="1" thickBot="1" x14ac:dyDescent="0.35">
      <c r="B1429" s="96" t="s">
        <v>2507</v>
      </c>
      <c r="C1429" s="97">
        <v>500676</v>
      </c>
      <c r="D1429" s="96" t="s">
        <v>2508</v>
      </c>
      <c r="E1429" s="96" t="s">
        <v>448</v>
      </c>
    </row>
    <row r="1430" spans="2:5" ht="15" customHeight="1" thickBot="1" x14ac:dyDescent="0.35">
      <c r="B1430" s="96" t="s">
        <v>2509</v>
      </c>
      <c r="C1430" s="97">
        <v>500660</v>
      </c>
      <c r="D1430" s="96" t="s">
        <v>2510</v>
      </c>
      <c r="E1430" s="96" t="s">
        <v>426</v>
      </c>
    </row>
    <row r="1431" spans="2:5" ht="15" customHeight="1" thickBot="1" x14ac:dyDescent="0.35">
      <c r="B1431" s="96" t="s">
        <v>2511</v>
      </c>
      <c r="C1431" s="97">
        <v>542477</v>
      </c>
      <c r="D1431" s="96" t="s">
        <v>2512</v>
      </c>
      <c r="E1431" s="96" t="s">
        <v>754</v>
      </c>
    </row>
    <row r="1432" spans="2:5" ht="15" customHeight="1" thickBot="1" x14ac:dyDescent="0.35">
      <c r="B1432" s="96" t="s">
        <v>2513</v>
      </c>
      <c r="C1432" s="97">
        <v>532296</v>
      </c>
      <c r="D1432" s="96" t="s">
        <v>2514</v>
      </c>
      <c r="E1432" s="96" t="s">
        <v>426</v>
      </c>
    </row>
    <row r="1433" spans="2:5" ht="15" customHeight="1" thickBot="1" x14ac:dyDescent="0.35">
      <c r="B1433" s="96" t="s">
        <v>2515</v>
      </c>
      <c r="C1433" s="97">
        <v>513528</v>
      </c>
      <c r="D1433" s="96" t="s">
        <v>388</v>
      </c>
      <c r="E1433" s="96" t="s">
        <v>916</v>
      </c>
    </row>
    <row r="1434" spans="2:5" ht="15" customHeight="1" thickBot="1" x14ac:dyDescent="0.35">
      <c r="B1434" s="96" t="s">
        <v>2516</v>
      </c>
      <c r="C1434" s="97">
        <v>530263</v>
      </c>
      <c r="D1434" s="96" t="s">
        <v>388</v>
      </c>
      <c r="E1434" s="96" t="s">
        <v>405</v>
      </c>
    </row>
    <row r="1435" spans="2:5" ht="15" customHeight="1" thickBot="1" x14ac:dyDescent="0.35">
      <c r="B1435" s="96" t="s">
        <v>2517</v>
      </c>
      <c r="C1435" s="96" t="s">
        <v>388</v>
      </c>
      <c r="D1435" s="96" t="s">
        <v>2518</v>
      </c>
      <c r="E1435" s="96" t="s">
        <v>399</v>
      </c>
    </row>
    <row r="1436" spans="2:5" ht="15" customHeight="1" thickBot="1" x14ac:dyDescent="0.35">
      <c r="B1436" s="96" t="s">
        <v>2519</v>
      </c>
      <c r="C1436" s="97">
        <v>531463</v>
      </c>
      <c r="D1436" s="96" t="s">
        <v>388</v>
      </c>
      <c r="E1436" s="96" t="s">
        <v>809</v>
      </c>
    </row>
    <row r="1437" spans="2:5" ht="15" customHeight="1" thickBot="1" x14ac:dyDescent="0.35">
      <c r="B1437" s="96" t="s">
        <v>2520</v>
      </c>
      <c r="C1437" s="97">
        <v>531479</v>
      </c>
      <c r="D1437" s="96" t="s">
        <v>388</v>
      </c>
      <c r="E1437" s="96" t="s">
        <v>474</v>
      </c>
    </row>
    <row r="1438" spans="2:5" ht="15" customHeight="1" thickBot="1" x14ac:dyDescent="0.35">
      <c r="B1438" s="96" t="s">
        <v>2521</v>
      </c>
      <c r="C1438" s="97">
        <v>501848</v>
      </c>
      <c r="D1438" s="96" t="s">
        <v>2522</v>
      </c>
      <c r="E1438" s="96" t="s">
        <v>1635</v>
      </c>
    </row>
    <row r="1439" spans="2:5" ht="15" customHeight="1" thickBot="1" x14ac:dyDescent="0.35">
      <c r="B1439" s="96" t="s">
        <v>2523</v>
      </c>
      <c r="C1439" s="97">
        <v>532773</v>
      </c>
      <c r="D1439" s="96" t="s">
        <v>2524</v>
      </c>
      <c r="E1439" s="96" t="s">
        <v>2525</v>
      </c>
    </row>
    <row r="1440" spans="2:5" ht="15" customHeight="1" thickBot="1" x14ac:dyDescent="0.35">
      <c r="B1440" s="96" t="s">
        <v>2526</v>
      </c>
      <c r="C1440" s="97">
        <v>540654</v>
      </c>
      <c r="D1440" s="96" t="s">
        <v>388</v>
      </c>
      <c r="E1440" s="96" t="s">
        <v>374</v>
      </c>
    </row>
    <row r="1441" spans="2:5" ht="15" customHeight="1" thickBot="1" x14ac:dyDescent="0.35">
      <c r="B1441" s="96" t="s">
        <v>2527</v>
      </c>
      <c r="C1441" s="97">
        <v>540266</v>
      </c>
      <c r="D1441" s="96" t="s">
        <v>388</v>
      </c>
      <c r="E1441" s="96" t="s">
        <v>410</v>
      </c>
    </row>
    <row r="1442" spans="2:5" ht="15" customHeight="1" thickBot="1" x14ac:dyDescent="0.35">
      <c r="B1442" s="96" t="s">
        <v>2528</v>
      </c>
      <c r="C1442" s="96" t="s">
        <v>388</v>
      </c>
      <c r="D1442" s="96" t="s">
        <v>2529</v>
      </c>
      <c r="E1442" s="96" t="s">
        <v>399</v>
      </c>
    </row>
    <row r="1443" spans="2:5" ht="15" customHeight="1" thickBot="1" x14ac:dyDescent="0.35">
      <c r="B1443" s="96" t="s">
        <v>2530</v>
      </c>
      <c r="C1443" s="96" t="s">
        <v>388</v>
      </c>
      <c r="D1443" s="96" t="s">
        <v>2531</v>
      </c>
      <c r="E1443" s="96" t="s">
        <v>399</v>
      </c>
    </row>
    <row r="1444" spans="2:5" ht="15" customHeight="1" thickBot="1" x14ac:dyDescent="0.35">
      <c r="B1444" s="96" t="s">
        <v>2532</v>
      </c>
      <c r="C1444" s="96" t="s">
        <v>388</v>
      </c>
      <c r="D1444" s="96" t="s">
        <v>2531</v>
      </c>
      <c r="E1444" s="96" t="s">
        <v>399</v>
      </c>
    </row>
    <row r="1445" spans="2:5" ht="15" customHeight="1" thickBot="1" x14ac:dyDescent="0.35">
      <c r="B1445" s="96" t="s">
        <v>2533</v>
      </c>
      <c r="C1445" s="97">
        <v>526025</v>
      </c>
      <c r="D1445" s="96" t="s">
        <v>388</v>
      </c>
      <c r="E1445" s="96" t="s">
        <v>403</v>
      </c>
    </row>
    <row r="1446" spans="2:5" ht="15" customHeight="1" thickBot="1" x14ac:dyDescent="0.35">
      <c r="B1446" s="96" t="s">
        <v>2534</v>
      </c>
      <c r="C1446" s="97">
        <v>531904</v>
      </c>
      <c r="D1446" s="96" t="s">
        <v>2535</v>
      </c>
      <c r="E1446" s="96" t="s">
        <v>754</v>
      </c>
    </row>
    <row r="1447" spans="2:5" ht="15" customHeight="1" thickBot="1" x14ac:dyDescent="0.35">
      <c r="B1447" s="96" t="s">
        <v>2536</v>
      </c>
      <c r="C1447" s="97">
        <v>533104</v>
      </c>
      <c r="D1447" s="96" t="s">
        <v>2537</v>
      </c>
      <c r="E1447" s="96" t="s">
        <v>1020</v>
      </c>
    </row>
    <row r="1448" spans="2:5" ht="15" customHeight="1" thickBot="1" x14ac:dyDescent="0.35">
      <c r="B1448" s="96" t="s">
        <v>2538</v>
      </c>
      <c r="C1448" s="97">
        <v>542351</v>
      </c>
      <c r="D1448" s="96" t="s">
        <v>2539</v>
      </c>
      <c r="E1448" s="96" t="s">
        <v>2540</v>
      </c>
    </row>
    <row r="1449" spans="2:5" ht="15" customHeight="1" thickBot="1" x14ac:dyDescent="0.35">
      <c r="B1449" s="96" t="s">
        <v>2541</v>
      </c>
      <c r="C1449" s="97">
        <v>507488</v>
      </c>
      <c r="D1449" s="96" t="s">
        <v>2542</v>
      </c>
      <c r="E1449" s="96" t="s">
        <v>1020</v>
      </c>
    </row>
    <row r="1450" spans="2:5" ht="15" customHeight="1" thickBot="1" x14ac:dyDescent="0.35">
      <c r="B1450" s="96" t="s">
        <v>2543</v>
      </c>
      <c r="C1450" s="97">
        <v>505255</v>
      </c>
      <c r="D1450" s="96" t="s">
        <v>2544</v>
      </c>
      <c r="E1450" s="96" t="s">
        <v>396</v>
      </c>
    </row>
    <row r="1451" spans="2:5" ht="15" customHeight="1" thickBot="1" x14ac:dyDescent="0.35">
      <c r="B1451" s="96" t="s">
        <v>2545</v>
      </c>
      <c r="C1451" s="97">
        <v>532754</v>
      </c>
      <c r="D1451" s="96" t="s">
        <v>2546</v>
      </c>
      <c r="E1451" s="96" t="s">
        <v>527</v>
      </c>
    </row>
    <row r="1452" spans="2:5" ht="15" customHeight="1" thickBot="1" x14ac:dyDescent="0.35">
      <c r="B1452" s="96" t="s">
        <v>2547</v>
      </c>
      <c r="C1452" s="97">
        <v>540124</v>
      </c>
      <c r="D1452" s="96" t="s">
        <v>2548</v>
      </c>
      <c r="E1452" s="96" t="s">
        <v>743</v>
      </c>
    </row>
    <row r="1453" spans="2:5" ht="15" customHeight="1" thickBot="1" x14ac:dyDescent="0.35">
      <c r="B1453" s="96" t="s">
        <v>2549</v>
      </c>
      <c r="C1453" s="97">
        <v>509567</v>
      </c>
      <c r="D1453" s="96" t="s">
        <v>2550</v>
      </c>
      <c r="E1453" s="96" t="s">
        <v>1316</v>
      </c>
    </row>
    <row r="1454" spans="2:5" ht="15" customHeight="1" thickBot="1" x14ac:dyDescent="0.35">
      <c r="B1454" s="96" t="s">
        <v>2551</v>
      </c>
      <c r="C1454" s="97">
        <v>506480</v>
      </c>
      <c r="D1454" s="96" t="s">
        <v>2552</v>
      </c>
      <c r="E1454" s="96" t="s">
        <v>598</v>
      </c>
    </row>
    <row r="1455" spans="2:5" ht="15" customHeight="1" thickBot="1" x14ac:dyDescent="0.35">
      <c r="B1455" s="96" t="s">
        <v>2553</v>
      </c>
      <c r="C1455" s="97">
        <v>530317</v>
      </c>
      <c r="D1455" s="96" t="s">
        <v>388</v>
      </c>
      <c r="E1455" s="96" t="s">
        <v>426</v>
      </c>
    </row>
    <row r="1456" spans="2:5" ht="15" customHeight="1" thickBot="1" x14ac:dyDescent="0.35">
      <c r="B1456" s="96" t="s">
        <v>2554</v>
      </c>
      <c r="C1456" s="97">
        <v>532734</v>
      </c>
      <c r="D1456" s="96" t="s">
        <v>2555</v>
      </c>
      <c r="E1456" s="96" t="s">
        <v>420</v>
      </c>
    </row>
    <row r="1457" spans="2:5" ht="15" customHeight="1" thickBot="1" x14ac:dyDescent="0.35">
      <c r="B1457" s="96" t="s">
        <v>2556</v>
      </c>
      <c r="C1457" s="97">
        <v>500163</v>
      </c>
      <c r="D1457" s="96" t="s">
        <v>2557</v>
      </c>
      <c r="E1457" s="96" t="s">
        <v>2558</v>
      </c>
    </row>
    <row r="1458" spans="2:5" ht="15" customHeight="1" thickBot="1" x14ac:dyDescent="0.35">
      <c r="B1458" s="96" t="s">
        <v>2559</v>
      </c>
      <c r="C1458" s="97">
        <v>500163</v>
      </c>
      <c r="D1458" s="96" t="s">
        <v>2557</v>
      </c>
      <c r="E1458" s="96" t="s">
        <v>2558</v>
      </c>
    </row>
    <row r="1459" spans="2:5" ht="15" customHeight="1" thickBot="1" x14ac:dyDescent="0.35">
      <c r="B1459" s="96" t="s">
        <v>2560</v>
      </c>
      <c r="C1459" s="96" t="s">
        <v>388</v>
      </c>
      <c r="D1459" s="96" t="s">
        <v>2561</v>
      </c>
      <c r="E1459" s="96" t="s">
        <v>399</v>
      </c>
    </row>
    <row r="1460" spans="2:5" ht="15" customHeight="1" thickBot="1" x14ac:dyDescent="0.35">
      <c r="B1460" s="96" t="s">
        <v>2562</v>
      </c>
      <c r="C1460" s="97">
        <v>540743</v>
      </c>
      <c r="D1460" s="96" t="s">
        <v>2563</v>
      </c>
      <c r="E1460" s="96" t="s">
        <v>586</v>
      </c>
    </row>
    <row r="1461" spans="2:5" ht="15" customHeight="1" thickBot="1" x14ac:dyDescent="0.35">
      <c r="B1461" s="96" t="s">
        <v>2564</v>
      </c>
      <c r="C1461" s="97">
        <v>532424</v>
      </c>
      <c r="D1461" s="96" t="s">
        <v>2565</v>
      </c>
      <c r="E1461" s="96" t="s">
        <v>570</v>
      </c>
    </row>
    <row r="1462" spans="2:5" ht="15" customHeight="1" thickBot="1" x14ac:dyDescent="0.35">
      <c r="B1462" s="96" t="s">
        <v>2566</v>
      </c>
      <c r="C1462" s="97">
        <v>500164</v>
      </c>
      <c r="D1462" s="96" t="s">
        <v>2567</v>
      </c>
      <c r="E1462" s="96" t="s">
        <v>436</v>
      </c>
    </row>
    <row r="1463" spans="2:5" ht="15" customHeight="1" thickBot="1" x14ac:dyDescent="0.35">
      <c r="B1463" s="96" t="s">
        <v>2568</v>
      </c>
      <c r="C1463" s="97">
        <v>533150</v>
      </c>
      <c r="D1463" s="96" t="s">
        <v>2569</v>
      </c>
      <c r="E1463" s="96" t="s">
        <v>474</v>
      </c>
    </row>
    <row r="1464" spans="2:5" ht="15" customHeight="1" thickBot="1" x14ac:dyDescent="0.35">
      <c r="B1464" s="96" t="s">
        <v>2570</v>
      </c>
      <c r="C1464" s="97">
        <v>538787</v>
      </c>
      <c r="D1464" s="96" t="s">
        <v>388</v>
      </c>
      <c r="E1464" s="96" t="s">
        <v>405</v>
      </c>
    </row>
    <row r="1465" spans="2:5" ht="15" customHeight="1" thickBot="1" x14ac:dyDescent="0.35">
      <c r="B1465" s="96" t="s">
        <v>2571</v>
      </c>
      <c r="C1465" s="97">
        <v>533189</v>
      </c>
      <c r="D1465" s="96" t="s">
        <v>2572</v>
      </c>
      <c r="E1465" s="96" t="s">
        <v>502</v>
      </c>
    </row>
    <row r="1466" spans="2:5" ht="15" customHeight="1" thickBot="1" x14ac:dyDescent="0.35">
      <c r="B1466" s="96" t="s">
        <v>2573</v>
      </c>
      <c r="C1466" s="97">
        <v>531600</v>
      </c>
      <c r="D1466" s="96" t="s">
        <v>388</v>
      </c>
      <c r="E1466" s="96" t="s">
        <v>371</v>
      </c>
    </row>
    <row r="1467" spans="2:5" ht="15" customHeight="1" thickBot="1" x14ac:dyDescent="0.35">
      <c r="B1467" s="96" t="s">
        <v>2574</v>
      </c>
      <c r="C1467" s="97">
        <v>532957</v>
      </c>
      <c r="D1467" s="96" t="s">
        <v>388</v>
      </c>
      <c r="E1467" s="96" t="s">
        <v>403</v>
      </c>
    </row>
    <row r="1468" spans="2:5" ht="15" customHeight="1" thickBot="1" x14ac:dyDescent="0.35">
      <c r="B1468" s="96" t="s">
        <v>2575</v>
      </c>
      <c r="C1468" s="97">
        <v>532630</v>
      </c>
      <c r="D1468" s="96" t="s">
        <v>2576</v>
      </c>
      <c r="E1468" s="96" t="s">
        <v>502</v>
      </c>
    </row>
    <row r="1469" spans="2:5" ht="15" customHeight="1" thickBot="1" x14ac:dyDescent="0.35">
      <c r="B1469" s="96" t="s">
        <v>2577</v>
      </c>
      <c r="C1469" s="97">
        <v>539725</v>
      </c>
      <c r="D1469" s="96" t="s">
        <v>2578</v>
      </c>
      <c r="E1469" s="96" t="s">
        <v>637</v>
      </c>
    </row>
    <row r="1470" spans="2:5" ht="15" customHeight="1" thickBot="1" x14ac:dyDescent="0.35">
      <c r="B1470" s="96" t="s">
        <v>2579</v>
      </c>
      <c r="C1470" s="97">
        <v>532980</v>
      </c>
      <c r="D1470" s="96" t="s">
        <v>2580</v>
      </c>
      <c r="E1470" s="96" t="s">
        <v>637</v>
      </c>
    </row>
    <row r="1471" spans="2:5" ht="15" customHeight="1" thickBot="1" x14ac:dyDescent="0.35">
      <c r="B1471" s="96" t="s">
        <v>2581</v>
      </c>
      <c r="C1471" s="97">
        <v>780012</v>
      </c>
      <c r="D1471" s="96" t="s">
        <v>388</v>
      </c>
      <c r="E1471" s="96" t="s">
        <v>479</v>
      </c>
    </row>
    <row r="1472" spans="2:5" ht="15" customHeight="1" thickBot="1" x14ac:dyDescent="0.35">
      <c r="B1472" s="96" t="s">
        <v>2582</v>
      </c>
      <c r="C1472" s="97">
        <v>538542</v>
      </c>
      <c r="D1472" s="96" t="s">
        <v>388</v>
      </c>
      <c r="E1472" s="96" t="s">
        <v>448</v>
      </c>
    </row>
    <row r="1473" spans="2:5" ht="15" customHeight="1" thickBot="1" x14ac:dyDescent="0.35">
      <c r="B1473" s="96" t="s">
        <v>2583</v>
      </c>
      <c r="C1473" s="97">
        <v>538180</v>
      </c>
      <c r="D1473" s="96" t="s">
        <v>2584</v>
      </c>
      <c r="E1473" s="96" t="s">
        <v>408</v>
      </c>
    </row>
    <row r="1474" spans="2:5" ht="15" customHeight="1" thickBot="1" x14ac:dyDescent="0.35">
      <c r="B1474" s="96" t="s">
        <v>2585</v>
      </c>
      <c r="C1474" s="97">
        <v>505576</v>
      </c>
      <c r="D1474" s="96" t="s">
        <v>388</v>
      </c>
      <c r="E1474" s="96" t="s">
        <v>405</v>
      </c>
    </row>
    <row r="1475" spans="2:5" ht="15" customHeight="1" thickBot="1" x14ac:dyDescent="0.35">
      <c r="B1475" s="96" t="s">
        <v>2586</v>
      </c>
      <c r="C1475" s="97">
        <v>531928</v>
      </c>
      <c r="D1475" s="96" t="s">
        <v>388</v>
      </c>
      <c r="E1475" s="96" t="s">
        <v>665</v>
      </c>
    </row>
    <row r="1476" spans="2:5" ht="15" customHeight="1" thickBot="1" x14ac:dyDescent="0.35">
      <c r="B1476" s="96" t="s">
        <v>2587</v>
      </c>
      <c r="C1476" s="97">
        <v>540062</v>
      </c>
      <c r="D1476" s="96" t="s">
        <v>388</v>
      </c>
      <c r="E1476" s="96" t="s">
        <v>493</v>
      </c>
    </row>
    <row r="1477" spans="2:5" ht="15" customHeight="1" thickBot="1" x14ac:dyDescent="0.35">
      <c r="B1477" s="96" t="s">
        <v>2588</v>
      </c>
      <c r="C1477" s="97">
        <v>530579</v>
      </c>
      <c r="D1477" s="96" t="s">
        <v>388</v>
      </c>
      <c r="E1477" s="96" t="s">
        <v>405</v>
      </c>
    </row>
    <row r="1478" spans="2:5" ht="15" customHeight="1" thickBot="1" x14ac:dyDescent="0.35">
      <c r="B1478" s="96" t="s">
        <v>2589</v>
      </c>
      <c r="C1478" s="97">
        <v>500151</v>
      </c>
      <c r="D1478" s="96" t="s">
        <v>2590</v>
      </c>
      <c r="E1478" s="96" t="s">
        <v>2558</v>
      </c>
    </row>
    <row r="1479" spans="2:5" ht="15" customHeight="1" thickBot="1" x14ac:dyDescent="0.35">
      <c r="B1479" s="96" t="s">
        <v>2591</v>
      </c>
      <c r="C1479" s="97">
        <v>526729</v>
      </c>
      <c r="D1479" s="96" t="s">
        <v>2592</v>
      </c>
      <c r="E1479" s="96" t="s">
        <v>502</v>
      </c>
    </row>
    <row r="1480" spans="2:5" ht="15" customHeight="1" thickBot="1" x14ac:dyDescent="0.35">
      <c r="B1480" s="96" t="s">
        <v>2593</v>
      </c>
      <c r="C1480" s="96" t="s">
        <v>388</v>
      </c>
      <c r="D1480" s="96" t="s">
        <v>2594</v>
      </c>
      <c r="E1480" s="96" t="s">
        <v>399</v>
      </c>
    </row>
    <row r="1481" spans="2:5" ht="15" customHeight="1" thickBot="1" x14ac:dyDescent="0.35">
      <c r="B1481" s="96" t="s">
        <v>2595</v>
      </c>
      <c r="C1481" s="97">
        <v>531439</v>
      </c>
      <c r="D1481" s="96" t="s">
        <v>2596</v>
      </c>
      <c r="E1481" s="96" t="s">
        <v>374</v>
      </c>
    </row>
    <row r="1482" spans="2:5" ht="15" customHeight="1" thickBot="1" x14ac:dyDescent="0.35">
      <c r="B1482" s="96" t="s">
        <v>2597</v>
      </c>
      <c r="C1482" s="97">
        <v>531360</v>
      </c>
      <c r="D1482" s="96" t="s">
        <v>388</v>
      </c>
      <c r="E1482" s="96" t="s">
        <v>809</v>
      </c>
    </row>
    <row r="1483" spans="2:5" ht="15" customHeight="1" thickBot="1" x14ac:dyDescent="0.35">
      <c r="B1483" s="96" t="s">
        <v>2598</v>
      </c>
      <c r="C1483" s="97">
        <v>513309</v>
      </c>
      <c r="D1483" s="96" t="s">
        <v>388</v>
      </c>
      <c r="E1483" s="96" t="s">
        <v>693</v>
      </c>
    </row>
    <row r="1484" spans="2:5" ht="15" customHeight="1" thickBot="1" x14ac:dyDescent="0.35">
      <c r="B1484" s="96" t="s">
        <v>2599</v>
      </c>
      <c r="C1484" s="97">
        <v>523676</v>
      </c>
      <c r="D1484" s="96" t="s">
        <v>388</v>
      </c>
      <c r="E1484" s="96" t="s">
        <v>502</v>
      </c>
    </row>
    <row r="1485" spans="2:5" ht="15" customHeight="1" thickBot="1" x14ac:dyDescent="0.35">
      <c r="B1485" s="96" t="s">
        <v>2600</v>
      </c>
      <c r="C1485" s="97">
        <v>530655</v>
      </c>
      <c r="D1485" s="96" t="s">
        <v>2601</v>
      </c>
      <c r="E1485" s="96" t="s">
        <v>711</v>
      </c>
    </row>
    <row r="1486" spans="2:5" ht="15" customHeight="1" thickBot="1" x14ac:dyDescent="0.35">
      <c r="B1486" s="96" t="s">
        <v>2602</v>
      </c>
      <c r="C1486" s="97">
        <v>530655</v>
      </c>
      <c r="D1486" s="96" t="s">
        <v>2601</v>
      </c>
      <c r="E1486" s="96" t="s">
        <v>711</v>
      </c>
    </row>
    <row r="1487" spans="2:5" ht="15" customHeight="1" thickBot="1" x14ac:dyDescent="0.35">
      <c r="B1487" s="96" t="s">
        <v>2603</v>
      </c>
      <c r="C1487" s="97">
        <v>500166</v>
      </c>
      <c r="D1487" s="96" t="s">
        <v>388</v>
      </c>
      <c r="E1487" s="96" t="s">
        <v>795</v>
      </c>
    </row>
    <row r="1488" spans="2:5" ht="15" customHeight="1" thickBot="1" x14ac:dyDescent="0.35">
      <c r="B1488" s="96" t="s">
        <v>2604</v>
      </c>
      <c r="C1488" s="97">
        <v>500168</v>
      </c>
      <c r="D1488" s="96" t="s">
        <v>388</v>
      </c>
      <c r="E1488" s="96" t="s">
        <v>868</v>
      </c>
    </row>
    <row r="1489" spans="2:5" ht="15" customHeight="1" thickBot="1" x14ac:dyDescent="0.35">
      <c r="B1489" s="96" t="s">
        <v>2605</v>
      </c>
      <c r="C1489" s="97">
        <v>500168</v>
      </c>
      <c r="D1489" s="96" t="s">
        <v>388</v>
      </c>
      <c r="E1489" s="96" t="s">
        <v>868</v>
      </c>
    </row>
    <row r="1490" spans="2:5" ht="15" customHeight="1" thickBot="1" x14ac:dyDescent="0.35">
      <c r="B1490" s="96" t="s">
        <v>2606</v>
      </c>
      <c r="C1490" s="97">
        <v>531913</v>
      </c>
      <c r="D1490" s="96" t="s">
        <v>388</v>
      </c>
      <c r="E1490" s="96" t="s">
        <v>711</v>
      </c>
    </row>
    <row r="1491" spans="2:5" ht="15" customHeight="1" thickBot="1" x14ac:dyDescent="0.35">
      <c r="B1491" s="96" t="s">
        <v>2607</v>
      </c>
      <c r="C1491" s="97">
        <v>526717</v>
      </c>
      <c r="D1491" s="96" t="s">
        <v>388</v>
      </c>
      <c r="E1491" s="96" t="s">
        <v>583</v>
      </c>
    </row>
    <row r="1492" spans="2:5" ht="15" customHeight="1" thickBot="1" x14ac:dyDescent="0.35">
      <c r="B1492" s="96" t="s">
        <v>2608</v>
      </c>
      <c r="C1492" s="97">
        <v>531608</v>
      </c>
      <c r="D1492" s="96" t="s">
        <v>388</v>
      </c>
      <c r="E1492" s="96" t="s">
        <v>1433</v>
      </c>
    </row>
    <row r="1493" spans="2:5" ht="15" customHeight="1" thickBot="1" x14ac:dyDescent="0.35">
      <c r="B1493" s="96" t="s">
        <v>2609</v>
      </c>
      <c r="C1493" s="97">
        <v>531111</v>
      </c>
      <c r="D1493" s="96" t="s">
        <v>388</v>
      </c>
      <c r="E1493" s="96" t="s">
        <v>1433</v>
      </c>
    </row>
    <row r="1494" spans="2:5" ht="15" customHeight="1" thickBot="1" x14ac:dyDescent="0.35">
      <c r="B1494" s="96" t="s">
        <v>2610</v>
      </c>
      <c r="C1494" s="97">
        <v>531111</v>
      </c>
      <c r="D1494" s="96" t="s">
        <v>388</v>
      </c>
      <c r="E1494" s="96" t="s">
        <v>1433</v>
      </c>
    </row>
    <row r="1495" spans="2:5" ht="15" customHeight="1" thickBot="1" x14ac:dyDescent="0.35">
      <c r="B1495" s="96" t="s">
        <v>2611</v>
      </c>
      <c r="C1495" s="97">
        <v>509148</v>
      </c>
      <c r="D1495" s="96" t="s">
        <v>388</v>
      </c>
      <c r="E1495" s="96" t="s">
        <v>868</v>
      </c>
    </row>
    <row r="1496" spans="2:5" ht="15" customHeight="1" thickBot="1" x14ac:dyDescent="0.35">
      <c r="B1496" s="96" t="s">
        <v>2612</v>
      </c>
      <c r="C1496" s="97">
        <v>530709</v>
      </c>
      <c r="D1496" s="96" t="s">
        <v>388</v>
      </c>
      <c r="E1496" s="96" t="s">
        <v>405</v>
      </c>
    </row>
    <row r="1497" spans="2:5" ht="15" customHeight="1" thickBot="1" x14ac:dyDescent="0.35">
      <c r="B1497" s="96" t="s">
        <v>2613</v>
      </c>
      <c r="C1497" s="97">
        <v>530663</v>
      </c>
      <c r="D1497" s="96" t="s">
        <v>388</v>
      </c>
      <c r="E1497" s="96" t="s">
        <v>371</v>
      </c>
    </row>
    <row r="1498" spans="2:5" ht="15" customHeight="1" thickBot="1" x14ac:dyDescent="0.35">
      <c r="B1498" s="96" t="s">
        <v>2614</v>
      </c>
      <c r="C1498" s="97">
        <v>532543</v>
      </c>
      <c r="D1498" s="96" t="s">
        <v>2615</v>
      </c>
      <c r="E1498" s="96" t="s">
        <v>598</v>
      </c>
    </row>
    <row r="1499" spans="2:5" ht="15" customHeight="1" thickBot="1" x14ac:dyDescent="0.35">
      <c r="B1499" s="96" t="s">
        <v>2616</v>
      </c>
      <c r="C1499" s="97">
        <v>533761</v>
      </c>
      <c r="D1499" s="96" t="s">
        <v>2617</v>
      </c>
      <c r="E1499" s="96" t="s">
        <v>786</v>
      </c>
    </row>
    <row r="1500" spans="2:5" ht="15" customHeight="1" thickBot="1" x14ac:dyDescent="0.35">
      <c r="B1500" s="96" t="s">
        <v>2618</v>
      </c>
      <c r="C1500" s="97">
        <v>780002</v>
      </c>
      <c r="D1500" s="96" t="s">
        <v>388</v>
      </c>
      <c r="E1500" s="96" t="s">
        <v>479</v>
      </c>
    </row>
    <row r="1501" spans="2:5" ht="15" customHeight="1" thickBot="1" x14ac:dyDescent="0.35">
      <c r="B1501" s="96" t="s">
        <v>2619</v>
      </c>
      <c r="C1501" s="97">
        <v>590126</v>
      </c>
      <c r="D1501" s="96" t="s">
        <v>388</v>
      </c>
      <c r="E1501" s="96" t="s">
        <v>1990</v>
      </c>
    </row>
    <row r="1502" spans="2:5" ht="15" customHeight="1" thickBot="1" x14ac:dyDescent="0.35">
      <c r="B1502" s="96" t="s">
        <v>2620</v>
      </c>
      <c r="C1502" s="97">
        <v>539235</v>
      </c>
      <c r="D1502" s="96" t="s">
        <v>388</v>
      </c>
      <c r="E1502" s="96" t="s">
        <v>795</v>
      </c>
    </row>
    <row r="1503" spans="2:5" ht="15" customHeight="1" thickBot="1" x14ac:dyDescent="0.35">
      <c r="B1503" s="96" t="s">
        <v>2621</v>
      </c>
      <c r="C1503" s="97">
        <v>532482</v>
      </c>
      <c r="D1503" s="96" t="s">
        <v>2622</v>
      </c>
      <c r="E1503" s="96" t="s">
        <v>426</v>
      </c>
    </row>
    <row r="1504" spans="2:5" ht="15" customHeight="1" thickBot="1" x14ac:dyDescent="0.35">
      <c r="B1504" s="96" t="s">
        <v>2623</v>
      </c>
      <c r="C1504" s="97">
        <v>532482</v>
      </c>
      <c r="D1504" s="96" t="s">
        <v>2622</v>
      </c>
      <c r="E1504" s="96" t="s">
        <v>426</v>
      </c>
    </row>
    <row r="1505" spans="2:5" ht="15" customHeight="1" thickBot="1" x14ac:dyDescent="0.35">
      <c r="B1505" s="96" t="s">
        <v>2624</v>
      </c>
      <c r="C1505" s="97">
        <v>509488</v>
      </c>
      <c r="D1505" s="96" t="s">
        <v>2625</v>
      </c>
      <c r="E1505" s="96" t="s">
        <v>573</v>
      </c>
    </row>
    <row r="1506" spans="2:5" ht="15" customHeight="1" thickBot="1" x14ac:dyDescent="0.35">
      <c r="B1506" s="96" t="s">
        <v>2626</v>
      </c>
      <c r="C1506" s="97">
        <v>509488</v>
      </c>
      <c r="D1506" s="96" t="s">
        <v>2625</v>
      </c>
      <c r="E1506" s="96" t="s">
        <v>573</v>
      </c>
    </row>
    <row r="1507" spans="2:5" ht="15" customHeight="1" thickBot="1" x14ac:dyDescent="0.35">
      <c r="B1507" s="96" t="s">
        <v>2627</v>
      </c>
      <c r="C1507" s="97">
        <v>500300</v>
      </c>
      <c r="D1507" s="96" t="s">
        <v>2628</v>
      </c>
      <c r="E1507" s="96" t="s">
        <v>401</v>
      </c>
    </row>
    <row r="1508" spans="2:5" ht="15" customHeight="1" thickBot="1" x14ac:dyDescent="0.35">
      <c r="B1508" s="96" t="s">
        <v>2629</v>
      </c>
      <c r="C1508" s="97">
        <v>526751</v>
      </c>
      <c r="D1508" s="96" t="s">
        <v>388</v>
      </c>
      <c r="E1508" s="96" t="s">
        <v>382</v>
      </c>
    </row>
    <row r="1509" spans="2:5" ht="15" customHeight="1" thickBot="1" x14ac:dyDescent="0.35">
      <c r="B1509" s="96" t="s">
        <v>2630</v>
      </c>
      <c r="C1509" s="97">
        <v>505710</v>
      </c>
      <c r="D1509" s="96" t="s">
        <v>388</v>
      </c>
      <c r="E1509" s="96" t="s">
        <v>436</v>
      </c>
    </row>
    <row r="1510" spans="2:5" ht="15" customHeight="1" thickBot="1" x14ac:dyDescent="0.35">
      <c r="B1510" s="96" t="s">
        <v>2631</v>
      </c>
      <c r="C1510" s="97">
        <v>505710</v>
      </c>
      <c r="D1510" s="96" t="s">
        <v>388</v>
      </c>
      <c r="E1510" s="96" t="s">
        <v>436</v>
      </c>
    </row>
    <row r="1511" spans="2:5" ht="15" customHeight="1" thickBot="1" x14ac:dyDescent="0.35">
      <c r="B1511" s="96" t="s">
        <v>2632</v>
      </c>
      <c r="C1511" s="97">
        <v>509546</v>
      </c>
      <c r="D1511" s="96" t="s">
        <v>388</v>
      </c>
      <c r="E1511" s="96" t="s">
        <v>589</v>
      </c>
    </row>
    <row r="1512" spans="2:5" ht="15" customHeight="1" thickBot="1" x14ac:dyDescent="0.35">
      <c r="B1512" s="96" t="s">
        <v>2633</v>
      </c>
      <c r="C1512" s="97">
        <v>533282</v>
      </c>
      <c r="D1512" s="96" t="s">
        <v>2634</v>
      </c>
      <c r="E1512" s="96" t="s">
        <v>2635</v>
      </c>
    </row>
    <row r="1513" spans="2:5" ht="15" customHeight="1" thickBot="1" x14ac:dyDescent="0.35">
      <c r="B1513" s="96" t="s">
        <v>2636</v>
      </c>
      <c r="C1513" s="97">
        <v>533282</v>
      </c>
      <c r="D1513" s="96" t="s">
        <v>2634</v>
      </c>
      <c r="E1513" s="96" t="s">
        <v>2635</v>
      </c>
    </row>
    <row r="1514" spans="2:5" ht="15" customHeight="1" thickBot="1" x14ac:dyDescent="0.35">
      <c r="B1514" s="96" t="s">
        <v>2637</v>
      </c>
      <c r="C1514" s="97">
        <v>532015</v>
      </c>
      <c r="D1514" s="96" t="s">
        <v>388</v>
      </c>
      <c r="E1514" s="96" t="s">
        <v>403</v>
      </c>
    </row>
    <row r="1515" spans="2:5" ht="15" customHeight="1" thickBot="1" x14ac:dyDescent="0.35">
      <c r="B1515" s="96" t="s">
        <v>2638</v>
      </c>
      <c r="C1515" s="97">
        <v>532015</v>
      </c>
      <c r="D1515" s="96" t="s">
        <v>388</v>
      </c>
      <c r="E1515" s="96" t="s">
        <v>403</v>
      </c>
    </row>
    <row r="1516" spans="2:5" ht="15" customHeight="1" thickBot="1" x14ac:dyDescent="0.35">
      <c r="B1516" s="96" t="s">
        <v>2639</v>
      </c>
      <c r="C1516" s="97">
        <v>501455</v>
      </c>
      <c r="D1516" s="96" t="s">
        <v>2640</v>
      </c>
      <c r="E1516" s="96" t="s">
        <v>396</v>
      </c>
    </row>
    <row r="1517" spans="2:5" ht="15" customHeight="1" thickBot="1" x14ac:dyDescent="0.35">
      <c r="B1517" s="96" t="s">
        <v>2641</v>
      </c>
      <c r="C1517" s="97">
        <v>531737</v>
      </c>
      <c r="D1517" s="96" t="s">
        <v>388</v>
      </c>
      <c r="E1517" s="96" t="s">
        <v>809</v>
      </c>
    </row>
    <row r="1518" spans="2:5" ht="15" customHeight="1" thickBot="1" x14ac:dyDescent="0.35">
      <c r="B1518" s="96" t="s">
        <v>2642</v>
      </c>
      <c r="C1518" s="97">
        <v>538979</v>
      </c>
      <c r="D1518" s="96" t="s">
        <v>2643</v>
      </c>
      <c r="E1518" s="96" t="s">
        <v>665</v>
      </c>
    </row>
    <row r="1519" spans="2:5" ht="15" customHeight="1" thickBot="1" x14ac:dyDescent="0.35">
      <c r="B1519" s="96" t="s">
        <v>2644</v>
      </c>
      <c r="C1519" s="97">
        <v>526797</v>
      </c>
      <c r="D1519" s="96" t="s">
        <v>2645</v>
      </c>
      <c r="E1519" s="96" t="s">
        <v>883</v>
      </c>
    </row>
    <row r="1520" spans="2:5" ht="15" customHeight="1" thickBot="1" x14ac:dyDescent="0.35">
      <c r="B1520" s="96" t="s">
        <v>2646</v>
      </c>
      <c r="C1520" s="96" t="s">
        <v>388</v>
      </c>
      <c r="D1520" s="96" t="s">
        <v>2647</v>
      </c>
      <c r="E1520" s="96" t="s">
        <v>399</v>
      </c>
    </row>
    <row r="1521" spans="2:5" ht="15" customHeight="1" thickBot="1" x14ac:dyDescent="0.35">
      <c r="B1521" s="96" t="s">
        <v>2648</v>
      </c>
      <c r="C1521" s="97">
        <v>508918</v>
      </c>
      <c r="D1521" s="96" t="s">
        <v>388</v>
      </c>
      <c r="E1521" s="96" t="s">
        <v>493</v>
      </c>
    </row>
    <row r="1522" spans="2:5" ht="15" customHeight="1" thickBot="1" x14ac:dyDescent="0.35">
      <c r="B1522" s="96" t="s">
        <v>2649</v>
      </c>
      <c r="C1522" s="97">
        <v>506076</v>
      </c>
      <c r="D1522" s="96" t="s">
        <v>2650</v>
      </c>
      <c r="E1522" s="96" t="s">
        <v>1307</v>
      </c>
    </row>
    <row r="1523" spans="2:5" ht="15" customHeight="1" thickBot="1" x14ac:dyDescent="0.35">
      <c r="B1523" s="96" t="s">
        <v>2651</v>
      </c>
      <c r="C1523" s="97">
        <v>531449</v>
      </c>
      <c r="D1523" s="96" t="s">
        <v>388</v>
      </c>
      <c r="E1523" s="96" t="s">
        <v>586</v>
      </c>
    </row>
    <row r="1524" spans="2:5" ht="15" customHeight="1" thickBot="1" x14ac:dyDescent="0.35">
      <c r="B1524" s="96" t="s">
        <v>2652</v>
      </c>
      <c r="C1524" s="97">
        <v>501314</v>
      </c>
      <c r="D1524" s="96" t="s">
        <v>388</v>
      </c>
      <c r="E1524" s="96" t="s">
        <v>410</v>
      </c>
    </row>
    <row r="1525" spans="2:5" ht="15" customHeight="1" thickBot="1" x14ac:dyDescent="0.35">
      <c r="B1525" s="96" t="s">
        <v>2653</v>
      </c>
      <c r="C1525" s="97">
        <v>539522</v>
      </c>
      <c r="D1525" s="96" t="s">
        <v>388</v>
      </c>
      <c r="E1525" s="96" t="s">
        <v>834</v>
      </c>
    </row>
    <row r="1526" spans="2:5" ht="15" customHeight="1" thickBot="1" x14ac:dyDescent="0.35">
      <c r="B1526" s="96" t="s">
        <v>2654</v>
      </c>
      <c r="C1526" s="97">
        <v>539522</v>
      </c>
      <c r="D1526" s="96" t="s">
        <v>388</v>
      </c>
      <c r="E1526" s="96" t="s">
        <v>834</v>
      </c>
    </row>
    <row r="1527" spans="2:5" ht="15" customHeight="1" thickBot="1" x14ac:dyDescent="0.35">
      <c r="B1527" s="96" t="s">
        <v>2655</v>
      </c>
      <c r="C1527" s="97">
        <v>509152</v>
      </c>
      <c r="D1527" s="96" t="s">
        <v>2656</v>
      </c>
      <c r="E1527" s="96" t="s">
        <v>868</v>
      </c>
    </row>
    <row r="1528" spans="2:5" ht="15" customHeight="1" thickBot="1" x14ac:dyDescent="0.35">
      <c r="B1528" s="96" t="s">
        <v>2657</v>
      </c>
      <c r="C1528" s="97">
        <v>511288</v>
      </c>
      <c r="D1528" s="96" t="s">
        <v>2658</v>
      </c>
      <c r="E1528" s="96" t="s">
        <v>446</v>
      </c>
    </row>
    <row r="1529" spans="2:5" ht="15" customHeight="1" thickBot="1" x14ac:dyDescent="0.35">
      <c r="B1529" s="96" t="s">
        <v>2659</v>
      </c>
      <c r="C1529" s="97">
        <v>511543</v>
      </c>
      <c r="D1529" s="96" t="s">
        <v>388</v>
      </c>
      <c r="E1529" s="96" t="s">
        <v>405</v>
      </c>
    </row>
    <row r="1530" spans="2:5" ht="15" customHeight="1" thickBot="1" x14ac:dyDescent="0.35">
      <c r="B1530" s="96" t="s">
        <v>2660</v>
      </c>
      <c r="C1530" s="97">
        <v>530605</v>
      </c>
      <c r="D1530" s="96" t="s">
        <v>388</v>
      </c>
      <c r="E1530" s="96" t="s">
        <v>403</v>
      </c>
    </row>
    <row r="1531" spans="2:5" ht="15" customHeight="1" thickBot="1" x14ac:dyDescent="0.35">
      <c r="B1531" s="96" t="s">
        <v>2661</v>
      </c>
      <c r="C1531" s="97">
        <v>530469</v>
      </c>
      <c r="D1531" s="96" t="s">
        <v>388</v>
      </c>
      <c r="E1531" s="96" t="s">
        <v>405</v>
      </c>
    </row>
    <row r="1532" spans="2:5" ht="15" customHeight="1" thickBot="1" x14ac:dyDescent="0.35">
      <c r="B1532" s="96" t="s">
        <v>2662</v>
      </c>
      <c r="C1532" s="97">
        <v>532951</v>
      </c>
      <c r="D1532" s="96" t="s">
        <v>2663</v>
      </c>
      <c r="E1532" s="96" t="s">
        <v>374</v>
      </c>
    </row>
    <row r="1533" spans="2:5" ht="15" customHeight="1" thickBot="1" x14ac:dyDescent="0.35">
      <c r="B1533" s="96" t="s">
        <v>2664</v>
      </c>
      <c r="C1533" s="97">
        <v>532139</v>
      </c>
      <c r="D1533" s="96" t="s">
        <v>388</v>
      </c>
      <c r="E1533" s="96" t="s">
        <v>718</v>
      </c>
    </row>
    <row r="1534" spans="2:5" ht="15" customHeight="1" thickBot="1" x14ac:dyDescent="0.35">
      <c r="B1534" s="96" t="s">
        <v>2665</v>
      </c>
      <c r="C1534" s="97">
        <v>532775</v>
      </c>
      <c r="D1534" s="96" t="s">
        <v>2666</v>
      </c>
      <c r="E1534" s="96" t="s">
        <v>534</v>
      </c>
    </row>
    <row r="1535" spans="2:5" ht="15" customHeight="1" thickBot="1" x14ac:dyDescent="0.35">
      <c r="B1535" s="96" t="s">
        <v>2667</v>
      </c>
      <c r="C1535" s="97">
        <v>500160</v>
      </c>
      <c r="D1535" s="96" t="s">
        <v>2668</v>
      </c>
      <c r="E1535" s="96" t="s">
        <v>1334</v>
      </c>
    </row>
    <row r="1536" spans="2:5" ht="15" customHeight="1" thickBot="1" x14ac:dyDescent="0.35">
      <c r="B1536" s="96" t="s">
        <v>2669</v>
      </c>
      <c r="C1536" s="97">
        <v>500170</v>
      </c>
      <c r="D1536" s="96" t="s">
        <v>2670</v>
      </c>
      <c r="E1536" s="96" t="s">
        <v>403</v>
      </c>
    </row>
    <row r="1537" spans="2:5" ht="15" customHeight="1" thickBot="1" x14ac:dyDescent="0.35">
      <c r="B1537" s="96" t="s">
        <v>2671</v>
      </c>
      <c r="C1537" s="97">
        <v>532744</v>
      </c>
      <c r="D1537" s="96" t="s">
        <v>2672</v>
      </c>
      <c r="E1537" s="96" t="s">
        <v>403</v>
      </c>
    </row>
    <row r="1538" spans="2:5" ht="15" customHeight="1" thickBot="1" x14ac:dyDescent="0.35">
      <c r="B1538" s="96" t="s">
        <v>2673</v>
      </c>
      <c r="C1538" s="97">
        <v>540602</v>
      </c>
      <c r="D1538" s="96" t="s">
        <v>2674</v>
      </c>
      <c r="E1538" s="96" t="s">
        <v>1334</v>
      </c>
    </row>
    <row r="1539" spans="2:5" ht="15" customHeight="1" thickBot="1" x14ac:dyDescent="0.35">
      <c r="B1539" s="96" t="s">
        <v>2675</v>
      </c>
      <c r="C1539" s="97">
        <v>539479</v>
      </c>
      <c r="D1539" s="96" t="s">
        <v>388</v>
      </c>
      <c r="E1539" s="96" t="s">
        <v>396</v>
      </c>
    </row>
    <row r="1540" spans="2:5" ht="15" customHeight="1" thickBot="1" x14ac:dyDescent="0.35">
      <c r="B1540" s="96" t="s">
        <v>2676</v>
      </c>
      <c r="C1540" s="97">
        <v>509079</v>
      </c>
      <c r="D1540" s="96" t="s">
        <v>2677</v>
      </c>
      <c r="E1540" s="96" t="s">
        <v>426</v>
      </c>
    </row>
    <row r="1541" spans="2:5" ht="15" customHeight="1" thickBot="1" x14ac:dyDescent="0.35">
      <c r="B1541" s="96" t="s">
        <v>2678</v>
      </c>
      <c r="C1541" s="97">
        <v>530001</v>
      </c>
      <c r="D1541" s="96" t="s">
        <v>2679</v>
      </c>
      <c r="E1541" s="96" t="s">
        <v>436</v>
      </c>
    </row>
    <row r="1542" spans="2:5" ht="15" customHeight="1" thickBot="1" x14ac:dyDescent="0.35">
      <c r="B1542" s="96" t="s">
        <v>2680</v>
      </c>
      <c r="C1542" s="97">
        <v>524226</v>
      </c>
      <c r="D1542" s="96" t="s">
        <v>2681</v>
      </c>
      <c r="E1542" s="96" t="s">
        <v>586</v>
      </c>
    </row>
    <row r="1543" spans="2:5" ht="15" customHeight="1" thickBot="1" x14ac:dyDescent="0.35">
      <c r="B1543" s="96" t="s">
        <v>2682</v>
      </c>
      <c r="C1543" s="97">
        <v>522217</v>
      </c>
      <c r="D1543" s="96" t="s">
        <v>2683</v>
      </c>
      <c r="E1543" s="96" t="s">
        <v>466</v>
      </c>
    </row>
    <row r="1544" spans="2:5" ht="15" customHeight="1" thickBot="1" x14ac:dyDescent="0.35">
      <c r="B1544" s="96" t="s">
        <v>2684</v>
      </c>
      <c r="C1544" s="97">
        <v>523768</v>
      </c>
      <c r="D1544" s="96" t="s">
        <v>388</v>
      </c>
      <c r="E1544" s="96" t="s">
        <v>916</v>
      </c>
    </row>
    <row r="1545" spans="2:5" ht="15" customHeight="1" thickBot="1" x14ac:dyDescent="0.35">
      <c r="B1545" s="96" t="s">
        <v>2685</v>
      </c>
      <c r="C1545" s="97">
        <v>513507</v>
      </c>
      <c r="D1545" s="96" t="s">
        <v>388</v>
      </c>
      <c r="E1545" s="96" t="s">
        <v>711</v>
      </c>
    </row>
    <row r="1546" spans="2:5" ht="15" customHeight="1" thickBot="1" x14ac:dyDescent="0.35">
      <c r="B1546" s="96" t="s">
        <v>2686</v>
      </c>
      <c r="C1546" s="97">
        <v>514386</v>
      </c>
      <c r="D1546" s="96" t="s">
        <v>388</v>
      </c>
      <c r="E1546" s="96" t="s">
        <v>403</v>
      </c>
    </row>
    <row r="1547" spans="2:5" ht="15" customHeight="1" thickBot="1" x14ac:dyDescent="0.35">
      <c r="B1547" s="96" t="s">
        <v>2687</v>
      </c>
      <c r="C1547" s="97">
        <v>526965</v>
      </c>
      <c r="D1547" s="96" t="s">
        <v>388</v>
      </c>
      <c r="E1547" s="96" t="s">
        <v>583</v>
      </c>
    </row>
    <row r="1548" spans="2:5" ht="15" customHeight="1" thickBot="1" x14ac:dyDescent="0.35">
      <c r="B1548" s="96" t="s">
        <v>2688</v>
      </c>
      <c r="C1548" s="97">
        <v>511441</v>
      </c>
      <c r="D1548" s="96" t="s">
        <v>388</v>
      </c>
      <c r="E1548" s="96" t="s">
        <v>371</v>
      </c>
    </row>
    <row r="1549" spans="2:5" ht="15" customHeight="1" thickBot="1" x14ac:dyDescent="0.35">
      <c r="B1549" s="96" t="s">
        <v>2689</v>
      </c>
      <c r="C1549" s="97">
        <v>500173</v>
      </c>
      <c r="D1549" s="96" t="s">
        <v>2690</v>
      </c>
      <c r="E1549" s="96" t="s">
        <v>1423</v>
      </c>
    </row>
    <row r="1550" spans="2:5" ht="15" customHeight="1" thickBot="1" x14ac:dyDescent="0.35">
      <c r="B1550" s="96" t="s">
        <v>2691</v>
      </c>
      <c r="C1550" s="97">
        <v>531410</v>
      </c>
      <c r="D1550" s="96" t="s">
        <v>388</v>
      </c>
      <c r="E1550" s="96" t="s">
        <v>693</v>
      </c>
    </row>
    <row r="1551" spans="2:5" ht="15" customHeight="1" thickBot="1" x14ac:dyDescent="0.35">
      <c r="B1551" s="96" t="s">
        <v>2692</v>
      </c>
      <c r="C1551" s="97">
        <v>539336</v>
      </c>
      <c r="D1551" s="96" t="s">
        <v>2693</v>
      </c>
      <c r="E1551" s="96" t="s">
        <v>519</v>
      </c>
    </row>
    <row r="1552" spans="2:5" ht="15" customHeight="1" thickBot="1" x14ac:dyDescent="0.35">
      <c r="B1552" s="96" t="s">
        <v>2694</v>
      </c>
      <c r="C1552" s="97">
        <v>507960</v>
      </c>
      <c r="D1552" s="96" t="s">
        <v>388</v>
      </c>
      <c r="E1552" s="96" t="s">
        <v>589</v>
      </c>
    </row>
    <row r="1553" spans="2:5" ht="15" customHeight="1" thickBot="1" x14ac:dyDescent="0.35">
      <c r="B1553" s="96" t="s">
        <v>2695</v>
      </c>
      <c r="C1553" s="97">
        <v>540938</v>
      </c>
      <c r="D1553" s="96" t="s">
        <v>388</v>
      </c>
      <c r="E1553" s="96" t="s">
        <v>403</v>
      </c>
    </row>
    <row r="1554" spans="2:5" ht="15" customHeight="1" thickBot="1" x14ac:dyDescent="0.35">
      <c r="B1554" s="96" t="s">
        <v>2696</v>
      </c>
      <c r="C1554" s="97">
        <v>517300</v>
      </c>
      <c r="D1554" s="96" t="s">
        <v>2697</v>
      </c>
      <c r="E1554" s="96" t="s">
        <v>527</v>
      </c>
    </row>
    <row r="1555" spans="2:5" ht="15" customHeight="1" thickBot="1" x14ac:dyDescent="0.35">
      <c r="B1555" s="96" t="s">
        <v>2698</v>
      </c>
      <c r="C1555" s="97">
        <v>517372</v>
      </c>
      <c r="D1555" s="96" t="s">
        <v>388</v>
      </c>
      <c r="E1555" s="96" t="s">
        <v>1307</v>
      </c>
    </row>
    <row r="1556" spans="2:5" ht="15" customHeight="1" thickBot="1" x14ac:dyDescent="0.35">
      <c r="B1556" s="96" t="s">
        <v>2699</v>
      </c>
      <c r="C1556" s="97">
        <v>531341</v>
      </c>
      <c r="D1556" s="96" t="s">
        <v>388</v>
      </c>
      <c r="E1556" s="96" t="s">
        <v>405</v>
      </c>
    </row>
    <row r="1557" spans="2:5" ht="15" customHeight="1" thickBot="1" x14ac:dyDescent="0.35">
      <c r="B1557" s="96" t="s">
        <v>2700</v>
      </c>
      <c r="C1557" s="97">
        <v>500174</v>
      </c>
      <c r="D1557" s="96" t="s">
        <v>2701</v>
      </c>
      <c r="E1557" s="96" t="s">
        <v>405</v>
      </c>
    </row>
    <row r="1558" spans="2:5" ht="15" customHeight="1" thickBot="1" x14ac:dyDescent="0.35">
      <c r="B1558" s="96" t="s">
        <v>2702</v>
      </c>
      <c r="C1558" s="97">
        <v>524754</v>
      </c>
      <c r="D1558" s="96" t="s">
        <v>388</v>
      </c>
      <c r="E1558" s="96" t="s">
        <v>1352</v>
      </c>
    </row>
    <row r="1559" spans="2:5" ht="15" customHeight="1" thickBot="1" x14ac:dyDescent="0.35">
      <c r="B1559" s="96" t="s">
        <v>2703</v>
      </c>
      <c r="C1559" s="97">
        <v>531881</v>
      </c>
      <c r="D1559" s="96" t="s">
        <v>388</v>
      </c>
      <c r="E1559" s="96" t="s">
        <v>410</v>
      </c>
    </row>
    <row r="1560" spans="2:5" ht="15" customHeight="1" thickBot="1" x14ac:dyDescent="0.35">
      <c r="B1560" s="96" t="s">
        <v>2704</v>
      </c>
      <c r="C1560" s="97">
        <v>532181</v>
      </c>
      <c r="D1560" s="96" t="s">
        <v>2705</v>
      </c>
      <c r="E1560" s="96" t="s">
        <v>1066</v>
      </c>
    </row>
    <row r="1561" spans="2:5" ht="15" customHeight="1" thickBot="1" x14ac:dyDescent="0.35">
      <c r="B1561" s="96" t="s">
        <v>2706</v>
      </c>
      <c r="C1561" s="97">
        <v>500670</v>
      </c>
      <c r="D1561" s="96" t="s">
        <v>2707</v>
      </c>
      <c r="E1561" s="96" t="s">
        <v>896</v>
      </c>
    </row>
    <row r="1562" spans="2:5" ht="15" customHeight="1" thickBot="1" x14ac:dyDescent="0.35">
      <c r="B1562" s="96" t="s">
        <v>2708</v>
      </c>
      <c r="C1562" s="97">
        <v>513536</v>
      </c>
      <c r="D1562" s="96" t="s">
        <v>388</v>
      </c>
      <c r="E1562" s="96" t="s">
        <v>451</v>
      </c>
    </row>
    <row r="1563" spans="2:5" ht="15" customHeight="1" thickBot="1" x14ac:dyDescent="0.35">
      <c r="B1563" s="96" t="s">
        <v>2709</v>
      </c>
      <c r="C1563" s="97">
        <v>506858</v>
      </c>
      <c r="D1563" s="96" t="s">
        <v>388</v>
      </c>
      <c r="E1563" s="96" t="s">
        <v>765</v>
      </c>
    </row>
    <row r="1564" spans="2:5" ht="15" customHeight="1" thickBot="1" x14ac:dyDescent="0.35">
      <c r="B1564" s="96" t="s">
        <v>2710</v>
      </c>
      <c r="C1564" s="97">
        <v>533248</v>
      </c>
      <c r="D1564" s="96" t="s">
        <v>2711</v>
      </c>
      <c r="E1564" s="96" t="s">
        <v>524</v>
      </c>
    </row>
    <row r="1565" spans="2:5" ht="15" customHeight="1" thickBot="1" x14ac:dyDescent="0.35">
      <c r="B1565" s="96" t="s">
        <v>2712</v>
      </c>
      <c r="C1565" s="97">
        <v>517288</v>
      </c>
      <c r="D1565" s="96" t="s">
        <v>388</v>
      </c>
      <c r="E1565" s="96" t="s">
        <v>686</v>
      </c>
    </row>
    <row r="1566" spans="2:5" ht="15" customHeight="1" thickBot="1" x14ac:dyDescent="0.35">
      <c r="B1566" s="96" t="s">
        <v>2713</v>
      </c>
      <c r="C1566" s="97">
        <v>523836</v>
      </c>
      <c r="D1566" s="96" t="s">
        <v>2714</v>
      </c>
      <c r="E1566" s="96" t="s">
        <v>583</v>
      </c>
    </row>
    <row r="1567" spans="2:5" ht="15" customHeight="1" thickBot="1" x14ac:dyDescent="0.35">
      <c r="B1567" s="96" t="s">
        <v>2715</v>
      </c>
      <c r="C1567" s="97">
        <v>518029</v>
      </c>
      <c r="D1567" s="96" t="s">
        <v>2716</v>
      </c>
      <c r="E1567" s="96" t="s">
        <v>401</v>
      </c>
    </row>
    <row r="1568" spans="2:5" ht="15" customHeight="1" thickBot="1" x14ac:dyDescent="0.35">
      <c r="B1568" s="96" t="s">
        <v>2717</v>
      </c>
      <c r="C1568" s="97">
        <v>500690</v>
      </c>
      <c r="D1568" s="96" t="s">
        <v>2718</v>
      </c>
      <c r="E1568" s="96" t="s">
        <v>896</v>
      </c>
    </row>
    <row r="1569" spans="2:5" ht="15" customHeight="1" thickBot="1" x14ac:dyDescent="0.35">
      <c r="B1569" s="96" t="s">
        <v>2719</v>
      </c>
      <c r="C1569" s="97">
        <v>532160</v>
      </c>
      <c r="D1569" s="96" t="s">
        <v>388</v>
      </c>
      <c r="E1569" s="96" t="s">
        <v>2720</v>
      </c>
    </row>
    <row r="1570" spans="2:5" ht="15" customHeight="1" thickBot="1" x14ac:dyDescent="0.35">
      <c r="B1570" s="96" t="s">
        <v>2721</v>
      </c>
      <c r="C1570" s="97">
        <v>532702</v>
      </c>
      <c r="D1570" s="96" t="s">
        <v>2722</v>
      </c>
      <c r="E1570" s="96" t="s">
        <v>413</v>
      </c>
    </row>
    <row r="1571" spans="2:5" ht="15" customHeight="1" thickBot="1" x14ac:dyDescent="0.35">
      <c r="B1571" s="96" t="s">
        <v>2723</v>
      </c>
      <c r="C1571" s="97">
        <v>524314</v>
      </c>
      <c r="D1571" s="96" t="s">
        <v>388</v>
      </c>
      <c r="E1571" s="96" t="s">
        <v>426</v>
      </c>
    </row>
    <row r="1572" spans="2:5" ht="15" customHeight="1" thickBot="1" x14ac:dyDescent="0.35">
      <c r="B1572" s="96" t="s">
        <v>2724</v>
      </c>
      <c r="C1572" s="97">
        <v>506879</v>
      </c>
      <c r="D1572" s="96" t="s">
        <v>388</v>
      </c>
      <c r="E1572" s="96" t="s">
        <v>426</v>
      </c>
    </row>
    <row r="1573" spans="2:5" ht="15" customHeight="1" thickBot="1" x14ac:dyDescent="0.35">
      <c r="B1573" s="96" t="s">
        <v>2725</v>
      </c>
      <c r="C1573" s="97">
        <v>513337</v>
      </c>
      <c r="D1573" s="96" t="s">
        <v>388</v>
      </c>
      <c r="E1573" s="96" t="s">
        <v>508</v>
      </c>
    </row>
    <row r="1574" spans="2:5" ht="15" customHeight="1" thickBot="1" x14ac:dyDescent="0.35">
      <c r="B1574" s="96" t="s">
        <v>2726</v>
      </c>
      <c r="C1574" s="97">
        <v>506640</v>
      </c>
      <c r="D1574" s="96" t="s">
        <v>388</v>
      </c>
      <c r="E1574" s="96" t="s">
        <v>436</v>
      </c>
    </row>
    <row r="1575" spans="2:5" ht="15" customHeight="1" thickBot="1" x14ac:dyDescent="0.35">
      <c r="B1575" s="96" t="s">
        <v>2727</v>
      </c>
      <c r="C1575" s="97">
        <v>506640</v>
      </c>
      <c r="D1575" s="96" t="s">
        <v>388</v>
      </c>
      <c r="E1575" s="96" t="s">
        <v>436</v>
      </c>
    </row>
    <row r="1576" spans="2:5" ht="15" customHeight="1" thickBot="1" x14ac:dyDescent="0.35">
      <c r="B1576" s="96" t="s">
        <v>2728</v>
      </c>
      <c r="C1576" s="97">
        <v>538567</v>
      </c>
      <c r="D1576" s="96" t="s">
        <v>2729</v>
      </c>
      <c r="E1576" s="96" t="s">
        <v>598</v>
      </c>
    </row>
    <row r="1577" spans="2:5" ht="15" customHeight="1" thickBot="1" x14ac:dyDescent="0.35">
      <c r="B1577" s="96" t="s">
        <v>2730</v>
      </c>
      <c r="C1577" s="97">
        <v>538567</v>
      </c>
      <c r="D1577" s="96" t="s">
        <v>2729</v>
      </c>
      <c r="E1577" s="96" t="s">
        <v>598</v>
      </c>
    </row>
    <row r="1578" spans="2:5" ht="15" customHeight="1" thickBot="1" x14ac:dyDescent="0.35">
      <c r="B1578" s="96" t="s">
        <v>2731</v>
      </c>
      <c r="C1578" s="97">
        <v>532425</v>
      </c>
      <c r="D1578" s="96" t="s">
        <v>388</v>
      </c>
      <c r="E1578" s="96" t="s">
        <v>436</v>
      </c>
    </row>
    <row r="1579" spans="2:5" ht="15" customHeight="1" thickBot="1" x14ac:dyDescent="0.35">
      <c r="B1579" s="96" t="s">
        <v>2732</v>
      </c>
      <c r="C1579" s="97">
        <v>532457</v>
      </c>
      <c r="D1579" s="96" t="s">
        <v>2733</v>
      </c>
      <c r="E1579" s="96" t="s">
        <v>436</v>
      </c>
    </row>
    <row r="1580" spans="2:5" ht="15" customHeight="1" thickBot="1" x14ac:dyDescent="0.35">
      <c r="B1580" s="96" t="s">
        <v>2734</v>
      </c>
      <c r="C1580" s="97">
        <v>523277</v>
      </c>
      <c r="D1580" s="96" t="s">
        <v>388</v>
      </c>
      <c r="E1580" s="96" t="s">
        <v>391</v>
      </c>
    </row>
    <row r="1581" spans="2:5" ht="15" customHeight="1" thickBot="1" x14ac:dyDescent="0.35">
      <c r="B1581" s="96" t="s">
        <v>2735</v>
      </c>
      <c r="C1581" s="97">
        <v>532708</v>
      </c>
      <c r="D1581" s="96" t="s">
        <v>2736</v>
      </c>
      <c r="E1581" s="96" t="s">
        <v>527</v>
      </c>
    </row>
    <row r="1582" spans="2:5" ht="15" customHeight="1" thickBot="1" x14ac:dyDescent="0.35">
      <c r="B1582" s="96" t="s">
        <v>2737</v>
      </c>
      <c r="C1582" s="97">
        <v>530141</v>
      </c>
      <c r="D1582" s="96" t="s">
        <v>388</v>
      </c>
      <c r="E1582" s="96" t="s">
        <v>474</v>
      </c>
    </row>
    <row r="1583" spans="2:5" ht="15" customHeight="1" thickBot="1" x14ac:dyDescent="0.35">
      <c r="B1583" s="96" t="s">
        <v>2738</v>
      </c>
      <c r="C1583" s="97">
        <v>533275</v>
      </c>
      <c r="D1583" s="96" t="s">
        <v>2739</v>
      </c>
      <c r="E1583" s="96" t="s">
        <v>420</v>
      </c>
    </row>
    <row r="1584" spans="2:5" ht="15" customHeight="1" thickBot="1" x14ac:dyDescent="0.35">
      <c r="B1584" s="96" t="s">
        <v>2740</v>
      </c>
      <c r="C1584" s="97">
        <v>541019</v>
      </c>
      <c r="D1584" s="96" t="s">
        <v>2741</v>
      </c>
      <c r="E1584" s="96" t="s">
        <v>786</v>
      </c>
    </row>
    <row r="1585" spans="2:5" ht="15" customHeight="1" thickBot="1" x14ac:dyDescent="0.35">
      <c r="B1585" s="96" t="s">
        <v>2742</v>
      </c>
      <c r="C1585" s="97">
        <v>539337</v>
      </c>
      <c r="D1585" s="96" t="s">
        <v>388</v>
      </c>
      <c r="E1585" s="96" t="s">
        <v>583</v>
      </c>
    </row>
    <row r="1586" spans="2:5" ht="15" customHeight="1" thickBot="1" x14ac:dyDescent="0.35">
      <c r="B1586" s="96" t="s">
        <v>2743</v>
      </c>
      <c r="C1586" s="97">
        <v>502873</v>
      </c>
      <c r="D1586" s="96" t="s">
        <v>388</v>
      </c>
      <c r="E1586" s="96" t="s">
        <v>403</v>
      </c>
    </row>
    <row r="1587" spans="2:5" ht="15" customHeight="1" thickBot="1" x14ac:dyDescent="0.35">
      <c r="B1587" s="96" t="s">
        <v>2744</v>
      </c>
      <c r="C1587" s="97">
        <v>532145</v>
      </c>
      <c r="D1587" s="96" t="s">
        <v>388</v>
      </c>
      <c r="E1587" s="96" t="s">
        <v>589</v>
      </c>
    </row>
    <row r="1588" spans="2:5" ht="15" customHeight="1" thickBot="1" x14ac:dyDescent="0.35">
      <c r="B1588" s="96" t="s">
        <v>2745</v>
      </c>
      <c r="C1588" s="97">
        <v>532145</v>
      </c>
      <c r="D1588" s="96" t="s">
        <v>388</v>
      </c>
      <c r="E1588" s="96" t="s">
        <v>589</v>
      </c>
    </row>
    <row r="1589" spans="2:5" ht="15" customHeight="1" thickBot="1" x14ac:dyDescent="0.35">
      <c r="B1589" s="96" t="s">
        <v>2746</v>
      </c>
      <c r="C1589" s="97">
        <v>539854</v>
      </c>
      <c r="D1589" s="96" t="s">
        <v>388</v>
      </c>
      <c r="E1589" s="96" t="s">
        <v>586</v>
      </c>
    </row>
    <row r="1590" spans="2:5" ht="15" customHeight="1" thickBot="1" x14ac:dyDescent="0.35">
      <c r="B1590" s="96" t="s">
        <v>2747</v>
      </c>
      <c r="C1590" s="97">
        <v>515147</v>
      </c>
      <c r="D1590" s="96" t="s">
        <v>388</v>
      </c>
      <c r="E1590" s="96" t="s">
        <v>583</v>
      </c>
    </row>
    <row r="1591" spans="2:5" ht="15" customHeight="1" thickBot="1" x14ac:dyDescent="0.35">
      <c r="B1591" s="96" t="s">
        <v>2748</v>
      </c>
      <c r="C1591" s="97">
        <v>509597</v>
      </c>
      <c r="D1591" s="96" t="s">
        <v>388</v>
      </c>
      <c r="E1591" s="96" t="s">
        <v>548</v>
      </c>
    </row>
    <row r="1592" spans="2:5" ht="15" customHeight="1" thickBot="1" x14ac:dyDescent="0.35">
      <c r="B1592" s="96" t="s">
        <v>2749</v>
      </c>
      <c r="C1592" s="97">
        <v>531971</v>
      </c>
      <c r="D1592" s="96" t="s">
        <v>388</v>
      </c>
      <c r="E1592" s="96" t="s">
        <v>403</v>
      </c>
    </row>
    <row r="1593" spans="2:5" ht="15" customHeight="1" thickBot="1" x14ac:dyDescent="0.35">
      <c r="B1593" s="96" t="s">
        <v>2750</v>
      </c>
      <c r="C1593" s="97">
        <v>538081</v>
      </c>
      <c r="D1593" s="96" t="s">
        <v>388</v>
      </c>
      <c r="E1593" s="96" t="s">
        <v>403</v>
      </c>
    </row>
    <row r="1594" spans="2:5" ht="15" customHeight="1" thickBot="1" x14ac:dyDescent="0.35">
      <c r="B1594" s="96" t="s">
        <v>2751</v>
      </c>
      <c r="C1594" s="97">
        <v>512604</v>
      </c>
      <c r="D1594" s="96" t="s">
        <v>388</v>
      </c>
      <c r="E1594" s="96" t="s">
        <v>502</v>
      </c>
    </row>
    <row r="1595" spans="2:5" ht="15" customHeight="1" thickBot="1" x14ac:dyDescent="0.35">
      <c r="B1595" s="96" t="s">
        <v>2752</v>
      </c>
      <c r="C1595" s="97">
        <v>542682</v>
      </c>
      <c r="D1595" s="96" t="s">
        <v>2753</v>
      </c>
      <c r="E1595" s="96" t="s">
        <v>396</v>
      </c>
    </row>
    <row r="1596" spans="2:5" ht="15" customHeight="1" thickBot="1" x14ac:dyDescent="0.35">
      <c r="B1596" s="96" t="s">
        <v>2754</v>
      </c>
      <c r="C1596" s="97">
        <v>590043</v>
      </c>
      <c r="D1596" s="96" t="s">
        <v>2755</v>
      </c>
      <c r="E1596" s="96" t="s">
        <v>743</v>
      </c>
    </row>
    <row r="1597" spans="2:5" ht="15" customHeight="1" thickBot="1" x14ac:dyDescent="0.35">
      <c r="B1597" s="96" t="s">
        <v>2756</v>
      </c>
      <c r="C1597" s="97">
        <v>506024</v>
      </c>
      <c r="D1597" s="96" t="s">
        <v>388</v>
      </c>
      <c r="E1597" s="96" t="s">
        <v>420</v>
      </c>
    </row>
    <row r="1598" spans="2:5" ht="15" customHeight="1" thickBot="1" x14ac:dyDescent="0.35">
      <c r="B1598" s="96" t="s">
        <v>2757</v>
      </c>
      <c r="C1598" s="97">
        <v>526931</v>
      </c>
      <c r="D1598" s="96" t="s">
        <v>388</v>
      </c>
      <c r="E1598" s="96" t="s">
        <v>573</v>
      </c>
    </row>
    <row r="1599" spans="2:5" ht="15" customHeight="1" thickBot="1" x14ac:dyDescent="0.35">
      <c r="B1599" s="96" t="s">
        <v>2758</v>
      </c>
      <c r="C1599" s="97">
        <v>530055</v>
      </c>
      <c r="D1599" s="96" t="s">
        <v>388</v>
      </c>
      <c r="E1599" s="96" t="s">
        <v>809</v>
      </c>
    </row>
    <row r="1600" spans="2:5" ht="15" customHeight="1" thickBot="1" x14ac:dyDescent="0.35">
      <c r="B1600" s="96" t="s">
        <v>2759</v>
      </c>
      <c r="C1600" s="97">
        <v>500467</v>
      </c>
      <c r="D1600" s="96" t="s">
        <v>2760</v>
      </c>
      <c r="E1600" s="96" t="s">
        <v>868</v>
      </c>
    </row>
    <row r="1601" spans="2:5" ht="15" customHeight="1" thickBot="1" x14ac:dyDescent="0.35">
      <c r="B1601" s="96" t="s">
        <v>2761</v>
      </c>
      <c r="C1601" s="97">
        <v>532855</v>
      </c>
      <c r="D1601" s="96" t="s">
        <v>388</v>
      </c>
      <c r="E1601" s="96" t="s">
        <v>408</v>
      </c>
    </row>
    <row r="1602" spans="2:5" ht="15" customHeight="1" thickBot="1" x14ac:dyDescent="0.35">
      <c r="B1602" s="96" t="s">
        <v>2762</v>
      </c>
      <c r="C1602" s="97">
        <v>530927</v>
      </c>
      <c r="D1602" s="96" t="s">
        <v>388</v>
      </c>
      <c r="E1602" s="96" t="s">
        <v>2720</v>
      </c>
    </row>
    <row r="1603" spans="2:5" ht="15" customHeight="1" thickBot="1" x14ac:dyDescent="0.35">
      <c r="B1603" s="96" t="s">
        <v>2763</v>
      </c>
      <c r="C1603" s="97">
        <v>524080</v>
      </c>
      <c r="D1603" s="96" t="s">
        <v>388</v>
      </c>
      <c r="E1603" s="96" t="s">
        <v>436</v>
      </c>
    </row>
    <row r="1604" spans="2:5" ht="15" customHeight="1" thickBot="1" x14ac:dyDescent="0.35">
      <c r="B1604" s="96" t="s">
        <v>2764</v>
      </c>
      <c r="C1604" s="97">
        <v>780014</v>
      </c>
      <c r="D1604" s="96" t="s">
        <v>388</v>
      </c>
      <c r="E1604" s="96" t="s">
        <v>479</v>
      </c>
    </row>
    <row r="1605" spans="2:5" ht="15" customHeight="1" thickBot="1" x14ac:dyDescent="0.35">
      <c r="B1605" s="96" t="s">
        <v>2765</v>
      </c>
      <c r="C1605" s="97">
        <v>531387</v>
      </c>
      <c r="D1605" s="96" t="s">
        <v>388</v>
      </c>
      <c r="E1605" s="96" t="s">
        <v>405</v>
      </c>
    </row>
    <row r="1606" spans="2:5" ht="15" customHeight="1" thickBot="1" x14ac:dyDescent="0.35">
      <c r="B1606" s="96" t="s">
        <v>2766</v>
      </c>
      <c r="C1606" s="97">
        <v>509073</v>
      </c>
      <c r="D1606" s="96" t="s">
        <v>2767</v>
      </c>
      <c r="E1606" s="96" t="s">
        <v>2768</v>
      </c>
    </row>
    <row r="1607" spans="2:5" ht="15" customHeight="1" thickBot="1" x14ac:dyDescent="0.35">
      <c r="B1607" s="96" t="s">
        <v>2769</v>
      </c>
      <c r="C1607" s="97">
        <v>533162</v>
      </c>
      <c r="D1607" s="96" t="s">
        <v>2770</v>
      </c>
      <c r="E1607" s="96" t="s">
        <v>1126</v>
      </c>
    </row>
    <row r="1608" spans="2:5" ht="15" customHeight="1" thickBot="1" x14ac:dyDescent="0.35">
      <c r="B1608" s="96" t="s">
        <v>2771</v>
      </c>
      <c r="C1608" s="97">
        <v>531531</v>
      </c>
      <c r="D1608" s="96" t="s">
        <v>2772</v>
      </c>
      <c r="E1608" s="96" t="s">
        <v>448</v>
      </c>
    </row>
    <row r="1609" spans="2:5" ht="15" customHeight="1" thickBot="1" x14ac:dyDescent="0.35">
      <c r="B1609" s="96" t="s">
        <v>2773</v>
      </c>
      <c r="C1609" s="97">
        <v>517354</v>
      </c>
      <c r="D1609" s="96" t="s">
        <v>2774</v>
      </c>
      <c r="E1609" s="96" t="s">
        <v>686</v>
      </c>
    </row>
    <row r="1610" spans="2:5" ht="15" customHeight="1" thickBot="1" x14ac:dyDescent="0.35">
      <c r="B1610" s="96" t="s">
        <v>2775</v>
      </c>
      <c r="C1610" s="97">
        <v>517354</v>
      </c>
      <c r="D1610" s="96" t="s">
        <v>2774</v>
      </c>
      <c r="E1610" s="96" t="s">
        <v>686</v>
      </c>
    </row>
    <row r="1611" spans="2:5" ht="15" customHeight="1" thickBot="1" x14ac:dyDescent="0.35">
      <c r="B1611" s="96" t="s">
        <v>2776</v>
      </c>
      <c r="C1611" s="97">
        <v>539176</v>
      </c>
      <c r="D1611" s="96" t="s">
        <v>388</v>
      </c>
      <c r="E1611" s="96" t="s">
        <v>396</v>
      </c>
    </row>
    <row r="1612" spans="2:5" ht="15" customHeight="1" thickBot="1" x14ac:dyDescent="0.35">
      <c r="B1612" s="96" t="s">
        <v>2777</v>
      </c>
      <c r="C1612" s="97">
        <v>508486</v>
      </c>
      <c r="D1612" s="96" t="s">
        <v>388</v>
      </c>
      <c r="E1612" s="96" t="s">
        <v>1433</v>
      </c>
    </row>
    <row r="1613" spans="2:5" ht="15" customHeight="1" thickBot="1" x14ac:dyDescent="0.35">
      <c r="B1613" s="96" t="s">
        <v>2778</v>
      </c>
      <c r="C1613" s="97">
        <v>532467</v>
      </c>
      <c r="D1613" s="96" t="s">
        <v>388</v>
      </c>
      <c r="E1613" s="96" t="s">
        <v>391</v>
      </c>
    </row>
    <row r="1614" spans="2:5" ht="15" customHeight="1" thickBot="1" x14ac:dyDescent="0.35">
      <c r="B1614" s="96" t="s">
        <v>2779</v>
      </c>
      <c r="C1614" s="97">
        <v>532334</v>
      </c>
      <c r="D1614" s="96" t="s">
        <v>388</v>
      </c>
      <c r="E1614" s="96" t="s">
        <v>474</v>
      </c>
    </row>
    <row r="1615" spans="2:5" ht="15" customHeight="1" thickBot="1" x14ac:dyDescent="0.35">
      <c r="B1615" s="96" t="s">
        <v>2780</v>
      </c>
      <c r="C1615" s="97">
        <v>508956</v>
      </c>
      <c r="D1615" s="96" t="s">
        <v>388</v>
      </c>
      <c r="E1615" s="96" t="s">
        <v>405</v>
      </c>
    </row>
    <row r="1616" spans="2:5" ht="15" customHeight="1" thickBot="1" x14ac:dyDescent="0.35">
      <c r="B1616" s="96" t="s">
        <v>2781</v>
      </c>
      <c r="C1616" s="97">
        <v>532333</v>
      </c>
      <c r="D1616" s="96" t="s">
        <v>388</v>
      </c>
      <c r="E1616" s="96" t="s">
        <v>371</v>
      </c>
    </row>
    <row r="1617" spans="2:5" ht="15" customHeight="1" thickBot="1" x14ac:dyDescent="0.35">
      <c r="B1617" s="96" t="s">
        <v>2782</v>
      </c>
      <c r="C1617" s="97">
        <v>532216</v>
      </c>
      <c r="D1617" s="96" t="s">
        <v>2783</v>
      </c>
      <c r="E1617" s="96" t="s">
        <v>405</v>
      </c>
    </row>
    <row r="1618" spans="2:5" ht="15" customHeight="1" thickBot="1" x14ac:dyDescent="0.35">
      <c r="B1618" s="96" t="s">
        <v>2784</v>
      </c>
      <c r="C1618" s="97">
        <v>517271</v>
      </c>
      <c r="D1618" s="96" t="s">
        <v>2785</v>
      </c>
      <c r="E1618" s="96" t="s">
        <v>686</v>
      </c>
    </row>
    <row r="1619" spans="2:5" ht="15" customHeight="1" thickBot="1" x14ac:dyDescent="0.35">
      <c r="B1619" s="96" t="s">
        <v>2786</v>
      </c>
      <c r="C1619" s="97">
        <v>539224</v>
      </c>
      <c r="D1619" s="96" t="s">
        <v>388</v>
      </c>
      <c r="E1619" s="96" t="s">
        <v>377</v>
      </c>
    </row>
    <row r="1620" spans="2:5" ht="15" customHeight="1" thickBot="1" x14ac:dyDescent="0.35">
      <c r="B1620" s="96" t="s">
        <v>2787</v>
      </c>
      <c r="C1620" s="97">
        <v>500179</v>
      </c>
      <c r="D1620" s="96" t="s">
        <v>2788</v>
      </c>
      <c r="E1620" s="96" t="s">
        <v>713</v>
      </c>
    </row>
    <row r="1621" spans="2:5" ht="15" customHeight="1" thickBot="1" x14ac:dyDescent="0.35">
      <c r="B1621" s="96" t="s">
        <v>2789</v>
      </c>
      <c r="C1621" s="97">
        <v>532281</v>
      </c>
      <c r="D1621" s="96" t="s">
        <v>2790</v>
      </c>
      <c r="E1621" s="96" t="s">
        <v>374</v>
      </c>
    </row>
    <row r="1622" spans="2:5" ht="15" customHeight="1" thickBot="1" x14ac:dyDescent="0.35">
      <c r="B1622" s="96" t="s">
        <v>2791</v>
      </c>
      <c r="C1622" s="97">
        <v>541729</v>
      </c>
      <c r="D1622" s="96" t="s">
        <v>2792</v>
      </c>
      <c r="E1622" s="96" t="s">
        <v>2793</v>
      </c>
    </row>
    <row r="1623" spans="2:5" ht="15" customHeight="1" thickBot="1" x14ac:dyDescent="0.35">
      <c r="B1623" s="96" t="s">
        <v>2794</v>
      </c>
      <c r="C1623" s="97">
        <v>500180</v>
      </c>
      <c r="D1623" s="96" t="s">
        <v>2795</v>
      </c>
      <c r="E1623" s="96" t="s">
        <v>706</v>
      </c>
    </row>
    <row r="1624" spans="2:5" ht="15" customHeight="1" thickBot="1" x14ac:dyDescent="0.35">
      <c r="B1624" s="96" t="s">
        <v>2796</v>
      </c>
      <c r="C1624" s="97">
        <v>533230</v>
      </c>
      <c r="D1624" s="96" t="s">
        <v>2797</v>
      </c>
      <c r="E1624" s="96" t="s">
        <v>371</v>
      </c>
    </row>
    <row r="1625" spans="2:5" ht="15" customHeight="1" thickBot="1" x14ac:dyDescent="0.35">
      <c r="B1625" s="96" t="s">
        <v>2798</v>
      </c>
      <c r="C1625" s="97">
        <v>540777</v>
      </c>
      <c r="D1625" s="96" t="s">
        <v>2799</v>
      </c>
      <c r="E1625" s="96" t="s">
        <v>2800</v>
      </c>
    </row>
    <row r="1626" spans="2:5" ht="15" customHeight="1" thickBot="1" x14ac:dyDescent="0.35">
      <c r="B1626" s="96" t="s">
        <v>2801</v>
      </c>
      <c r="C1626" s="97">
        <v>539787</v>
      </c>
      <c r="D1626" s="96" t="s">
        <v>2802</v>
      </c>
      <c r="E1626" s="96" t="s">
        <v>858</v>
      </c>
    </row>
    <row r="1627" spans="2:5" ht="15" customHeight="1" thickBot="1" x14ac:dyDescent="0.35">
      <c r="B1627" s="96" t="s">
        <v>2803</v>
      </c>
      <c r="C1627" s="97">
        <v>503689</v>
      </c>
      <c r="D1627" s="96" t="s">
        <v>388</v>
      </c>
      <c r="E1627" s="96" t="s">
        <v>809</v>
      </c>
    </row>
    <row r="1628" spans="2:5" ht="15" customHeight="1" thickBot="1" x14ac:dyDescent="0.35">
      <c r="B1628" s="96" t="s">
        <v>2804</v>
      </c>
      <c r="C1628" s="96" t="s">
        <v>388</v>
      </c>
      <c r="D1628" s="96" t="s">
        <v>2805</v>
      </c>
      <c r="E1628" s="96" t="s">
        <v>399</v>
      </c>
    </row>
    <row r="1629" spans="2:5" ht="15" customHeight="1" thickBot="1" x14ac:dyDescent="0.35">
      <c r="B1629" s="96" t="s">
        <v>2806</v>
      </c>
      <c r="C1629" s="97">
        <v>526967</v>
      </c>
      <c r="D1629" s="96" t="s">
        <v>388</v>
      </c>
      <c r="E1629" s="96" t="s">
        <v>420</v>
      </c>
    </row>
    <row r="1630" spans="2:5" ht="15" customHeight="1" thickBot="1" x14ac:dyDescent="0.35">
      <c r="B1630" s="96" t="s">
        <v>2807</v>
      </c>
      <c r="C1630" s="97">
        <v>509631</v>
      </c>
      <c r="D1630" s="96" t="s">
        <v>2808</v>
      </c>
      <c r="E1630" s="96" t="s">
        <v>573</v>
      </c>
    </row>
    <row r="1631" spans="2:5" ht="15" customHeight="1" thickBot="1" x14ac:dyDescent="0.35">
      <c r="B1631" s="96" t="s">
        <v>2809</v>
      </c>
      <c r="C1631" s="97">
        <v>500292</v>
      </c>
      <c r="D1631" s="96" t="s">
        <v>2810</v>
      </c>
      <c r="E1631" s="96" t="s">
        <v>401</v>
      </c>
    </row>
    <row r="1632" spans="2:5" ht="15" customHeight="1" thickBot="1" x14ac:dyDescent="0.35">
      <c r="B1632" s="96" t="s">
        <v>2811</v>
      </c>
      <c r="C1632" s="97">
        <v>500292</v>
      </c>
      <c r="D1632" s="96" t="s">
        <v>2810</v>
      </c>
      <c r="E1632" s="96" t="s">
        <v>401</v>
      </c>
    </row>
    <row r="1633" spans="2:5" ht="15" customHeight="1" thickBot="1" x14ac:dyDescent="0.35">
      <c r="B1633" s="96" t="s">
        <v>2812</v>
      </c>
      <c r="C1633" s="97">
        <v>539174</v>
      </c>
      <c r="D1633" s="96" t="s">
        <v>2813</v>
      </c>
      <c r="E1633" s="96" t="s">
        <v>405</v>
      </c>
    </row>
    <row r="1634" spans="2:5" ht="15" customHeight="1" thickBot="1" x14ac:dyDescent="0.35">
      <c r="B1634" s="96" t="s">
        <v>2814</v>
      </c>
      <c r="C1634" s="97">
        <v>505520</v>
      </c>
      <c r="D1634" s="96" t="s">
        <v>388</v>
      </c>
      <c r="E1634" s="96" t="s">
        <v>809</v>
      </c>
    </row>
    <row r="1635" spans="2:5" ht="15" customHeight="1" thickBot="1" x14ac:dyDescent="0.35">
      <c r="B1635" s="96" t="s">
        <v>2815</v>
      </c>
      <c r="C1635" s="97">
        <v>531178</v>
      </c>
      <c r="D1635" s="96" t="s">
        <v>388</v>
      </c>
      <c r="E1635" s="96" t="s">
        <v>410</v>
      </c>
    </row>
    <row r="1636" spans="2:5" ht="15" customHeight="1" thickBot="1" x14ac:dyDescent="0.35">
      <c r="B1636" s="96" t="s">
        <v>2816</v>
      </c>
      <c r="C1636" s="97">
        <v>524590</v>
      </c>
      <c r="D1636" s="96" t="s">
        <v>388</v>
      </c>
      <c r="E1636" s="96" t="s">
        <v>410</v>
      </c>
    </row>
    <row r="1637" spans="2:5" ht="15" customHeight="1" thickBot="1" x14ac:dyDescent="0.35">
      <c r="B1637" s="96" t="s">
        <v>2817</v>
      </c>
      <c r="C1637" s="97">
        <v>505720</v>
      </c>
      <c r="D1637" s="96" t="s">
        <v>2818</v>
      </c>
      <c r="E1637" s="96" t="s">
        <v>396</v>
      </c>
    </row>
    <row r="1638" spans="2:5" ht="15" customHeight="1" thickBot="1" x14ac:dyDescent="0.35">
      <c r="B1638" s="96" t="s">
        <v>2819</v>
      </c>
      <c r="C1638" s="97">
        <v>519552</v>
      </c>
      <c r="D1638" s="96" t="s">
        <v>2820</v>
      </c>
      <c r="E1638" s="96" t="s">
        <v>448</v>
      </c>
    </row>
    <row r="1639" spans="2:5" ht="15" customHeight="1" thickBot="1" x14ac:dyDescent="0.35">
      <c r="B1639" s="96" t="s">
        <v>2821</v>
      </c>
      <c r="C1639" s="97">
        <v>500182</v>
      </c>
      <c r="D1639" s="96" t="s">
        <v>2822</v>
      </c>
      <c r="E1639" s="96" t="s">
        <v>1046</v>
      </c>
    </row>
    <row r="1640" spans="2:5" ht="15" customHeight="1" thickBot="1" x14ac:dyDescent="0.35">
      <c r="B1640" s="96" t="s">
        <v>2823</v>
      </c>
      <c r="C1640" s="97">
        <v>524669</v>
      </c>
      <c r="D1640" s="96" t="s">
        <v>2824</v>
      </c>
      <c r="E1640" s="96" t="s">
        <v>426</v>
      </c>
    </row>
    <row r="1641" spans="2:5" ht="15" customHeight="1" thickBot="1" x14ac:dyDescent="0.35">
      <c r="B1641" s="96" t="s">
        <v>2825</v>
      </c>
      <c r="C1641" s="97">
        <v>534328</v>
      </c>
      <c r="D1641" s="96" t="s">
        <v>2826</v>
      </c>
      <c r="E1641" s="96" t="s">
        <v>410</v>
      </c>
    </row>
    <row r="1642" spans="2:5" ht="15" customHeight="1" thickBot="1" x14ac:dyDescent="0.35">
      <c r="B1642" s="96" t="s">
        <v>2827</v>
      </c>
      <c r="C1642" s="97">
        <v>532129</v>
      </c>
      <c r="D1642" s="96" t="s">
        <v>2828</v>
      </c>
      <c r="E1642" s="96" t="s">
        <v>374</v>
      </c>
    </row>
    <row r="1643" spans="2:5" ht="15" customHeight="1" thickBot="1" x14ac:dyDescent="0.35">
      <c r="B1643" s="96" t="s">
        <v>2829</v>
      </c>
      <c r="C1643" s="97">
        <v>504176</v>
      </c>
      <c r="D1643" s="96" t="s">
        <v>388</v>
      </c>
      <c r="E1643" s="96" t="s">
        <v>934</v>
      </c>
    </row>
    <row r="1644" spans="2:5" ht="15" customHeight="1" thickBot="1" x14ac:dyDescent="0.35">
      <c r="B1644" s="96" t="s">
        <v>2830</v>
      </c>
      <c r="C1644" s="97">
        <v>504176</v>
      </c>
      <c r="D1644" s="96" t="s">
        <v>388</v>
      </c>
      <c r="E1644" s="96" t="s">
        <v>934</v>
      </c>
    </row>
    <row r="1645" spans="2:5" ht="15" customHeight="1" thickBot="1" x14ac:dyDescent="0.35">
      <c r="B1645" s="96" t="s">
        <v>2831</v>
      </c>
      <c r="C1645" s="97">
        <v>517080</v>
      </c>
      <c r="D1645" s="96" t="s">
        <v>2832</v>
      </c>
      <c r="E1645" s="96" t="s">
        <v>786</v>
      </c>
    </row>
    <row r="1646" spans="2:5" ht="15" customHeight="1" thickBot="1" x14ac:dyDescent="0.35">
      <c r="B1646" s="96" t="s">
        <v>2833</v>
      </c>
      <c r="C1646" s="97">
        <v>531301</v>
      </c>
      <c r="D1646" s="96" t="s">
        <v>388</v>
      </c>
      <c r="E1646" s="96" t="s">
        <v>403</v>
      </c>
    </row>
    <row r="1647" spans="2:5" ht="15" customHeight="1" thickBot="1" x14ac:dyDescent="0.35">
      <c r="B1647" s="96" t="s">
        <v>2834</v>
      </c>
      <c r="C1647" s="97">
        <v>524735</v>
      </c>
      <c r="D1647" s="96" t="s">
        <v>2835</v>
      </c>
      <c r="E1647" s="96" t="s">
        <v>426</v>
      </c>
    </row>
    <row r="1648" spans="2:5" ht="15" customHeight="1" thickBot="1" x14ac:dyDescent="0.35">
      <c r="B1648" s="96" t="s">
        <v>2836</v>
      </c>
      <c r="C1648" s="97">
        <v>542332</v>
      </c>
      <c r="D1648" s="96" t="s">
        <v>2837</v>
      </c>
      <c r="E1648" s="96" t="s">
        <v>371</v>
      </c>
    </row>
    <row r="1649" spans="2:5" ht="15" customHeight="1" thickBot="1" x14ac:dyDescent="0.35">
      <c r="B1649" s="96" t="s">
        <v>2838</v>
      </c>
      <c r="C1649" s="97">
        <v>509675</v>
      </c>
      <c r="D1649" s="96" t="s">
        <v>2839</v>
      </c>
      <c r="E1649" s="96" t="s">
        <v>401</v>
      </c>
    </row>
    <row r="1650" spans="2:5" ht="15" customHeight="1" thickBot="1" x14ac:dyDescent="0.35">
      <c r="B1650" s="96" t="s">
        <v>2840</v>
      </c>
      <c r="C1650" s="97">
        <v>532847</v>
      </c>
      <c r="D1650" s="96" t="s">
        <v>2841</v>
      </c>
      <c r="E1650" s="96" t="s">
        <v>1307</v>
      </c>
    </row>
    <row r="1651" spans="2:5" ht="15" customHeight="1" thickBot="1" x14ac:dyDescent="0.35">
      <c r="B1651" s="96" t="s">
        <v>2842</v>
      </c>
      <c r="C1651" s="97">
        <v>505712</v>
      </c>
      <c r="D1651" s="96" t="s">
        <v>388</v>
      </c>
      <c r="E1651" s="96" t="s">
        <v>743</v>
      </c>
    </row>
    <row r="1652" spans="2:5" ht="15" customHeight="1" thickBot="1" x14ac:dyDescent="0.35">
      <c r="B1652" s="96" t="s">
        <v>2843</v>
      </c>
      <c r="C1652" s="97">
        <v>514010</v>
      </c>
      <c r="D1652" s="96" t="s">
        <v>388</v>
      </c>
      <c r="E1652" s="96" t="s">
        <v>403</v>
      </c>
    </row>
    <row r="1653" spans="2:5" ht="15" customHeight="1" thickBot="1" x14ac:dyDescent="0.35">
      <c r="B1653" s="96" t="s">
        <v>2844</v>
      </c>
      <c r="C1653" s="97">
        <v>500183</v>
      </c>
      <c r="D1653" s="96" t="s">
        <v>2845</v>
      </c>
      <c r="E1653" s="96" t="s">
        <v>658</v>
      </c>
    </row>
    <row r="1654" spans="2:5" ht="15" customHeight="1" thickBot="1" x14ac:dyDescent="0.35">
      <c r="B1654" s="96" t="s">
        <v>2846</v>
      </c>
      <c r="C1654" s="97">
        <v>500184</v>
      </c>
      <c r="D1654" s="96" t="s">
        <v>2847</v>
      </c>
      <c r="E1654" s="96" t="s">
        <v>548</v>
      </c>
    </row>
    <row r="1655" spans="2:5" ht="15" customHeight="1" thickBot="1" x14ac:dyDescent="0.35">
      <c r="B1655" s="96" t="s">
        <v>2848</v>
      </c>
      <c r="C1655" s="97">
        <v>526899</v>
      </c>
      <c r="D1655" s="96" t="s">
        <v>388</v>
      </c>
      <c r="E1655" s="96" t="s">
        <v>586</v>
      </c>
    </row>
    <row r="1656" spans="2:5" ht="15" customHeight="1" thickBot="1" x14ac:dyDescent="0.35">
      <c r="B1656" s="96" t="s">
        <v>2849</v>
      </c>
      <c r="C1656" s="97">
        <v>513723</v>
      </c>
      <c r="D1656" s="96" t="s">
        <v>388</v>
      </c>
      <c r="E1656" s="96" t="s">
        <v>916</v>
      </c>
    </row>
    <row r="1657" spans="2:5" ht="15" customHeight="1" thickBot="1" x14ac:dyDescent="0.35">
      <c r="B1657" s="96" t="s">
        <v>2850</v>
      </c>
      <c r="C1657" s="97">
        <v>511169</v>
      </c>
      <c r="D1657" s="96" t="s">
        <v>388</v>
      </c>
      <c r="E1657" s="96" t="s">
        <v>405</v>
      </c>
    </row>
    <row r="1658" spans="2:5" ht="15" customHeight="1" thickBot="1" x14ac:dyDescent="0.35">
      <c r="B1658" s="96" t="s">
        <v>2851</v>
      </c>
      <c r="C1658" s="97">
        <v>514043</v>
      </c>
      <c r="D1658" s="96" t="s">
        <v>2852</v>
      </c>
      <c r="E1658" s="96" t="s">
        <v>403</v>
      </c>
    </row>
    <row r="1659" spans="2:5" ht="15" customHeight="1" thickBot="1" x14ac:dyDescent="0.35">
      <c r="B1659" s="96" t="s">
        <v>2853</v>
      </c>
      <c r="C1659" s="97">
        <v>531979</v>
      </c>
      <c r="D1659" s="96" t="s">
        <v>388</v>
      </c>
      <c r="E1659" s="96" t="s">
        <v>693</v>
      </c>
    </row>
    <row r="1660" spans="2:5" ht="15" customHeight="1" thickBot="1" x14ac:dyDescent="0.35">
      <c r="B1660" s="96" t="s">
        <v>2854</v>
      </c>
      <c r="C1660" s="97">
        <v>538652</v>
      </c>
      <c r="D1660" s="96" t="s">
        <v>388</v>
      </c>
      <c r="E1660" s="96" t="s">
        <v>410</v>
      </c>
    </row>
    <row r="1661" spans="2:5" ht="15" customHeight="1" thickBot="1" x14ac:dyDescent="0.35">
      <c r="B1661" s="96" t="s">
        <v>2855</v>
      </c>
      <c r="C1661" s="97">
        <v>504036</v>
      </c>
      <c r="D1661" s="96" t="s">
        <v>2856</v>
      </c>
      <c r="E1661" s="96" t="s">
        <v>930</v>
      </c>
    </row>
    <row r="1662" spans="2:5" ht="15" customHeight="1" thickBot="1" x14ac:dyDescent="0.35">
      <c r="B1662" s="96" t="s">
        <v>2857</v>
      </c>
      <c r="C1662" s="97">
        <v>539114</v>
      </c>
      <c r="D1662" s="96" t="s">
        <v>388</v>
      </c>
      <c r="E1662" s="96" t="s">
        <v>405</v>
      </c>
    </row>
    <row r="1663" spans="2:5" ht="15" customHeight="1" thickBot="1" x14ac:dyDescent="0.35">
      <c r="B1663" s="96" t="s">
        <v>2858</v>
      </c>
      <c r="C1663" s="97">
        <v>503881</v>
      </c>
      <c r="D1663" s="96" t="s">
        <v>2859</v>
      </c>
      <c r="E1663" s="96" t="s">
        <v>403</v>
      </c>
    </row>
    <row r="1664" spans="2:5" ht="15" customHeight="1" thickBot="1" x14ac:dyDescent="0.35">
      <c r="B1664" s="96" t="s">
        <v>2860</v>
      </c>
      <c r="C1664" s="97">
        <v>500440</v>
      </c>
      <c r="D1664" s="96" t="s">
        <v>2861</v>
      </c>
      <c r="E1664" s="96" t="s">
        <v>693</v>
      </c>
    </row>
    <row r="1665" spans="2:5" ht="15" customHeight="1" thickBot="1" x14ac:dyDescent="0.35">
      <c r="B1665" s="96" t="s">
        <v>2862</v>
      </c>
      <c r="C1665" s="96" t="s">
        <v>388</v>
      </c>
      <c r="D1665" s="96" t="s">
        <v>2863</v>
      </c>
      <c r="E1665" s="96" t="s">
        <v>399</v>
      </c>
    </row>
    <row r="1666" spans="2:5" ht="15" customHeight="1" thickBot="1" x14ac:dyDescent="0.35">
      <c r="B1666" s="96" t="s">
        <v>2864</v>
      </c>
      <c r="C1666" s="97">
        <v>509895</v>
      </c>
      <c r="D1666" s="96" t="s">
        <v>388</v>
      </c>
      <c r="E1666" s="96" t="s">
        <v>403</v>
      </c>
    </row>
    <row r="1667" spans="2:5" ht="15" customHeight="1" thickBot="1" x14ac:dyDescent="0.35">
      <c r="B1667" s="96" t="s">
        <v>2865</v>
      </c>
      <c r="C1667" s="97">
        <v>532859</v>
      </c>
      <c r="D1667" s="96" t="s">
        <v>2866</v>
      </c>
      <c r="E1667" s="96" t="s">
        <v>718</v>
      </c>
    </row>
    <row r="1668" spans="2:5" ht="15" customHeight="1" thickBot="1" x14ac:dyDescent="0.35">
      <c r="B1668" s="96" t="s">
        <v>2867</v>
      </c>
      <c r="C1668" s="97">
        <v>500189</v>
      </c>
      <c r="D1668" s="96" t="s">
        <v>2868</v>
      </c>
      <c r="E1668" s="96" t="s">
        <v>1126</v>
      </c>
    </row>
    <row r="1669" spans="2:5" ht="15" customHeight="1" thickBot="1" x14ac:dyDescent="0.35">
      <c r="B1669" s="96" t="s">
        <v>2869</v>
      </c>
      <c r="C1669" s="97">
        <v>514428</v>
      </c>
      <c r="D1669" s="96" t="s">
        <v>388</v>
      </c>
      <c r="E1669" s="96" t="s">
        <v>508</v>
      </c>
    </row>
    <row r="1670" spans="2:5" ht="15" customHeight="1" thickBot="1" x14ac:dyDescent="0.35">
      <c r="B1670" s="96" t="s">
        <v>2870</v>
      </c>
      <c r="C1670" s="97">
        <v>541154</v>
      </c>
      <c r="D1670" s="96" t="s">
        <v>2871</v>
      </c>
      <c r="E1670" s="96" t="s">
        <v>2872</v>
      </c>
    </row>
    <row r="1671" spans="2:5" ht="15" customHeight="1" thickBot="1" x14ac:dyDescent="0.35">
      <c r="B1671" s="96" t="s">
        <v>2873</v>
      </c>
      <c r="C1671" s="97">
        <v>531918</v>
      </c>
      <c r="D1671" s="96" t="s">
        <v>388</v>
      </c>
      <c r="E1671" s="96" t="s">
        <v>410</v>
      </c>
    </row>
    <row r="1672" spans="2:5" ht="15" customHeight="1" thickBot="1" x14ac:dyDescent="0.35">
      <c r="B1672" s="96" t="s">
        <v>2874</v>
      </c>
      <c r="C1672" s="97">
        <v>532041</v>
      </c>
      <c r="D1672" s="96" t="s">
        <v>2875</v>
      </c>
      <c r="E1672" s="96" t="s">
        <v>481</v>
      </c>
    </row>
    <row r="1673" spans="2:5" ht="15" customHeight="1" thickBot="1" x14ac:dyDescent="0.35">
      <c r="B1673" s="96" t="s">
        <v>2876</v>
      </c>
      <c r="C1673" s="97">
        <v>509635</v>
      </c>
      <c r="D1673" s="96" t="s">
        <v>2877</v>
      </c>
      <c r="E1673" s="96" t="s">
        <v>743</v>
      </c>
    </row>
    <row r="1674" spans="2:5" ht="15" customHeight="1" thickBot="1" x14ac:dyDescent="0.35">
      <c r="B1674" s="96" t="s">
        <v>2878</v>
      </c>
      <c r="C1674" s="97">
        <v>500185</v>
      </c>
      <c r="D1674" s="96" t="s">
        <v>2879</v>
      </c>
      <c r="E1674" s="96" t="s">
        <v>786</v>
      </c>
    </row>
    <row r="1675" spans="2:5" ht="15" customHeight="1" thickBot="1" x14ac:dyDescent="0.35">
      <c r="B1675" s="96" t="s">
        <v>2880</v>
      </c>
      <c r="C1675" s="97">
        <v>513599</v>
      </c>
      <c r="D1675" s="96" t="s">
        <v>2881</v>
      </c>
      <c r="E1675" s="96" t="s">
        <v>462</v>
      </c>
    </row>
    <row r="1676" spans="2:5" ht="15" customHeight="1" thickBot="1" x14ac:dyDescent="0.35">
      <c r="B1676" s="96" t="s">
        <v>2882</v>
      </c>
      <c r="C1676" s="97">
        <v>505725</v>
      </c>
      <c r="D1676" s="96" t="s">
        <v>2883</v>
      </c>
      <c r="E1676" s="96" t="s">
        <v>573</v>
      </c>
    </row>
    <row r="1677" spans="2:5" ht="15" customHeight="1" thickBot="1" x14ac:dyDescent="0.35">
      <c r="B1677" s="96" t="s">
        <v>2884</v>
      </c>
      <c r="C1677" s="97">
        <v>524013</v>
      </c>
      <c r="D1677" s="96" t="s">
        <v>388</v>
      </c>
      <c r="E1677" s="96" t="s">
        <v>765</v>
      </c>
    </row>
    <row r="1678" spans="2:5" ht="15" customHeight="1" thickBot="1" x14ac:dyDescent="0.35">
      <c r="B1678" s="96" t="s">
        <v>2885</v>
      </c>
      <c r="C1678" s="97">
        <v>519126</v>
      </c>
      <c r="D1678" s="96" t="s">
        <v>388</v>
      </c>
      <c r="E1678" s="96" t="s">
        <v>448</v>
      </c>
    </row>
    <row r="1679" spans="2:5" ht="15" customHeight="1" thickBot="1" x14ac:dyDescent="0.35">
      <c r="B1679" s="96" t="s">
        <v>2886</v>
      </c>
      <c r="C1679" s="97">
        <v>505893</v>
      </c>
      <c r="D1679" s="96" t="s">
        <v>388</v>
      </c>
      <c r="E1679" s="96" t="s">
        <v>743</v>
      </c>
    </row>
    <row r="1680" spans="2:5" ht="15" customHeight="1" thickBot="1" x14ac:dyDescent="0.35">
      <c r="B1680" s="96" t="s">
        <v>2887</v>
      </c>
      <c r="C1680" s="97">
        <v>509650</v>
      </c>
      <c r="D1680" s="96" t="s">
        <v>388</v>
      </c>
      <c r="E1680" s="96" t="s">
        <v>446</v>
      </c>
    </row>
    <row r="1681" spans="2:5" ht="15" customHeight="1" thickBot="1" x14ac:dyDescent="0.35">
      <c r="B1681" s="96" t="s">
        <v>2888</v>
      </c>
      <c r="C1681" s="97">
        <v>533217</v>
      </c>
      <c r="D1681" s="96" t="s">
        <v>2889</v>
      </c>
      <c r="E1681" s="96" t="s">
        <v>912</v>
      </c>
    </row>
    <row r="1682" spans="2:5" ht="15" customHeight="1" thickBot="1" x14ac:dyDescent="0.35">
      <c r="B1682" s="96" t="s">
        <v>2890</v>
      </c>
      <c r="C1682" s="97">
        <v>500500</v>
      </c>
      <c r="D1682" s="96" t="s">
        <v>2891</v>
      </c>
      <c r="E1682" s="96" t="s">
        <v>2317</v>
      </c>
    </row>
    <row r="1683" spans="2:5" ht="15" customHeight="1" thickBot="1" x14ac:dyDescent="0.35">
      <c r="B1683" s="96" t="s">
        <v>2892</v>
      </c>
      <c r="C1683" s="97">
        <v>500186</v>
      </c>
      <c r="D1683" s="96" t="s">
        <v>2893</v>
      </c>
      <c r="E1683" s="96" t="s">
        <v>451</v>
      </c>
    </row>
    <row r="1684" spans="2:5" ht="15" customHeight="1" thickBot="1" x14ac:dyDescent="0.35">
      <c r="B1684" s="96" t="s">
        <v>2894</v>
      </c>
      <c r="C1684" s="97">
        <v>500449</v>
      </c>
      <c r="D1684" s="96" t="s">
        <v>388</v>
      </c>
      <c r="E1684" s="96" t="s">
        <v>436</v>
      </c>
    </row>
    <row r="1685" spans="2:5" ht="15" customHeight="1" thickBot="1" x14ac:dyDescent="0.35">
      <c r="B1685" s="96" t="s">
        <v>2895</v>
      </c>
      <c r="C1685" s="97">
        <v>500104</v>
      </c>
      <c r="D1685" s="96" t="s">
        <v>2896</v>
      </c>
      <c r="E1685" s="96" t="s">
        <v>1316</v>
      </c>
    </row>
    <row r="1686" spans="2:5" ht="15" customHeight="1" thickBot="1" x14ac:dyDescent="0.35">
      <c r="B1686" s="96" t="s">
        <v>2897</v>
      </c>
      <c r="C1686" s="97">
        <v>530315</v>
      </c>
      <c r="D1686" s="96" t="s">
        <v>388</v>
      </c>
      <c r="E1686" s="96" t="s">
        <v>583</v>
      </c>
    </row>
    <row r="1687" spans="2:5" ht="15" customHeight="1" thickBot="1" x14ac:dyDescent="0.35">
      <c r="B1687" s="96" t="s">
        <v>63</v>
      </c>
      <c r="C1687" s="97">
        <v>500696</v>
      </c>
      <c r="D1687" s="96" t="s">
        <v>2898</v>
      </c>
      <c r="E1687" s="96" t="s">
        <v>570</v>
      </c>
    </row>
    <row r="1688" spans="2:5" ht="15" customHeight="1" thickBot="1" x14ac:dyDescent="0.35">
      <c r="B1688" s="96" t="s">
        <v>2899</v>
      </c>
      <c r="C1688" s="97">
        <v>504713</v>
      </c>
      <c r="D1688" s="96" t="s">
        <v>388</v>
      </c>
      <c r="E1688" s="96" t="s">
        <v>1307</v>
      </c>
    </row>
    <row r="1689" spans="2:5" ht="15" customHeight="1" thickBot="1" x14ac:dyDescent="0.35">
      <c r="B1689" s="96" t="s">
        <v>2900</v>
      </c>
      <c r="C1689" s="97">
        <v>500188</v>
      </c>
      <c r="D1689" s="96" t="s">
        <v>2901</v>
      </c>
      <c r="E1689" s="96" t="s">
        <v>2902</v>
      </c>
    </row>
    <row r="1690" spans="2:5" ht="15" customHeight="1" thickBot="1" x14ac:dyDescent="0.35">
      <c r="B1690" s="96" t="s">
        <v>2903</v>
      </c>
      <c r="C1690" s="97">
        <v>515145</v>
      </c>
      <c r="D1690" s="96" t="s">
        <v>2904</v>
      </c>
      <c r="E1690" s="96" t="s">
        <v>583</v>
      </c>
    </row>
    <row r="1691" spans="2:5" ht="15" customHeight="1" thickBot="1" x14ac:dyDescent="0.35">
      <c r="B1691" s="96" t="s">
        <v>2905</v>
      </c>
      <c r="C1691" s="97">
        <v>513039</v>
      </c>
      <c r="D1691" s="96" t="s">
        <v>388</v>
      </c>
      <c r="E1691" s="96" t="s">
        <v>396</v>
      </c>
    </row>
    <row r="1692" spans="2:5" ht="15" customHeight="1" thickBot="1" x14ac:dyDescent="0.35">
      <c r="B1692" s="96" t="s">
        <v>2906</v>
      </c>
      <c r="C1692" s="97">
        <v>539984</v>
      </c>
      <c r="D1692" s="96" t="s">
        <v>388</v>
      </c>
      <c r="E1692" s="96" t="s">
        <v>930</v>
      </c>
    </row>
    <row r="1693" spans="2:5" ht="15" customHeight="1" thickBot="1" x14ac:dyDescent="0.35">
      <c r="B1693" s="96" t="s">
        <v>2907</v>
      </c>
      <c r="C1693" s="97">
        <v>530853</v>
      </c>
      <c r="D1693" s="96" t="s">
        <v>388</v>
      </c>
      <c r="E1693" s="96" t="s">
        <v>2206</v>
      </c>
    </row>
    <row r="1694" spans="2:5" ht="15" customHeight="1" thickBot="1" x14ac:dyDescent="0.35">
      <c r="B1694" s="96" t="s">
        <v>2908</v>
      </c>
      <c r="C1694" s="97">
        <v>531743</v>
      </c>
      <c r="D1694" s="96" t="s">
        <v>388</v>
      </c>
      <c r="E1694" s="96" t="s">
        <v>410</v>
      </c>
    </row>
    <row r="1695" spans="2:5" ht="15" customHeight="1" thickBot="1" x14ac:dyDescent="0.35">
      <c r="B1695" s="96" t="s">
        <v>2909</v>
      </c>
      <c r="C1695" s="97">
        <v>590018</v>
      </c>
      <c r="D1695" s="96" t="s">
        <v>2910</v>
      </c>
      <c r="E1695" s="96" t="s">
        <v>420</v>
      </c>
    </row>
    <row r="1696" spans="2:5" ht="15" customHeight="1" thickBot="1" x14ac:dyDescent="0.35">
      <c r="B1696" s="96" t="s">
        <v>2911</v>
      </c>
      <c r="C1696" s="97">
        <v>521068</v>
      </c>
      <c r="D1696" s="96" t="s">
        <v>388</v>
      </c>
      <c r="E1696" s="96" t="s">
        <v>403</v>
      </c>
    </row>
    <row r="1697" spans="2:5" ht="15" customHeight="1" thickBot="1" x14ac:dyDescent="0.35">
      <c r="B1697" s="96" t="s">
        <v>2912</v>
      </c>
      <c r="C1697" s="97">
        <v>532359</v>
      </c>
      <c r="D1697" s="96" t="s">
        <v>388</v>
      </c>
      <c r="E1697" s="96" t="s">
        <v>481</v>
      </c>
    </row>
    <row r="1698" spans="2:5" ht="15" customHeight="1" thickBot="1" x14ac:dyDescent="0.35">
      <c r="B1698" s="96" t="s">
        <v>2913</v>
      </c>
      <c r="C1698" s="97">
        <v>526217</v>
      </c>
      <c r="D1698" s="96" t="s">
        <v>2914</v>
      </c>
      <c r="E1698" s="96" t="s">
        <v>583</v>
      </c>
    </row>
    <row r="1699" spans="2:5" ht="15" customHeight="1" thickBot="1" x14ac:dyDescent="0.35">
      <c r="B1699" s="96" t="s">
        <v>2915</v>
      </c>
      <c r="C1699" s="96" t="s">
        <v>388</v>
      </c>
      <c r="D1699" s="96" t="s">
        <v>2916</v>
      </c>
      <c r="E1699" s="96" t="s">
        <v>479</v>
      </c>
    </row>
    <row r="1700" spans="2:5" ht="15" customHeight="1" thickBot="1" x14ac:dyDescent="0.35">
      <c r="B1700" s="96" t="s">
        <v>2917</v>
      </c>
      <c r="C1700" s="97">
        <v>541627</v>
      </c>
      <c r="D1700" s="96" t="s">
        <v>2918</v>
      </c>
      <c r="E1700" s="96" t="s">
        <v>1756</v>
      </c>
    </row>
    <row r="1701" spans="2:5" ht="15" customHeight="1" thickBot="1" x14ac:dyDescent="0.35">
      <c r="B1701" s="96" t="s">
        <v>2919</v>
      </c>
      <c r="C1701" s="97">
        <v>531661</v>
      </c>
      <c r="D1701" s="96" t="s">
        <v>388</v>
      </c>
      <c r="E1701" s="96" t="s">
        <v>396</v>
      </c>
    </row>
    <row r="1702" spans="2:5" ht="15" customHeight="1" thickBot="1" x14ac:dyDescent="0.35">
      <c r="B1702" s="96" t="s">
        <v>2920</v>
      </c>
      <c r="C1702" s="97">
        <v>500191</v>
      </c>
      <c r="D1702" s="96" t="s">
        <v>2921</v>
      </c>
      <c r="E1702" s="96" t="s">
        <v>466</v>
      </c>
    </row>
    <row r="1703" spans="2:5" ht="15" customHeight="1" thickBot="1" x14ac:dyDescent="0.35">
      <c r="B1703" s="96" t="s">
        <v>2922</v>
      </c>
      <c r="C1703" s="97">
        <v>522064</v>
      </c>
      <c r="D1703" s="96" t="s">
        <v>2923</v>
      </c>
      <c r="E1703" s="96" t="s">
        <v>396</v>
      </c>
    </row>
    <row r="1704" spans="2:5" ht="15" customHeight="1" thickBot="1" x14ac:dyDescent="0.35">
      <c r="B1704" s="96" t="s">
        <v>2924</v>
      </c>
      <c r="C1704" s="97">
        <v>517174</v>
      </c>
      <c r="D1704" s="96" t="s">
        <v>2925</v>
      </c>
      <c r="E1704" s="96" t="s">
        <v>686</v>
      </c>
    </row>
    <row r="1705" spans="2:5" ht="15" customHeight="1" thickBot="1" x14ac:dyDescent="0.35">
      <c r="B1705" s="96" t="s">
        <v>2926</v>
      </c>
      <c r="C1705" s="97">
        <v>517174</v>
      </c>
      <c r="D1705" s="96" t="s">
        <v>2925</v>
      </c>
      <c r="E1705" s="96" t="s">
        <v>686</v>
      </c>
    </row>
    <row r="1706" spans="2:5" ht="15" customHeight="1" thickBot="1" x14ac:dyDescent="0.35">
      <c r="B1706" s="96" t="s">
        <v>2927</v>
      </c>
      <c r="C1706" s="97">
        <v>500193</v>
      </c>
      <c r="D1706" s="96" t="s">
        <v>2928</v>
      </c>
      <c r="E1706" s="96" t="s">
        <v>589</v>
      </c>
    </row>
    <row r="1707" spans="2:5" ht="15" customHeight="1" thickBot="1" x14ac:dyDescent="0.35">
      <c r="B1707" s="96" t="s">
        <v>2929</v>
      </c>
      <c r="C1707" s="97">
        <v>526683</v>
      </c>
      <c r="D1707" s="96" t="s">
        <v>2930</v>
      </c>
      <c r="E1707" s="96" t="s">
        <v>589</v>
      </c>
    </row>
    <row r="1708" spans="2:5" ht="15" customHeight="1" thickBot="1" x14ac:dyDescent="0.35">
      <c r="B1708" s="96" t="s">
        <v>2931</v>
      </c>
      <c r="C1708" s="97">
        <v>540530</v>
      </c>
      <c r="D1708" s="96" t="s">
        <v>2932</v>
      </c>
      <c r="E1708" s="96" t="s">
        <v>446</v>
      </c>
    </row>
    <row r="1709" spans="2:5" ht="15" customHeight="1" thickBot="1" x14ac:dyDescent="0.35">
      <c r="B1709" s="96" t="s">
        <v>2933</v>
      </c>
      <c r="C1709" s="97">
        <v>532873</v>
      </c>
      <c r="D1709" s="96" t="s">
        <v>2934</v>
      </c>
      <c r="E1709" s="96" t="s">
        <v>474</v>
      </c>
    </row>
    <row r="1710" spans="2:5" ht="15" customHeight="1" thickBot="1" x14ac:dyDescent="0.35">
      <c r="B1710" s="96" t="s">
        <v>2935</v>
      </c>
      <c r="C1710" s="97">
        <v>500010</v>
      </c>
      <c r="D1710" s="96" t="s">
        <v>2936</v>
      </c>
      <c r="E1710" s="96" t="s">
        <v>446</v>
      </c>
    </row>
    <row r="1711" spans="2:5" ht="15" customHeight="1" thickBot="1" x14ac:dyDescent="0.35">
      <c r="B1711" s="96" t="s">
        <v>2937</v>
      </c>
      <c r="C1711" s="97">
        <v>532761</v>
      </c>
      <c r="D1711" s="96" t="s">
        <v>2938</v>
      </c>
      <c r="E1711" s="96" t="s">
        <v>718</v>
      </c>
    </row>
    <row r="1712" spans="2:5" ht="15" customHeight="1" thickBot="1" x14ac:dyDescent="0.35">
      <c r="B1712" s="96" t="s">
        <v>2939</v>
      </c>
      <c r="C1712" s="97">
        <v>526761</v>
      </c>
      <c r="D1712" s="96" t="s">
        <v>388</v>
      </c>
      <c r="E1712" s="96" t="s">
        <v>589</v>
      </c>
    </row>
    <row r="1713" spans="2:5" ht="15" customHeight="1" thickBot="1" x14ac:dyDescent="0.35">
      <c r="B1713" s="96" t="s">
        <v>2940</v>
      </c>
      <c r="C1713" s="97">
        <v>535217</v>
      </c>
      <c r="D1713" s="96" t="s">
        <v>388</v>
      </c>
      <c r="E1713" s="96" t="s">
        <v>586</v>
      </c>
    </row>
    <row r="1714" spans="2:5" ht="15" customHeight="1" thickBot="1" x14ac:dyDescent="0.35">
      <c r="B1714" s="96" t="s">
        <v>2941</v>
      </c>
      <c r="C1714" s="97">
        <v>540136</v>
      </c>
      <c r="D1714" s="96" t="s">
        <v>2942</v>
      </c>
      <c r="E1714" s="96" t="s">
        <v>431</v>
      </c>
    </row>
    <row r="1715" spans="2:5" ht="15" customHeight="1" thickBot="1" x14ac:dyDescent="0.35">
      <c r="B1715" s="96" t="s">
        <v>2943</v>
      </c>
      <c r="C1715" s="97">
        <v>531724</v>
      </c>
      <c r="D1715" s="96" t="s">
        <v>388</v>
      </c>
      <c r="E1715" s="96" t="s">
        <v>809</v>
      </c>
    </row>
    <row r="1716" spans="2:5" ht="15" customHeight="1" thickBot="1" x14ac:dyDescent="0.35">
      <c r="B1716" s="96" t="s">
        <v>2944</v>
      </c>
      <c r="C1716" s="97">
        <v>500187</v>
      </c>
      <c r="D1716" s="96" t="s">
        <v>2945</v>
      </c>
      <c r="E1716" s="96" t="s">
        <v>583</v>
      </c>
    </row>
    <row r="1717" spans="2:5" ht="15" customHeight="1" thickBot="1" x14ac:dyDescent="0.35">
      <c r="B1717" s="96" t="s">
        <v>2946</v>
      </c>
      <c r="C1717" s="97">
        <v>532662</v>
      </c>
      <c r="D1717" s="96" t="s">
        <v>2947</v>
      </c>
      <c r="E1717" s="96" t="s">
        <v>912</v>
      </c>
    </row>
    <row r="1718" spans="2:5" ht="15" customHeight="1" thickBot="1" x14ac:dyDescent="0.35">
      <c r="B1718" s="96" t="s">
        <v>2948</v>
      </c>
      <c r="C1718" s="97">
        <v>532799</v>
      </c>
      <c r="D1718" s="96" t="s">
        <v>2949</v>
      </c>
      <c r="E1718" s="96" t="s">
        <v>474</v>
      </c>
    </row>
    <row r="1719" spans="2:5" ht="15" customHeight="1" thickBot="1" x14ac:dyDescent="0.35">
      <c r="B1719" s="96" t="s">
        <v>2950</v>
      </c>
      <c r="C1719" s="97">
        <v>509820</v>
      </c>
      <c r="D1719" s="96" t="s">
        <v>2951</v>
      </c>
      <c r="E1719" s="96" t="s">
        <v>583</v>
      </c>
    </row>
    <row r="1720" spans="2:5" ht="15" customHeight="1" thickBot="1" x14ac:dyDescent="0.35">
      <c r="B1720" s="96" t="s">
        <v>2952</v>
      </c>
      <c r="C1720" s="97">
        <v>542592</v>
      </c>
      <c r="D1720" s="96" t="s">
        <v>2953</v>
      </c>
      <c r="E1720" s="96" t="s">
        <v>493</v>
      </c>
    </row>
    <row r="1721" spans="2:5" ht="15" customHeight="1" thickBot="1" x14ac:dyDescent="0.35">
      <c r="B1721" s="96" t="s">
        <v>2954</v>
      </c>
      <c r="C1721" s="96" t="s">
        <v>388</v>
      </c>
      <c r="D1721" s="96" t="s">
        <v>2955</v>
      </c>
      <c r="E1721" s="96" t="s">
        <v>399</v>
      </c>
    </row>
    <row r="1722" spans="2:5" ht="15" customHeight="1" thickBot="1" x14ac:dyDescent="0.35">
      <c r="B1722" s="96" t="s">
        <v>2956</v>
      </c>
      <c r="C1722" s="97">
        <v>539724</v>
      </c>
      <c r="D1722" s="96" t="s">
        <v>388</v>
      </c>
      <c r="E1722" s="96" t="s">
        <v>374</v>
      </c>
    </row>
    <row r="1723" spans="2:5" ht="15" customHeight="1" thickBot="1" x14ac:dyDescent="0.35">
      <c r="B1723" s="96" t="s">
        <v>2957</v>
      </c>
      <c r="C1723" s="97">
        <v>519463</v>
      </c>
      <c r="D1723" s="96" t="s">
        <v>388</v>
      </c>
      <c r="E1723" s="96" t="s">
        <v>586</v>
      </c>
    </row>
    <row r="1724" spans="2:5" ht="15" customHeight="1" thickBot="1" x14ac:dyDescent="0.35">
      <c r="B1724" s="96" t="s">
        <v>2958</v>
      </c>
      <c r="C1724" s="96" t="s">
        <v>388</v>
      </c>
      <c r="D1724" s="96" t="s">
        <v>2959</v>
      </c>
      <c r="E1724" s="96" t="s">
        <v>399</v>
      </c>
    </row>
    <row r="1725" spans="2:5" ht="15" customHeight="1" thickBot="1" x14ac:dyDescent="0.35">
      <c r="B1725" s="96" t="s">
        <v>2960</v>
      </c>
      <c r="C1725" s="97">
        <v>532174</v>
      </c>
      <c r="D1725" s="96" t="s">
        <v>2961</v>
      </c>
      <c r="E1725" s="96" t="s">
        <v>706</v>
      </c>
    </row>
    <row r="1726" spans="2:5" ht="15" customHeight="1" thickBot="1" x14ac:dyDescent="0.35">
      <c r="B1726" s="96" t="s">
        <v>2962</v>
      </c>
      <c r="C1726" s="97">
        <v>540716</v>
      </c>
      <c r="D1726" s="96" t="s">
        <v>2963</v>
      </c>
      <c r="E1726" s="96" t="s">
        <v>2470</v>
      </c>
    </row>
    <row r="1727" spans="2:5" ht="15" customHeight="1" thickBot="1" x14ac:dyDescent="0.35">
      <c r="B1727" s="96" t="s">
        <v>2964</v>
      </c>
      <c r="C1727" s="97">
        <v>533244</v>
      </c>
      <c r="D1727" s="96" t="s">
        <v>2965</v>
      </c>
      <c r="E1727" s="96" t="s">
        <v>371</v>
      </c>
    </row>
    <row r="1728" spans="2:5" ht="15" customHeight="1" thickBot="1" x14ac:dyDescent="0.35">
      <c r="B1728" s="96" t="s">
        <v>2966</v>
      </c>
      <c r="C1728" s="97">
        <v>540133</v>
      </c>
      <c r="D1728" s="96" t="s">
        <v>2967</v>
      </c>
      <c r="E1728" s="96" t="s">
        <v>2800</v>
      </c>
    </row>
    <row r="1729" spans="2:5" ht="15" customHeight="1" thickBot="1" x14ac:dyDescent="0.35">
      <c r="B1729" s="96" t="s">
        <v>2968</v>
      </c>
      <c r="C1729" s="97">
        <v>555555</v>
      </c>
      <c r="D1729" s="96" t="s">
        <v>2969</v>
      </c>
      <c r="E1729" s="96" t="s">
        <v>371</v>
      </c>
    </row>
    <row r="1730" spans="2:5" ht="15" customHeight="1" thickBot="1" x14ac:dyDescent="0.35">
      <c r="B1730" s="96" t="s">
        <v>2970</v>
      </c>
      <c r="C1730" s="97">
        <v>541179</v>
      </c>
      <c r="D1730" s="96" t="s">
        <v>2971</v>
      </c>
      <c r="E1730" s="96" t="s">
        <v>371</v>
      </c>
    </row>
    <row r="1731" spans="2:5" ht="15" customHeight="1" thickBot="1" x14ac:dyDescent="0.35">
      <c r="B1731" s="96" t="s">
        <v>2972</v>
      </c>
      <c r="C1731" s="97">
        <v>532835</v>
      </c>
      <c r="D1731" s="96" t="s">
        <v>2973</v>
      </c>
      <c r="E1731" s="96" t="s">
        <v>371</v>
      </c>
    </row>
    <row r="1732" spans="2:5" ht="15" customHeight="1" thickBot="1" x14ac:dyDescent="0.35">
      <c r="B1732" s="96" t="s">
        <v>2974</v>
      </c>
      <c r="C1732" s="97">
        <v>531524</v>
      </c>
      <c r="D1732" s="96" t="s">
        <v>2975</v>
      </c>
      <c r="E1732" s="96" t="s">
        <v>686</v>
      </c>
    </row>
    <row r="1733" spans="2:5" ht="15" customHeight="1" thickBot="1" x14ac:dyDescent="0.35">
      <c r="B1733" s="96" t="s">
        <v>2976</v>
      </c>
      <c r="C1733" s="97">
        <v>531524</v>
      </c>
      <c r="D1733" s="96" t="s">
        <v>2975</v>
      </c>
      <c r="E1733" s="96" t="s">
        <v>686</v>
      </c>
    </row>
    <row r="1734" spans="2:5" ht="15" customHeight="1" thickBot="1" x14ac:dyDescent="0.35">
      <c r="B1734" s="96" t="s">
        <v>2977</v>
      </c>
      <c r="C1734" s="97">
        <v>500116</v>
      </c>
      <c r="D1734" s="96" t="s">
        <v>2978</v>
      </c>
      <c r="E1734" s="96" t="s">
        <v>706</v>
      </c>
    </row>
    <row r="1735" spans="2:5" ht="15" customHeight="1" thickBot="1" x14ac:dyDescent="0.35">
      <c r="B1735" s="96" t="s">
        <v>2979</v>
      </c>
      <c r="C1735" s="97">
        <v>539437</v>
      </c>
      <c r="D1735" s="96" t="s">
        <v>2980</v>
      </c>
      <c r="E1735" s="96" t="s">
        <v>706</v>
      </c>
    </row>
    <row r="1736" spans="2:5" ht="15" customHeight="1" thickBot="1" x14ac:dyDescent="0.35">
      <c r="B1736" s="96" t="s">
        <v>2981</v>
      </c>
      <c r="C1736" s="96" t="s">
        <v>388</v>
      </c>
      <c r="D1736" s="96" t="s">
        <v>2982</v>
      </c>
      <c r="E1736" s="96" t="s">
        <v>706</v>
      </c>
    </row>
    <row r="1737" spans="2:5" ht="15" customHeight="1" thickBot="1" x14ac:dyDescent="0.35">
      <c r="B1737" s="96" t="s">
        <v>2983</v>
      </c>
      <c r="C1737" s="97">
        <v>532659</v>
      </c>
      <c r="D1737" s="96" t="s">
        <v>2984</v>
      </c>
      <c r="E1737" s="96" t="s">
        <v>405</v>
      </c>
    </row>
    <row r="1738" spans="2:5" ht="15" customHeight="1" thickBot="1" x14ac:dyDescent="0.35">
      <c r="B1738" s="96" t="s">
        <v>2985</v>
      </c>
      <c r="C1738" s="97">
        <v>507438</v>
      </c>
      <c r="D1738" s="96" t="s">
        <v>2986</v>
      </c>
      <c r="E1738" s="96" t="s">
        <v>1020</v>
      </c>
    </row>
    <row r="1739" spans="2:5" ht="15" customHeight="1" thickBot="1" x14ac:dyDescent="0.35">
      <c r="B1739" s="96" t="s">
        <v>2987</v>
      </c>
      <c r="C1739" s="97">
        <v>505726</v>
      </c>
      <c r="D1739" s="96" t="s">
        <v>2988</v>
      </c>
      <c r="E1739" s="96" t="s">
        <v>1152</v>
      </c>
    </row>
    <row r="1740" spans="2:5" ht="15" customHeight="1" thickBot="1" x14ac:dyDescent="0.35">
      <c r="B1740" s="96" t="s">
        <v>2989</v>
      </c>
      <c r="C1740" s="97">
        <v>500106</v>
      </c>
      <c r="D1740" s="96" t="s">
        <v>2990</v>
      </c>
      <c r="E1740" s="96" t="s">
        <v>2720</v>
      </c>
    </row>
    <row r="1741" spans="2:5" ht="15" customHeight="1" thickBot="1" x14ac:dyDescent="0.35">
      <c r="B1741" s="96" t="s">
        <v>2991</v>
      </c>
      <c r="C1741" s="97">
        <v>540774</v>
      </c>
      <c r="D1741" s="96" t="s">
        <v>2992</v>
      </c>
      <c r="E1741" s="96" t="s">
        <v>573</v>
      </c>
    </row>
    <row r="1742" spans="2:5" ht="15" customHeight="1" thickBot="1" x14ac:dyDescent="0.35">
      <c r="B1742" s="96" t="s">
        <v>2993</v>
      </c>
      <c r="C1742" s="97">
        <v>540377</v>
      </c>
      <c r="D1742" s="96" t="s">
        <v>388</v>
      </c>
      <c r="E1742" s="96" t="s">
        <v>410</v>
      </c>
    </row>
    <row r="1743" spans="2:5" ht="15" customHeight="1" thickBot="1" x14ac:dyDescent="0.35">
      <c r="B1743" s="96" t="s">
        <v>2994</v>
      </c>
      <c r="C1743" s="97">
        <v>522289</v>
      </c>
      <c r="D1743" s="96" t="s">
        <v>388</v>
      </c>
      <c r="E1743" s="96" t="s">
        <v>410</v>
      </c>
    </row>
    <row r="1744" spans="2:5" ht="15" customHeight="1" thickBot="1" x14ac:dyDescent="0.35">
      <c r="B1744" s="96" t="s">
        <v>2995</v>
      </c>
      <c r="C1744" s="97">
        <v>500199</v>
      </c>
      <c r="D1744" s="96" t="s">
        <v>2996</v>
      </c>
      <c r="E1744" s="96" t="s">
        <v>436</v>
      </c>
    </row>
    <row r="1745" spans="2:5" ht="15" customHeight="1" thickBot="1" x14ac:dyDescent="0.35">
      <c r="B1745" s="96" t="s">
        <v>2997</v>
      </c>
      <c r="C1745" s="97">
        <v>517380</v>
      </c>
      <c r="D1745" s="96" t="s">
        <v>2998</v>
      </c>
      <c r="E1745" s="96" t="s">
        <v>743</v>
      </c>
    </row>
    <row r="1746" spans="2:5" ht="15" customHeight="1" thickBot="1" x14ac:dyDescent="0.35">
      <c r="B1746" s="96" t="s">
        <v>2999</v>
      </c>
      <c r="C1746" s="97">
        <v>517380</v>
      </c>
      <c r="D1746" s="96" t="s">
        <v>2998</v>
      </c>
      <c r="E1746" s="96" t="s">
        <v>743</v>
      </c>
    </row>
    <row r="1747" spans="2:5" ht="15" customHeight="1" thickBot="1" x14ac:dyDescent="0.35">
      <c r="B1747" s="96" t="s">
        <v>3000</v>
      </c>
      <c r="C1747" s="97">
        <v>539449</v>
      </c>
      <c r="D1747" s="96" t="s">
        <v>388</v>
      </c>
      <c r="E1747" s="96" t="s">
        <v>410</v>
      </c>
    </row>
    <row r="1748" spans="2:5" ht="15" customHeight="1" thickBot="1" x14ac:dyDescent="0.35">
      <c r="B1748" s="96" t="s">
        <v>3001</v>
      </c>
      <c r="C1748" s="97">
        <v>532636</v>
      </c>
      <c r="D1748" s="96" t="s">
        <v>3002</v>
      </c>
      <c r="E1748" s="96" t="s">
        <v>371</v>
      </c>
    </row>
    <row r="1749" spans="2:5" ht="15" customHeight="1" thickBot="1" x14ac:dyDescent="0.35">
      <c r="B1749" s="96" t="s">
        <v>3003</v>
      </c>
      <c r="C1749" s="97">
        <v>531968</v>
      </c>
      <c r="D1749" s="96" t="s">
        <v>3004</v>
      </c>
      <c r="E1749" s="96" t="s">
        <v>474</v>
      </c>
    </row>
    <row r="1750" spans="2:5" ht="15" customHeight="1" thickBot="1" x14ac:dyDescent="0.35">
      <c r="B1750" s="96" t="s">
        <v>3005</v>
      </c>
      <c r="C1750" s="97">
        <v>514238</v>
      </c>
      <c r="D1750" s="96" t="s">
        <v>388</v>
      </c>
      <c r="E1750" s="96" t="s">
        <v>371</v>
      </c>
    </row>
    <row r="1751" spans="2:5" ht="15" customHeight="1" thickBot="1" x14ac:dyDescent="0.35">
      <c r="B1751" s="96" t="s">
        <v>3006</v>
      </c>
      <c r="C1751" s="97">
        <v>532414</v>
      </c>
      <c r="D1751" s="96" t="s">
        <v>388</v>
      </c>
      <c r="E1751" s="96" t="s">
        <v>481</v>
      </c>
    </row>
    <row r="1752" spans="2:5" ht="15" customHeight="1" thickBot="1" x14ac:dyDescent="0.35">
      <c r="B1752" s="96" t="s">
        <v>3007</v>
      </c>
      <c r="C1752" s="97">
        <v>532907</v>
      </c>
      <c r="D1752" s="96" t="s">
        <v>3008</v>
      </c>
      <c r="E1752" s="96" t="s">
        <v>786</v>
      </c>
    </row>
    <row r="1753" spans="2:5" ht="15" customHeight="1" thickBot="1" x14ac:dyDescent="0.35">
      <c r="B1753" s="96" t="s">
        <v>3009</v>
      </c>
      <c r="C1753" s="97">
        <v>511208</v>
      </c>
      <c r="D1753" s="96" t="s">
        <v>3010</v>
      </c>
      <c r="E1753" s="96" t="s">
        <v>2793</v>
      </c>
    </row>
    <row r="1754" spans="2:5" ht="15" customHeight="1" thickBot="1" x14ac:dyDescent="0.35">
      <c r="B1754" s="96" t="s">
        <v>3011</v>
      </c>
      <c r="C1754" s="97">
        <v>533177</v>
      </c>
      <c r="D1754" s="96" t="s">
        <v>3012</v>
      </c>
      <c r="E1754" s="96" t="s">
        <v>983</v>
      </c>
    </row>
    <row r="1755" spans="2:5" ht="15" customHeight="1" thickBot="1" x14ac:dyDescent="0.35">
      <c r="B1755" s="96" t="s">
        <v>3013</v>
      </c>
      <c r="C1755" s="97">
        <v>511628</v>
      </c>
      <c r="D1755" s="96" t="s">
        <v>388</v>
      </c>
      <c r="E1755" s="96" t="s">
        <v>405</v>
      </c>
    </row>
    <row r="1756" spans="2:5" ht="15" customHeight="1" thickBot="1" x14ac:dyDescent="0.35">
      <c r="B1756" s="96" t="s">
        <v>3014</v>
      </c>
      <c r="C1756" s="97">
        <v>505539</v>
      </c>
      <c r="D1756" s="96" t="s">
        <v>388</v>
      </c>
      <c r="E1756" s="96" t="s">
        <v>809</v>
      </c>
    </row>
    <row r="1757" spans="2:5" ht="15" customHeight="1" thickBot="1" x14ac:dyDescent="0.35">
      <c r="B1757" s="96" t="s">
        <v>3015</v>
      </c>
      <c r="C1757" s="97">
        <v>513295</v>
      </c>
      <c r="D1757" s="96" t="s">
        <v>388</v>
      </c>
      <c r="E1757" s="96" t="s">
        <v>420</v>
      </c>
    </row>
    <row r="1758" spans="2:5" ht="15" customHeight="1" thickBot="1" x14ac:dyDescent="0.35">
      <c r="B1758" s="96" t="s">
        <v>3016</v>
      </c>
      <c r="C1758" s="97">
        <v>517571</v>
      </c>
      <c r="D1758" s="96" t="s">
        <v>3017</v>
      </c>
      <c r="E1758" s="96" t="s">
        <v>431</v>
      </c>
    </row>
    <row r="1759" spans="2:5" ht="15" customHeight="1" thickBot="1" x14ac:dyDescent="0.35">
      <c r="B1759" s="96" t="s">
        <v>3018</v>
      </c>
      <c r="C1759" s="97">
        <v>532614</v>
      </c>
      <c r="D1759" s="96" t="s">
        <v>3019</v>
      </c>
      <c r="E1759" s="96" t="s">
        <v>420</v>
      </c>
    </row>
    <row r="1760" spans="2:5" ht="15" customHeight="1" thickBot="1" x14ac:dyDescent="0.35">
      <c r="B1760" s="96" t="s">
        <v>3020</v>
      </c>
      <c r="C1760" s="97">
        <v>531129</v>
      </c>
      <c r="D1760" s="96" t="s">
        <v>388</v>
      </c>
      <c r="E1760" s="96" t="s">
        <v>916</v>
      </c>
    </row>
    <row r="1761" spans="2:5" ht="15" customHeight="1" thickBot="1" x14ac:dyDescent="0.35">
      <c r="B1761" s="96" t="s">
        <v>3021</v>
      </c>
      <c r="C1761" s="97">
        <v>531672</v>
      </c>
      <c r="D1761" s="96" t="s">
        <v>388</v>
      </c>
      <c r="E1761" s="96" t="s">
        <v>371</v>
      </c>
    </row>
    <row r="1762" spans="2:5" ht="15" customHeight="1" thickBot="1" x14ac:dyDescent="0.35">
      <c r="B1762" s="96" t="s">
        <v>3022</v>
      </c>
      <c r="C1762" s="97">
        <v>517370</v>
      </c>
      <c r="D1762" s="96" t="s">
        <v>388</v>
      </c>
      <c r="E1762" s="96" t="s">
        <v>686</v>
      </c>
    </row>
    <row r="1763" spans="2:5" ht="15" customHeight="1" thickBot="1" x14ac:dyDescent="0.35">
      <c r="B1763" s="96" t="s">
        <v>3023</v>
      </c>
      <c r="C1763" s="97">
        <v>538541</v>
      </c>
      <c r="D1763" s="96" t="s">
        <v>388</v>
      </c>
      <c r="E1763" s="96" t="s">
        <v>410</v>
      </c>
    </row>
    <row r="1764" spans="2:5" ht="15" customHeight="1" thickBot="1" x14ac:dyDescent="0.35">
      <c r="B1764" s="96" t="s">
        <v>3024</v>
      </c>
      <c r="C1764" s="97">
        <v>531594</v>
      </c>
      <c r="D1764" s="96" t="s">
        <v>388</v>
      </c>
      <c r="E1764" s="96" t="s">
        <v>396</v>
      </c>
    </row>
    <row r="1765" spans="2:5" ht="15" customHeight="1" thickBot="1" x14ac:dyDescent="0.35">
      <c r="B1765" s="96" t="s">
        <v>3025</v>
      </c>
      <c r="C1765" s="97">
        <v>523465</v>
      </c>
      <c r="D1765" s="96" t="s">
        <v>388</v>
      </c>
      <c r="E1765" s="96" t="s">
        <v>446</v>
      </c>
    </row>
    <row r="1766" spans="2:5" ht="15" customHeight="1" thickBot="1" x14ac:dyDescent="0.35">
      <c r="B1766" s="96" t="s">
        <v>3026</v>
      </c>
      <c r="C1766" s="97">
        <v>536709</v>
      </c>
      <c r="D1766" s="96" t="s">
        <v>388</v>
      </c>
      <c r="E1766" s="96" t="s">
        <v>527</v>
      </c>
    </row>
    <row r="1767" spans="2:5" ht="15" customHeight="1" thickBot="1" x14ac:dyDescent="0.35">
      <c r="B1767" s="96" t="s">
        <v>3027</v>
      </c>
      <c r="C1767" s="97">
        <v>509162</v>
      </c>
      <c r="D1767" s="96" t="s">
        <v>388</v>
      </c>
      <c r="E1767" s="96" t="s">
        <v>868</v>
      </c>
    </row>
    <row r="1768" spans="2:5" ht="15" customHeight="1" thickBot="1" x14ac:dyDescent="0.35">
      <c r="B1768" s="96" t="s">
        <v>3028</v>
      </c>
      <c r="C1768" s="97">
        <v>517077</v>
      </c>
      <c r="D1768" s="96" t="s">
        <v>388</v>
      </c>
      <c r="E1768" s="96" t="s">
        <v>410</v>
      </c>
    </row>
    <row r="1769" spans="2:5" ht="15" customHeight="1" thickBot="1" x14ac:dyDescent="0.35">
      <c r="B1769" s="96" t="s">
        <v>3029</v>
      </c>
      <c r="C1769" s="97">
        <v>511473</v>
      </c>
      <c r="D1769" s="96" t="s">
        <v>3030</v>
      </c>
      <c r="E1769" s="96" t="s">
        <v>371</v>
      </c>
    </row>
    <row r="1770" spans="2:5" ht="15" customHeight="1" thickBot="1" x14ac:dyDescent="0.35">
      <c r="B1770" s="96" t="s">
        <v>3031</v>
      </c>
      <c r="C1770" s="97">
        <v>531505</v>
      </c>
      <c r="D1770" s="96" t="s">
        <v>388</v>
      </c>
      <c r="E1770" s="96" t="s">
        <v>405</v>
      </c>
    </row>
    <row r="1771" spans="2:5" ht="15" customHeight="1" thickBot="1" x14ac:dyDescent="0.35">
      <c r="B1771" s="96" t="s">
        <v>3032</v>
      </c>
      <c r="C1771" s="97">
        <v>511355</v>
      </c>
      <c r="D1771" s="96" t="s">
        <v>388</v>
      </c>
      <c r="E1771" s="96" t="s">
        <v>405</v>
      </c>
    </row>
    <row r="1772" spans="2:5" ht="15" customHeight="1" thickBot="1" x14ac:dyDescent="0.35">
      <c r="B1772" s="96" t="s">
        <v>3033</v>
      </c>
      <c r="C1772" s="97">
        <v>535667</v>
      </c>
      <c r="D1772" s="96" t="s">
        <v>388</v>
      </c>
      <c r="E1772" s="96" t="s">
        <v>405</v>
      </c>
    </row>
    <row r="1773" spans="2:5" ht="15" customHeight="1" thickBot="1" x14ac:dyDescent="0.35">
      <c r="B1773" s="96" t="s">
        <v>3034</v>
      </c>
      <c r="C1773" s="97">
        <v>531253</v>
      </c>
      <c r="D1773" s="96" t="s">
        <v>388</v>
      </c>
      <c r="E1773" s="96" t="s">
        <v>548</v>
      </c>
    </row>
    <row r="1774" spans="2:5" ht="15" customHeight="1" thickBot="1" x14ac:dyDescent="0.35">
      <c r="B1774" s="96" t="s">
        <v>3035</v>
      </c>
      <c r="C1774" s="97">
        <v>500201</v>
      </c>
      <c r="D1774" s="96" t="s">
        <v>3036</v>
      </c>
      <c r="E1774" s="96" t="s">
        <v>436</v>
      </c>
    </row>
    <row r="1775" spans="2:5" ht="15" customHeight="1" thickBot="1" x14ac:dyDescent="0.35">
      <c r="B1775" s="96" t="s">
        <v>3037</v>
      </c>
      <c r="C1775" s="97">
        <v>540152</v>
      </c>
      <c r="D1775" s="96" t="s">
        <v>388</v>
      </c>
      <c r="E1775" s="96" t="s">
        <v>474</v>
      </c>
    </row>
    <row r="1776" spans="2:5" ht="15" customHeight="1" thickBot="1" x14ac:dyDescent="0.35">
      <c r="B1776" s="96" t="s">
        <v>3038</v>
      </c>
      <c r="C1776" s="97">
        <v>540565</v>
      </c>
      <c r="D1776" s="96" t="s">
        <v>3039</v>
      </c>
      <c r="E1776" s="96" t="s">
        <v>408</v>
      </c>
    </row>
    <row r="1777" spans="2:5" ht="15" customHeight="1" thickBot="1" x14ac:dyDescent="0.35">
      <c r="B1777" s="96" t="s">
        <v>3040</v>
      </c>
      <c r="C1777" s="97">
        <v>530979</v>
      </c>
      <c r="D1777" s="96" t="s">
        <v>388</v>
      </c>
      <c r="E1777" s="96" t="s">
        <v>446</v>
      </c>
    </row>
    <row r="1778" spans="2:5" ht="15" customHeight="1" thickBot="1" x14ac:dyDescent="0.35">
      <c r="B1778" s="96" t="s">
        <v>3041</v>
      </c>
      <c r="C1778" s="97">
        <v>531343</v>
      </c>
      <c r="D1778" s="96" t="s">
        <v>388</v>
      </c>
      <c r="E1778" s="96" t="s">
        <v>809</v>
      </c>
    </row>
    <row r="1779" spans="2:5" ht="15" customHeight="1" thickBot="1" x14ac:dyDescent="0.35">
      <c r="B1779" s="96" t="s">
        <v>3042</v>
      </c>
      <c r="C1779" s="97">
        <v>590065</v>
      </c>
      <c r="D1779" s="96" t="s">
        <v>3043</v>
      </c>
      <c r="E1779" s="96" t="s">
        <v>410</v>
      </c>
    </row>
    <row r="1780" spans="2:5" ht="15" customHeight="1" thickBot="1" x14ac:dyDescent="0.35">
      <c r="B1780" s="96" t="s">
        <v>3044</v>
      </c>
      <c r="C1780" s="97">
        <v>532240</v>
      </c>
      <c r="D1780" s="96" t="s">
        <v>3045</v>
      </c>
      <c r="E1780" s="96" t="s">
        <v>743</v>
      </c>
    </row>
    <row r="1781" spans="2:5" ht="15" customHeight="1" thickBot="1" x14ac:dyDescent="0.35">
      <c r="B1781" s="96" t="s">
        <v>3046</v>
      </c>
      <c r="C1781" s="97">
        <v>513361</v>
      </c>
      <c r="D1781" s="96" t="s">
        <v>388</v>
      </c>
      <c r="E1781" s="96" t="s">
        <v>420</v>
      </c>
    </row>
    <row r="1782" spans="2:5" ht="15" customHeight="1" thickBot="1" x14ac:dyDescent="0.35">
      <c r="B1782" s="96" t="s">
        <v>3047</v>
      </c>
      <c r="C1782" s="97">
        <v>532189</v>
      </c>
      <c r="D1782" s="96" t="s">
        <v>3048</v>
      </c>
      <c r="E1782" s="96" t="s">
        <v>589</v>
      </c>
    </row>
    <row r="1783" spans="2:5" ht="15" customHeight="1" thickBot="1" x14ac:dyDescent="0.35">
      <c r="B1783" s="96" t="s">
        <v>3049</v>
      </c>
      <c r="C1783" s="97">
        <v>535789</v>
      </c>
      <c r="D1783" s="96" t="s">
        <v>3050</v>
      </c>
      <c r="E1783" s="96" t="s">
        <v>446</v>
      </c>
    </row>
    <row r="1784" spans="2:5" ht="15" customHeight="1" thickBot="1" x14ac:dyDescent="0.35">
      <c r="B1784" s="96" t="s">
        <v>3051</v>
      </c>
      <c r="C1784" s="97">
        <v>533520</v>
      </c>
      <c r="D1784" s="96" t="s">
        <v>3052</v>
      </c>
      <c r="E1784" s="96" t="s">
        <v>410</v>
      </c>
    </row>
    <row r="1785" spans="2:5" ht="15" customHeight="1" thickBot="1" x14ac:dyDescent="0.35">
      <c r="B1785" s="96" t="s">
        <v>3053</v>
      </c>
      <c r="C1785" s="97">
        <v>532832</v>
      </c>
      <c r="D1785" s="96" t="s">
        <v>3054</v>
      </c>
      <c r="E1785" s="96" t="s">
        <v>474</v>
      </c>
    </row>
    <row r="1786" spans="2:5" ht="15" customHeight="1" thickBot="1" x14ac:dyDescent="0.35">
      <c r="B1786" s="96" t="s">
        <v>3055</v>
      </c>
      <c r="C1786" s="97">
        <v>532960</v>
      </c>
      <c r="D1786" s="96" t="s">
        <v>3056</v>
      </c>
      <c r="E1786" s="96" t="s">
        <v>371</v>
      </c>
    </row>
    <row r="1787" spans="2:5" ht="15" customHeight="1" thickBot="1" x14ac:dyDescent="0.35">
      <c r="B1787" s="96" t="s">
        <v>3057</v>
      </c>
      <c r="C1787" s="97">
        <v>514165</v>
      </c>
      <c r="D1787" s="96" t="s">
        <v>388</v>
      </c>
      <c r="E1787" s="96" t="s">
        <v>765</v>
      </c>
    </row>
    <row r="1788" spans="2:5" ht="15" customHeight="1" thickBot="1" x14ac:dyDescent="0.35">
      <c r="B1788" s="96" t="s">
        <v>3058</v>
      </c>
      <c r="C1788" s="97">
        <v>532814</v>
      </c>
      <c r="D1788" s="96" t="s">
        <v>3059</v>
      </c>
      <c r="E1788" s="96" t="s">
        <v>706</v>
      </c>
    </row>
    <row r="1789" spans="2:5" ht="15" customHeight="1" thickBot="1" x14ac:dyDescent="0.35">
      <c r="B1789" s="96" t="s">
        <v>3060</v>
      </c>
      <c r="C1789" s="97">
        <v>504731</v>
      </c>
      <c r="D1789" s="96" t="s">
        <v>388</v>
      </c>
      <c r="E1789" s="96" t="s">
        <v>420</v>
      </c>
    </row>
    <row r="1790" spans="2:5" ht="15" customHeight="1" thickBot="1" x14ac:dyDescent="0.35">
      <c r="B1790" s="96" t="s">
        <v>3061</v>
      </c>
      <c r="C1790" s="97">
        <v>509692</v>
      </c>
      <c r="D1790" s="96" t="s">
        <v>3062</v>
      </c>
      <c r="E1790" s="96" t="s">
        <v>403</v>
      </c>
    </row>
    <row r="1791" spans="2:5" ht="15" customHeight="1" thickBot="1" x14ac:dyDescent="0.35">
      <c r="B1791" s="96" t="s">
        <v>3063</v>
      </c>
      <c r="C1791" s="97">
        <v>540750</v>
      </c>
      <c r="D1791" s="96" t="s">
        <v>3064</v>
      </c>
      <c r="E1791" s="96" t="s">
        <v>527</v>
      </c>
    </row>
    <row r="1792" spans="2:5" ht="15" customHeight="1" thickBot="1" x14ac:dyDescent="0.35">
      <c r="B1792" s="96" t="s">
        <v>3065</v>
      </c>
      <c r="C1792" s="97">
        <v>524614</v>
      </c>
      <c r="D1792" s="96" t="s">
        <v>388</v>
      </c>
      <c r="E1792" s="96" t="s">
        <v>468</v>
      </c>
    </row>
    <row r="1793" spans="2:5" ht="15" customHeight="1" thickBot="1" x14ac:dyDescent="0.35">
      <c r="B1793" s="96" t="s">
        <v>3066</v>
      </c>
      <c r="C1793" s="97">
        <v>504741</v>
      </c>
      <c r="D1793" s="96" t="s">
        <v>3067</v>
      </c>
      <c r="E1793" s="96" t="s">
        <v>401</v>
      </c>
    </row>
    <row r="1794" spans="2:5" ht="15" customHeight="1" thickBot="1" x14ac:dyDescent="0.35">
      <c r="B1794" s="96" t="s">
        <v>3068</v>
      </c>
      <c r="C1794" s="97">
        <v>509051</v>
      </c>
      <c r="D1794" s="96" t="s">
        <v>388</v>
      </c>
      <c r="E1794" s="96" t="s">
        <v>481</v>
      </c>
    </row>
    <row r="1795" spans="2:5" ht="15" customHeight="1" thickBot="1" x14ac:dyDescent="0.35">
      <c r="B1795" s="96" t="s">
        <v>3069</v>
      </c>
      <c r="C1795" s="97">
        <v>504746</v>
      </c>
      <c r="D1795" s="96" t="s">
        <v>388</v>
      </c>
      <c r="E1795" s="96" t="s">
        <v>1307</v>
      </c>
    </row>
    <row r="1796" spans="2:5" ht="15" customHeight="1" thickBot="1" x14ac:dyDescent="0.35">
      <c r="B1796" s="96" t="s">
        <v>3070</v>
      </c>
      <c r="C1796" s="97">
        <v>533047</v>
      </c>
      <c r="D1796" s="96" t="s">
        <v>3071</v>
      </c>
      <c r="E1796" s="96" t="s">
        <v>420</v>
      </c>
    </row>
    <row r="1797" spans="2:5" ht="15" customHeight="1" thickBot="1" x14ac:dyDescent="0.35">
      <c r="B1797" s="96" t="s">
        <v>3072</v>
      </c>
      <c r="C1797" s="97">
        <v>530965</v>
      </c>
      <c r="D1797" s="96" t="s">
        <v>3073</v>
      </c>
      <c r="E1797" s="96" t="s">
        <v>598</v>
      </c>
    </row>
    <row r="1798" spans="2:5" ht="15" customHeight="1" thickBot="1" x14ac:dyDescent="0.35">
      <c r="B1798" s="96" t="s">
        <v>3074</v>
      </c>
      <c r="C1798" s="97">
        <v>532388</v>
      </c>
      <c r="D1798" s="96" t="s">
        <v>3075</v>
      </c>
      <c r="E1798" s="96" t="s">
        <v>706</v>
      </c>
    </row>
    <row r="1799" spans="2:5" ht="15" customHeight="1" thickBot="1" x14ac:dyDescent="0.35">
      <c r="B1799" s="96" t="s">
        <v>3076</v>
      </c>
      <c r="C1799" s="97">
        <v>500319</v>
      </c>
      <c r="D1799" s="96" t="s">
        <v>388</v>
      </c>
      <c r="E1799" s="96" t="s">
        <v>1087</v>
      </c>
    </row>
    <row r="1800" spans="2:5" ht="15" customHeight="1" thickBot="1" x14ac:dyDescent="0.35">
      <c r="B1800" s="96" t="s">
        <v>3077</v>
      </c>
      <c r="C1800" s="97">
        <v>533329</v>
      </c>
      <c r="D1800" s="96" t="s">
        <v>3078</v>
      </c>
      <c r="E1800" s="96" t="s">
        <v>502</v>
      </c>
    </row>
    <row r="1801" spans="2:5" ht="15" customHeight="1" thickBot="1" x14ac:dyDescent="0.35">
      <c r="B1801" s="96" t="s">
        <v>3079</v>
      </c>
      <c r="C1801" s="97">
        <v>523586</v>
      </c>
      <c r="D1801" s="96" t="s">
        <v>388</v>
      </c>
      <c r="E1801" s="96" t="s">
        <v>548</v>
      </c>
    </row>
    <row r="1802" spans="2:5" ht="15" customHeight="1" thickBot="1" x14ac:dyDescent="0.35">
      <c r="B1802" s="96" t="s">
        <v>3080</v>
      </c>
      <c r="C1802" s="97">
        <v>501700</v>
      </c>
      <c r="D1802" s="96" t="s">
        <v>388</v>
      </c>
      <c r="E1802" s="96" t="s">
        <v>405</v>
      </c>
    </row>
    <row r="1803" spans="2:5" ht="15" customHeight="1" thickBot="1" x14ac:dyDescent="0.35">
      <c r="B1803" s="96" t="s">
        <v>3081</v>
      </c>
      <c r="C1803" s="97">
        <v>532745</v>
      </c>
      <c r="D1803" s="96" t="s">
        <v>388</v>
      </c>
      <c r="E1803" s="96" t="s">
        <v>371</v>
      </c>
    </row>
    <row r="1804" spans="2:5" ht="15" customHeight="1" thickBot="1" x14ac:dyDescent="0.35">
      <c r="B1804" s="96" t="s">
        <v>3082</v>
      </c>
      <c r="C1804" s="97">
        <v>524648</v>
      </c>
      <c r="D1804" s="96" t="s">
        <v>388</v>
      </c>
      <c r="E1804" s="96" t="s">
        <v>436</v>
      </c>
    </row>
    <row r="1805" spans="2:5" ht="15" customHeight="1" thickBot="1" x14ac:dyDescent="0.35">
      <c r="B1805" s="96" t="s">
        <v>3083</v>
      </c>
      <c r="C1805" s="97">
        <v>530747</v>
      </c>
      <c r="D1805" s="96" t="s">
        <v>388</v>
      </c>
      <c r="E1805" s="96" t="s">
        <v>405</v>
      </c>
    </row>
    <row r="1806" spans="2:5" ht="15" customHeight="1" thickBot="1" x14ac:dyDescent="0.35">
      <c r="B1806" s="96" t="s">
        <v>3084</v>
      </c>
      <c r="C1806" s="97">
        <v>524342</v>
      </c>
      <c r="D1806" s="96" t="s">
        <v>388</v>
      </c>
      <c r="E1806" s="96" t="s">
        <v>436</v>
      </c>
    </row>
    <row r="1807" spans="2:5" ht="15" customHeight="1" thickBot="1" x14ac:dyDescent="0.35">
      <c r="B1807" s="96" t="s">
        <v>3085</v>
      </c>
      <c r="C1807" s="97">
        <v>538838</v>
      </c>
      <c r="D1807" s="96" t="s">
        <v>388</v>
      </c>
      <c r="E1807" s="96" t="s">
        <v>403</v>
      </c>
    </row>
    <row r="1808" spans="2:5" ht="15" customHeight="1" thickBot="1" x14ac:dyDescent="0.35">
      <c r="B1808" s="96" t="s">
        <v>3086</v>
      </c>
      <c r="C1808" s="97">
        <v>521016</v>
      </c>
      <c r="D1808" s="96" t="s">
        <v>3087</v>
      </c>
      <c r="E1808" s="96" t="s">
        <v>403</v>
      </c>
    </row>
    <row r="1809" spans="2:5" ht="15" customHeight="1" thickBot="1" x14ac:dyDescent="0.35">
      <c r="B1809" s="96" t="s">
        <v>3088</v>
      </c>
      <c r="C1809" s="97">
        <v>526887</v>
      </c>
      <c r="D1809" s="96" t="s">
        <v>388</v>
      </c>
      <c r="E1809" s="96" t="s">
        <v>405</v>
      </c>
    </row>
    <row r="1810" spans="2:5" ht="15" customHeight="1" thickBot="1" x14ac:dyDescent="0.35">
      <c r="B1810" s="96" t="s">
        <v>3089</v>
      </c>
      <c r="C1810" s="97">
        <v>524458</v>
      </c>
      <c r="D1810" s="96" t="s">
        <v>388</v>
      </c>
      <c r="E1810" s="96" t="s">
        <v>548</v>
      </c>
    </row>
    <row r="1811" spans="2:5" ht="15" customHeight="1" thickBot="1" x14ac:dyDescent="0.35">
      <c r="B1811" s="96" t="s">
        <v>3090</v>
      </c>
      <c r="C1811" s="97">
        <v>506945</v>
      </c>
      <c r="D1811" s="96" t="s">
        <v>388</v>
      </c>
      <c r="E1811" s="96" t="s">
        <v>548</v>
      </c>
    </row>
    <row r="1812" spans="2:5" ht="15" customHeight="1" thickBot="1" x14ac:dyDescent="0.35">
      <c r="B1812" s="96" t="s">
        <v>3091</v>
      </c>
      <c r="C1812" s="97">
        <v>531565</v>
      </c>
      <c r="D1812" s="96" t="s">
        <v>388</v>
      </c>
      <c r="E1812" s="96" t="s">
        <v>474</v>
      </c>
    </row>
    <row r="1813" spans="2:5" ht="15" customHeight="1" thickBot="1" x14ac:dyDescent="0.35">
      <c r="B1813" s="96" t="s">
        <v>3092</v>
      </c>
      <c r="C1813" s="97">
        <v>500207</v>
      </c>
      <c r="D1813" s="96" t="s">
        <v>3093</v>
      </c>
      <c r="E1813" s="96" t="s">
        <v>403</v>
      </c>
    </row>
    <row r="1814" spans="2:5" ht="15" customHeight="1" thickBot="1" x14ac:dyDescent="0.35">
      <c r="B1814" s="96" t="s">
        <v>3094</v>
      </c>
      <c r="C1814" s="97">
        <v>500207</v>
      </c>
      <c r="D1814" s="96" t="s">
        <v>3093</v>
      </c>
      <c r="E1814" s="96" t="s">
        <v>403</v>
      </c>
    </row>
    <row r="1815" spans="2:5" ht="15" customHeight="1" thickBot="1" x14ac:dyDescent="0.35">
      <c r="B1815" s="96" t="s">
        <v>3095</v>
      </c>
      <c r="C1815" s="97">
        <v>532717</v>
      </c>
      <c r="D1815" s="96" t="s">
        <v>3096</v>
      </c>
      <c r="E1815" s="96" t="s">
        <v>431</v>
      </c>
    </row>
    <row r="1816" spans="2:5" ht="15" customHeight="1" thickBot="1" x14ac:dyDescent="0.35">
      <c r="B1816" s="96" t="s">
        <v>3097</v>
      </c>
      <c r="C1816" s="97">
        <v>533676</v>
      </c>
      <c r="D1816" s="96" t="s">
        <v>3098</v>
      </c>
      <c r="E1816" s="96" t="s">
        <v>371</v>
      </c>
    </row>
    <row r="1817" spans="2:5" ht="15" customHeight="1" thickBot="1" x14ac:dyDescent="0.35">
      <c r="B1817" s="96" t="s">
        <v>3099</v>
      </c>
      <c r="C1817" s="97">
        <v>541304</v>
      </c>
      <c r="D1817" s="96" t="s">
        <v>388</v>
      </c>
      <c r="E1817" s="96" t="s">
        <v>586</v>
      </c>
    </row>
    <row r="1818" spans="2:5" ht="15" customHeight="1" thickBot="1" x14ac:dyDescent="0.35">
      <c r="B1818" s="96" t="s">
        <v>3100</v>
      </c>
      <c r="C1818" s="97">
        <v>532100</v>
      </c>
      <c r="D1818" s="96" t="s">
        <v>388</v>
      </c>
      <c r="E1818" s="96" t="s">
        <v>481</v>
      </c>
    </row>
    <row r="1819" spans="2:5" ht="15" customHeight="1" thickBot="1" x14ac:dyDescent="0.35">
      <c r="B1819" s="96" t="s">
        <v>3101</v>
      </c>
      <c r="C1819" s="97">
        <v>532612</v>
      </c>
      <c r="D1819" s="96" t="s">
        <v>3102</v>
      </c>
      <c r="E1819" s="96" t="s">
        <v>426</v>
      </c>
    </row>
    <row r="1820" spans="2:5" ht="15" customHeight="1" thickBot="1" x14ac:dyDescent="0.35">
      <c r="B1820" s="96" t="s">
        <v>3103</v>
      </c>
      <c r="C1820" s="97">
        <v>539433</v>
      </c>
      <c r="D1820" s="96" t="s">
        <v>388</v>
      </c>
      <c r="E1820" s="96" t="s">
        <v>858</v>
      </c>
    </row>
    <row r="1821" spans="2:5" ht="15" customHeight="1" thickBot="1" x14ac:dyDescent="0.35">
      <c r="B1821" s="96" t="s">
        <v>3104</v>
      </c>
      <c r="C1821" s="97">
        <v>504092</v>
      </c>
      <c r="D1821" s="96" t="s">
        <v>388</v>
      </c>
      <c r="E1821" s="96" t="s">
        <v>548</v>
      </c>
    </row>
    <row r="1822" spans="2:5" ht="15" customHeight="1" thickBot="1" x14ac:dyDescent="0.35">
      <c r="B1822" s="96" t="s">
        <v>3105</v>
      </c>
      <c r="C1822" s="97">
        <v>504058</v>
      </c>
      <c r="D1822" s="96" t="s">
        <v>3106</v>
      </c>
      <c r="E1822" s="96" t="s">
        <v>934</v>
      </c>
    </row>
    <row r="1823" spans="2:5" ht="15" customHeight="1" thickBot="1" x14ac:dyDescent="0.35">
      <c r="B1823" s="96" t="s">
        <v>3107</v>
      </c>
      <c r="C1823" s="97">
        <v>533257</v>
      </c>
      <c r="D1823" s="96" t="s">
        <v>3108</v>
      </c>
      <c r="E1823" s="96" t="s">
        <v>686</v>
      </c>
    </row>
    <row r="1824" spans="2:5" ht="15" customHeight="1" thickBot="1" x14ac:dyDescent="0.35">
      <c r="B1824" s="96" t="s">
        <v>3109</v>
      </c>
      <c r="C1824" s="97">
        <v>541336</v>
      </c>
      <c r="D1824" s="96" t="s">
        <v>3110</v>
      </c>
      <c r="E1824" s="96" t="s">
        <v>405</v>
      </c>
    </row>
    <row r="1825" spans="2:5" ht="15" customHeight="1" thickBot="1" x14ac:dyDescent="0.35">
      <c r="B1825" s="96" t="s">
        <v>3111</v>
      </c>
      <c r="C1825" s="97">
        <v>521005</v>
      </c>
      <c r="D1825" s="96" t="s">
        <v>388</v>
      </c>
      <c r="E1825" s="96" t="s">
        <v>403</v>
      </c>
    </row>
    <row r="1826" spans="2:5" ht="15" customHeight="1" thickBot="1" x14ac:dyDescent="0.35">
      <c r="B1826" s="96" t="s">
        <v>3112</v>
      </c>
      <c r="C1826" s="97">
        <v>532894</v>
      </c>
      <c r="D1826" s="96" t="s">
        <v>3113</v>
      </c>
      <c r="E1826" s="96" t="s">
        <v>527</v>
      </c>
    </row>
    <row r="1827" spans="2:5" ht="15" customHeight="1" thickBot="1" x14ac:dyDescent="0.35">
      <c r="B1827" s="96" t="s">
        <v>3114</v>
      </c>
      <c r="C1827" s="97">
        <v>539175</v>
      </c>
      <c r="D1827" s="96" t="s">
        <v>388</v>
      </c>
      <c r="E1827" s="96" t="s">
        <v>896</v>
      </c>
    </row>
    <row r="1828" spans="2:5" ht="15" customHeight="1" thickBot="1" x14ac:dyDescent="0.35">
      <c r="B1828" s="96" t="s">
        <v>3115</v>
      </c>
      <c r="C1828" s="97">
        <v>532514</v>
      </c>
      <c r="D1828" s="96" t="s">
        <v>3116</v>
      </c>
      <c r="E1828" s="96" t="s">
        <v>413</v>
      </c>
    </row>
    <row r="1829" spans="2:5" ht="15" customHeight="1" thickBot="1" x14ac:dyDescent="0.35">
      <c r="B1829" s="96" t="s">
        <v>3117</v>
      </c>
      <c r="C1829" s="97">
        <v>532150</v>
      </c>
      <c r="D1829" s="96" t="s">
        <v>3118</v>
      </c>
      <c r="E1829" s="96" t="s">
        <v>858</v>
      </c>
    </row>
    <row r="1830" spans="2:5" ht="15" customHeight="1" thickBot="1" x14ac:dyDescent="0.35">
      <c r="B1830" s="96" t="s">
        <v>3119</v>
      </c>
      <c r="C1830" s="97">
        <v>526445</v>
      </c>
      <c r="D1830" s="96" t="s">
        <v>3120</v>
      </c>
      <c r="E1830" s="96" t="s">
        <v>586</v>
      </c>
    </row>
    <row r="1831" spans="2:5" ht="15" customHeight="1" thickBot="1" x14ac:dyDescent="0.35">
      <c r="B1831" s="96" t="s">
        <v>3121</v>
      </c>
      <c r="C1831" s="97">
        <v>522165</v>
      </c>
      <c r="D1831" s="96" t="s">
        <v>388</v>
      </c>
      <c r="E1831" s="96" t="s">
        <v>420</v>
      </c>
    </row>
    <row r="1832" spans="2:5" ht="15" customHeight="1" thickBot="1" x14ac:dyDescent="0.35">
      <c r="B1832" s="96" t="s">
        <v>3122</v>
      </c>
      <c r="C1832" s="97">
        <v>503639</v>
      </c>
      <c r="D1832" s="96" t="s">
        <v>388</v>
      </c>
      <c r="E1832" s="96" t="s">
        <v>809</v>
      </c>
    </row>
    <row r="1833" spans="2:5" ht="15" customHeight="1" thickBot="1" x14ac:dyDescent="0.35">
      <c r="B1833" s="96" t="s">
        <v>3123</v>
      </c>
      <c r="C1833" s="97">
        <v>532305</v>
      </c>
      <c r="D1833" s="96" t="s">
        <v>3124</v>
      </c>
      <c r="E1833" s="96" t="s">
        <v>426</v>
      </c>
    </row>
    <row r="1834" spans="2:5" ht="15" customHeight="1" thickBot="1" x14ac:dyDescent="0.35">
      <c r="B1834" s="96" t="s">
        <v>3125</v>
      </c>
      <c r="C1834" s="97">
        <v>524652</v>
      </c>
      <c r="D1834" s="96" t="s">
        <v>3126</v>
      </c>
      <c r="E1834" s="96" t="s">
        <v>426</v>
      </c>
    </row>
    <row r="1835" spans="2:5" ht="15" customHeight="1" thickBot="1" x14ac:dyDescent="0.35">
      <c r="B1835" s="96" t="s">
        <v>3127</v>
      </c>
      <c r="C1835" s="97">
        <v>532001</v>
      </c>
      <c r="D1835" s="96" t="s">
        <v>388</v>
      </c>
      <c r="E1835" s="96" t="s">
        <v>420</v>
      </c>
    </row>
    <row r="1836" spans="2:5" ht="15" customHeight="1" thickBot="1" x14ac:dyDescent="0.35">
      <c r="B1836" s="96" t="s">
        <v>3128</v>
      </c>
      <c r="C1836" s="97">
        <v>531841</v>
      </c>
      <c r="D1836" s="96" t="s">
        <v>388</v>
      </c>
      <c r="E1836" s="96" t="s">
        <v>405</v>
      </c>
    </row>
    <row r="1837" spans="2:5" ht="15" customHeight="1" thickBot="1" x14ac:dyDescent="0.35">
      <c r="B1837" s="96" t="s">
        <v>3129</v>
      </c>
      <c r="C1837" s="97">
        <v>532187</v>
      </c>
      <c r="D1837" s="96" t="s">
        <v>3130</v>
      </c>
      <c r="E1837" s="96" t="s">
        <v>706</v>
      </c>
    </row>
    <row r="1838" spans="2:5" ht="15" customHeight="1" thickBot="1" x14ac:dyDescent="0.35">
      <c r="B1838" s="96" t="s">
        <v>3131</v>
      </c>
      <c r="C1838" s="97">
        <v>501298</v>
      </c>
      <c r="D1838" s="96" t="s">
        <v>388</v>
      </c>
      <c r="E1838" s="96" t="s">
        <v>408</v>
      </c>
    </row>
    <row r="1839" spans="2:5" ht="15" customHeight="1" thickBot="1" x14ac:dyDescent="0.35">
      <c r="B1839" s="96" t="s">
        <v>3132</v>
      </c>
      <c r="C1839" s="97">
        <v>501295</v>
      </c>
      <c r="D1839" s="96" t="s">
        <v>3133</v>
      </c>
      <c r="E1839" s="96" t="s">
        <v>405</v>
      </c>
    </row>
    <row r="1840" spans="2:5" ht="15" customHeight="1" thickBot="1" x14ac:dyDescent="0.35">
      <c r="B1840" s="96" t="s">
        <v>3134</v>
      </c>
      <c r="C1840" s="97">
        <v>506222</v>
      </c>
      <c r="D1840" s="96" t="s">
        <v>3135</v>
      </c>
      <c r="E1840" s="96" t="s">
        <v>548</v>
      </c>
    </row>
    <row r="1841" spans="2:5" ht="15" customHeight="1" thickBot="1" x14ac:dyDescent="0.35">
      <c r="B1841" s="96" t="s">
        <v>3136</v>
      </c>
      <c r="C1841" s="97">
        <v>506222</v>
      </c>
      <c r="D1841" s="96" t="s">
        <v>3135</v>
      </c>
      <c r="E1841" s="96" t="s">
        <v>548</v>
      </c>
    </row>
    <row r="1842" spans="2:5" ht="15" customHeight="1" thickBot="1" x14ac:dyDescent="0.35">
      <c r="B1842" s="96" t="s">
        <v>3137</v>
      </c>
      <c r="C1842" s="97">
        <v>512025</v>
      </c>
      <c r="D1842" s="96" t="s">
        <v>388</v>
      </c>
      <c r="E1842" s="96" t="s">
        <v>809</v>
      </c>
    </row>
    <row r="1843" spans="2:5" ht="15" customHeight="1" thickBot="1" x14ac:dyDescent="0.35">
      <c r="B1843" s="96" t="s">
        <v>3138</v>
      </c>
      <c r="C1843" s="97">
        <v>539807</v>
      </c>
      <c r="D1843" s="96" t="s">
        <v>3139</v>
      </c>
      <c r="E1843" s="96" t="s">
        <v>394</v>
      </c>
    </row>
    <row r="1844" spans="2:5" ht="15" customHeight="1" thickBot="1" x14ac:dyDescent="0.35">
      <c r="B1844" s="96" t="s">
        <v>3140</v>
      </c>
      <c r="C1844" s="97">
        <v>533154</v>
      </c>
      <c r="D1844" s="96" t="s">
        <v>3141</v>
      </c>
      <c r="E1844" s="96" t="s">
        <v>374</v>
      </c>
    </row>
    <row r="1845" spans="2:5" ht="15" customHeight="1" thickBot="1" x14ac:dyDescent="0.35">
      <c r="B1845" s="96" t="s">
        <v>3142</v>
      </c>
      <c r="C1845" s="97">
        <v>533154</v>
      </c>
      <c r="D1845" s="96" t="s">
        <v>3141</v>
      </c>
      <c r="E1845" s="96" t="s">
        <v>374</v>
      </c>
    </row>
    <row r="1846" spans="2:5" ht="15" customHeight="1" thickBot="1" x14ac:dyDescent="0.35">
      <c r="B1846" s="96" t="s">
        <v>3143</v>
      </c>
      <c r="C1846" s="97">
        <v>541083</v>
      </c>
      <c r="D1846" s="96" t="s">
        <v>388</v>
      </c>
      <c r="E1846" s="96" t="s">
        <v>1433</v>
      </c>
    </row>
    <row r="1847" spans="2:5" ht="15" customHeight="1" thickBot="1" x14ac:dyDescent="0.35">
      <c r="B1847" s="96" t="s">
        <v>3144</v>
      </c>
      <c r="C1847" s="97">
        <v>532777</v>
      </c>
      <c r="D1847" s="96" t="s">
        <v>3145</v>
      </c>
      <c r="E1847" s="96" t="s">
        <v>3146</v>
      </c>
    </row>
    <row r="1848" spans="2:5" ht="15" customHeight="1" thickBot="1" x14ac:dyDescent="0.35">
      <c r="B1848" s="96" t="s">
        <v>3147</v>
      </c>
      <c r="C1848" s="97">
        <v>532777</v>
      </c>
      <c r="D1848" s="96" t="s">
        <v>3145</v>
      </c>
      <c r="E1848" s="96" t="s">
        <v>3146</v>
      </c>
    </row>
    <row r="1849" spans="2:5" ht="15" customHeight="1" thickBot="1" x14ac:dyDescent="0.35">
      <c r="B1849" s="96" t="s">
        <v>3148</v>
      </c>
      <c r="C1849" s="96" t="s">
        <v>388</v>
      </c>
      <c r="D1849" s="96" t="s">
        <v>3149</v>
      </c>
      <c r="E1849" s="96" t="s">
        <v>399</v>
      </c>
    </row>
    <row r="1850" spans="2:5" ht="15" customHeight="1" thickBot="1" x14ac:dyDescent="0.35">
      <c r="B1850" s="96" t="s">
        <v>3150</v>
      </c>
      <c r="C1850" s="97">
        <v>504810</v>
      </c>
      <c r="D1850" s="96" t="s">
        <v>388</v>
      </c>
      <c r="E1850" s="96" t="s">
        <v>718</v>
      </c>
    </row>
    <row r="1851" spans="2:5" ht="15" customHeight="1" thickBot="1" x14ac:dyDescent="0.35">
      <c r="B1851" s="96" t="s">
        <v>3151</v>
      </c>
      <c r="C1851" s="97">
        <v>504810</v>
      </c>
      <c r="D1851" s="96" t="s">
        <v>388</v>
      </c>
      <c r="E1851" s="96" t="s">
        <v>718</v>
      </c>
    </row>
    <row r="1852" spans="2:5" ht="15" customHeight="1" thickBot="1" x14ac:dyDescent="0.35">
      <c r="B1852" s="96" t="s">
        <v>3152</v>
      </c>
      <c r="C1852" s="97">
        <v>500209</v>
      </c>
      <c r="D1852" s="96" t="s">
        <v>3153</v>
      </c>
      <c r="E1852" s="96" t="s">
        <v>374</v>
      </c>
    </row>
    <row r="1853" spans="2:5" ht="15" customHeight="1" thickBot="1" x14ac:dyDescent="0.35">
      <c r="B1853" s="96" t="s">
        <v>3154</v>
      </c>
      <c r="C1853" s="97">
        <v>530777</v>
      </c>
      <c r="D1853" s="96" t="s">
        <v>388</v>
      </c>
      <c r="E1853" s="96" t="s">
        <v>508</v>
      </c>
    </row>
    <row r="1854" spans="2:5" ht="15" customHeight="1" thickBot="1" x14ac:dyDescent="0.35">
      <c r="B1854" s="96" t="s">
        <v>3155</v>
      </c>
      <c r="C1854" s="97">
        <v>537985</v>
      </c>
      <c r="D1854" s="96" t="s">
        <v>388</v>
      </c>
      <c r="E1854" s="96" t="s">
        <v>481</v>
      </c>
    </row>
    <row r="1855" spans="2:5" ht="15" customHeight="1" thickBot="1" x14ac:dyDescent="0.35">
      <c r="B1855" s="96" t="s">
        <v>3156</v>
      </c>
      <c r="C1855" s="97">
        <v>500210</v>
      </c>
      <c r="D1855" s="96" t="s">
        <v>3157</v>
      </c>
      <c r="E1855" s="96" t="s">
        <v>396</v>
      </c>
    </row>
    <row r="1856" spans="2:5" ht="15" customHeight="1" thickBot="1" x14ac:dyDescent="0.35">
      <c r="B1856" s="96" t="s">
        <v>3158</v>
      </c>
      <c r="C1856" s="97">
        <v>500210</v>
      </c>
      <c r="D1856" s="96" t="s">
        <v>3157</v>
      </c>
      <c r="E1856" s="96" t="s">
        <v>396</v>
      </c>
    </row>
    <row r="1857" spans="2:5" ht="15" customHeight="1" thickBot="1" x14ac:dyDescent="0.35">
      <c r="B1857" s="96" t="s">
        <v>3159</v>
      </c>
      <c r="C1857" s="97">
        <v>530787</v>
      </c>
      <c r="D1857" s="96" t="s">
        <v>388</v>
      </c>
      <c r="E1857" s="96" t="s">
        <v>2380</v>
      </c>
    </row>
    <row r="1858" spans="2:5" ht="15" customHeight="1" thickBot="1" x14ac:dyDescent="0.35">
      <c r="B1858" s="96" t="s">
        <v>3160</v>
      </c>
      <c r="C1858" s="97">
        <v>531929</v>
      </c>
      <c r="D1858" s="96" t="s">
        <v>3161</v>
      </c>
      <c r="E1858" s="96" t="s">
        <v>508</v>
      </c>
    </row>
    <row r="1859" spans="2:5" ht="15" customHeight="1" thickBot="1" x14ac:dyDescent="0.35">
      <c r="B1859" s="96" t="s">
        <v>3162</v>
      </c>
      <c r="C1859" s="96" t="s">
        <v>388</v>
      </c>
      <c r="D1859" s="96" t="s">
        <v>3163</v>
      </c>
      <c r="E1859" s="96" t="s">
        <v>399</v>
      </c>
    </row>
    <row r="1860" spans="2:5" ht="15" customHeight="1" thickBot="1" x14ac:dyDescent="0.35">
      <c r="B1860" s="96" t="s">
        <v>3164</v>
      </c>
      <c r="C1860" s="97">
        <v>533315</v>
      </c>
      <c r="D1860" s="96" t="s">
        <v>388</v>
      </c>
      <c r="E1860" s="96" t="s">
        <v>554</v>
      </c>
    </row>
    <row r="1861" spans="2:5" ht="15" customHeight="1" thickBot="1" x14ac:dyDescent="0.35">
      <c r="B1861" s="96" t="s">
        <v>3165</v>
      </c>
      <c r="C1861" s="97">
        <v>517433</v>
      </c>
      <c r="D1861" s="96" t="s">
        <v>388</v>
      </c>
      <c r="E1861" s="96" t="s">
        <v>374</v>
      </c>
    </row>
    <row r="1862" spans="2:5" ht="15" customHeight="1" thickBot="1" x14ac:dyDescent="0.35">
      <c r="B1862" s="96" t="s">
        <v>3166</v>
      </c>
      <c r="C1862" s="97">
        <v>541983</v>
      </c>
      <c r="D1862" s="96" t="s">
        <v>388</v>
      </c>
      <c r="E1862" s="96" t="s">
        <v>3167</v>
      </c>
    </row>
    <row r="1863" spans="2:5" ht="15" customHeight="1" thickBot="1" x14ac:dyDescent="0.35">
      <c r="B1863" s="96" t="s">
        <v>3168</v>
      </c>
      <c r="C1863" s="97">
        <v>541983</v>
      </c>
      <c r="D1863" s="96" t="s">
        <v>388</v>
      </c>
      <c r="E1863" s="96" t="s">
        <v>3167</v>
      </c>
    </row>
    <row r="1864" spans="2:5" ht="15" customHeight="1" thickBot="1" x14ac:dyDescent="0.35">
      <c r="B1864" s="96" t="s">
        <v>3169</v>
      </c>
      <c r="C1864" s="97">
        <v>523840</v>
      </c>
      <c r="D1864" s="96" t="s">
        <v>388</v>
      </c>
      <c r="E1864" s="96" t="s">
        <v>583</v>
      </c>
    </row>
    <row r="1865" spans="2:5" ht="15" customHeight="1" thickBot="1" x14ac:dyDescent="0.35">
      <c r="B1865" s="96" t="s">
        <v>3170</v>
      </c>
      <c r="C1865" s="96" t="s">
        <v>388</v>
      </c>
      <c r="D1865" s="96" t="s">
        <v>3171</v>
      </c>
      <c r="E1865" s="96" t="s">
        <v>399</v>
      </c>
    </row>
    <row r="1866" spans="2:5" ht="15" customHeight="1" thickBot="1" x14ac:dyDescent="0.35">
      <c r="B1866" s="96" t="s">
        <v>3172</v>
      </c>
      <c r="C1866" s="97">
        <v>541353</v>
      </c>
      <c r="D1866" s="96" t="s">
        <v>388</v>
      </c>
      <c r="E1866" s="96" t="s">
        <v>786</v>
      </c>
    </row>
    <row r="1867" spans="2:5" ht="15" customHeight="1" thickBot="1" x14ac:dyDescent="0.35">
      <c r="B1867" s="96" t="s">
        <v>3173</v>
      </c>
      <c r="C1867" s="97">
        <v>532706</v>
      </c>
      <c r="D1867" s="96" t="s">
        <v>3174</v>
      </c>
      <c r="E1867" s="96" t="s">
        <v>389</v>
      </c>
    </row>
    <row r="1868" spans="2:5" ht="15" customHeight="1" thickBot="1" x14ac:dyDescent="0.35">
      <c r="B1868" s="96" t="s">
        <v>3175</v>
      </c>
      <c r="C1868" s="97">
        <v>539083</v>
      </c>
      <c r="D1868" s="96" t="s">
        <v>3176</v>
      </c>
      <c r="E1868" s="96" t="s">
        <v>431</v>
      </c>
    </row>
    <row r="1869" spans="2:5" ht="15" customHeight="1" thickBot="1" x14ac:dyDescent="0.35">
      <c r="B1869" s="96" t="s">
        <v>3177</v>
      </c>
      <c r="C1869" s="97">
        <v>532851</v>
      </c>
      <c r="D1869" s="96" t="s">
        <v>3178</v>
      </c>
      <c r="E1869" s="96" t="s">
        <v>532</v>
      </c>
    </row>
    <row r="1870" spans="2:5" ht="15" customHeight="1" thickBot="1" x14ac:dyDescent="0.35">
      <c r="B1870" s="96" t="s">
        <v>3179</v>
      </c>
      <c r="C1870" s="97">
        <v>532851</v>
      </c>
      <c r="D1870" s="96" t="s">
        <v>3178</v>
      </c>
      <c r="E1870" s="96" t="s">
        <v>532</v>
      </c>
    </row>
    <row r="1871" spans="2:5" ht="15" customHeight="1" thickBot="1" x14ac:dyDescent="0.35">
      <c r="B1871" s="96" t="s">
        <v>3180</v>
      </c>
      <c r="C1871" s="97">
        <v>500211</v>
      </c>
      <c r="D1871" s="96" t="s">
        <v>388</v>
      </c>
      <c r="E1871" s="96" t="s">
        <v>573</v>
      </c>
    </row>
    <row r="1872" spans="2:5" ht="15" customHeight="1" thickBot="1" x14ac:dyDescent="0.35">
      <c r="B1872" s="96" t="s">
        <v>3181</v>
      </c>
      <c r="C1872" s="97">
        <v>532774</v>
      </c>
      <c r="D1872" s="96" t="s">
        <v>3182</v>
      </c>
      <c r="E1872" s="96" t="s">
        <v>374</v>
      </c>
    </row>
    <row r="1873" spans="2:5" ht="15" customHeight="1" thickBot="1" x14ac:dyDescent="0.35">
      <c r="B1873" s="96" t="s">
        <v>3183</v>
      </c>
      <c r="C1873" s="97">
        <v>526871</v>
      </c>
      <c r="D1873" s="96" t="s">
        <v>388</v>
      </c>
      <c r="E1873" s="96" t="s">
        <v>371</v>
      </c>
    </row>
    <row r="1874" spans="2:5" ht="15" customHeight="1" thickBot="1" x14ac:dyDescent="0.35">
      <c r="B1874" s="96" t="s">
        <v>3184</v>
      </c>
      <c r="C1874" s="97">
        <v>531314</v>
      </c>
      <c r="D1874" s="96" t="s">
        <v>3185</v>
      </c>
      <c r="E1874" s="96" t="s">
        <v>405</v>
      </c>
    </row>
    <row r="1875" spans="2:5" ht="15" customHeight="1" thickBot="1" x14ac:dyDescent="0.35">
      <c r="B1875" s="96" t="s">
        <v>3186</v>
      </c>
      <c r="C1875" s="97">
        <v>505358</v>
      </c>
      <c r="D1875" s="96" t="s">
        <v>388</v>
      </c>
      <c r="E1875" s="96" t="s">
        <v>396</v>
      </c>
    </row>
    <row r="1876" spans="2:5" ht="15" customHeight="1" thickBot="1" x14ac:dyDescent="0.35">
      <c r="B1876" s="96" t="s">
        <v>3187</v>
      </c>
      <c r="C1876" s="97">
        <v>505358</v>
      </c>
      <c r="D1876" s="96" t="s">
        <v>388</v>
      </c>
      <c r="E1876" s="96" t="s">
        <v>396</v>
      </c>
    </row>
    <row r="1877" spans="2:5" ht="15" customHeight="1" thickBot="1" x14ac:dyDescent="0.35">
      <c r="B1877" s="96" t="s">
        <v>3188</v>
      </c>
      <c r="C1877" s="97">
        <v>535958</v>
      </c>
      <c r="D1877" s="96" t="s">
        <v>3189</v>
      </c>
      <c r="E1877" s="96" t="s">
        <v>502</v>
      </c>
    </row>
    <row r="1878" spans="2:5" ht="15" customHeight="1" thickBot="1" x14ac:dyDescent="0.35">
      <c r="B1878" s="96" t="s">
        <v>3190</v>
      </c>
      <c r="C1878" s="97">
        <v>517423</v>
      </c>
      <c r="D1878" s="96" t="s">
        <v>388</v>
      </c>
      <c r="E1878" s="96" t="s">
        <v>686</v>
      </c>
    </row>
    <row r="1879" spans="2:5" ht="15" customHeight="1" thickBot="1" x14ac:dyDescent="0.35">
      <c r="B1879" s="96" t="s">
        <v>3191</v>
      </c>
      <c r="C1879" s="97">
        <v>536868</v>
      </c>
      <c r="D1879" s="96" t="s">
        <v>388</v>
      </c>
      <c r="E1879" s="96" t="s">
        <v>374</v>
      </c>
    </row>
    <row r="1880" spans="2:5" ht="15" customHeight="1" thickBot="1" x14ac:dyDescent="0.35">
      <c r="B1880" s="96" t="s">
        <v>3192</v>
      </c>
      <c r="C1880" s="97">
        <v>539149</v>
      </c>
      <c r="D1880" s="96" t="s">
        <v>388</v>
      </c>
      <c r="E1880" s="96" t="s">
        <v>472</v>
      </c>
    </row>
    <row r="1881" spans="2:5" ht="15" customHeight="1" thickBot="1" x14ac:dyDescent="0.35">
      <c r="B1881" s="96" t="s">
        <v>3193</v>
      </c>
      <c r="C1881" s="97">
        <v>500212</v>
      </c>
      <c r="D1881" s="96" t="s">
        <v>388</v>
      </c>
      <c r="E1881" s="96" t="s">
        <v>405</v>
      </c>
    </row>
    <row r="1882" spans="2:5" ht="15" customHeight="1" thickBot="1" x14ac:dyDescent="0.35">
      <c r="B1882" s="96" t="s">
        <v>3194</v>
      </c>
      <c r="C1882" s="97">
        <v>519606</v>
      </c>
      <c r="D1882" s="96" t="s">
        <v>388</v>
      </c>
      <c r="E1882" s="96" t="s">
        <v>637</v>
      </c>
    </row>
    <row r="1883" spans="2:5" ht="15" customHeight="1" thickBot="1" x14ac:dyDescent="0.35">
      <c r="B1883" s="96" t="s">
        <v>3195</v>
      </c>
      <c r="C1883" s="97">
        <v>531889</v>
      </c>
      <c r="D1883" s="96" t="s">
        <v>388</v>
      </c>
      <c r="E1883" s="96" t="s">
        <v>930</v>
      </c>
    </row>
    <row r="1884" spans="2:5" ht="15" customHeight="1" thickBot="1" x14ac:dyDescent="0.35">
      <c r="B1884" s="96" t="s">
        <v>3196</v>
      </c>
      <c r="C1884" s="97">
        <v>530921</v>
      </c>
      <c r="D1884" s="96" t="s">
        <v>388</v>
      </c>
      <c r="E1884" s="96" t="s">
        <v>508</v>
      </c>
    </row>
    <row r="1885" spans="2:5" ht="15" customHeight="1" thickBot="1" x14ac:dyDescent="0.35">
      <c r="B1885" s="96" t="s">
        <v>3197</v>
      </c>
      <c r="C1885" s="97">
        <v>538835</v>
      </c>
      <c r="D1885" s="96" t="s">
        <v>3198</v>
      </c>
      <c r="E1885" s="96" t="s">
        <v>481</v>
      </c>
    </row>
    <row r="1886" spans="2:5" ht="15" customHeight="1" thickBot="1" x14ac:dyDescent="0.35">
      <c r="B1886" s="96" t="s">
        <v>3199</v>
      </c>
      <c r="C1886" s="97">
        <v>534732</v>
      </c>
      <c r="D1886" s="96" t="s">
        <v>388</v>
      </c>
      <c r="E1886" s="96" t="s">
        <v>371</v>
      </c>
    </row>
    <row r="1887" spans="2:5" ht="15" customHeight="1" thickBot="1" x14ac:dyDescent="0.35">
      <c r="B1887" s="96" t="s">
        <v>3200</v>
      </c>
      <c r="C1887" s="97">
        <v>506134</v>
      </c>
      <c r="D1887" s="96" t="s">
        <v>388</v>
      </c>
      <c r="E1887" s="96" t="s">
        <v>508</v>
      </c>
    </row>
    <row r="1888" spans="2:5" ht="15" customHeight="1" thickBot="1" x14ac:dyDescent="0.35">
      <c r="B1888" s="96" t="s">
        <v>3201</v>
      </c>
      <c r="C1888" s="97">
        <v>532326</v>
      </c>
      <c r="D1888" s="96" t="s">
        <v>3202</v>
      </c>
      <c r="E1888" s="96" t="s">
        <v>481</v>
      </c>
    </row>
    <row r="1889" spans="2:5" ht="15" customHeight="1" thickBot="1" x14ac:dyDescent="0.35">
      <c r="B1889" s="96" t="s">
        <v>3203</v>
      </c>
      <c r="C1889" s="97">
        <v>511391</v>
      </c>
      <c r="D1889" s="96" t="s">
        <v>388</v>
      </c>
      <c r="E1889" s="96" t="s">
        <v>405</v>
      </c>
    </row>
    <row r="1890" spans="2:5" ht="15" customHeight="1" thickBot="1" x14ac:dyDescent="0.35">
      <c r="B1890" s="96" t="s">
        <v>3204</v>
      </c>
      <c r="C1890" s="97">
        <v>530259</v>
      </c>
      <c r="D1890" s="96" t="s">
        <v>388</v>
      </c>
      <c r="E1890" s="96" t="s">
        <v>460</v>
      </c>
    </row>
    <row r="1891" spans="2:5" ht="15" customHeight="1" thickBot="1" x14ac:dyDescent="0.35">
      <c r="B1891" s="96" t="s">
        <v>3205</v>
      </c>
      <c r="C1891" s="97">
        <v>539692</v>
      </c>
      <c r="D1891" s="96" t="s">
        <v>388</v>
      </c>
      <c r="E1891" s="96" t="s">
        <v>405</v>
      </c>
    </row>
    <row r="1892" spans="2:5" ht="15" customHeight="1" thickBot="1" x14ac:dyDescent="0.35">
      <c r="B1892" s="96" t="s">
        <v>3206</v>
      </c>
      <c r="C1892" s="97">
        <v>539448</v>
      </c>
      <c r="D1892" s="96" t="s">
        <v>3207</v>
      </c>
      <c r="E1892" s="96" t="s">
        <v>2525</v>
      </c>
    </row>
    <row r="1893" spans="2:5" ht="15" customHeight="1" thickBot="1" x14ac:dyDescent="0.35">
      <c r="B1893" s="96" t="s">
        <v>3208</v>
      </c>
      <c r="C1893" s="97">
        <v>526512</v>
      </c>
      <c r="D1893" s="96" t="s">
        <v>388</v>
      </c>
      <c r="E1893" s="96" t="s">
        <v>451</v>
      </c>
    </row>
    <row r="1894" spans="2:5" ht="15" customHeight="1" thickBot="1" x14ac:dyDescent="0.35">
      <c r="B1894" s="96" t="s">
        <v>3209</v>
      </c>
      <c r="C1894" s="97">
        <v>505737</v>
      </c>
      <c r="D1894" s="96" t="s">
        <v>388</v>
      </c>
      <c r="E1894" s="96" t="s">
        <v>396</v>
      </c>
    </row>
    <row r="1895" spans="2:5" ht="15" customHeight="1" thickBot="1" x14ac:dyDescent="0.35">
      <c r="B1895" s="96" t="s">
        <v>3210</v>
      </c>
      <c r="C1895" s="97">
        <v>505737</v>
      </c>
      <c r="D1895" s="96" t="s">
        <v>388</v>
      </c>
      <c r="E1895" s="96" t="s">
        <v>396</v>
      </c>
    </row>
    <row r="1896" spans="2:5" ht="15" customHeight="1" thickBot="1" x14ac:dyDescent="0.35">
      <c r="B1896" s="96" t="s">
        <v>3211</v>
      </c>
      <c r="C1896" s="96" t="s">
        <v>388</v>
      </c>
      <c r="D1896" s="96" t="s">
        <v>3212</v>
      </c>
      <c r="E1896" s="96" t="s">
        <v>479</v>
      </c>
    </row>
    <row r="1897" spans="2:5" ht="15" customHeight="1" thickBot="1" x14ac:dyDescent="0.35">
      <c r="B1897" s="96" t="s">
        <v>3213</v>
      </c>
      <c r="C1897" s="97">
        <v>509709</v>
      </c>
      <c r="D1897" s="96" t="s">
        <v>388</v>
      </c>
      <c r="E1897" s="96" t="s">
        <v>508</v>
      </c>
    </row>
    <row r="1898" spans="2:5" ht="15" customHeight="1" thickBot="1" x14ac:dyDescent="0.35">
      <c r="B1898" s="96" t="s">
        <v>3214</v>
      </c>
      <c r="C1898" s="97">
        <v>517044</v>
      </c>
      <c r="D1898" s="96" t="s">
        <v>388</v>
      </c>
      <c r="E1898" s="96" t="s">
        <v>472</v>
      </c>
    </row>
    <row r="1899" spans="2:5" ht="15" customHeight="1" thickBot="1" x14ac:dyDescent="0.35">
      <c r="B1899" s="96" t="s">
        <v>3215</v>
      </c>
      <c r="C1899" s="97">
        <v>530781</v>
      </c>
      <c r="D1899" s="96" t="s">
        <v>388</v>
      </c>
      <c r="E1899" s="96" t="s">
        <v>446</v>
      </c>
    </row>
    <row r="1900" spans="2:5" ht="15" customHeight="1" thickBot="1" x14ac:dyDescent="0.35">
      <c r="B1900" s="96" t="s">
        <v>3216</v>
      </c>
      <c r="C1900" s="97">
        <v>502330</v>
      </c>
      <c r="D1900" s="96" t="s">
        <v>3217</v>
      </c>
      <c r="E1900" s="96" t="s">
        <v>382</v>
      </c>
    </row>
    <row r="1901" spans="2:5" ht="15" customHeight="1" thickBot="1" x14ac:dyDescent="0.35">
      <c r="B1901" s="96" t="s">
        <v>3218</v>
      </c>
      <c r="C1901" s="97">
        <v>500213</v>
      </c>
      <c r="D1901" s="96" t="s">
        <v>388</v>
      </c>
      <c r="E1901" s="96" t="s">
        <v>1390</v>
      </c>
    </row>
    <row r="1902" spans="2:5" ht="15" customHeight="1" thickBot="1" x14ac:dyDescent="0.35">
      <c r="B1902" s="96" t="s">
        <v>3219</v>
      </c>
      <c r="C1902" s="97">
        <v>532072</v>
      </c>
      <c r="D1902" s="96" t="s">
        <v>388</v>
      </c>
      <c r="E1902" s="96" t="s">
        <v>391</v>
      </c>
    </row>
    <row r="1903" spans="2:5" ht="15" customHeight="1" thickBot="1" x14ac:dyDescent="0.35">
      <c r="B1903" s="96" t="s">
        <v>3220</v>
      </c>
      <c r="C1903" s="97">
        <v>533181</v>
      </c>
      <c r="D1903" s="96" t="s">
        <v>3221</v>
      </c>
      <c r="E1903" s="96" t="s">
        <v>3146</v>
      </c>
    </row>
    <row r="1904" spans="2:5" ht="15" customHeight="1" thickBot="1" x14ac:dyDescent="0.35">
      <c r="B1904" s="96" t="s">
        <v>3222</v>
      </c>
      <c r="C1904" s="97">
        <v>533506</v>
      </c>
      <c r="D1904" s="96" t="s">
        <v>3223</v>
      </c>
      <c r="E1904" s="96" t="s">
        <v>371</v>
      </c>
    </row>
    <row r="1905" spans="2:5" ht="15" customHeight="1" thickBot="1" x14ac:dyDescent="0.35">
      <c r="B1905" s="96" t="s">
        <v>3224</v>
      </c>
      <c r="C1905" s="97">
        <v>533172</v>
      </c>
      <c r="D1905" s="96" t="s">
        <v>3225</v>
      </c>
      <c r="E1905" s="96" t="s">
        <v>371</v>
      </c>
    </row>
    <row r="1906" spans="2:5" ht="15" customHeight="1" thickBot="1" x14ac:dyDescent="0.35">
      <c r="B1906" s="96" t="s">
        <v>3226</v>
      </c>
      <c r="C1906" s="97">
        <v>504786</v>
      </c>
      <c r="D1906" s="96" t="s">
        <v>388</v>
      </c>
      <c r="E1906" s="96" t="s">
        <v>1307</v>
      </c>
    </row>
    <row r="1907" spans="2:5" ht="15" customHeight="1" thickBot="1" x14ac:dyDescent="0.35">
      <c r="B1907" s="96" t="s">
        <v>3227</v>
      </c>
      <c r="C1907" s="97">
        <v>523844</v>
      </c>
      <c r="D1907" s="96" t="s">
        <v>388</v>
      </c>
      <c r="E1907" s="96" t="s">
        <v>1554</v>
      </c>
    </row>
    <row r="1908" spans="2:5" ht="15" customHeight="1" thickBot="1" x14ac:dyDescent="0.35">
      <c r="B1908" s="96" t="s">
        <v>3228</v>
      </c>
      <c r="C1908" s="97">
        <v>523752</v>
      </c>
      <c r="D1908" s="96" t="s">
        <v>388</v>
      </c>
      <c r="E1908" s="96" t="s">
        <v>396</v>
      </c>
    </row>
    <row r="1909" spans="2:5" ht="15" customHeight="1" thickBot="1" x14ac:dyDescent="0.35">
      <c r="B1909" s="96" t="s">
        <v>3229</v>
      </c>
      <c r="C1909" s="97">
        <v>524164</v>
      </c>
      <c r="D1909" s="96" t="s">
        <v>3230</v>
      </c>
      <c r="E1909" s="96" t="s">
        <v>426</v>
      </c>
    </row>
    <row r="1910" spans="2:5" ht="15" customHeight="1" thickBot="1" x14ac:dyDescent="0.35">
      <c r="B1910" s="96" t="s">
        <v>3231</v>
      </c>
      <c r="C1910" s="97">
        <v>500214</v>
      </c>
      <c r="D1910" s="96" t="s">
        <v>388</v>
      </c>
      <c r="E1910" s="96" t="s">
        <v>396</v>
      </c>
    </row>
    <row r="1911" spans="2:5" ht="15" customHeight="1" thickBot="1" x14ac:dyDescent="0.35">
      <c r="B1911" s="96" t="s">
        <v>3232</v>
      </c>
      <c r="C1911" s="97">
        <v>500214</v>
      </c>
      <c r="D1911" s="96" t="s">
        <v>388</v>
      </c>
      <c r="E1911" s="96" t="s">
        <v>396</v>
      </c>
    </row>
    <row r="1912" spans="2:5" ht="15" customHeight="1" thickBot="1" x14ac:dyDescent="0.35">
      <c r="B1912" s="96" t="s">
        <v>3233</v>
      </c>
      <c r="C1912" s="97">
        <v>523638</v>
      </c>
      <c r="D1912" s="96" t="s">
        <v>388</v>
      </c>
      <c r="E1912" s="96" t="s">
        <v>743</v>
      </c>
    </row>
    <row r="1913" spans="2:5" ht="15" customHeight="1" thickBot="1" x14ac:dyDescent="0.35">
      <c r="B1913" s="96" t="s">
        <v>3234</v>
      </c>
      <c r="C1913" s="97">
        <v>524494</v>
      </c>
      <c r="D1913" s="96" t="s">
        <v>3235</v>
      </c>
      <c r="E1913" s="96" t="s">
        <v>426</v>
      </c>
    </row>
    <row r="1914" spans="2:5" ht="15" customHeight="1" thickBot="1" x14ac:dyDescent="0.35">
      <c r="B1914" s="96" t="s">
        <v>3236</v>
      </c>
      <c r="C1914" s="97">
        <v>512405</v>
      </c>
      <c r="D1914" s="96" t="s">
        <v>388</v>
      </c>
      <c r="E1914" s="96" t="s">
        <v>394</v>
      </c>
    </row>
    <row r="1915" spans="2:5" ht="15" customHeight="1" thickBot="1" x14ac:dyDescent="0.35">
      <c r="B1915" s="96" t="s">
        <v>3237</v>
      </c>
      <c r="C1915" s="97">
        <v>512405</v>
      </c>
      <c r="D1915" s="96" t="s">
        <v>388</v>
      </c>
      <c r="E1915" s="96" t="s">
        <v>394</v>
      </c>
    </row>
    <row r="1916" spans="2:5" ht="15" customHeight="1" thickBot="1" x14ac:dyDescent="0.35">
      <c r="B1916" s="96" t="s">
        <v>3238</v>
      </c>
      <c r="C1916" s="97">
        <v>532947</v>
      </c>
      <c r="D1916" s="96" t="s">
        <v>3239</v>
      </c>
      <c r="E1916" s="96" t="s">
        <v>983</v>
      </c>
    </row>
    <row r="1917" spans="2:5" ht="15" customHeight="1" thickBot="1" x14ac:dyDescent="0.35">
      <c r="B1917" s="96" t="s">
        <v>3240</v>
      </c>
      <c r="C1917" s="97">
        <v>540526</v>
      </c>
      <c r="D1917" s="96" t="s">
        <v>3241</v>
      </c>
      <c r="E1917" s="96" t="s">
        <v>408</v>
      </c>
    </row>
    <row r="1918" spans="2:5" ht="15" customHeight="1" thickBot="1" x14ac:dyDescent="0.35">
      <c r="B1918" s="96" t="s">
        <v>3242</v>
      </c>
      <c r="C1918" s="97">
        <v>541956</v>
      </c>
      <c r="D1918" s="96" t="s">
        <v>3243</v>
      </c>
      <c r="E1918" s="96" t="s">
        <v>786</v>
      </c>
    </row>
    <row r="1919" spans="2:5" ht="15" customHeight="1" thickBot="1" x14ac:dyDescent="0.35">
      <c r="B1919" s="96" t="s">
        <v>3244</v>
      </c>
      <c r="C1919" s="97">
        <v>540735</v>
      </c>
      <c r="D1919" s="96" t="s">
        <v>388</v>
      </c>
      <c r="E1919" s="96" t="s">
        <v>481</v>
      </c>
    </row>
    <row r="1920" spans="2:5" ht="15" customHeight="1" thickBot="1" x14ac:dyDescent="0.35">
      <c r="B1920" s="96" t="s">
        <v>3245</v>
      </c>
      <c r="C1920" s="96" t="s">
        <v>388</v>
      </c>
      <c r="D1920" s="96" t="s">
        <v>3246</v>
      </c>
      <c r="E1920" s="96" t="s">
        <v>399</v>
      </c>
    </row>
    <row r="1921" spans="2:5" ht="15" customHeight="1" thickBot="1" x14ac:dyDescent="0.35">
      <c r="B1921" s="96" t="s">
        <v>3247</v>
      </c>
      <c r="C1921" s="97">
        <v>531337</v>
      </c>
      <c r="D1921" s="96" t="s">
        <v>388</v>
      </c>
      <c r="E1921" s="96" t="s">
        <v>371</v>
      </c>
    </row>
    <row r="1922" spans="2:5" ht="15" customHeight="1" thickBot="1" x14ac:dyDescent="0.35">
      <c r="B1922" s="96" t="s">
        <v>3248</v>
      </c>
      <c r="C1922" s="97">
        <v>526859</v>
      </c>
      <c r="D1922" s="96" t="s">
        <v>388</v>
      </c>
      <c r="E1922" s="96" t="s">
        <v>405</v>
      </c>
    </row>
    <row r="1923" spans="2:5" ht="15" customHeight="1" thickBot="1" x14ac:dyDescent="0.35">
      <c r="B1923" s="96" t="s">
        <v>3249</v>
      </c>
      <c r="C1923" s="97">
        <v>533033</v>
      </c>
      <c r="D1923" s="96" t="s">
        <v>388</v>
      </c>
      <c r="E1923" s="96" t="s">
        <v>396</v>
      </c>
    </row>
    <row r="1924" spans="2:5" ht="15" customHeight="1" thickBot="1" x14ac:dyDescent="0.35">
      <c r="B1924" s="96" t="s">
        <v>3250</v>
      </c>
      <c r="C1924" s="97">
        <v>540134</v>
      </c>
      <c r="D1924" s="96" t="s">
        <v>388</v>
      </c>
      <c r="E1924" s="96" t="s">
        <v>786</v>
      </c>
    </row>
    <row r="1925" spans="2:5" ht="15" customHeight="1" thickBot="1" x14ac:dyDescent="0.35">
      <c r="B1925" s="96" t="s">
        <v>3251</v>
      </c>
      <c r="C1925" s="97">
        <v>531109</v>
      </c>
      <c r="D1925" s="96" t="s">
        <v>388</v>
      </c>
      <c r="E1925" s="96" t="s">
        <v>548</v>
      </c>
    </row>
    <row r="1926" spans="2:5" ht="15" customHeight="1" thickBot="1" x14ac:dyDescent="0.35">
      <c r="B1926" s="96" t="s">
        <v>3252</v>
      </c>
      <c r="C1926" s="97">
        <v>524400</v>
      </c>
      <c r="D1926" s="96" t="s">
        <v>388</v>
      </c>
      <c r="E1926" s="96" t="s">
        <v>426</v>
      </c>
    </row>
    <row r="1927" spans="2:5" ht="15" customHeight="1" thickBot="1" x14ac:dyDescent="0.35">
      <c r="B1927" s="96" t="s">
        <v>3253</v>
      </c>
      <c r="C1927" s="97">
        <v>506161</v>
      </c>
      <c r="D1927" s="96" t="s">
        <v>388</v>
      </c>
      <c r="E1927" s="96" t="s">
        <v>405</v>
      </c>
    </row>
    <row r="1928" spans="2:5" ht="15" customHeight="1" thickBot="1" x14ac:dyDescent="0.35">
      <c r="B1928" s="96" t="s">
        <v>3254</v>
      </c>
      <c r="C1928" s="97">
        <v>511609</v>
      </c>
      <c r="D1928" s="96" t="s">
        <v>388</v>
      </c>
      <c r="E1928" s="96" t="s">
        <v>405</v>
      </c>
    </row>
    <row r="1929" spans="2:5" ht="15" customHeight="1" thickBot="1" x14ac:dyDescent="0.35">
      <c r="B1929" s="96" t="s">
        <v>3255</v>
      </c>
      <c r="C1929" s="97">
        <v>532479</v>
      </c>
      <c r="D1929" s="96" t="s">
        <v>3256</v>
      </c>
      <c r="E1929" s="96" t="s">
        <v>420</v>
      </c>
    </row>
    <row r="1930" spans="2:5" ht="15" customHeight="1" thickBot="1" x14ac:dyDescent="0.35">
      <c r="B1930" s="96" t="s">
        <v>3257</v>
      </c>
      <c r="C1930" s="97">
        <v>508807</v>
      </c>
      <c r="D1930" s="96" t="s">
        <v>388</v>
      </c>
      <c r="E1930" s="96" t="s">
        <v>743</v>
      </c>
    </row>
    <row r="1931" spans="2:5" ht="15" customHeight="1" thickBot="1" x14ac:dyDescent="0.35">
      <c r="B1931" s="96" t="s">
        <v>3258</v>
      </c>
      <c r="C1931" s="97">
        <v>524622</v>
      </c>
      <c r="D1931" s="96" t="s">
        <v>388</v>
      </c>
      <c r="E1931" s="96" t="s">
        <v>3146</v>
      </c>
    </row>
    <row r="1932" spans="2:5" ht="15" customHeight="1" thickBot="1" x14ac:dyDescent="0.35">
      <c r="B1932" s="96" t="s">
        <v>1093</v>
      </c>
      <c r="C1932" s="97">
        <v>500875</v>
      </c>
      <c r="D1932" s="96" t="s">
        <v>213</v>
      </c>
      <c r="E1932" s="96" t="s">
        <v>2558</v>
      </c>
    </row>
    <row r="1933" spans="2:5" ht="15" customHeight="1" thickBot="1" x14ac:dyDescent="0.35">
      <c r="B1933" s="96" t="s">
        <v>3259</v>
      </c>
      <c r="C1933" s="97">
        <v>509496</v>
      </c>
      <c r="D1933" s="96" t="s">
        <v>3260</v>
      </c>
      <c r="E1933" s="96" t="s">
        <v>786</v>
      </c>
    </row>
    <row r="1934" spans="2:5" ht="15" customHeight="1" thickBot="1" x14ac:dyDescent="0.35">
      <c r="B1934" s="96" t="s">
        <v>3261</v>
      </c>
      <c r="C1934" s="97">
        <v>509496</v>
      </c>
      <c r="D1934" s="96" t="s">
        <v>3260</v>
      </c>
      <c r="E1934" s="96" t="s">
        <v>786</v>
      </c>
    </row>
    <row r="1935" spans="2:5" ht="15" customHeight="1" thickBot="1" x14ac:dyDescent="0.35">
      <c r="B1935" s="96" t="s">
        <v>3262</v>
      </c>
      <c r="C1935" s="97">
        <v>523610</v>
      </c>
      <c r="D1935" s="96" t="s">
        <v>3263</v>
      </c>
      <c r="E1935" s="96" t="s">
        <v>534</v>
      </c>
    </row>
    <row r="1936" spans="2:5" ht="15" customHeight="1" thickBot="1" x14ac:dyDescent="0.35">
      <c r="B1936" s="96" t="s">
        <v>3264</v>
      </c>
      <c r="C1936" s="97">
        <v>522183</v>
      </c>
      <c r="D1936" s="96" t="s">
        <v>388</v>
      </c>
      <c r="E1936" s="96" t="s">
        <v>396</v>
      </c>
    </row>
    <row r="1937" spans="2:5" ht="15" customHeight="1" thickBot="1" x14ac:dyDescent="0.35">
      <c r="B1937" s="96" t="s">
        <v>3265</v>
      </c>
      <c r="C1937" s="97">
        <v>507580</v>
      </c>
      <c r="D1937" s="96" t="s">
        <v>3266</v>
      </c>
      <c r="E1937" s="96" t="s">
        <v>436</v>
      </c>
    </row>
    <row r="1938" spans="2:5" ht="15" customHeight="1" thickBot="1" x14ac:dyDescent="0.35">
      <c r="B1938" s="96" t="s">
        <v>3267</v>
      </c>
      <c r="C1938" s="97">
        <v>530773</v>
      </c>
      <c r="D1938" s="96" t="s">
        <v>3268</v>
      </c>
      <c r="E1938" s="96" t="s">
        <v>786</v>
      </c>
    </row>
    <row r="1939" spans="2:5" ht="15" customHeight="1" thickBot="1" x14ac:dyDescent="0.35">
      <c r="B1939" s="96" t="s">
        <v>3269</v>
      </c>
      <c r="C1939" s="97">
        <v>522245</v>
      </c>
      <c r="D1939" s="96" t="s">
        <v>388</v>
      </c>
      <c r="E1939" s="96" t="s">
        <v>573</v>
      </c>
    </row>
    <row r="1940" spans="2:5" ht="15" customHeight="1" thickBot="1" x14ac:dyDescent="0.35">
      <c r="B1940" s="96" t="s">
        <v>3270</v>
      </c>
      <c r="C1940" s="97">
        <v>532341</v>
      </c>
      <c r="D1940" s="96" t="s">
        <v>3271</v>
      </c>
      <c r="E1940" s="96" t="s">
        <v>374</v>
      </c>
    </row>
    <row r="1941" spans="2:5" ht="15" customHeight="1" thickBot="1" x14ac:dyDescent="0.35">
      <c r="B1941" s="96" t="s">
        <v>3272</v>
      </c>
      <c r="C1941" s="97">
        <v>538539</v>
      </c>
      <c r="D1941" s="96" t="s">
        <v>388</v>
      </c>
      <c r="E1941" s="96" t="s">
        <v>408</v>
      </c>
    </row>
    <row r="1942" spans="2:5" ht="15" customHeight="1" thickBot="1" x14ac:dyDescent="0.35">
      <c r="B1942" s="96" t="s">
        <v>3273</v>
      </c>
      <c r="C1942" s="97">
        <v>530049</v>
      </c>
      <c r="D1942" s="96" t="s">
        <v>388</v>
      </c>
      <c r="E1942" s="96" t="s">
        <v>403</v>
      </c>
    </row>
    <row r="1943" spans="2:5" ht="15" customHeight="1" thickBot="1" x14ac:dyDescent="0.35">
      <c r="B1943" s="96" t="s">
        <v>3274</v>
      </c>
      <c r="C1943" s="97">
        <v>523062</v>
      </c>
      <c r="D1943" s="96" t="s">
        <v>388</v>
      </c>
      <c r="E1943" s="96" t="s">
        <v>405</v>
      </c>
    </row>
    <row r="1944" spans="2:5" ht="15" customHeight="1" thickBot="1" x14ac:dyDescent="0.35">
      <c r="B1944" s="96" t="s">
        <v>3275</v>
      </c>
      <c r="C1944" s="97">
        <v>532940</v>
      </c>
      <c r="D1944" s="96" t="s">
        <v>3276</v>
      </c>
      <c r="E1944" s="96" t="s">
        <v>786</v>
      </c>
    </row>
    <row r="1945" spans="2:5" ht="15" customHeight="1" thickBot="1" x14ac:dyDescent="0.35">
      <c r="B1945" s="96" t="s">
        <v>3277</v>
      </c>
      <c r="C1945" s="97">
        <v>506522</v>
      </c>
      <c r="D1945" s="96" t="s">
        <v>388</v>
      </c>
      <c r="E1945" s="96" t="s">
        <v>570</v>
      </c>
    </row>
    <row r="1946" spans="2:5" ht="15" customHeight="1" thickBot="1" x14ac:dyDescent="0.35">
      <c r="B1946" s="96" t="s">
        <v>3278</v>
      </c>
      <c r="C1946" s="97">
        <v>506522</v>
      </c>
      <c r="D1946" s="96" t="s">
        <v>388</v>
      </c>
      <c r="E1946" s="96" t="s">
        <v>570</v>
      </c>
    </row>
    <row r="1947" spans="2:5" ht="15" customHeight="1" thickBot="1" x14ac:dyDescent="0.35">
      <c r="B1947" s="96" t="s">
        <v>3279</v>
      </c>
      <c r="C1947" s="97">
        <v>530915</v>
      </c>
      <c r="D1947" s="96" t="s">
        <v>388</v>
      </c>
      <c r="E1947" s="96" t="s">
        <v>637</v>
      </c>
    </row>
    <row r="1948" spans="2:5" ht="15" customHeight="1" thickBot="1" x14ac:dyDescent="0.35">
      <c r="B1948" s="96" t="s">
        <v>3280</v>
      </c>
      <c r="C1948" s="97">
        <v>538422</v>
      </c>
      <c r="D1948" s="96" t="s">
        <v>388</v>
      </c>
      <c r="E1948" s="96" t="s">
        <v>408</v>
      </c>
    </row>
    <row r="1949" spans="2:5" ht="15" customHeight="1" thickBot="1" x14ac:dyDescent="0.35">
      <c r="B1949" s="96" t="s">
        <v>3281</v>
      </c>
      <c r="C1949" s="97">
        <v>530711</v>
      </c>
      <c r="D1949" s="96" t="s">
        <v>388</v>
      </c>
      <c r="E1949" s="96" t="s">
        <v>743</v>
      </c>
    </row>
    <row r="1950" spans="2:5" ht="15" customHeight="1" thickBot="1" x14ac:dyDescent="0.35">
      <c r="B1950" s="96" t="s">
        <v>3282</v>
      </c>
      <c r="C1950" s="97">
        <v>507155</v>
      </c>
      <c r="D1950" s="96" t="s">
        <v>388</v>
      </c>
      <c r="E1950" s="96" t="s">
        <v>1020</v>
      </c>
    </row>
    <row r="1951" spans="2:5" ht="15" customHeight="1" thickBot="1" x14ac:dyDescent="0.35">
      <c r="B1951" s="96" t="s">
        <v>3283</v>
      </c>
      <c r="C1951" s="97">
        <v>532825</v>
      </c>
      <c r="D1951" s="96" t="s">
        <v>388</v>
      </c>
      <c r="E1951" s="96" t="s">
        <v>403</v>
      </c>
    </row>
    <row r="1952" spans="2:5" ht="15" customHeight="1" thickBot="1" x14ac:dyDescent="0.35">
      <c r="B1952" s="96" t="s">
        <v>3284</v>
      </c>
      <c r="C1952" s="97">
        <v>532705</v>
      </c>
      <c r="D1952" s="96" t="s">
        <v>3285</v>
      </c>
      <c r="E1952" s="96" t="s">
        <v>912</v>
      </c>
    </row>
    <row r="1953" spans="2:5" ht="15" customHeight="1" thickBot="1" x14ac:dyDescent="0.35">
      <c r="B1953" s="96" t="s">
        <v>3286</v>
      </c>
      <c r="C1953" s="97">
        <v>520139</v>
      </c>
      <c r="D1953" s="96" t="s">
        <v>388</v>
      </c>
      <c r="E1953" s="96" t="s">
        <v>2525</v>
      </c>
    </row>
    <row r="1954" spans="2:5" ht="15" customHeight="1" thickBot="1" x14ac:dyDescent="0.35">
      <c r="B1954" s="96" t="s">
        <v>3287</v>
      </c>
      <c r="C1954" s="97">
        <v>530601</v>
      </c>
      <c r="D1954" s="96" t="s">
        <v>388</v>
      </c>
      <c r="E1954" s="96" t="s">
        <v>405</v>
      </c>
    </row>
    <row r="1955" spans="2:5" ht="15" customHeight="1" thickBot="1" x14ac:dyDescent="0.35">
      <c r="B1955" s="96" t="s">
        <v>3288</v>
      </c>
      <c r="C1955" s="97">
        <v>507789</v>
      </c>
      <c r="D1955" s="96" t="s">
        <v>3289</v>
      </c>
      <c r="E1955" s="96" t="s">
        <v>426</v>
      </c>
    </row>
    <row r="1956" spans="2:5" ht="15" customHeight="1" thickBot="1" x14ac:dyDescent="0.35">
      <c r="B1956" s="96" t="s">
        <v>3290</v>
      </c>
      <c r="C1956" s="97">
        <v>532976</v>
      </c>
      <c r="D1956" s="96" t="s">
        <v>3291</v>
      </c>
      <c r="E1956" s="96" t="s">
        <v>420</v>
      </c>
    </row>
    <row r="1957" spans="2:5" ht="15" customHeight="1" thickBot="1" x14ac:dyDescent="0.35">
      <c r="B1957" s="96" t="s">
        <v>3292</v>
      </c>
      <c r="C1957" s="97">
        <v>512237</v>
      </c>
      <c r="D1957" s="96" t="s">
        <v>3293</v>
      </c>
      <c r="E1957" s="96" t="s">
        <v>420</v>
      </c>
    </row>
    <row r="1958" spans="2:5" ht="15" customHeight="1" thickBot="1" x14ac:dyDescent="0.35">
      <c r="B1958" s="96" t="s">
        <v>3294</v>
      </c>
      <c r="C1958" s="97">
        <v>523467</v>
      </c>
      <c r="D1958" s="96" t="s">
        <v>388</v>
      </c>
      <c r="E1958" s="96" t="s">
        <v>916</v>
      </c>
    </row>
    <row r="1959" spans="2:5" ht="15" customHeight="1" thickBot="1" x14ac:dyDescent="0.35">
      <c r="B1959" s="96" t="s">
        <v>3295</v>
      </c>
      <c r="C1959" s="97">
        <v>531339</v>
      </c>
      <c r="D1959" s="96" t="s">
        <v>3296</v>
      </c>
      <c r="E1959" s="96" t="s">
        <v>786</v>
      </c>
    </row>
    <row r="1960" spans="2:5" ht="15" customHeight="1" thickBot="1" x14ac:dyDescent="0.35">
      <c r="B1960" s="96" t="s">
        <v>3297</v>
      </c>
      <c r="C1960" s="97">
        <v>514312</v>
      </c>
      <c r="D1960" s="96" t="s">
        <v>388</v>
      </c>
      <c r="E1960" s="96" t="s">
        <v>403</v>
      </c>
    </row>
    <row r="1961" spans="2:5" ht="15" customHeight="1" thickBot="1" x14ac:dyDescent="0.35">
      <c r="B1961" s="96" t="s">
        <v>3298</v>
      </c>
      <c r="C1961" s="97">
        <v>500219</v>
      </c>
      <c r="D1961" s="96" t="s">
        <v>3299</v>
      </c>
      <c r="E1961" s="96" t="s">
        <v>508</v>
      </c>
    </row>
    <row r="1962" spans="2:5" ht="15" customHeight="1" thickBot="1" x14ac:dyDescent="0.35">
      <c r="B1962" s="96" t="s">
        <v>3298</v>
      </c>
      <c r="C1962" s="97">
        <v>570004</v>
      </c>
      <c r="D1962" s="96" t="s">
        <v>3300</v>
      </c>
      <c r="E1962" s="96" t="s">
        <v>508</v>
      </c>
    </row>
    <row r="1963" spans="2:5" ht="15" customHeight="1" thickBot="1" x14ac:dyDescent="0.35">
      <c r="B1963" s="96" t="s">
        <v>3301</v>
      </c>
      <c r="C1963" s="97">
        <v>539119</v>
      </c>
      <c r="D1963" s="96" t="s">
        <v>388</v>
      </c>
      <c r="E1963" s="96" t="s">
        <v>916</v>
      </c>
    </row>
    <row r="1964" spans="2:5" ht="15" customHeight="1" thickBot="1" x14ac:dyDescent="0.35">
      <c r="B1964" s="96" t="s">
        <v>3302</v>
      </c>
      <c r="C1964" s="97">
        <v>532033</v>
      </c>
      <c r="D1964" s="96" t="s">
        <v>3303</v>
      </c>
      <c r="E1964" s="96" t="s">
        <v>1126</v>
      </c>
    </row>
    <row r="1965" spans="2:5" ht="15" customHeight="1" thickBot="1" x14ac:dyDescent="0.35">
      <c r="B1965" s="96" t="s">
        <v>3304</v>
      </c>
      <c r="C1965" s="97">
        <v>526865</v>
      </c>
      <c r="D1965" s="96" t="s">
        <v>388</v>
      </c>
      <c r="E1965" s="96" t="s">
        <v>410</v>
      </c>
    </row>
    <row r="1966" spans="2:5" ht="15" customHeight="1" thickBot="1" x14ac:dyDescent="0.35">
      <c r="B1966" s="96" t="s">
        <v>3305</v>
      </c>
      <c r="C1966" s="97">
        <v>526865</v>
      </c>
      <c r="D1966" s="96" t="s">
        <v>388</v>
      </c>
      <c r="E1966" s="96" t="s">
        <v>410</v>
      </c>
    </row>
    <row r="1967" spans="2:5" ht="15" customHeight="1" thickBot="1" x14ac:dyDescent="0.35">
      <c r="B1967" s="96" t="s">
        <v>3306</v>
      </c>
      <c r="C1967" s="97">
        <v>505212</v>
      </c>
      <c r="D1967" s="96" t="s">
        <v>388</v>
      </c>
      <c r="E1967" s="96" t="s">
        <v>743</v>
      </c>
    </row>
    <row r="1968" spans="2:5" ht="15" customHeight="1" thickBot="1" x14ac:dyDescent="0.35">
      <c r="B1968" s="96" t="s">
        <v>3307</v>
      </c>
      <c r="C1968" s="97">
        <v>505840</v>
      </c>
      <c r="D1968" s="96" t="s">
        <v>388</v>
      </c>
      <c r="E1968" s="96" t="s">
        <v>1152</v>
      </c>
    </row>
    <row r="1969" spans="2:5" ht="15" customHeight="1" thickBot="1" x14ac:dyDescent="0.35">
      <c r="B1969" s="96" t="s">
        <v>3308</v>
      </c>
      <c r="C1969" s="97">
        <v>532532</v>
      </c>
      <c r="D1969" s="96" t="s">
        <v>3309</v>
      </c>
      <c r="E1969" s="96" t="s">
        <v>786</v>
      </c>
    </row>
    <row r="1970" spans="2:5" ht="15" customHeight="1" thickBot="1" x14ac:dyDescent="0.35">
      <c r="B1970" s="96" t="s">
        <v>3310</v>
      </c>
      <c r="C1970" s="97">
        <v>532627</v>
      </c>
      <c r="D1970" s="96" t="s">
        <v>3311</v>
      </c>
      <c r="E1970" s="96" t="s">
        <v>527</v>
      </c>
    </row>
    <row r="1971" spans="2:5" ht="15" customHeight="1" thickBot="1" x14ac:dyDescent="0.35">
      <c r="B1971" s="96" t="s">
        <v>3312</v>
      </c>
      <c r="C1971" s="97">
        <v>780001</v>
      </c>
      <c r="D1971" s="96" t="s">
        <v>388</v>
      </c>
      <c r="E1971" s="96" t="s">
        <v>479</v>
      </c>
    </row>
    <row r="1972" spans="2:5" ht="15" customHeight="1" thickBot="1" x14ac:dyDescent="0.35">
      <c r="B1972" s="96" t="s">
        <v>3313</v>
      </c>
      <c r="C1972" s="96" t="s">
        <v>388</v>
      </c>
      <c r="D1972" s="96" t="s">
        <v>3314</v>
      </c>
      <c r="E1972" s="96" t="s">
        <v>399</v>
      </c>
    </row>
    <row r="1973" spans="2:5" ht="15" customHeight="1" thickBot="1" x14ac:dyDescent="0.35">
      <c r="B1973" s="96" t="s">
        <v>3315</v>
      </c>
      <c r="C1973" s="96" t="s">
        <v>388</v>
      </c>
      <c r="D1973" s="96" t="s">
        <v>3316</v>
      </c>
      <c r="E1973" s="96" t="s">
        <v>399</v>
      </c>
    </row>
    <row r="1974" spans="2:5" ht="15" customHeight="1" thickBot="1" x14ac:dyDescent="0.35">
      <c r="B1974" s="96" t="s">
        <v>3317</v>
      </c>
      <c r="C1974" s="96" t="s">
        <v>388</v>
      </c>
      <c r="D1974" s="96" t="s">
        <v>3316</v>
      </c>
      <c r="E1974" s="96" t="s">
        <v>399</v>
      </c>
    </row>
    <row r="1975" spans="2:5" ht="15" customHeight="1" thickBot="1" x14ac:dyDescent="0.35">
      <c r="B1975" s="96" t="s">
        <v>3318</v>
      </c>
      <c r="C1975" s="97">
        <v>538564</v>
      </c>
      <c r="D1975" s="96" t="s">
        <v>388</v>
      </c>
      <c r="E1975" s="96" t="s">
        <v>795</v>
      </c>
    </row>
    <row r="1976" spans="2:5" ht="15" customHeight="1" thickBot="1" x14ac:dyDescent="0.35">
      <c r="B1976" s="96" t="s">
        <v>3319</v>
      </c>
      <c r="C1976" s="97">
        <v>520051</v>
      </c>
      <c r="D1976" s="96" t="s">
        <v>3320</v>
      </c>
      <c r="E1976" s="96" t="s">
        <v>743</v>
      </c>
    </row>
    <row r="1977" spans="2:5" ht="15" customHeight="1" thickBot="1" x14ac:dyDescent="0.35">
      <c r="B1977" s="96" t="s">
        <v>3321</v>
      </c>
      <c r="C1977" s="97">
        <v>502901</v>
      </c>
      <c r="D1977" s="96" t="s">
        <v>388</v>
      </c>
      <c r="E1977" s="96" t="s">
        <v>403</v>
      </c>
    </row>
    <row r="1978" spans="2:5" ht="15" customHeight="1" thickBot="1" x14ac:dyDescent="0.35">
      <c r="B1978" s="96" t="s">
        <v>3322</v>
      </c>
      <c r="C1978" s="97">
        <v>500220</v>
      </c>
      <c r="D1978" s="96" t="s">
        <v>388</v>
      </c>
      <c r="E1978" s="96" t="s">
        <v>403</v>
      </c>
    </row>
    <row r="1979" spans="2:5" ht="15" customHeight="1" thickBot="1" x14ac:dyDescent="0.35">
      <c r="B1979" s="96" t="s">
        <v>3323</v>
      </c>
      <c r="C1979" s="97">
        <v>540394</v>
      </c>
      <c r="D1979" s="96" t="s">
        <v>388</v>
      </c>
      <c r="E1979" s="96" t="s">
        <v>410</v>
      </c>
    </row>
    <row r="1980" spans="2:5" ht="15" customHeight="1" thickBot="1" x14ac:dyDescent="0.35">
      <c r="B1980" s="96" t="s">
        <v>3324</v>
      </c>
      <c r="C1980" s="96" t="s">
        <v>388</v>
      </c>
      <c r="D1980" s="96" t="s">
        <v>3325</v>
      </c>
      <c r="E1980" s="96" t="s">
        <v>399</v>
      </c>
    </row>
    <row r="1981" spans="2:5" ht="15" customHeight="1" thickBot="1" x14ac:dyDescent="0.35">
      <c r="B1981" s="96" t="s">
        <v>3326</v>
      </c>
      <c r="C1981" s="97">
        <v>514318</v>
      </c>
      <c r="D1981" s="96" t="s">
        <v>388</v>
      </c>
      <c r="E1981" s="96" t="s">
        <v>403</v>
      </c>
    </row>
    <row r="1982" spans="2:5" ht="15" customHeight="1" thickBot="1" x14ac:dyDescent="0.35">
      <c r="B1982" s="96" t="s">
        <v>3327</v>
      </c>
      <c r="C1982" s="97">
        <v>526001</v>
      </c>
      <c r="D1982" s="96" t="s">
        <v>388</v>
      </c>
      <c r="E1982" s="96" t="s">
        <v>583</v>
      </c>
    </row>
    <row r="1983" spans="2:5" ht="15" customHeight="1" thickBot="1" x14ac:dyDescent="0.35">
      <c r="B1983" s="96" t="s">
        <v>3328</v>
      </c>
      <c r="C1983" s="97">
        <v>520066</v>
      </c>
      <c r="D1983" s="96" t="s">
        <v>3329</v>
      </c>
      <c r="E1983" s="96" t="s">
        <v>743</v>
      </c>
    </row>
    <row r="1984" spans="2:5" ht="15" customHeight="1" thickBot="1" x14ac:dyDescent="0.35">
      <c r="B1984" s="96" t="s">
        <v>3330</v>
      </c>
      <c r="C1984" s="97">
        <v>509715</v>
      </c>
      <c r="D1984" s="96" t="s">
        <v>388</v>
      </c>
      <c r="E1984" s="96" t="s">
        <v>795</v>
      </c>
    </row>
    <row r="1985" spans="2:5" ht="15" customHeight="1" thickBot="1" x14ac:dyDescent="0.35">
      <c r="B1985" s="96" t="s">
        <v>3331</v>
      </c>
      <c r="C1985" s="97">
        <v>513252</v>
      </c>
      <c r="D1985" s="96" t="s">
        <v>388</v>
      </c>
      <c r="E1985" s="96" t="s">
        <v>743</v>
      </c>
    </row>
    <row r="1986" spans="2:5" ht="15" customHeight="1" thickBot="1" x14ac:dyDescent="0.35">
      <c r="B1986" s="96" t="s">
        <v>3332</v>
      </c>
      <c r="C1986" s="97">
        <v>524330</v>
      </c>
      <c r="D1986" s="96" t="s">
        <v>3333</v>
      </c>
      <c r="E1986" s="96" t="s">
        <v>548</v>
      </c>
    </row>
    <row r="1987" spans="2:5" ht="15" customHeight="1" thickBot="1" x14ac:dyDescent="0.35">
      <c r="B1987" s="96" t="s">
        <v>3334</v>
      </c>
      <c r="C1987" s="97">
        <v>522285</v>
      </c>
      <c r="D1987" s="96" t="s">
        <v>3335</v>
      </c>
      <c r="E1987" s="96" t="s">
        <v>420</v>
      </c>
    </row>
    <row r="1988" spans="2:5" ht="15" customHeight="1" thickBot="1" x14ac:dyDescent="0.35">
      <c r="B1988" s="96" t="s">
        <v>3336</v>
      </c>
      <c r="C1988" s="97">
        <v>539005</v>
      </c>
      <c r="D1988" s="96" t="s">
        <v>388</v>
      </c>
      <c r="E1988" s="96" t="s">
        <v>809</v>
      </c>
    </row>
    <row r="1989" spans="2:5" ht="15" customHeight="1" thickBot="1" x14ac:dyDescent="0.35">
      <c r="B1989" s="96" t="s">
        <v>3337</v>
      </c>
      <c r="C1989" s="97">
        <v>531323</v>
      </c>
      <c r="D1989" s="96" t="s">
        <v>388</v>
      </c>
      <c r="E1989" s="96" t="s">
        <v>403</v>
      </c>
    </row>
    <row r="1990" spans="2:5" ht="15" customHeight="1" thickBot="1" x14ac:dyDescent="0.35">
      <c r="B1990" s="96" t="s">
        <v>3338</v>
      </c>
      <c r="C1990" s="97">
        <v>512233</v>
      </c>
      <c r="D1990" s="96" t="s">
        <v>388</v>
      </c>
      <c r="E1990" s="96" t="s">
        <v>403</v>
      </c>
    </row>
    <row r="1991" spans="2:5" ht="15" customHeight="1" thickBot="1" x14ac:dyDescent="0.35">
      <c r="B1991" s="96" t="s">
        <v>3339</v>
      </c>
      <c r="C1991" s="97">
        <v>500306</v>
      </c>
      <c r="D1991" s="96" t="s">
        <v>388</v>
      </c>
      <c r="E1991" s="96" t="s">
        <v>405</v>
      </c>
    </row>
    <row r="1992" spans="2:5" ht="15" customHeight="1" thickBot="1" x14ac:dyDescent="0.35">
      <c r="B1992" s="96" t="s">
        <v>3340</v>
      </c>
      <c r="C1992" s="97">
        <v>533207</v>
      </c>
      <c r="D1992" s="96" t="s">
        <v>3341</v>
      </c>
      <c r="E1992" s="96" t="s">
        <v>983</v>
      </c>
    </row>
    <row r="1993" spans="2:5" ht="15" customHeight="1" thickBot="1" x14ac:dyDescent="0.35">
      <c r="B1993" s="96" t="s">
        <v>3342</v>
      </c>
      <c r="C1993" s="97">
        <v>506520</v>
      </c>
      <c r="D1993" s="96" t="s">
        <v>388</v>
      </c>
      <c r="E1993" s="96" t="s">
        <v>436</v>
      </c>
    </row>
    <row r="1994" spans="2:5" ht="15" customHeight="1" thickBot="1" x14ac:dyDescent="0.35">
      <c r="B1994" s="96" t="s">
        <v>3343</v>
      </c>
      <c r="C1994" s="96" t="s">
        <v>388</v>
      </c>
      <c r="D1994" s="96" t="s">
        <v>3344</v>
      </c>
      <c r="E1994" s="96" t="s">
        <v>479</v>
      </c>
    </row>
    <row r="1995" spans="2:5" ht="15" customHeight="1" thickBot="1" x14ac:dyDescent="0.35">
      <c r="B1995" s="96" t="s">
        <v>3345</v>
      </c>
      <c r="C1995" s="97">
        <v>506910</v>
      </c>
      <c r="D1995" s="96" t="s">
        <v>388</v>
      </c>
      <c r="E1995" s="96" t="s">
        <v>548</v>
      </c>
    </row>
    <row r="1996" spans="2:5" ht="15" customHeight="1" thickBot="1" x14ac:dyDescent="0.35">
      <c r="B1996" s="96" t="s">
        <v>3346</v>
      </c>
      <c r="C1996" s="97">
        <v>506910</v>
      </c>
      <c r="D1996" s="96" t="s">
        <v>388</v>
      </c>
      <c r="E1996" s="96" t="s">
        <v>548</v>
      </c>
    </row>
    <row r="1997" spans="2:5" ht="15" customHeight="1" thickBot="1" x14ac:dyDescent="0.35">
      <c r="B1997" s="96" t="s">
        <v>3347</v>
      </c>
      <c r="C1997" s="97">
        <v>506943</v>
      </c>
      <c r="D1997" s="96" t="s">
        <v>3348</v>
      </c>
      <c r="E1997" s="96" t="s">
        <v>426</v>
      </c>
    </row>
    <row r="1998" spans="2:5" ht="15" customHeight="1" thickBot="1" x14ac:dyDescent="0.35">
      <c r="B1998" s="96" t="s">
        <v>3349</v>
      </c>
      <c r="C1998" s="97">
        <v>514034</v>
      </c>
      <c r="D1998" s="96" t="s">
        <v>3350</v>
      </c>
      <c r="E1998" s="96" t="s">
        <v>765</v>
      </c>
    </row>
    <row r="1999" spans="2:5" ht="15" customHeight="1" thickBot="1" x14ac:dyDescent="0.35">
      <c r="B1999" s="96" t="s">
        <v>3351</v>
      </c>
      <c r="C1999" s="97">
        <v>532605</v>
      </c>
      <c r="D1999" s="96" t="s">
        <v>3352</v>
      </c>
      <c r="E1999" s="96" t="s">
        <v>743</v>
      </c>
    </row>
    <row r="2000" spans="2:5" ht="15" customHeight="1" thickBot="1" x14ac:dyDescent="0.35">
      <c r="B2000" s="96" t="s">
        <v>3353</v>
      </c>
      <c r="C2000" s="97">
        <v>500223</v>
      </c>
      <c r="D2000" s="96" t="s">
        <v>388</v>
      </c>
      <c r="E2000" s="96" t="s">
        <v>403</v>
      </c>
    </row>
    <row r="2001" spans="2:5" ht="15" customHeight="1" thickBot="1" x14ac:dyDescent="0.35">
      <c r="B2001" s="96" t="s">
        <v>3354</v>
      </c>
      <c r="C2001" s="97">
        <v>524592</v>
      </c>
      <c r="D2001" s="96" t="s">
        <v>388</v>
      </c>
      <c r="E2001" s="96" t="s">
        <v>548</v>
      </c>
    </row>
    <row r="2002" spans="2:5" ht="15" customHeight="1" thickBot="1" x14ac:dyDescent="0.35">
      <c r="B2002" s="96" t="s">
        <v>3355</v>
      </c>
      <c r="C2002" s="97">
        <v>538837</v>
      </c>
      <c r="D2002" s="96" t="s">
        <v>388</v>
      </c>
      <c r="E2002" s="96" t="s">
        <v>394</v>
      </c>
    </row>
    <row r="2003" spans="2:5" ht="15" customHeight="1" thickBot="1" x14ac:dyDescent="0.35">
      <c r="B2003" s="96" t="s">
        <v>3356</v>
      </c>
      <c r="C2003" s="97">
        <v>524731</v>
      </c>
      <c r="D2003" s="96" t="s">
        <v>388</v>
      </c>
      <c r="E2003" s="96" t="s">
        <v>426</v>
      </c>
    </row>
    <row r="2004" spans="2:5" ht="15" customHeight="1" thickBot="1" x14ac:dyDescent="0.35">
      <c r="B2004" s="96" t="s">
        <v>3357</v>
      </c>
      <c r="C2004" s="97">
        <v>532617</v>
      </c>
      <c r="D2004" s="96" t="s">
        <v>3358</v>
      </c>
      <c r="E2004" s="96" t="s">
        <v>2525</v>
      </c>
    </row>
    <row r="2005" spans="2:5" ht="15" customHeight="1" thickBot="1" x14ac:dyDescent="0.35">
      <c r="B2005" s="96" t="s">
        <v>3359</v>
      </c>
      <c r="C2005" s="97">
        <v>532617</v>
      </c>
      <c r="D2005" s="96" t="s">
        <v>3358</v>
      </c>
      <c r="E2005" s="96" t="s">
        <v>2525</v>
      </c>
    </row>
    <row r="2006" spans="2:5" ht="15" customHeight="1" thickBot="1" x14ac:dyDescent="0.35">
      <c r="B2006" s="96" t="s">
        <v>3360</v>
      </c>
      <c r="C2006" s="96" t="s">
        <v>388</v>
      </c>
      <c r="D2006" s="96" t="s">
        <v>3361</v>
      </c>
      <c r="E2006" s="96" t="s">
        <v>399</v>
      </c>
    </row>
    <row r="2007" spans="2:5" ht="15" customHeight="1" thickBot="1" x14ac:dyDescent="0.35">
      <c r="B2007" s="96" t="s">
        <v>3362</v>
      </c>
      <c r="C2007" s="97">
        <v>538794</v>
      </c>
      <c r="D2007" s="96" t="s">
        <v>388</v>
      </c>
      <c r="E2007" s="96" t="s">
        <v>474</v>
      </c>
    </row>
    <row r="2008" spans="2:5" ht="15" customHeight="1" thickBot="1" x14ac:dyDescent="0.35">
      <c r="B2008" s="96" t="s">
        <v>3363</v>
      </c>
      <c r="C2008" s="96" t="s">
        <v>388</v>
      </c>
      <c r="D2008" s="96" t="s">
        <v>3364</v>
      </c>
      <c r="E2008" s="96" t="s">
        <v>399</v>
      </c>
    </row>
    <row r="2009" spans="2:5" ht="15" customHeight="1" thickBot="1" x14ac:dyDescent="0.35">
      <c r="B2009" s="96" t="s">
        <v>3365</v>
      </c>
      <c r="C2009" s="97">
        <v>517063</v>
      </c>
      <c r="D2009" s="96" t="s">
        <v>388</v>
      </c>
      <c r="E2009" s="96" t="s">
        <v>873</v>
      </c>
    </row>
    <row r="2010" spans="2:5" ht="15" customHeight="1" thickBot="1" x14ac:dyDescent="0.35">
      <c r="B2010" s="96" t="s">
        <v>3366</v>
      </c>
      <c r="C2010" s="97">
        <v>540850</v>
      </c>
      <c r="D2010" s="96" t="s">
        <v>388</v>
      </c>
      <c r="E2010" s="96" t="s">
        <v>448</v>
      </c>
    </row>
    <row r="2011" spans="2:5" ht="15" customHeight="1" thickBot="1" x14ac:dyDescent="0.35">
      <c r="B2011" s="96" t="s">
        <v>3367</v>
      </c>
      <c r="C2011" s="97">
        <v>531550</v>
      </c>
      <c r="D2011" s="96" t="s">
        <v>388</v>
      </c>
      <c r="E2011" s="96" t="s">
        <v>371</v>
      </c>
    </row>
    <row r="2012" spans="2:5" ht="15" customHeight="1" thickBot="1" x14ac:dyDescent="0.35">
      <c r="B2012" s="96" t="s">
        <v>3368</v>
      </c>
      <c r="C2012" s="97">
        <v>532771</v>
      </c>
      <c r="D2012" s="96" t="s">
        <v>3369</v>
      </c>
      <c r="E2012" s="96" t="s">
        <v>570</v>
      </c>
    </row>
    <row r="2013" spans="2:5" ht="15" customHeight="1" thickBot="1" x14ac:dyDescent="0.35">
      <c r="B2013" s="96" t="s">
        <v>3370</v>
      </c>
      <c r="C2013" s="97">
        <v>540651</v>
      </c>
      <c r="D2013" s="96" t="s">
        <v>388</v>
      </c>
      <c r="E2013" s="96" t="s">
        <v>686</v>
      </c>
    </row>
    <row r="2014" spans="2:5" ht="15" customHeight="1" thickBot="1" x14ac:dyDescent="0.35">
      <c r="B2014" s="96" t="s">
        <v>3371</v>
      </c>
      <c r="C2014" s="97">
        <v>780019</v>
      </c>
      <c r="D2014" s="96" t="s">
        <v>388</v>
      </c>
      <c r="E2014" s="96" t="s">
        <v>479</v>
      </c>
    </row>
    <row r="2015" spans="2:5" ht="15" customHeight="1" thickBot="1" x14ac:dyDescent="0.35">
      <c r="B2015" s="96" t="s">
        <v>3372</v>
      </c>
      <c r="C2015" s="97">
        <v>511618</v>
      </c>
      <c r="D2015" s="96" t="s">
        <v>3373</v>
      </c>
      <c r="E2015" s="96" t="s">
        <v>410</v>
      </c>
    </row>
    <row r="2016" spans="2:5" ht="15" customHeight="1" thickBot="1" x14ac:dyDescent="0.35">
      <c r="B2016" s="96" t="s">
        <v>3374</v>
      </c>
      <c r="C2016" s="97">
        <v>542653</v>
      </c>
      <c r="D2016" s="96" t="s">
        <v>3375</v>
      </c>
      <c r="E2016" s="96" t="s">
        <v>944</v>
      </c>
    </row>
    <row r="2017" spans="2:5" ht="15" customHeight="1" thickBot="1" x14ac:dyDescent="0.35">
      <c r="B2017" s="96" t="s">
        <v>3376</v>
      </c>
      <c r="C2017" s="97">
        <v>530405</v>
      </c>
      <c r="D2017" s="96" t="s">
        <v>388</v>
      </c>
      <c r="E2017" s="96" t="s">
        <v>371</v>
      </c>
    </row>
    <row r="2018" spans="2:5" ht="15" customHeight="1" thickBot="1" x14ac:dyDescent="0.35">
      <c r="B2018" s="96" t="s">
        <v>3377</v>
      </c>
      <c r="C2018" s="97">
        <v>533103</v>
      </c>
      <c r="D2018" s="96" t="s">
        <v>3378</v>
      </c>
      <c r="E2018" s="96" t="s">
        <v>403</v>
      </c>
    </row>
    <row r="2019" spans="2:5" ht="15" customHeight="1" thickBot="1" x14ac:dyDescent="0.35">
      <c r="B2019" s="96" t="s">
        <v>3379</v>
      </c>
      <c r="C2019" s="97">
        <v>511034</v>
      </c>
      <c r="D2019" s="96" t="s">
        <v>3380</v>
      </c>
      <c r="E2019" s="96" t="s">
        <v>451</v>
      </c>
    </row>
    <row r="2020" spans="2:5" ht="15" customHeight="1" thickBot="1" x14ac:dyDescent="0.35">
      <c r="B2020" s="96" t="s">
        <v>3381</v>
      </c>
      <c r="C2020" s="97">
        <v>507981</v>
      </c>
      <c r="D2020" s="96" t="s">
        <v>388</v>
      </c>
      <c r="E2020" s="96" t="s">
        <v>589</v>
      </c>
    </row>
    <row r="2021" spans="2:5" ht="15" customHeight="1" thickBot="1" x14ac:dyDescent="0.35">
      <c r="B2021" s="96" t="s">
        <v>3382</v>
      </c>
      <c r="C2021" s="97">
        <v>539947</v>
      </c>
      <c r="D2021" s="96" t="s">
        <v>388</v>
      </c>
      <c r="E2021" s="96" t="s">
        <v>408</v>
      </c>
    </row>
    <row r="2022" spans="2:5" ht="15" customHeight="1" thickBot="1" x14ac:dyDescent="0.35">
      <c r="B2022" s="96" t="s">
        <v>3383</v>
      </c>
      <c r="C2022" s="97">
        <v>532624</v>
      </c>
      <c r="D2022" s="96" t="s">
        <v>3384</v>
      </c>
      <c r="E2022" s="96" t="s">
        <v>1626</v>
      </c>
    </row>
    <row r="2023" spans="2:5" ht="15" customHeight="1" thickBot="1" x14ac:dyDescent="0.35">
      <c r="B2023" s="96" t="s">
        <v>3385</v>
      </c>
      <c r="C2023" s="97">
        <v>500227</v>
      </c>
      <c r="D2023" s="96" t="s">
        <v>3386</v>
      </c>
      <c r="E2023" s="96" t="s">
        <v>436</v>
      </c>
    </row>
    <row r="2024" spans="2:5" ht="15" customHeight="1" thickBot="1" x14ac:dyDescent="0.35">
      <c r="B2024" s="96" t="s">
        <v>3387</v>
      </c>
      <c r="C2024" s="97">
        <v>536773</v>
      </c>
      <c r="D2024" s="96" t="s">
        <v>3388</v>
      </c>
      <c r="E2024" s="96" t="s">
        <v>371</v>
      </c>
    </row>
    <row r="2025" spans="2:5" ht="15" customHeight="1" thickBot="1" x14ac:dyDescent="0.35">
      <c r="B2025" s="96" t="s">
        <v>3389</v>
      </c>
      <c r="C2025" s="97">
        <v>500378</v>
      </c>
      <c r="D2025" s="96" t="s">
        <v>3390</v>
      </c>
      <c r="E2025" s="96" t="s">
        <v>786</v>
      </c>
    </row>
    <row r="2026" spans="2:5" ht="15" customHeight="1" thickBot="1" x14ac:dyDescent="0.35">
      <c r="B2026" s="96" t="s">
        <v>3391</v>
      </c>
      <c r="C2026" s="97">
        <v>539597</v>
      </c>
      <c r="D2026" s="96" t="s">
        <v>3392</v>
      </c>
      <c r="E2026" s="96" t="s">
        <v>711</v>
      </c>
    </row>
    <row r="2027" spans="2:5" ht="15" customHeight="1" thickBot="1" x14ac:dyDescent="0.35">
      <c r="B2027" s="96" t="s">
        <v>3393</v>
      </c>
      <c r="C2027" s="97">
        <v>532508</v>
      </c>
      <c r="D2027" s="96" t="s">
        <v>3394</v>
      </c>
      <c r="E2027" s="96" t="s">
        <v>420</v>
      </c>
    </row>
    <row r="2028" spans="2:5" ht="15" customHeight="1" thickBot="1" x14ac:dyDescent="0.35">
      <c r="B2028" s="96" t="s">
        <v>3395</v>
      </c>
      <c r="C2028" s="97">
        <v>532286</v>
      </c>
      <c r="D2028" s="96" t="s">
        <v>3396</v>
      </c>
      <c r="E2028" s="96" t="s">
        <v>420</v>
      </c>
    </row>
    <row r="2029" spans="2:5" ht="15" customHeight="1" thickBot="1" x14ac:dyDescent="0.35">
      <c r="B2029" s="96" t="s">
        <v>3397</v>
      </c>
      <c r="C2029" s="97">
        <v>531543</v>
      </c>
      <c r="D2029" s="96" t="s">
        <v>3398</v>
      </c>
      <c r="E2029" s="96" t="s">
        <v>403</v>
      </c>
    </row>
    <row r="2030" spans="2:5" ht="15" customHeight="1" thickBot="1" x14ac:dyDescent="0.35">
      <c r="B2030" s="96" t="s">
        <v>3399</v>
      </c>
      <c r="C2030" s="97">
        <v>540311</v>
      </c>
      <c r="D2030" s="96" t="s">
        <v>3400</v>
      </c>
      <c r="E2030" s="96" t="s">
        <v>511</v>
      </c>
    </row>
    <row r="2031" spans="2:5" ht="15" customHeight="1" thickBot="1" x14ac:dyDescent="0.35">
      <c r="B2031" s="96" t="s">
        <v>3401</v>
      </c>
      <c r="C2031" s="97">
        <v>539225</v>
      </c>
      <c r="D2031" s="96" t="s">
        <v>388</v>
      </c>
      <c r="E2031" s="96" t="s">
        <v>413</v>
      </c>
    </row>
    <row r="2032" spans="2:5" ht="15" customHeight="1" thickBot="1" x14ac:dyDescent="0.35">
      <c r="B2032" s="96" t="s">
        <v>3402</v>
      </c>
      <c r="C2032" s="97">
        <v>536493</v>
      </c>
      <c r="D2032" s="96" t="s">
        <v>388</v>
      </c>
      <c r="E2032" s="96" t="s">
        <v>586</v>
      </c>
    </row>
    <row r="2033" spans="2:5" ht="15" customHeight="1" thickBot="1" x14ac:dyDescent="0.35">
      <c r="B2033" s="96" t="s">
        <v>3403</v>
      </c>
      <c r="C2033" s="97">
        <v>532644</v>
      </c>
      <c r="D2033" s="96" t="s">
        <v>3404</v>
      </c>
      <c r="E2033" s="96" t="s">
        <v>401</v>
      </c>
    </row>
    <row r="2034" spans="2:5" ht="15" customHeight="1" thickBot="1" x14ac:dyDescent="0.35">
      <c r="B2034" s="96" t="s">
        <v>3405</v>
      </c>
      <c r="C2034" s="97">
        <v>500380</v>
      </c>
      <c r="D2034" s="96" t="s">
        <v>3406</v>
      </c>
      <c r="E2034" s="96" t="s">
        <v>401</v>
      </c>
    </row>
    <row r="2035" spans="2:5" ht="15" customHeight="1" thickBot="1" x14ac:dyDescent="0.35">
      <c r="B2035" s="96" t="s">
        <v>3407</v>
      </c>
      <c r="C2035" s="97">
        <v>532162</v>
      </c>
      <c r="D2035" s="96" t="s">
        <v>3408</v>
      </c>
      <c r="E2035" s="96" t="s">
        <v>382</v>
      </c>
    </row>
    <row r="2036" spans="2:5" ht="15" customHeight="1" thickBot="1" x14ac:dyDescent="0.35">
      <c r="B2036" s="96" t="s">
        <v>3409</v>
      </c>
      <c r="C2036" s="97">
        <v>530007</v>
      </c>
      <c r="D2036" s="96" t="s">
        <v>3410</v>
      </c>
      <c r="E2036" s="96" t="s">
        <v>868</v>
      </c>
    </row>
    <row r="2037" spans="2:5" ht="15" customHeight="1" thickBot="1" x14ac:dyDescent="0.35">
      <c r="B2037" s="96" t="s">
        <v>3411</v>
      </c>
      <c r="C2037" s="97">
        <v>538765</v>
      </c>
      <c r="D2037" s="96" t="s">
        <v>388</v>
      </c>
      <c r="E2037" s="96" t="s">
        <v>3146</v>
      </c>
    </row>
    <row r="2038" spans="2:5" ht="15" customHeight="1" thickBot="1" x14ac:dyDescent="0.35">
      <c r="B2038" s="96" t="s">
        <v>3412</v>
      </c>
      <c r="C2038" s="97">
        <v>523405</v>
      </c>
      <c r="D2038" s="96" t="s">
        <v>3413</v>
      </c>
      <c r="E2038" s="96" t="s">
        <v>554</v>
      </c>
    </row>
    <row r="2039" spans="2:5" ht="15" customHeight="1" thickBot="1" x14ac:dyDescent="0.35">
      <c r="B2039" s="96" t="s">
        <v>3414</v>
      </c>
      <c r="C2039" s="97">
        <v>522263</v>
      </c>
      <c r="D2039" s="96" t="s">
        <v>3415</v>
      </c>
      <c r="E2039" s="96" t="s">
        <v>786</v>
      </c>
    </row>
    <row r="2040" spans="2:5" ht="15" customHeight="1" thickBot="1" x14ac:dyDescent="0.35">
      <c r="B2040" s="96" t="s">
        <v>3416</v>
      </c>
      <c r="C2040" s="97">
        <v>522263</v>
      </c>
      <c r="D2040" s="96" t="s">
        <v>3415</v>
      </c>
      <c r="E2040" s="96" t="s">
        <v>786</v>
      </c>
    </row>
    <row r="2041" spans="2:5" ht="15" customHeight="1" thickBot="1" x14ac:dyDescent="0.35">
      <c r="B2041" s="96" t="s">
        <v>3417</v>
      </c>
      <c r="C2041" s="97">
        <v>511092</v>
      </c>
      <c r="D2041" s="96" t="s">
        <v>388</v>
      </c>
      <c r="E2041" s="96" t="s">
        <v>391</v>
      </c>
    </row>
    <row r="2042" spans="2:5" ht="15" customHeight="1" thickBot="1" x14ac:dyDescent="0.35">
      <c r="B2042" s="96" t="s">
        <v>3418</v>
      </c>
      <c r="C2042" s="97">
        <v>523712</v>
      </c>
      <c r="D2042" s="96" t="s">
        <v>388</v>
      </c>
      <c r="E2042" s="96" t="s">
        <v>508</v>
      </c>
    </row>
    <row r="2043" spans="2:5" ht="15" customHeight="1" thickBot="1" x14ac:dyDescent="0.35">
      <c r="B2043" s="96" t="s">
        <v>3419</v>
      </c>
      <c r="C2043" s="97">
        <v>513691</v>
      </c>
      <c r="D2043" s="96" t="s">
        <v>3420</v>
      </c>
      <c r="E2043" s="96" t="s">
        <v>743</v>
      </c>
    </row>
    <row r="2044" spans="2:5" ht="15" customHeight="1" thickBot="1" x14ac:dyDescent="0.35">
      <c r="B2044" s="96" t="s">
        <v>3421</v>
      </c>
      <c r="C2044" s="96" t="s">
        <v>388</v>
      </c>
      <c r="D2044" s="96" t="s">
        <v>3422</v>
      </c>
      <c r="E2044" s="96" t="s">
        <v>479</v>
      </c>
    </row>
    <row r="2045" spans="2:5" ht="15" customHeight="1" thickBot="1" x14ac:dyDescent="0.35">
      <c r="B2045" s="96" t="s">
        <v>3423</v>
      </c>
      <c r="C2045" s="97">
        <v>523398</v>
      </c>
      <c r="D2045" s="96" t="s">
        <v>3424</v>
      </c>
      <c r="E2045" s="96" t="s">
        <v>757</v>
      </c>
    </row>
    <row r="2046" spans="2:5" ht="15" customHeight="1" thickBot="1" x14ac:dyDescent="0.35">
      <c r="B2046" s="96" t="s">
        <v>3425</v>
      </c>
      <c r="C2046" s="97">
        <v>523398</v>
      </c>
      <c r="D2046" s="96" t="s">
        <v>3424</v>
      </c>
      <c r="E2046" s="96" t="s">
        <v>757</v>
      </c>
    </row>
    <row r="2047" spans="2:5" ht="15" customHeight="1" thickBot="1" x14ac:dyDescent="0.35">
      <c r="B2047" s="96" t="s">
        <v>3426</v>
      </c>
      <c r="C2047" s="97">
        <v>531861</v>
      </c>
      <c r="D2047" s="96" t="s">
        <v>388</v>
      </c>
      <c r="E2047" s="96" t="s">
        <v>371</v>
      </c>
    </row>
    <row r="2048" spans="2:5" ht="15" customHeight="1" thickBot="1" x14ac:dyDescent="0.35">
      <c r="B2048" s="96" t="s">
        <v>3427</v>
      </c>
      <c r="C2048" s="97">
        <v>534659</v>
      </c>
      <c r="D2048" s="96" t="s">
        <v>388</v>
      </c>
      <c r="E2048" s="96" t="s">
        <v>374</v>
      </c>
    </row>
    <row r="2049" spans="2:5" ht="15" customHeight="1" thickBot="1" x14ac:dyDescent="0.35">
      <c r="B2049" s="96" t="s">
        <v>3428</v>
      </c>
      <c r="C2049" s="97">
        <v>542446</v>
      </c>
      <c r="D2049" s="96" t="s">
        <v>3429</v>
      </c>
      <c r="E2049" s="96" t="s">
        <v>472</v>
      </c>
    </row>
    <row r="2050" spans="2:5" ht="15" customHeight="1" thickBot="1" x14ac:dyDescent="0.35">
      <c r="B2050" s="96" t="s">
        <v>3430</v>
      </c>
      <c r="C2050" s="97">
        <v>538092</v>
      </c>
      <c r="D2050" s="96" t="s">
        <v>388</v>
      </c>
      <c r="E2050" s="96" t="s">
        <v>795</v>
      </c>
    </row>
    <row r="2051" spans="2:5" ht="15" customHeight="1" thickBot="1" x14ac:dyDescent="0.35">
      <c r="B2051" s="96" t="s">
        <v>3431</v>
      </c>
      <c r="C2051" s="97">
        <v>505750</v>
      </c>
      <c r="D2051" s="96" t="s">
        <v>388</v>
      </c>
      <c r="E2051" s="96" t="s">
        <v>396</v>
      </c>
    </row>
    <row r="2052" spans="2:5" ht="15" customHeight="1" thickBot="1" x14ac:dyDescent="0.35">
      <c r="B2052" s="96" t="s">
        <v>3432</v>
      </c>
      <c r="C2052" s="97">
        <v>508929</v>
      </c>
      <c r="D2052" s="96" t="s">
        <v>388</v>
      </c>
      <c r="E2052" s="96" t="s">
        <v>474</v>
      </c>
    </row>
    <row r="2053" spans="2:5" ht="15" customHeight="1" thickBot="1" x14ac:dyDescent="0.35">
      <c r="B2053" s="96" t="s">
        <v>3433</v>
      </c>
      <c r="C2053" s="97">
        <v>530985</v>
      </c>
      <c r="D2053" s="96" t="s">
        <v>388</v>
      </c>
      <c r="E2053" s="96" t="s">
        <v>405</v>
      </c>
    </row>
    <row r="2054" spans="2:5" ht="15" customHeight="1" thickBot="1" x14ac:dyDescent="0.35">
      <c r="B2054" s="96" t="s">
        <v>3434</v>
      </c>
      <c r="C2054" s="97">
        <v>506016</v>
      </c>
      <c r="D2054" s="96" t="s">
        <v>388</v>
      </c>
      <c r="E2054" s="96" t="s">
        <v>786</v>
      </c>
    </row>
    <row r="2055" spans="2:5" ht="15" customHeight="1" thickBot="1" x14ac:dyDescent="0.35">
      <c r="B2055" s="96" t="s">
        <v>3435</v>
      </c>
      <c r="C2055" s="97">
        <v>504080</v>
      </c>
      <c r="D2055" s="96" t="s">
        <v>388</v>
      </c>
      <c r="E2055" s="96" t="s">
        <v>686</v>
      </c>
    </row>
    <row r="2056" spans="2:5" ht="15" customHeight="1" thickBot="1" x14ac:dyDescent="0.35">
      <c r="B2056" s="96" t="s">
        <v>3436</v>
      </c>
      <c r="C2056" s="97">
        <v>533148</v>
      </c>
      <c r="D2056" s="96" t="s">
        <v>3437</v>
      </c>
      <c r="E2056" s="96" t="s">
        <v>527</v>
      </c>
    </row>
    <row r="2057" spans="2:5" ht="15" customHeight="1" thickBot="1" x14ac:dyDescent="0.35">
      <c r="B2057" s="96" t="s">
        <v>3438</v>
      </c>
      <c r="C2057" s="97">
        <v>532642</v>
      </c>
      <c r="D2057" s="96" t="s">
        <v>3439</v>
      </c>
      <c r="E2057" s="96" t="s">
        <v>554</v>
      </c>
    </row>
    <row r="2058" spans="2:5" ht="15" customHeight="1" thickBot="1" x14ac:dyDescent="0.35">
      <c r="B2058" s="96" t="s">
        <v>3440</v>
      </c>
      <c r="C2058" s="97">
        <v>500228</v>
      </c>
      <c r="D2058" s="96" t="s">
        <v>3441</v>
      </c>
      <c r="E2058" s="96" t="s">
        <v>420</v>
      </c>
    </row>
    <row r="2059" spans="2:5" ht="15" customHeight="1" thickBot="1" x14ac:dyDescent="0.35">
      <c r="B2059" s="96" t="s">
        <v>3442</v>
      </c>
      <c r="C2059" s="97">
        <v>520057</v>
      </c>
      <c r="D2059" s="96" t="s">
        <v>3443</v>
      </c>
      <c r="E2059" s="96" t="s">
        <v>743</v>
      </c>
    </row>
    <row r="2060" spans="2:5" ht="15" customHeight="1" thickBot="1" x14ac:dyDescent="0.35">
      <c r="B2060" s="96" t="s">
        <v>3444</v>
      </c>
      <c r="C2060" s="97">
        <v>520057</v>
      </c>
      <c r="D2060" s="96" t="s">
        <v>3445</v>
      </c>
      <c r="E2060" s="96" t="s">
        <v>743</v>
      </c>
    </row>
    <row r="2061" spans="2:5" ht="15" customHeight="1" thickBot="1" x14ac:dyDescent="0.35">
      <c r="B2061" s="96" t="s">
        <v>3446</v>
      </c>
      <c r="C2061" s="97">
        <v>534600</v>
      </c>
      <c r="D2061" s="96" t="s">
        <v>388</v>
      </c>
      <c r="E2061" s="96" t="s">
        <v>711</v>
      </c>
    </row>
    <row r="2062" spans="2:5" ht="15" customHeight="1" thickBot="1" x14ac:dyDescent="0.35">
      <c r="B2062" s="96" t="s">
        <v>3447</v>
      </c>
      <c r="C2062" s="97">
        <v>533155</v>
      </c>
      <c r="D2062" s="96" t="s">
        <v>3448</v>
      </c>
      <c r="E2062" s="96" t="s">
        <v>877</v>
      </c>
    </row>
    <row r="2063" spans="2:5" ht="15" customHeight="1" thickBot="1" x14ac:dyDescent="0.35">
      <c r="B2063" s="96" t="s">
        <v>3449</v>
      </c>
      <c r="C2063" s="97">
        <v>533320</v>
      </c>
      <c r="D2063" s="96" t="s">
        <v>3450</v>
      </c>
      <c r="E2063" s="96" t="s">
        <v>532</v>
      </c>
    </row>
    <row r="2064" spans="2:5" ht="15" customHeight="1" thickBot="1" x14ac:dyDescent="0.35">
      <c r="B2064" s="96" t="s">
        <v>3451</v>
      </c>
      <c r="C2064" s="97">
        <v>530019</v>
      </c>
      <c r="D2064" s="96" t="s">
        <v>3452</v>
      </c>
      <c r="E2064" s="96" t="s">
        <v>426</v>
      </c>
    </row>
    <row r="2065" spans="2:5" ht="15" customHeight="1" thickBot="1" x14ac:dyDescent="0.35">
      <c r="B2065" s="96" t="s">
        <v>3453</v>
      </c>
      <c r="C2065" s="96" t="s">
        <v>388</v>
      </c>
      <c r="D2065" s="96" t="s">
        <v>3454</v>
      </c>
      <c r="E2065" s="96" t="s">
        <v>479</v>
      </c>
    </row>
    <row r="2066" spans="2:5" ht="15" customHeight="1" thickBot="1" x14ac:dyDescent="0.35">
      <c r="B2066" s="96" t="s">
        <v>3455</v>
      </c>
      <c r="C2066" s="97">
        <v>516078</v>
      </c>
      <c r="D2066" s="96" t="s">
        <v>388</v>
      </c>
      <c r="E2066" s="96" t="s">
        <v>583</v>
      </c>
    </row>
    <row r="2067" spans="2:5" ht="15" customHeight="1" thickBot="1" x14ac:dyDescent="0.35">
      <c r="B2067" s="96" t="s">
        <v>3456</v>
      </c>
      <c r="C2067" s="97">
        <v>511060</v>
      </c>
      <c r="D2067" s="96" t="s">
        <v>388</v>
      </c>
      <c r="E2067" s="96" t="s">
        <v>809</v>
      </c>
    </row>
    <row r="2068" spans="2:5" ht="15" customHeight="1" thickBot="1" x14ac:dyDescent="0.35">
      <c r="B2068" s="96" t="s">
        <v>3457</v>
      </c>
      <c r="C2068" s="97">
        <v>539216</v>
      </c>
      <c r="D2068" s="96" t="s">
        <v>388</v>
      </c>
      <c r="E2068" s="96" t="s">
        <v>403</v>
      </c>
    </row>
    <row r="2069" spans="2:5" ht="15" customHeight="1" thickBot="1" x14ac:dyDescent="0.35">
      <c r="B2069" s="96" t="s">
        <v>3458</v>
      </c>
      <c r="C2069" s="97">
        <v>507987</v>
      </c>
      <c r="D2069" s="96" t="s">
        <v>388</v>
      </c>
      <c r="E2069" s="96" t="s">
        <v>405</v>
      </c>
    </row>
    <row r="2070" spans="2:5" ht="15" customHeight="1" thickBot="1" x14ac:dyDescent="0.35">
      <c r="B2070" s="96" t="s">
        <v>3459</v>
      </c>
      <c r="C2070" s="97">
        <v>534623</v>
      </c>
      <c r="D2070" s="96" t="s">
        <v>388</v>
      </c>
      <c r="E2070" s="96" t="s">
        <v>3146</v>
      </c>
    </row>
    <row r="2071" spans="2:5" ht="15" customHeight="1" thickBot="1" x14ac:dyDescent="0.35">
      <c r="B2071" s="96" t="s">
        <v>3460</v>
      </c>
      <c r="C2071" s="97">
        <v>535648</v>
      </c>
      <c r="D2071" s="96" t="s">
        <v>3461</v>
      </c>
      <c r="E2071" s="96" t="s">
        <v>912</v>
      </c>
    </row>
    <row r="2072" spans="2:5" ht="15" customHeight="1" thickBot="1" x14ac:dyDescent="0.35">
      <c r="B2072" s="96" t="s">
        <v>3462</v>
      </c>
      <c r="C2072" s="97">
        <v>531035</v>
      </c>
      <c r="D2072" s="96" t="s">
        <v>388</v>
      </c>
      <c r="E2072" s="96" t="s">
        <v>1046</v>
      </c>
    </row>
    <row r="2073" spans="2:5" ht="15" customHeight="1" thickBot="1" x14ac:dyDescent="0.35">
      <c r="B2073" s="96" t="s">
        <v>3463</v>
      </c>
      <c r="C2073" s="97">
        <v>519248</v>
      </c>
      <c r="D2073" s="96" t="s">
        <v>3464</v>
      </c>
      <c r="E2073" s="96" t="s">
        <v>637</v>
      </c>
    </row>
    <row r="2074" spans="2:5" ht="15" customHeight="1" thickBot="1" x14ac:dyDescent="0.35">
      <c r="B2074" s="96" t="s">
        <v>3465</v>
      </c>
      <c r="C2074" s="97">
        <v>542544</v>
      </c>
      <c r="D2074" s="96" t="s">
        <v>3466</v>
      </c>
      <c r="E2074" s="96" t="s">
        <v>371</v>
      </c>
    </row>
    <row r="2075" spans="2:5" ht="15" customHeight="1" thickBot="1" x14ac:dyDescent="0.35">
      <c r="B2075" s="96" t="s">
        <v>3467</v>
      </c>
      <c r="C2075" s="97">
        <v>532926</v>
      </c>
      <c r="D2075" s="96" t="s">
        <v>3468</v>
      </c>
      <c r="E2075" s="96" t="s">
        <v>2206</v>
      </c>
    </row>
    <row r="2076" spans="2:5" ht="15" customHeight="1" thickBot="1" x14ac:dyDescent="0.35">
      <c r="B2076" s="96" t="s">
        <v>3469</v>
      </c>
      <c r="C2076" s="97">
        <v>504076</v>
      </c>
      <c r="D2076" s="96" t="s">
        <v>388</v>
      </c>
      <c r="E2076" s="96" t="s">
        <v>431</v>
      </c>
    </row>
    <row r="2077" spans="2:5" ht="15" customHeight="1" thickBot="1" x14ac:dyDescent="0.35">
      <c r="B2077" s="96" t="s">
        <v>3470</v>
      </c>
      <c r="C2077" s="97">
        <v>514448</v>
      </c>
      <c r="D2077" s="96" t="s">
        <v>388</v>
      </c>
      <c r="E2077" s="96" t="s">
        <v>548</v>
      </c>
    </row>
    <row r="2078" spans="2:5" ht="15" customHeight="1" thickBot="1" x14ac:dyDescent="0.35">
      <c r="B2078" s="96" t="s">
        <v>3471</v>
      </c>
      <c r="C2078" s="97">
        <v>513250</v>
      </c>
      <c r="D2078" s="96" t="s">
        <v>3472</v>
      </c>
      <c r="E2078" s="96" t="s">
        <v>431</v>
      </c>
    </row>
    <row r="2079" spans="2:5" ht="15" customHeight="1" thickBot="1" x14ac:dyDescent="0.35">
      <c r="B2079" s="96" t="s">
        <v>3473</v>
      </c>
      <c r="C2079" s="97">
        <v>539246</v>
      </c>
      <c r="D2079" s="96" t="s">
        <v>388</v>
      </c>
      <c r="E2079" s="96" t="s">
        <v>410</v>
      </c>
    </row>
    <row r="2080" spans="2:5" ht="15" customHeight="1" thickBot="1" x14ac:dyDescent="0.35">
      <c r="B2080" s="96" t="s">
        <v>3474</v>
      </c>
      <c r="C2080" s="97">
        <v>532673</v>
      </c>
      <c r="D2080" s="96" t="s">
        <v>3475</v>
      </c>
      <c r="E2080" s="96" t="s">
        <v>1087</v>
      </c>
    </row>
    <row r="2081" spans="2:5" ht="15" customHeight="1" thickBot="1" x14ac:dyDescent="0.35">
      <c r="B2081" s="96" t="s">
        <v>3476</v>
      </c>
      <c r="C2081" s="97">
        <v>539686</v>
      </c>
      <c r="D2081" s="96" t="s">
        <v>388</v>
      </c>
      <c r="E2081" s="96" t="s">
        <v>527</v>
      </c>
    </row>
    <row r="2082" spans="2:5" ht="15" customHeight="1" thickBot="1" x14ac:dyDescent="0.35">
      <c r="B2082" s="96" t="s">
        <v>3477</v>
      </c>
      <c r="C2082" s="97">
        <v>532889</v>
      </c>
      <c r="D2082" s="96" t="s">
        <v>3478</v>
      </c>
      <c r="E2082" s="96" t="s">
        <v>403</v>
      </c>
    </row>
    <row r="2083" spans="2:5" ht="15" customHeight="1" thickBot="1" x14ac:dyDescent="0.35">
      <c r="B2083" s="96" t="s">
        <v>3479</v>
      </c>
      <c r="C2083" s="97">
        <v>511728</v>
      </c>
      <c r="D2083" s="96" t="s">
        <v>388</v>
      </c>
      <c r="E2083" s="96" t="s">
        <v>405</v>
      </c>
    </row>
    <row r="2084" spans="2:5" ht="15" customHeight="1" thickBot="1" x14ac:dyDescent="0.35">
      <c r="B2084" s="96" t="s">
        <v>3480</v>
      </c>
      <c r="C2084" s="97">
        <v>514360</v>
      </c>
      <c r="D2084" s="96" t="s">
        <v>388</v>
      </c>
      <c r="E2084" s="96" t="s">
        <v>786</v>
      </c>
    </row>
    <row r="2085" spans="2:5" ht="15" customHeight="1" thickBot="1" x14ac:dyDescent="0.35">
      <c r="B2085" s="96" t="s">
        <v>3481</v>
      </c>
      <c r="C2085" s="97">
        <v>542323</v>
      </c>
      <c r="D2085" s="96" t="s">
        <v>3482</v>
      </c>
      <c r="E2085" s="96" t="s">
        <v>527</v>
      </c>
    </row>
    <row r="2086" spans="2:5" ht="15" customHeight="1" thickBot="1" x14ac:dyDescent="0.35">
      <c r="B2086" s="96" t="s">
        <v>3483</v>
      </c>
      <c r="C2086" s="97">
        <v>540756</v>
      </c>
      <c r="D2086" s="96" t="s">
        <v>388</v>
      </c>
      <c r="E2086" s="96" t="s">
        <v>3167</v>
      </c>
    </row>
    <row r="2087" spans="2:5" ht="15" customHeight="1" thickBot="1" x14ac:dyDescent="0.35">
      <c r="B2087" s="96" t="s">
        <v>3484</v>
      </c>
      <c r="C2087" s="97">
        <v>539393</v>
      </c>
      <c r="D2087" s="96" t="s">
        <v>388</v>
      </c>
      <c r="E2087" s="96" t="s">
        <v>1066</v>
      </c>
    </row>
    <row r="2088" spans="2:5" ht="15" customHeight="1" thickBot="1" x14ac:dyDescent="0.35">
      <c r="B2088" s="96" t="s">
        <v>3485</v>
      </c>
      <c r="C2088" s="97">
        <v>524322</v>
      </c>
      <c r="D2088" s="96" t="s">
        <v>388</v>
      </c>
      <c r="E2088" s="96" t="s">
        <v>426</v>
      </c>
    </row>
    <row r="2089" spans="2:5" ht="15" customHeight="1" thickBot="1" x14ac:dyDescent="0.35">
      <c r="B2089" s="96" t="s">
        <v>3486</v>
      </c>
      <c r="C2089" s="97">
        <v>524109</v>
      </c>
      <c r="D2089" s="96" t="s">
        <v>3487</v>
      </c>
      <c r="E2089" s="96" t="s">
        <v>396</v>
      </c>
    </row>
    <row r="2090" spans="2:5" ht="15" customHeight="1" thickBot="1" x14ac:dyDescent="0.35">
      <c r="B2090" s="96" t="s">
        <v>3488</v>
      </c>
      <c r="C2090" s="97">
        <v>524675</v>
      </c>
      <c r="D2090" s="96" t="s">
        <v>388</v>
      </c>
      <c r="E2090" s="96" t="s">
        <v>410</v>
      </c>
    </row>
    <row r="2091" spans="2:5" ht="15" customHeight="1" thickBot="1" x14ac:dyDescent="0.35">
      <c r="B2091" s="96" t="s">
        <v>3489</v>
      </c>
      <c r="C2091" s="97">
        <v>531778</v>
      </c>
      <c r="D2091" s="96" t="s">
        <v>388</v>
      </c>
      <c r="E2091" s="96" t="s">
        <v>368</v>
      </c>
    </row>
    <row r="2092" spans="2:5" ht="15" customHeight="1" thickBot="1" x14ac:dyDescent="0.35">
      <c r="B2092" s="96" t="s">
        <v>3490</v>
      </c>
      <c r="C2092" s="97">
        <v>504840</v>
      </c>
      <c r="D2092" s="96" t="s">
        <v>388</v>
      </c>
      <c r="E2092" s="96" t="s">
        <v>583</v>
      </c>
    </row>
    <row r="2093" spans="2:5" ht="15" customHeight="1" thickBot="1" x14ac:dyDescent="0.35">
      <c r="B2093" s="96" t="s">
        <v>3491</v>
      </c>
      <c r="C2093" s="97">
        <v>531780</v>
      </c>
      <c r="D2093" s="96" t="s">
        <v>388</v>
      </c>
      <c r="E2093" s="96" t="s">
        <v>410</v>
      </c>
    </row>
    <row r="2094" spans="2:5" ht="15" customHeight="1" thickBot="1" x14ac:dyDescent="0.35">
      <c r="B2094" s="96" t="s">
        <v>3492</v>
      </c>
      <c r="C2094" s="97">
        <v>500233</v>
      </c>
      <c r="D2094" s="96" t="s">
        <v>3493</v>
      </c>
      <c r="E2094" s="96" t="s">
        <v>665</v>
      </c>
    </row>
    <row r="2095" spans="2:5" ht="15" customHeight="1" thickBot="1" x14ac:dyDescent="0.35">
      <c r="B2095" s="96" t="s">
        <v>3494</v>
      </c>
      <c r="C2095" s="97">
        <v>500234</v>
      </c>
      <c r="D2095" s="96" t="s">
        <v>3495</v>
      </c>
      <c r="E2095" s="96" t="s">
        <v>401</v>
      </c>
    </row>
    <row r="2096" spans="2:5" ht="15" customHeight="1" thickBot="1" x14ac:dyDescent="0.35">
      <c r="B2096" s="96" t="s">
        <v>3496</v>
      </c>
      <c r="C2096" s="97">
        <v>521054</v>
      </c>
      <c r="D2096" s="96" t="s">
        <v>388</v>
      </c>
      <c r="E2096" s="96" t="s">
        <v>403</v>
      </c>
    </row>
    <row r="2097" spans="2:5" ht="15" customHeight="1" thickBot="1" x14ac:dyDescent="0.35">
      <c r="B2097" s="96" t="s">
        <v>3497</v>
      </c>
      <c r="C2097" s="97">
        <v>530201</v>
      </c>
      <c r="D2097" s="96" t="s">
        <v>388</v>
      </c>
      <c r="E2097" s="96" t="s">
        <v>403</v>
      </c>
    </row>
    <row r="2098" spans="2:5" ht="15" customHeight="1" thickBot="1" x14ac:dyDescent="0.35">
      <c r="B2098" s="96" t="s">
        <v>3498</v>
      </c>
      <c r="C2098" s="97">
        <v>539014</v>
      </c>
      <c r="D2098" s="96" t="s">
        <v>388</v>
      </c>
      <c r="E2098" s="96" t="s">
        <v>410</v>
      </c>
    </row>
    <row r="2099" spans="2:5" ht="15" customHeight="1" thickBot="1" x14ac:dyDescent="0.35">
      <c r="B2099" s="96" t="s">
        <v>3499</v>
      </c>
      <c r="C2099" s="97">
        <v>522287</v>
      </c>
      <c r="D2099" s="96" t="s">
        <v>3500</v>
      </c>
      <c r="E2099" s="96" t="s">
        <v>431</v>
      </c>
    </row>
    <row r="2100" spans="2:5" ht="15" customHeight="1" thickBot="1" x14ac:dyDescent="0.35">
      <c r="B2100" s="96" t="s">
        <v>3501</v>
      </c>
      <c r="C2100" s="96" t="s">
        <v>388</v>
      </c>
      <c r="D2100" s="96" t="s">
        <v>3502</v>
      </c>
      <c r="E2100" s="96" t="s">
        <v>479</v>
      </c>
    </row>
    <row r="2101" spans="2:5" ht="15" customHeight="1" thickBot="1" x14ac:dyDescent="0.35">
      <c r="B2101" s="96" t="s">
        <v>3503</v>
      </c>
      <c r="C2101" s="97">
        <v>513509</v>
      </c>
      <c r="D2101" s="96" t="s">
        <v>3504</v>
      </c>
      <c r="E2101" s="96" t="s">
        <v>743</v>
      </c>
    </row>
    <row r="2102" spans="2:5" ht="15" customHeight="1" thickBot="1" x14ac:dyDescent="0.35">
      <c r="B2102" s="96" t="s">
        <v>3505</v>
      </c>
      <c r="C2102" s="97">
        <v>533302</v>
      </c>
      <c r="D2102" s="96" t="s">
        <v>3506</v>
      </c>
      <c r="E2102" s="96" t="s">
        <v>408</v>
      </c>
    </row>
    <row r="2103" spans="2:5" ht="15" customHeight="1" thickBot="1" x14ac:dyDescent="0.35">
      <c r="B2103" s="96" t="s">
        <v>3507</v>
      </c>
      <c r="C2103" s="97">
        <v>500235</v>
      </c>
      <c r="D2103" s="96" t="s">
        <v>3508</v>
      </c>
      <c r="E2103" s="96" t="s">
        <v>420</v>
      </c>
    </row>
    <row r="2104" spans="2:5" ht="15" customHeight="1" thickBot="1" x14ac:dyDescent="0.35">
      <c r="B2104" s="96" t="s">
        <v>3509</v>
      </c>
      <c r="C2104" s="97">
        <v>532468</v>
      </c>
      <c r="D2104" s="96" t="s">
        <v>388</v>
      </c>
      <c r="E2104" s="96" t="s">
        <v>554</v>
      </c>
    </row>
    <row r="2105" spans="2:5" ht="15" customHeight="1" thickBot="1" x14ac:dyDescent="0.35">
      <c r="B2105" s="96" t="s">
        <v>3510</v>
      </c>
      <c r="C2105" s="97">
        <v>514322</v>
      </c>
      <c r="D2105" s="96" t="s">
        <v>388</v>
      </c>
      <c r="E2105" s="96" t="s">
        <v>403</v>
      </c>
    </row>
    <row r="2106" spans="2:5" ht="15" customHeight="1" thickBot="1" x14ac:dyDescent="0.35">
      <c r="B2106" s="96" t="s">
        <v>3511</v>
      </c>
      <c r="C2106" s="97">
        <v>511131</v>
      </c>
      <c r="D2106" s="96" t="s">
        <v>388</v>
      </c>
      <c r="E2106" s="96" t="s">
        <v>474</v>
      </c>
    </row>
    <row r="2107" spans="2:5" ht="15" customHeight="1" thickBot="1" x14ac:dyDescent="0.35">
      <c r="B2107" s="96" t="s">
        <v>3512</v>
      </c>
      <c r="C2107" s="97">
        <v>526668</v>
      </c>
      <c r="D2107" s="96" t="s">
        <v>3513</v>
      </c>
      <c r="E2107" s="96" t="s">
        <v>589</v>
      </c>
    </row>
    <row r="2108" spans="2:5" ht="15" customHeight="1" thickBot="1" x14ac:dyDescent="0.35">
      <c r="B2108" s="96" t="s">
        <v>3514</v>
      </c>
      <c r="C2108" s="97">
        <v>532741</v>
      </c>
      <c r="D2108" s="96" t="s">
        <v>3515</v>
      </c>
      <c r="E2108" s="96" t="s">
        <v>420</v>
      </c>
    </row>
    <row r="2109" spans="2:5" ht="15" customHeight="1" thickBot="1" x14ac:dyDescent="0.35">
      <c r="B2109" s="96" t="s">
        <v>3516</v>
      </c>
      <c r="C2109" s="97">
        <v>524604</v>
      </c>
      <c r="D2109" s="96" t="s">
        <v>388</v>
      </c>
      <c r="E2109" s="96" t="s">
        <v>426</v>
      </c>
    </row>
    <row r="2110" spans="2:5" ht="15" customHeight="1" thickBot="1" x14ac:dyDescent="0.35">
      <c r="B2110" s="96" t="s">
        <v>3517</v>
      </c>
      <c r="C2110" s="97">
        <v>780003</v>
      </c>
      <c r="D2110" s="96" t="s">
        <v>388</v>
      </c>
      <c r="E2110" s="96" t="s">
        <v>479</v>
      </c>
    </row>
    <row r="2111" spans="2:5" ht="15" customHeight="1" thickBot="1" x14ac:dyDescent="0.35">
      <c r="B2111" s="96" t="s">
        <v>3518</v>
      </c>
      <c r="C2111" s="97">
        <v>506184</v>
      </c>
      <c r="D2111" s="96" t="s">
        <v>3519</v>
      </c>
      <c r="E2111" s="96" t="s">
        <v>502</v>
      </c>
    </row>
    <row r="2112" spans="2:5" ht="15" customHeight="1" thickBot="1" x14ac:dyDescent="0.35">
      <c r="B2112" s="96" t="s">
        <v>3520</v>
      </c>
      <c r="C2112" s="97">
        <v>538896</v>
      </c>
      <c r="D2112" s="96" t="s">
        <v>388</v>
      </c>
      <c r="E2112" s="96" t="s">
        <v>436</v>
      </c>
    </row>
    <row r="2113" spans="2:5" ht="15" customHeight="1" thickBot="1" x14ac:dyDescent="0.35">
      <c r="B2113" s="96" t="s">
        <v>3521</v>
      </c>
      <c r="C2113" s="97">
        <v>541005</v>
      </c>
      <c r="D2113" s="96" t="s">
        <v>388</v>
      </c>
      <c r="E2113" s="96" t="s">
        <v>795</v>
      </c>
    </row>
    <row r="2114" spans="2:5" ht="15" customHeight="1" thickBot="1" x14ac:dyDescent="0.35">
      <c r="B2114" s="96" t="s">
        <v>3522</v>
      </c>
      <c r="C2114" s="97">
        <v>521242</v>
      </c>
      <c r="D2114" s="96" t="s">
        <v>388</v>
      </c>
      <c r="E2114" s="96" t="s">
        <v>403</v>
      </c>
    </row>
    <row r="2115" spans="2:5" ht="15" customHeight="1" thickBot="1" x14ac:dyDescent="0.35">
      <c r="B2115" s="96" t="s">
        <v>3523</v>
      </c>
      <c r="C2115" s="97">
        <v>500236</v>
      </c>
      <c r="D2115" s="96" t="s">
        <v>3524</v>
      </c>
      <c r="E2115" s="96" t="s">
        <v>754</v>
      </c>
    </row>
    <row r="2116" spans="2:5" ht="15" customHeight="1" thickBot="1" x14ac:dyDescent="0.35">
      <c r="B2116" s="96" t="s">
        <v>3525</v>
      </c>
      <c r="C2116" s="97">
        <v>513456</v>
      </c>
      <c r="D2116" s="96" t="s">
        <v>388</v>
      </c>
      <c r="E2116" s="96" t="s">
        <v>711</v>
      </c>
    </row>
    <row r="2117" spans="2:5" ht="15" customHeight="1" thickBot="1" x14ac:dyDescent="0.35">
      <c r="B2117" s="96" t="s">
        <v>3526</v>
      </c>
      <c r="C2117" s="97">
        <v>506525</v>
      </c>
      <c r="D2117" s="96" t="s">
        <v>3527</v>
      </c>
      <c r="E2117" s="96" t="s">
        <v>436</v>
      </c>
    </row>
    <row r="2118" spans="2:5" ht="15" customHeight="1" thickBot="1" x14ac:dyDescent="0.35">
      <c r="B2118" s="96" t="s">
        <v>3528</v>
      </c>
      <c r="C2118" s="97">
        <v>507779</v>
      </c>
      <c r="D2118" s="96" t="s">
        <v>388</v>
      </c>
      <c r="E2118" s="96" t="s">
        <v>583</v>
      </c>
    </row>
    <row r="2119" spans="2:5" ht="15" customHeight="1" thickBot="1" x14ac:dyDescent="0.35">
      <c r="B2119" s="96" t="s">
        <v>3529</v>
      </c>
      <c r="C2119" s="97">
        <v>500165</v>
      </c>
      <c r="D2119" s="96" t="s">
        <v>3530</v>
      </c>
      <c r="E2119" s="96" t="s">
        <v>665</v>
      </c>
    </row>
    <row r="2120" spans="2:5" ht="15" customHeight="1" thickBot="1" x14ac:dyDescent="0.35">
      <c r="B2120" s="96" t="s">
        <v>3531</v>
      </c>
      <c r="C2120" s="97">
        <v>540515</v>
      </c>
      <c r="D2120" s="96" t="s">
        <v>388</v>
      </c>
      <c r="E2120" s="96" t="s">
        <v>371</v>
      </c>
    </row>
    <row r="2121" spans="2:5" ht="15" customHeight="1" thickBot="1" x14ac:dyDescent="0.35">
      <c r="B2121" s="96" t="s">
        <v>3532</v>
      </c>
      <c r="C2121" s="97">
        <v>512399</v>
      </c>
      <c r="D2121" s="96" t="s">
        <v>388</v>
      </c>
      <c r="E2121" s="96" t="s">
        <v>371</v>
      </c>
    </row>
    <row r="2122" spans="2:5" ht="15" customHeight="1" thickBot="1" x14ac:dyDescent="0.35">
      <c r="B2122" s="96" t="s">
        <v>3533</v>
      </c>
      <c r="C2122" s="97">
        <v>512036</v>
      </c>
      <c r="D2122" s="96" t="s">
        <v>388</v>
      </c>
      <c r="E2122" s="96" t="s">
        <v>403</v>
      </c>
    </row>
    <row r="2123" spans="2:5" ht="15" customHeight="1" thickBot="1" x14ac:dyDescent="0.35">
      <c r="B2123" s="96" t="s">
        <v>3534</v>
      </c>
      <c r="C2123" s="97">
        <v>539679</v>
      </c>
      <c r="D2123" s="96" t="s">
        <v>388</v>
      </c>
      <c r="E2123" s="96" t="s">
        <v>405</v>
      </c>
    </row>
    <row r="2124" spans="2:5" ht="15" customHeight="1" thickBot="1" x14ac:dyDescent="0.35">
      <c r="B2124" s="96" t="s">
        <v>3535</v>
      </c>
      <c r="C2124" s="96" t="s">
        <v>388</v>
      </c>
      <c r="D2124" s="96" t="s">
        <v>3536</v>
      </c>
      <c r="E2124" s="96" t="s">
        <v>399</v>
      </c>
    </row>
    <row r="2125" spans="2:5" ht="15" customHeight="1" thickBot="1" x14ac:dyDescent="0.35">
      <c r="B2125" s="96" t="s">
        <v>3537</v>
      </c>
      <c r="C2125" s="97">
        <v>526115</v>
      </c>
      <c r="D2125" s="96" t="s">
        <v>388</v>
      </c>
      <c r="E2125" s="96" t="s">
        <v>502</v>
      </c>
    </row>
    <row r="2126" spans="2:5" ht="15" customHeight="1" thickBot="1" x14ac:dyDescent="0.35">
      <c r="B2126" s="96" t="s">
        <v>3538</v>
      </c>
      <c r="C2126" s="97">
        <v>541161</v>
      </c>
      <c r="D2126" s="96" t="s">
        <v>3539</v>
      </c>
      <c r="E2126" s="96" t="s">
        <v>474</v>
      </c>
    </row>
    <row r="2127" spans="2:5" ht="15" customHeight="1" thickBot="1" x14ac:dyDescent="0.35">
      <c r="B2127" s="96" t="s">
        <v>3540</v>
      </c>
      <c r="C2127" s="97">
        <v>533451</v>
      </c>
      <c r="D2127" s="96" t="s">
        <v>3541</v>
      </c>
      <c r="E2127" s="96" t="s">
        <v>527</v>
      </c>
    </row>
    <row r="2128" spans="2:5" ht="15" customHeight="1" thickBot="1" x14ac:dyDescent="0.35">
      <c r="B2128" s="96" t="s">
        <v>3542</v>
      </c>
      <c r="C2128" s="97">
        <v>538928</v>
      </c>
      <c r="D2128" s="96" t="s">
        <v>388</v>
      </c>
      <c r="E2128" s="96" t="s">
        <v>405</v>
      </c>
    </row>
    <row r="2129" spans="2:5" ht="15" customHeight="1" thickBot="1" x14ac:dyDescent="0.35">
      <c r="B2129" s="96" t="s">
        <v>3543</v>
      </c>
      <c r="C2129" s="97">
        <v>537784</v>
      </c>
      <c r="D2129" s="96" t="s">
        <v>388</v>
      </c>
      <c r="E2129" s="96" t="s">
        <v>809</v>
      </c>
    </row>
    <row r="2130" spans="2:5" ht="15" customHeight="1" thickBot="1" x14ac:dyDescent="0.35">
      <c r="B2130" s="96" t="s">
        <v>3544</v>
      </c>
      <c r="C2130" s="97">
        <v>590003</v>
      </c>
      <c r="D2130" s="96" t="s">
        <v>3545</v>
      </c>
      <c r="E2130" s="96" t="s">
        <v>706</v>
      </c>
    </row>
    <row r="2131" spans="2:5" ht="15" customHeight="1" thickBot="1" x14ac:dyDescent="0.35">
      <c r="B2131" s="96" t="s">
        <v>3546</v>
      </c>
      <c r="C2131" s="97">
        <v>531687</v>
      </c>
      <c r="D2131" s="96" t="s">
        <v>3547</v>
      </c>
      <c r="E2131" s="96" t="s">
        <v>586</v>
      </c>
    </row>
    <row r="2132" spans="2:5" ht="15" customHeight="1" thickBot="1" x14ac:dyDescent="0.35">
      <c r="B2132" s="96" t="s">
        <v>3548</v>
      </c>
      <c r="C2132" s="97">
        <v>539533</v>
      </c>
      <c r="D2132" s="96" t="s">
        <v>388</v>
      </c>
      <c r="E2132" s="96" t="s">
        <v>371</v>
      </c>
    </row>
    <row r="2133" spans="2:5" ht="15" customHeight="1" thickBot="1" x14ac:dyDescent="0.35">
      <c r="B2133" s="96" t="s">
        <v>3549</v>
      </c>
      <c r="C2133" s="97">
        <v>502933</v>
      </c>
      <c r="D2133" s="96" t="s">
        <v>388</v>
      </c>
      <c r="E2133" s="96" t="s">
        <v>403</v>
      </c>
    </row>
    <row r="2134" spans="2:5" ht="15" customHeight="1" thickBot="1" x14ac:dyDescent="0.35">
      <c r="B2134" s="96" t="s">
        <v>3550</v>
      </c>
      <c r="C2134" s="97">
        <v>532925</v>
      </c>
      <c r="D2134" s="96" t="s">
        <v>3551</v>
      </c>
      <c r="E2134" s="96" t="s">
        <v>786</v>
      </c>
    </row>
    <row r="2135" spans="2:5" ht="15" customHeight="1" thickBot="1" x14ac:dyDescent="0.35">
      <c r="B2135" s="96" t="s">
        <v>3552</v>
      </c>
      <c r="C2135" s="97">
        <v>532899</v>
      </c>
      <c r="D2135" s="96" t="s">
        <v>3553</v>
      </c>
      <c r="E2135" s="96" t="s">
        <v>586</v>
      </c>
    </row>
    <row r="2136" spans="2:5" ht="15" customHeight="1" thickBot="1" x14ac:dyDescent="0.35">
      <c r="B2136" s="96" t="s">
        <v>3554</v>
      </c>
      <c r="C2136" s="97">
        <v>524444</v>
      </c>
      <c r="D2136" s="96" t="s">
        <v>388</v>
      </c>
      <c r="E2136" s="96" t="s">
        <v>637</v>
      </c>
    </row>
    <row r="2137" spans="2:5" ht="15" customHeight="1" thickBot="1" x14ac:dyDescent="0.35">
      <c r="B2137" s="96" t="s">
        <v>3555</v>
      </c>
      <c r="C2137" s="97">
        <v>535136</v>
      </c>
      <c r="D2137" s="96" t="s">
        <v>388</v>
      </c>
      <c r="E2137" s="96" t="s">
        <v>403</v>
      </c>
    </row>
    <row r="2138" spans="2:5" ht="15" customHeight="1" thickBot="1" x14ac:dyDescent="0.35">
      <c r="B2138" s="96" t="s">
        <v>3556</v>
      </c>
      <c r="C2138" s="97">
        <v>590041</v>
      </c>
      <c r="D2138" s="96" t="s">
        <v>3557</v>
      </c>
      <c r="E2138" s="96" t="s">
        <v>534</v>
      </c>
    </row>
    <row r="2139" spans="2:5" ht="15" customHeight="1" thickBot="1" x14ac:dyDescent="0.35">
      <c r="B2139" s="96" t="s">
        <v>3558</v>
      </c>
      <c r="C2139" s="97">
        <v>530255</v>
      </c>
      <c r="D2139" s="96" t="s">
        <v>388</v>
      </c>
      <c r="E2139" s="96" t="s">
        <v>382</v>
      </c>
    </row>
    <row r="2140" spans="2:5" ht="15" customHeight="1" thickBot="1" x14ac:dyDescent="0.35">
      <c r="B2140" s="96" t="s">
        <v>3559</v>
      </c>
      <c r="C2140" s="97">
        <v>539276</v>
      </c>
      <c r="D2140" s="96" t="s">
        <v>3560</v>
      </c>
      <c r="E2140" s="96" t="s">
        <v>3167</v>
      </c>
    </row>
    <row r="2141" spans="2:5" ht="15" customHeight="1" thickBot="1" x14ac:dyDescent="0.35">
      <c r="B2141" s="96" t="s">
        <v>3561</v>
      </c>
      <c r="C2141" s="97">
        <v>504084</v>
      </c>
      <c r="D2141" s="96" t="s">
        <v>388</v>
      </c>
      <c r="E2141" s="96" t="s">
        <v>686</v>
      </c>
    </row>
    <row r="2142" spans="2:5" ht="15" customHeight="1" thickBot="1" x14ac:dyDescent="0.35">
      <c r="B2142" s="96" t="s">
        <v>3562</v>
      </c>
      <c r="C2142" s="97">
        <v>539562</v>
      </c>
      <c r="D2142" s="96" t="s">
        <v>388</v>
      </c>
      <c r="E2142" s="96" t="s">
        <v>371</v>
      </c>
    </row>
    <row r="2143" spans="2:5" ht="15" customHeight="1" thickBot="1" x14ac:dyDescent="0.35">
      <c r="B2143" s="96" t="s">
        <v>3563</v>
      </c>
      <c r="C2143" s="97">
        <v>530357</v>
      </c>
      <c r="D2143" s="96" t="s">
        <v>388</v>
      </c>
      <c r="E2143" s="96" t="s">
        <v>371</v>
      </c>
    </row>
    <row r="2144" spans="2:5" ht="15" customHeight="1" thickBot="1" x14ac:dyDescent="0.35">
      <c r="B2144" s="96" t="s">
        <v>3564</v>
      </c>
      <c r="C2144" s="97">
        <v>530357</v>
      </c>
      <c r="D2144" s="96" t="s">
        <v>388</v>
      </c>
      <c r="E2144" s="96" t="s">
        <v>371</v>
      </c>
    </row>
    <row r="2145" spans="2:5" ht="15" customHeight="1" thickBot="1" x14ac:dyDescent="0.35">
      <c r="B2145" s="96" t="s">
        <v>3565</v>
      </c>
      <c r="C2145" s="97">
        <v>526067</v>
      </c>
      <c r="D2145" s="96" t="s">
        <v>388</v>
      </c>
      <c r="E2145" s="96" t="s">
        <v>583</v>
      </c>
    </row>
    <row r="2146" spans="2:5" ht="15" customHeight="1" thickBot="1" x14ac:dyDescent="0.35">
      <c r="B2146" s="96" t="s">
        <v>3566</v>
      </c>
      <c r="C2146" s="97">
        <v>531784</v>
      </c>
      <c r="D2146" s="96" t="s">
        <v>388</v>
      </c>
      <c r="E2146" s="96" t="s">
        <v>786</v>
      </c>
    </row>
    <row r="2147" spans="2:5" ht="15" customHeight="1" thickBot="1" x14ac:dyDescent="0.35">
      <c r="B2147" s="96" t="s">
        <v>3567</v>
      </c>
      <c r="C2147" s="97">
        <v>590066</v>
      </c>
      <c r="D2147" s="96" t="s">
        <v>3568</v>
      </c>
      <c r="E2147" s="96" t="s">
        <v>401</v>
      </c>
    </row>
    <row r="2148" spans="2:5" ht="15" customHeight="1" thickBot="1" x14ac:dyDescent="0.35">
      <c r="B2148" s="96" t="s">
        <v>3569</v>
      </c>
      <c r="C2148" s="97">
        <v>533192</v>
      </c>
      <c r="D2148" s="96" t="s">
        <v>3570</v>
      </c>
      <c r="E2148" s="96" t="s">
        <v>1087</v>
      </c>
    </row>
    <row r="2149" spans="2:5" ht="15" customHeight="1" thickBot="1" x14ac:dyDescent="0.35">
      <c r="B2149" s="96" t="s">
        <v>3571</v>
      </c>
      <c r="C2149" s="97">
        <v>540385</v>
      </c>
      <c r="D2149" s="96" t="s">
        <v>388</v>
      </c>
      <c r="E2149" s="96" t="s">
        <v>371</v>
      </c>
    </row>
    <row r="2150" spans="2:5" ht="15" customHeight="1" thickBot="1" x14ac:dyDescent="0.35">
      <c r="B2150" s="96" t="s">
        <v>3572</v>
      </c>
      <c r="C2150" s="97">
        <v>532054</v>
      </c>
      <c r="D2150" s="96" t="s">
        <v>3573</v>
      </c>
      <c r="E2150" s="96" t="s">
        <v>502</v>
      </c>
    </row>
    <row r="2151" spans="2:5" ht="15" customHeight="1" thickBot="1" x14ac:dyDescent="0.35">
      <c r="B2151" s="96" t="s">
        <v>3574</v>
      </c>
      <c r="C2151" s="97">
        <v>532714</v>
      </c>
      <c r="D2151" s="96" t="s">
        <v>3575</v>
      </c>
      <c r="E2151" s="96" t="s">
        <v>431</v>
      </c>
    </row>
    <row r="2152" spans="2:5" ht="15" customHeight="1" thickBot="1" x14ac:dyDescent="0.35">
      <c r="B2152" s="96" t="s">
        <v>3576</v>
      </c>
      <c r="C2152" s="97">
        <v>508993</v>
      </c>
      <c r="D2152" s="96" t="s">
        <v>388</v>
      </c>
      <c r="E2152" s="96" t="s">
        <v>474</v>
      </c>
    </row>
    <row r="2153" spans="2:5" ht="15" customHeight="1" thickBot="1" x14ac:dyDescent="0.35">
      <c r="B2153" s="96" t="s">
        <v>3577</v>
      </c>
      <c r="C2153" s="97">
        <v>518011</v>
      </c>
      <c r="D2153" s="96" t="s">
        <v>388</v>
      </c>
      <c r="E2153" s="96" t="s">
        <v>401</v>
      </c>
    </row>
    <row r="2154" spans="2:5" ht="15" customHeight="1" thickBot="1" x14ac:dyDescent="0.35">
      <c r="B2154" s="96" t="s">
        <v>3578</v>
      </c>
      <c r="C2154" s="96" t="s">
        <v>388</v>
      </c>
      <c r="D2154" s="96" t="s">
        <v>3579</v>
      </c>
      <c r="E2154" s="96" t="s">
        <v>399</v>
      </c>
    </row>
    <row r="2155" spans="2:5" ht="15" customHeight="1" thickBot="1" x14ac:dyDescent="0.35">
      <c r="B2155" s="96" t="s">
        <v>3580</v>
      </c>
      <c r="C2155" s="97">
        <v>517569</v>
      </c>
      <c r="D2155" s="96" t="s">
        <v>3581</v>
      </c>
      <c r="E2155" s="96" t="s">
        <v>686</v>
      </c>
    </row>
    <row r="2156" spans="2:5" ht="15" customHeight="1" thickBot="1" x14ac:dyDescent="0.35">
      <c r="B2156" s="96" t="s">
        <v>3582</v>
      </c>
      <c r="C2156" s="97">
        <v>519602</v>
      </c>
      <c r="D2156" s="96" t="s">
        <v>3583</v>
      </c>
      <c r="E2156" s="96" t="s">
        <v>481</v>
      </c>
    </row>
    <row r="2157" spans="2:5" ht="15" customHeight="1" thickBot="1" x14ac:dyDescent="0.35">
      <c r="B2157" s="96" t="s">
        <v>3584</v>
      </c>
      <c r="C2157" s="97">
        <v>506528</v>
      </c>
      <c r="D2157" s="96" t="s">
        <v>388</v>
      </c>
      <c r="E2157" s="96" t="s">
        <v>548</v>
      </c>
    </row>
    <row r="2158" spans="2:5" ht="15" customHeight="1" thickBot="1" x14ac:dyDescent="0.35">
      <c r="B2158" s="96" t="s">
        <v>3585</v>
      </c>
      <c r="C2158" s="97">
        <v>531163</v>
      </c>
      <c r="D2158" s="96" t="s">
        <v>3586</v>
      </c>
      <c r="E2158" s="96" t="s">
        <v>548</v>
      </c>
    </row>
    <row r="2159" spans="2:5" ht="15" customHeight="1" thickBot="1" x14ac:dyDescent="0.35">
      <c r="B2159" s="96" t="s">
        <v>3587</v>
      </c>
      <c r="C2159" s="97">
        <v>506530</v>
      </c>
      <c r="D2159" s="96" t="s">
        <v>388</v>
      </c>
      <c r="E2159" s="96" t="s">
        <v>583</v>
      </c>
    </row>
    <row r="2160" spans="2:5" ht="15" customHeight="1" thickBot="1" x14ac:dyDescent="0.35">
      <c r="B2160" s="96" t="s">
        <v>3588</v>
      </c>
      <c r="C2160" s="97">
        <v>505890</v>
      </c>
      <c r="D2160" s="96" t="s">
        <v>388</v>
      </c>
      <c r="E2160" s="96" t="s">
        <v>396</v>
      </c>
    </row>
    <row r="2161" spans="2:5" ht="15" customHeight="1" thickBot="1" x14ac:dyDescent="0.35">
      <c r="B2161" s="96" t="s">
        <v>3589</v>
      </c>
      <c r="C2161" s="97">
        <v>505890</v>
      </c>
      <c r="D2161" s="96" t="s">
        <v>388</v>
      </c>
      <c r="E2161" s="96" t="s">
        <v>396</v>
      </c>
    </row>
    <row r="2162" spans="2:5" ht="15" customHeight="1" thickBot="1" x14ac:dyDescent="0.35">
      <c r="B2162" s="96" t="s">
        <v>3590</v>
      </c>
      <c r="C2162" s="97">
        <v>540953</v>
      </c>
      <c r="D2162" s="96" t="s">
        <v>388</v>
      </c>
      <c r="E2162" s="96" t="s">
        <v>502</v>
      </c>
    </row>
    <row r="2163" spans="2:5" ht="15" customHeight="1" thickBot="1" x14ac:dyDescent="0.35">
      <c r="B2163" s="96" t="s">
        <v>3591</v>
      </c>
      <c r="C2163" s="97">
        <v>530163</v>
      </c>
      <c r="D2163" s="96" t="s">
        <v>388</v>
      </c>
      <c r="E2163" s="96" t="s">
        <v>426</v>
      </c>
    </row>
    <row r="2164" spans="2:5" ht="15" customHeight="1" thickBot="1" x14ac:dyDescent="0.35">
      <c r="B2164" s="96" t="s">
        <v>3592</v>
      </c>
      <c r="C2164" s="97">
        <v>532686</v>
      </c>
      <c r="D2164" s="96" t="s">
        <v>3593</v>
      </c>
      <c r="E2164" s="96" t="s">
        <v>511</v>
      </c>
    </row>
    <row r="2165" spans="2:5" ht="15" customHeight="1" thickBot="1" x14ac:dyDescent="0.35">
      <c r="B2165" s="96" t="s">
        <v>3594</v>
      </c>
      <c r="C2165" s="97">
        <v>532686</v>
      </c>
      <c r="D2165" s="96" t="s">
        <v>3593</v>
      </c>
      <c r="E2165" s="96" t="s">
        <v>511</v>
      </c>
    </row>
    <row r="2166" spans="2:5" ht="15" customHeight="1" thickBot="1" x14ac:dyDescent="0.35">
      <c r="B2166" s="96" t="s">
        <v>3595</v>
      </c>
      <c r="C2166" s="97">
        <v>507180</v>
      </c>
      <c r="D2166" s="96" t="s">
        <v>3596</v>
      </c>
      <c r="E2166" s="96" t="s">
        <v>1087</v>
      </c>
    </row>
    <row r="2167" spans="2:5" ht="15" customHeight="1" thickBot="1" x14ac:dyDescent="0.35">
      <c r="B2167" s="96" t="s">
        <v>3597</v>
      </c>
      <c r="C2167" s="97">
        <v>524174</v>
      </c>
      <c r="D2167" s="96" t="s">
        <v>388</v>
      </c>
      <c r="E2167" s="96" t="s">
        <v>436</v>
      </c>
    </row>
    <row r="2168" spans="2:5" ht="15" customHeight="1" thickBot="1" x14ac:dyDescent="0.35">
      <c r="B2168" s="96" t="s">
        <v>3598</v>
      </c>
      <c r="C2168" s="97">
        <v>533289</v>
      </c>
      <c r="D2168" s="96" t="s">
        <v>3599</v>
      </c>
      <c r="E2168" s="96" t="s">
        <v>709</v>
      </c>
    </row>
    <row r="2169" spans="2:5" ht="15" customHeight="1" thickBot="1" x14ac:dyDescent="0.35">
      <c r="B2169" s="96" t="s">
        <v>3600</v>
      </c>
      <c r="C2169" s="97">
        <v>502937</v>
      </c>
      <c r="D2169" s="96" t="s">
        <v>3601</v>
      </c>
      <c r="E2169" s="96" t="s">
        <v>377</v>
      </c>
    </row>
    <row r="2170" spans="2:5" ht="15" customHeight="1" thickBot="1" x14ac:dyDescent="0.35">
      <c r="B2170" s="96" t="s">
        <v>3602</v>
      </c>
      <c r="C2170" s="97">
        <v>532732</v>
      </c>
      <c r="D2170" s="96" t="s">
        <v>3603</v>
      </c>
      <c r="E2170" s="96" t="s">
        <v>502</v>
      </c>
    </row>
    <row r="2171" spans="2:5" ht="15" customHeight="1" thickBot="1" x14ac:dyDescent="0.35">
      <c r="B2171" s="96" t="s">
        <v>3604</v>
      </c>
      <c r="C2171" s="97">
        <v>507948</v>
      </c>
      <c r="D2171" s="96" t="s">
        <v>388</v>
      </c>
      <c r="E2171" s="96" t="s">
        <v>405</v>
      </c>
    </row>
    <row r="2172" spans="2:5" ht="15" customHeight="1" thickBot="1" x14ac:dyDescent="0.35">
      <c r="B2172" s="96" t="s">
        <v>3605</v>
      </c>
      <c r="C2172" s="97">
        <v>512597</v>
      </c>
      <c r="D2172" s="96" t="s">
        <v>3606</v>
      </c>
      <c r="E2172" s="96" t="s">
        <v>405</v>
      </c>
    </row>
    <row r="2173" spans="2:5" ht="15" customHeight="1" thickBot="1" x14ac:dyDescent="0.35">
      <c r="B2173" s="96" t="s">
        <v>3607</v>
      </c>
      <c r="C2173" s="96" t="s">
        <v>388</v>
      </c>
      <c r="D2173" s="96" t="s">
        <v>3608</v>
      </c>
      <c r="E2173" s="96" t="s">
        <v>405</v>
      </c>
    </row>
    <row r="2174" spans="2:5" ht="15" customHeight="1" thickBot="1" x14ac:dyDescent="0.35">
      <c r="B2174" s="96" t="s">
        <v>3609</v>
      </c>
      <c r="C2174" s="97">
        <v>500239</v>
      </c>
      <c r="D2174" s="96" t="s">
        <v>388</v>
      </c>
      <c r="E2174" s="96" t="s">
        <v>403</v>
      </c>
    </row>
    <row r="2175" spans="2:5" ht="15" customHeight="1" thickBot="1" x14ac:dyDescent="0.35">
      <c r="B2175" s="96" t="s">
        <v>3610</v>
      </c>
      <c r="C2175" s="97">
        <v>531609</v>
      </c>
      <c r="D2175" s="96" t="s">
        <v>388</v>
      </c>
      <c r="E2175" s="96" t="s">
        <v>583</v>
      </c>
    </row>
    <row r="2176" spans="2:5" ht="15" customHeight="1" thickBot="1" x14ac:dyDescent="0.35">
      <c r="B2176" s="96" t="s">
        <v>3611</v>
      </c>
      <c r="C2176" s="97">
        <v>540775</v>
      </c>
      <c r="D2176" s="96" t="s">
        <v>3612</v>
      </c>
      <c r="E2176" s="96" t="s">
        <v>814</v>
      </c>
    </row>
    <row r="2177" spans="2:5" ht="15" customHeight="1" thickBot="1" x14ac:dyDescent="0.35">
      <c r="B2177" s="96" t="s">
        <v>3613</v>
      </c>
      <c r="C2177" s="97">
        <v>540775</v>
      </c>
      <c r="D2177" s="96" t="s">
        <v>3612</v>
      </c>
      <c r="E2177" s="96" t="s">
        <v>814</v>
      </c>
    </row>
    <row r="2178" spans="2:5" ht="15" customHeight="1" thickBot="1" x14ac:dyDescent="0.35">
      <c r="B2178" s="96" t="s">
        <v>3614</v>
      </c>
      <c r="C2178" s="97">
        <v>590068</v>
      </c>
      <c r="D2178" s="96" t="s">
        <v>3615</v>
      </c>
      <c r="E2178" s="96" t="s">
        <v>410</v>
      </c>
    </row>
    <row r="2179" spans="2:5" ht="15" customHeight="1" thickBot="1" x14ac:dyDescent="0.35">
      <c r="B2179" s="96" t="s">
        <v>3616</v>
      </c>
      <c r="C2179" s="97">
        <v>507794</v>
      </c>
      <c r="D2179" s="96" t="s">
        <v>388</v>
      </c>
      <c r="E2179" s="96" t="s">
        <v>896</v>
      </c>
    </row>
    <row r="2180" spans="2:5" ht="15" customHeight="1" thickBot="1" x14ac:dyDescent="0.35">
      <c r="B2180" s="96" t="s">
        <v>3617</v>
      </c>
      <c r="C2180" s="97">
        <v>504269</v>
      </c>
      <c r="D2180" s="96" t="s">
        <v>3618</v>
      </c>
      <c r="E2180" s="96" t="s">
        <v>1152</v>
      </c>
    </row>
    <row r="2181" spans="2:5" ht="15" customHeight="1" thickBot="1" x14ac:dyDescent="0.35">
      <c r="B2181" s="96" t="s">
        <v>3619</v>
      </c>
      <c r="C2181" s="97">
        <v>590068</v>
      </c>
      <c r="D2181" s="96" t="s">
        <v>3615</v>
      </c>
      <c r="E2181" s="96" t="s">
        <v>410</v>
      </c>
    </row>
    <row r="2182" spans="2:5" ht="15" customHeight="1" thickBot="1" x14ac:dyDescent="0.35">
      <c r="B2182" s="96" t="s">
        <v>3620</v>
      </c>
      <c r="C2182" s="97">
        <v>519064</v>
      </c>
      <c r="D2182" s="96" t="s">
        <v>388</v>
      </c>
      <c r="E2182" s="96" t="s">
        <v>586</v>
      </c>
    </row>
    <row r="2183" spans="2:5" ht="15" customHeight="1" thickBot="1" x14ac:dyDescent="0.35">
      <c r="B2183" s="96" t="s">
        <v>3621</v>
      </c>
      <c r="C2183" s="97">
        <v>531892</v>
      </c>
      <c r="D2183" s="96" t="s">
        <v>3622</v>
      </c>
      <c r="E2183" s="96" t="s">
        <v>371</v>
      </c>
    </row>
    <row r="2184" spans="2:5" ht="15" customHeight="1" thickBot="1" x14ac:dyDescent="0.35">
      <c r="B2184" s="96" t="s">
        <v>3623</v>
      </c>
      <c r="C2184" s="97">
        <v>506178</v>
      </c>
      <c r="D2184" s="96" t="s">
        <v>388</v>
      </c>
      <c r="E2184" s="96" t="s">
        <v>410</v>
      </c>
    </row>
    <row r="2185" spans="2:5" ht="15" customHeight="1" thickBot="1" x14ac:dyDescent="0.35">
      <c r="B2185" s="96" t="s">
        <v>3624</v>
      </c>
      <c r="C2185" s="97">
        <v>521127</v>
      </c>
      <c r="D2185" s="96" t="s">
        <v>388</v>
      </c>
      <c r="E2185" s="96" t="s">
        <v>403</v>
      </c>
    </row>
    <row r="2186" spans="2:5" ht="15" customHeight="1" thickBot="1" x14ac:dyDescent="0.35">
      <c r="B2186" s="96" t="s">
        <v>3625</v>
      </c>
      <c r="C2186" s="97">
        <v>539788</v>
      </c>
      <c r="D2186" s="96" t="s">
        <v>388</v>
      </c>
      <c r="E2186" s="96" t="s">
        <v>422</v>
      </c>
    </row>
    <row r="2187" spans="2:5" ht="15" customHeight="1" thickBot="1" x14ac:dyDescent="0.35">
      <c r="B2187" s="96" t="s">
        <v>3626</v>
      </c>
      <c r="C2187" s="97">
        <v>507435</v>
      </c>
      <c r="D2187" s="96" t="s">
        <v>388</v>
      </c>
      <c r="E2187" s="96" t="s">
        <v>1020</v>
      </c>
    </row>
    <row r="2188" spans="2:5" ht="15" customHeight="1" thickBot="1" x14ac:dyDescent="0.35">
      <c r="B2188" s="96" t="s">
        <v>3627</v>
      </c>
      <c r="C2188" s="97">
        <v>507435</v>
      </c>
      <c r="D2188" s="96" t="s">
        <v>388</v>
      </c>
      <c r="E2188" s="96" t="s">
        <v>1020</v>
      </c>
    </row>
    <row r="2189" spans="2:5" ht="15" customHeight="1" thickBot="1" x14ac:dyDescent="0.35">
      <c r="B2189" s="96" t="s">
        <v>3628</v>
      </c>
      <c r="C2189" s="97">
        <v>535730</v>
      </c>
      <c r="D2189" s="96" t="s">
        <v>388</v>
      </c>
      <c r="E2189" s="96" t="s">
        <v>403</v>
      </c>
    </row>
    <row r="2190" spans="2:5" ht="15" customHeight="1" thickBot="1" x14ac:dyDescent="0.35">
      <c r="B2190" s="96" t="s">
        <v>3629</v>
      </c>
      <c r="C2190" s="97">
        <v>531692</v>
      </c>
      <c r="D2190" s="96" t="s">
        <v>388</v>
      </c>
      <c r="E2190" s="96" t="s">
        <v>589</v>
      </c>
    </row>
    <row r="2191" spans="2:5" ht="15" customHeight="1" thickBot="1" x14ac:dyDescent="0.35">
      <c r="B2191" s="96" t="s">
        <v>3630</v>
      </c>
      <c r="C2191" s="97">
        <v>513693</v>
      </c>
      <c r="D2191" s="96" t="s">
        <v>388</v>
      </c>
      <c r="E2191" s="96" t="s">
        <v>420</v>
      </c>
    </row>
    <row r="2192" spans="2:5" ht="15" customHeight="1" thickBot="1" x14ac:dyDescent="0.35">
      <c r="B2192" s="96" t="s">
        <v>3631</v>
      </c>
      <c r="C2192" s="97">
        <v>540812</v>
      </c>
      <c r="D2192" s="96" t="s">
        <v>388</v>
      </c>
      <c r="E2192" s="96" t="s">
        <v>858</v>
      </c>
    </row>
    <row r="2193" spans="2:5" ht="15" customHeight="1" thickBot="1" x14ac:dyDescent="0.35">
      <c r="B2193" s="96" t="s">
        <v>3632</v>
      </c>
      <c r="C2193" s="97">
        <v>507946</v>
      </c>
      <c r="D2193" s="96" t="s">
        <v>388</v>
      </c>
      <c r="E2193" s="96" t="s">
        <v>410</v>
      </c>
    </row>
    <row r="2194" spans="2:5" ht="15" customHeight="1" thickBot="1" x14ac:dyDescent="0.35">
      <c r="B2194" s="96" t="s">
        <v>3633</v>
      </c>
      <c r="C2194" s="97">
        <v>507946</v>
      </c>
      <c r="D2194" s="96" t="s">
        <v>388</v>
      </c>
      <c r="E2194" s="96" t="s">
        <v>410</v>
      </c>
    </row>
    <row r="2195" spans="2:5" ht="15" customHeight="1" thickBot="1" x14ac:dyDescent="0.35">
      <c r="B2195" s="96" t="s">
        <v>3634</v>
      </c>
      <c r="C2195" s="97">
        <v>535566</v>
      </c>
      <c r="D2195" s="96" t="s">
        <v>388</v>
      </c>
      <c r="E2195" s="96" t="s">
        <v>405</v>
      </c>
    </row>
    <row r="2196" spans="2:5" ht="15" customHeight="1" thickBot="1" x14ac:dyDescent="0.35">
      <c r="B2196" s="96" t="s">
        <v>3635</v>
      </c>
      <c r="C2196" s="97">
        <v>524699</v>
      </c>
      <c r="D2196" s="96" t="s">
        <v>388</v>
      </c>
      <c r="E2196" s="96" t="s">
        <v>436</v>
      </c>
    </row>
    <row r="2197" spans="2:5" ht="15" customHeight="1" thickBot="1" x14ac:dyDescent="0.35">
      <c r="B2197" s="96" t="s">
        <v>3636</v>
      </c>
      <c r="C2197" s="97">
        <v>522101</v>
      </c>
      <c r="D2197" s="96" t="s">
        <v>388</v>
      </c>
      <c r="E2197" s="96" t="s">
        <v>396</v>
      </c>
    </row>
    <row r="2198" spans="2:5" ht="15" customHeight="1" thickBot="1" x14ac:dyDescent="0.35">
      <c r="B2198" s="96" t="s">
        <v>3637</v>
      </c>
      <c r="C2198" s="97">
        <v>523218</v>
      </c>
      <c r="D2198" s="96" t="s">
        <v>3638</v>
      </c>
      <c r="E2198" s="96" t="s">
        <v>930</v>
      </c>
    </row>
    <row r="2199" spans="2:5" ht="15" customHeight="1" thickBot="1" x14ac:dyDescent="0.35">
      <c r="B2199" s="96" t="s">
        <v>3639</v>
      </c>
      <c r="C2199" s="97">
        <v>524500</v>
      </c>
      <c r="D2199" s="96" t="s">
        <v>3640</v>
      </c>
      <c r="E2199" s="96" t="s">
        <v>426</v>
      </c>
    </row>
    <row r="2200" spans="2:5" ht="15" customHeight="1" thickBot="1" x14ac:dyDescent="0.35">
      <c r="B2200" s="96" t="s">
        <v>3641</v>
      </c>
      <c r="C2200" s="97">
        <v>524500</v>
      </c>
      <c r="D2200" s="96" t="s">
        <v>3640</v>
      </c>
      <c r="E2200" s="96" t="s">
        <v>426</v>
      </c>
    </row>
    <row r="2201" spans="2:5" ht="15" customHeight="1" thickBot="1" x14ac:dyDescent="0.35">
      <c r="B2201" s="96" t="s">
        <v>3642</v>
      </c>
      <c r="C2201" s="97">
        <v>532067</v>
      </c>
      <c r="D2201" s="96" t="s">
        <v>388</v>
      </c>
      <c r="E2201" s="96" t="s">
        <v>532</v>
      </c>
    </row>
    <row r="2202" spans="2:5" ht="15" customHeight="1" thickBot="1" x14ac:dyDescent="0.35">
      <c r="B2202" s="96" t="s">
        <v>3643</v>
      </c>
      <c r="C2202" s="97">
        <v>532067</v>
      </c>
      <c r="D2202" s="96" t="s">
        <v>388</v>
      </c>
      <c r="E2202" s="96" t="s">
        <v>532</v>
      </c>
    </row>
    <row r="2203" spans="2:5" ht="15" customHeight="1" thickBot="1" x14ac:dyDescent="0.35">
      <c r="B2203" s="96" t="s">
        <v>3644</v>
      </c>
      <c r="C2203" s="97">
        <v>530313</v>
      </c>
      <c r="D2203" s="96" t="s">
        <v>3645</v>
      </c>
      <c r="E2203" s="96" t="s">
        <v>426</v>
      </c>
    </row>
    <row r="2204" spans="2:5" ht="15" customHeight="1" thickBot="1" x14ac:dyDescent="0.35">
      <c r="B2204" s="96" t="s">
        <v>3646</v>
      </c>
      <c r="C2204" s="97">
        <v>500240</v>
      </c>
      <c r="D2204" s="96" t="s">
        <v>388</v>
      </c>
      <c r="E2204" s="96" t="s">
        <v>1046</v>
      </c>
    </row>
    <row r="2205" spans="2:5" ht="15" customHeight="1" thickBot="1" x14ac:dyDescent="0.35">
      <c r="B2205" s="96" t="s">
        <v>3647</v>
      </c>
      <c r="C2205" s="97">
        <v>531274</v>
      </c>
      <c r="D2205" s="96" t="s">
        <v>388</v>
      </c>
      <c r="E2205" s="96" t="s">
        <v>405</v>
      </c>
    </row>
    <row r="2206" spans="2:5" ht="15" customHeight="1" thickBot="1" x14ac:dyDescent="0.35">
      <c r="B2206" s="96" t="s">
        <v>3648</v>
      </c>
      <c r="C2206" s="97">
        <v>524019</v>
      </c>
      <c r="D2206" s="96" t="s">
        <v>3649</v>
      </c>
      <c r="E2206" s="96" t="s">
        <v>508</v>
      </c>
    </row>
    <row r="2207" spans="2:5" ht="15" customHeight="1" thickBot="1" x14ac:dyDescent="0.35">
      <c r="B2207" s="96" t="s">
        <v>3650</v>
      </c>
      <c r="C2207" s="97">
        <v>524019</v>
      </c>
      <c r="D2207" s="96" t="s">
        <v>3649</v>
      </c>
      <c r="E2207" s="96" t="s">
        <v>508</v>
      </c>
    </row>
    <row r="2208" spans="2:5" ht="15" customHeight="1" thickBot="1" x14ac:dyDescent="0.35">
      <c r="B2208" s="96" t="s">
        <v>3651</v>
      </c>
      <c r="C2208" s="97">
        <v>530215</v>
      </c>
      <c r="D2208" s="96" t="s">
        <v>388</v>
      </c>
      <c r="E2208" s="96" t="s">
        <v>474</v>
      </c>
    </row>
    <row r="2209" spans="2:5" ht="15" customHeight="1" thickBot="1" x14ac:dyDescent="0.35">
      <c r="B2209" s="96" t="s">
        <v>3652</v>
      </c>
      <c r="C2209" s="97">
        <v>512329</v>
      </c>
      <c r="D2209" s="96" t="s">
        <v>388</v>
      </c>
      <c r="E2209" s="96" t="s">
        <v>809</v>
      </c>
    </row>
    <row r="2210" spans="2:5" ht="15" customHeight="1" thickBot="1" x14ac:dyDescent="0.35">
      <c r="B2210" s="96" t="s">
        <v>3653</v>
      </c>
      <c r="C2210" s="97">
        <v>540680</v>
      </c>
      <c r="D2210" s="96" t="s">
        <v>3654</v>
      </c>
      <c r="E2210" s="96" t="s">
        <v>420</v>
      </c>
    </row>
    <row r="2211" spans="2:5" ht="15" customHeight="1" thickBot="1" x14ac:dyDescent="0.35">
      <c r="B2211" s="96" t="s">
        <v>3655</v>
      </c>
      <c r="C2211" s="97">
        <v>531413</v>
      </c>
      <c r="D2211" s="96" t="s">
        <v>388</v>
      </c>
      <c r="E2211" s="96" t="s">
        <v>2380</v>
      </c>
    </row>
    <row r="2212" spans="2:5" ht="15" customHeight="1" thickBot="1" x14ac:dyDescent="0.35">
      <c r="B2212" s="96" t="s">
        <v>3656</v>
      </c>
      <c r="C2212" s="97">
        <v>537750</v>
      </c>
      <c r="D2212" s="96" t="s">
        <v>388</v>
      </c>
      <c r="E2212" s="96" t="s">
        <v>408</v>
      </c>
    </row>
    <row r="2213" spans="2:5" ht="15" customHeight="1" thickBot="1" x14ac:dyDescent="0.35">
      <c r="B2213" s="96" t="s">
        <v>3657</v>
      </c>
      <c r="C2213" s="97">
        <v>532967</v>
      </c>
      <c r="D2213" s="96" t="s">
        <v>3658</v>
      </c>
      <c r="E2213" s="96" t="s">
        <v>548</v>
      </c>
    </row>
    <row r="2214" spans="2:5" ht="15" customHeight="1" thickBot="1" x14ac:dyDescent="0.35">
      <c r="B2214" s="96" t="s">
        <v>3659</v>
      </c>
      <c r="C2214" s="97">
        <v>500241</v>
      </c>
      <c r="D2214" s="96" t="s">
        <v>3660</v>
      </c>
      <c r="E2214" s="96" t="s">
        <v>396</v>
      </c>
    </row>
    <row r="2215" spans="2:5" ht="15" customHeight="1" thickBot="1" x14ac:dyDescent="0.35">
      <c r="B2215" s="96" t="s">
        <v>3661</v>
      </c>
      <c r="C2215" s="97">
        <v>533193</v>
      </c>
      <c r="D2215" s="96" t="s">
        <v>3662</v>
      </c>
      <c r="E2215" s="96" t="s">
        <v>686</v>
      </c>
    </row>
    <row r="2216" spans="2:5" ht="15" customHeight="1" thickBot="1" x14ac:dyDescent="0.35">
      <c r="B2216" s="96" t="s">
        <v>3663</v>
      </c>
      <c r="C2216" s="97">
        <v>500245</v>
      </c>
      <c r="D2216" s="96" t="s">
        <v>388</v>
      </c>
      <c r="E2216" s="96" t="s">
        <v>420</v>
      </c>
    </row>
    <row r="2217" spans="2:5" ht="15" customHeight="1" thickBot="1" x14ac:dyDescent="0.35">
      <c r="B2217" s="96" t="s">
        <v>3664</v>
      </c>
      <c r="C2217" s="97">
        <v>500243</v>
      </c>
      <c r="D2217" s="96" t="s">
        <v>3665</v>
      </c>
      <c r="E2217" s="96" t="s">
        <v>396</v>
      </c>
    </row>
    <row r="2218" spans="2:5" ht="15" customHeight="1" thickBot="1" x14ac:dyDescent="0.35">
      <c r="B2218" s="96" t="s">
        <v>3666</v>
      </c>
      <c r="C2218" s="97">
        <v>533293</v>
      </c>
      <c r="D2218" s="96" t="s">
        <v>3667</v>
      </c>
      <c r="E2218" s="96" t="s">
        <v>743</v>
      </c>
    </row>
    <row r="2219" spans="2:5" ht="15" customHeight="1" thickBot="1" x14ac:dyDescent="0.35">
      <c r="B2219" s="96" t="s">
        <v>3668</v>
      </c>
      <c r="C2219" s="97">
        <v>505283</v>
      </c>
      <c r="D2219" s="96" t="s">
        <v>388</v>
      </c>
      <c r="E2219" s="96" t="s">
        <v>396</v>
      </c>
    </row>
    <row r="2220" spans="2:5" ht="15" customHeight="1" thickBot="1" x14ac:dyDescent="0.35">
      <c r="B2220" s="96" t="s">
        <v>3669</v>
      </c>
      <c r="C2220" s="97">
        <v>530145</v>
      </c>
      <c r="D2220" s="96" t="s">
        <v>388</v>
      </c>
      <c r="E2220" s="96" t="s">
        <v>508</v>
      </c>
    </row>
    <row r="2221" spans="2:5" ht="15" customHeight="1" thickBot="1" x14ac:dyDescent="0.35">
      <c r="B2221" s="96" t="s">
        <v>3670</v>
      </c>
      <c r="C2221" s="97">
        <v>521248</v>
      </c>
      <c r="D2221" s="96" t="s">
        <v>3671</v>
      </c>
      <c r="E2221" s="96" t="s">
        <v>502</v>
      </c>
    </row>
    <row r="2222" spans="2:5" ht="15" customHeight="1" thickBot="1" x14ac:dyDescent="0.35">
      <c r="B2222" s="96" t="s">
        <v>3672</v>
      </c>
      <c r="C2222" s="97">
        <v>532304</v>
      </c>
      <c r="D2222" s="96" t="s">
        <v>388</v>
      </c>
      <c r="E2222" s="96" t="s">
        <v>371</v>
      </c>
    </row>
    <row r="2223" spans="2:5" ht="15" customHeight="1" thickBot="1" x14ac:dyDescent="0.35">
      <c r="B2223" s="96" t="s">
        <v>3673</v>
      </c>
      <c r="C2223" s="97">
        <v>532304</v>
      </c>
      <c r="D2223" s="96" t="s">
        <v>388</v>
      </c>
      <c r="E2223" s="96" t="s">
        <v>371</v>
      </c>
    </row>
    <row r="2224" spans="2:5" ht="15" customHeight="1" thickBot="1" x14ac:dyDescent="0.35">
      <c r="B2224" s="96" t="s">
        <v>3674</v>
      </c>
      <c r="C2224" s="97">
        <v>530235</v>
      </c>
      <c r="D2224" s="96" t="s">
        <v>388</v>
      </c>
      <c r="E2224" s="96" t="s">
        <v>405</v>
      </c>
    </row>
    <row r="2225" spans="2:5" ht="15" customHeight="1" thickBot="1" x14ac:dyDescent="0.35">
      <c r="B2225" s="96" t="s">
        <v>3675</v>
      </c>
      <c r="C2225" s="97">
        <v>526409</v>
      </c>
      <c r="D2225" s="96" t="s">
        <v>388</v>
      </c>
      <c r="E2225" s="96" t="s">
        <v>508</v>
      </c>
    </row>
    <row r="2226" spans="2:5" ht="15" customHeight="1" thickBot="1" x14ac:dyDescent="0.35">
      <c r="B2226" s="96" t="s">
        <v>3676</v>
      </c>
      <c r="C2226" s="97">
        <v>526409</v>
      </c>
      <c r="D2226" s="96" t="s">
        <v>388</v>
      </c>
      <c r="E2226" s="96" t="s">
        <v>508</v>
      </c>
    </row>
    <row r="2227" spans="2:5" ht="15" customHeight="1" thickBot="1" x14ac:dyDescent="0.35">
      <c r="B2227" s="96" t="s">
        <v>3677</v>
      </c>
      <c r="C2227" s="97">
        <v>523652</v>
      </c>
      <c r="D2227" s="96" t="s">
        <v>388</v>
      </c>
      <c r="E2227" s="96" t="s">
        <v>508</v>
      </c>
    </row>
    <row r="2228" spans="2:5" ht="15" customHeight="1" thickBot="1" x14ac:dyDescent="0.35">
      <c r="B2228" s="96" t="s">
        <v>3678</v>
      </c>
      <c r="C2228" s="97">
        <v>521238</v>
      </c>
      <c r="D2228" s="96" t="s">
        <v>388</v>
      </c>
      <c r="E2228" s="96" t="s">
        <v>713</v>
      </c>
    </row>
    <row r="2229" spans="2:5" ht="15" customHeight="1" thickBot="1" x14ac:dyDescent="0.35">
      <c r="B2229" s="96" t="s">
        <v>3679</v>
      </c>
      <c r="C2229" s="96" t="s">
        <v>388</v>
      </c>
      <c r="D2229" s="96" t="s">
        <v>3680</v>
      </c>
      <c r="E2229" s="96" t="s">
        <v>399</v>
      </c>
    </row>
    <row r="2230" spans="2:5" ht="15" customHeight="1" thickBot="1" x14ac:dyDescent="0.35">
      <c r="B2230" s="96" t="s">
        <v>3681</v>
      </c>
      <c r="C2230" s="97">
        <v>530771</v>
      </c>
      <c r="D2230" s="96" t="s">
        <v>388</v>
      </c>
      <c r="E2230" s="96" t="s">
        <v>405</v>
      </c>
    </row>
    <row r="2231" spans="2:5" ht="15" customHeight="1" thickBot="1" x14ac:dyDescent="0.35">
      <c r="B2231" s="96" t="s">
        <v>3682</v>
      </c>
      <c r="C2231" s="97">
        <v>514221</v>
      </c>
      <c r="D2231" s="96" t="s">
        <v>388</v>
      </c>
      <c r="E2231" s="96" t="s">
        <v>403</v>
      </c>
    </row>
    <row r="2232" spans="2:5" ht="15" customHeight="1" thickBot="1" x14ac:dyDescent="0.35">
      <c r="B2232" s="96" t="s">
        <v>3683</v>
      </c>
      <c r="C2232" s="97">
        <v>517170</v>
      </c>
      <c r="D2232" s="96" t="s">
        <v>3684</v>
      </c>
      <c r="E2232" s="96" t="s">
        <v>686</v>
      </c>
    </row>
    <row r="2233" spans="2:5" ht="15" customHeight="1" thickBot="1" x14ac:dyDescent="0.35">
      <c r="B2233" s="96" t="s">
        <v>3685</v>
      </c>
      <c r="C2233" s="97">
        <v>524520</v>
      </c>
      <c r="D2233" s="96" t="s">
        <v>388</v>
      </c>
      <c r="E2233" s="96" t="s">
        <v>577</v>
      </c>
    </row>
    <row r="2234" spans="2:5" ht="15" customHeight="1" thickBot="1" x14ac:dyDescent="0.35">
      <c r="B2234" s="96" t="s">
        <v>3686</v>
      </c>
      <c r="C2234" s="97">
        <v>524520</v>
      </c>
      <c r="D2234" s="96" t="s">
        <v>388</v>
      </c>
      <c r="E2234" s="96" t="s">
        <v>577</v>
      </c>
    </row>
    <row r="2235" spans="2:5" ht="15" customHeight="1" thickBot="1" x14ac:dyDescent="0.35">
      <c r="B2235" s="96" t="s">
        <v>3687</v>
      </c>
      <c r="C2235" s="97">
        <v>531578</v>
      </c>
      <c r="D2235" s="96" t="s">
        <v>388</v>
      </c>
      <c r="E2235" s="96" t="s">
        <v>474</v>
      </c>
    </row>
    <row r="2236" spans="2:5" ht="15" customHeight="1" thickBot="1" x14ac:dyDescent="0.35">
      <c r="B2236" s="96" t="s">
        <v>3688</v>
      </c>
      <c r="C2236" s="97">
        <v>519415</v>
      </c>
      <c r="D2236" s="96" t="s">
        <v>388</v>
      </c>
      <c r="E2236" s="96" t="s">
        <v>448</v>
      </c>
    </row>
    <row r="2237" spans="2:5" ht="15" customHeight="1" thickBot="1" x14ac:dyDescent="0.35">
      <c r="B2237" s="96" t="s">
        <v>3689</v>
      </c>
      <c r="C2237" s="97">
        <v>540468</v>
      </c>
      <c r="D2237" s="96" t="s">
        <v>388</v>
      </c>
      <c r="E2237" s="96" t="s">
        <v>1352</v>
      </c>
    </row>
    <row r="2238" spans="2:5" ht="15" customHeight="1" thickBot="1" x14ac:dyDescent="0.35">
      <c r="B2238" s="96" t="s">
        <v>3690</v>
      </c>
      <c r="C2238" s="97">
        <v>532942</v>
      </c>
      <c r="D2238" s="96" t="s">
        <v>3691</v>
      </c>
      <c r="E2238" s="96" t="s">
        <v>786</v>
      </c>
    </row>
    <row r="2239" spans="2:5" ht="15" customHeight="1" thickBot="1" x14ac:dyDescent="0.35">
      <c r="B2239" s="96" t="s">
        <v>3692</v>
      </c>
      <c r="C2239" s="97">
        <v>512559</v>
      </c>
      <c r="D2239" s="96" t="s">
        <v>3693</v>
      </c>
      <c r="E2239" s="96" t="s">
        <v>586</v>
      </c>
    </row>
    <row r="2240" spans="2:5" ht="15" customHeight="1" thickBot="1" x14ac:dyDescent="0.35">
      <c r="B2240" s="96" t="s">
        <v>3694</v>
      </c>
      <c r="C2240" s="97">
        <v>523207</v>
      </c>
      <c r="D2240" s="96" t="s">
        <v>3695</v>
      </c>
      <c r="E2240" s="96" t="s">
        <v>934</v>
      </c>
    </row>
    <row r="2241" spans="2:5" ht="15" customHeight="1" thickBot="1" x14ac:dyDescent="0.35">
      <c r="B2241" s="96" t="s">
        <v>3696</v>
      </c>
      <c r="C2241" s="97">
        <v>532924</v>
      </c>
      <c r="D2241" s="96" t="s">
        <v>3697</v>
      </c>
      <c r="E2241" s="96" t="s">
        <v>474</v>
      </c>
    </row>
    <row r="2242" spans="2:5" ht="15" customHeight="1" thickBot="1" x14ac:dyDescent="0.35">
      <c r="B2242" s="96" t="s">
        <v>3698</v>
      </c>
      <c r="C2242" s="97">
        <v>539910</v>
      </c>
      <c r="D2242" s="96" t="s">
        <v>388</v>
      </c>
      <c r="E2242" s="96" t="s">
        <v>391</v>
      </c>
    </row>
    <row r="2243" spans="2:5" ht="15" customHeight="1" thickBot="1" x14ac:dyDescent="0.35">
      <c r="B2243" s="96" t="s">
        <v>3699</v>
      </c>
      <c r="C2243" s="97">
        <v>514128</v>
      </c>
      <c r="D2243" s="96" t="s">
        <v>388</v>
      </c>
      <c r="E2243" s="96" t="s">
        <v>403</v>
      </c>
    </row>
    <row r="2244" spans="2:5" ht="15" customHeight="1" thickBot="1" x14ac:dyDescent="0.35">
      <c r="B2244" s="96" t="s">
        <v>3700</v>
      </c>
      <c r="C2244" s="97">
        <v>524280</v>
      </c>
      <c r="D2244" s="96" t="s">
        <v>3701</v>
      </c>
      <c r="E2244" s="96" t="s">
        <v>426</v>
      </c>
    </row>
    <row r="2245" spans="2:5" ht="15" customHeight="1" thickBot="1" x14ac:dyDescent="0.35">
      <c r="B2245" s="96" t="s">
        <v>3702</v>
      </c>
      <c r="C2245" s="97">
        <v>500247</v>
      </c>
      <c r="D2245" s="96" t="s">
        <v>3703</v>
      </c>
      <c r="E2245" s="96" t="s">
        <v>706</v>
      </c>
    </row>
    <row r="2246" spans="2:5" ht="15" customHeight="1" thickBot="1" x14ac:dyDescent="0.35">
      <c r="B2246" s="96" t="s">
        <v>3704</v>
      </c>
      <c r="C2246" s="97">
        <v>590097</v>
      </c>
      <c r="D2246" s="96" t="s">
        <v>3705</v>
      </c>
      <c r="E2246" s="96" t="s">
        <v>371</v>
      </c>
    </row>
    <row r="2247" spans="2:5" ht="15" customHeight="1" thickBot="1" x14ac:dyDescent="0.35">
      <c r="B2247" s="96" t="s">
        <v>3706</v>
      </c>
      <c r="C2247" s="97">
        <v>590107</v>
      </c>
      <c r="D2247" s="96" t="s">
        <v>3707</v>
      </c>
      <c r="E2247" s="96" t="s">
        <v>371</v>
      </c>
    </row>
    <row r="2248" spans="2:5" ht="15" customHeight="1" thickBot="1" x14ac:dyDescent="0.35">
      <c r="B2248" s="96" t="s">
        <v>3708</v>
      </c>
      <c r="C2248" s="97">
        <v>532985</v>
      </c>
      <c r="D2248" s="96" t="s">
        <v>3709</v>
      </c>
      <c r="E2248" s="96" t="s">
        <v>371</v>
      </c>
    </row>
    <row r="2249" spans="2:5" ht="15" customHeight="1" thickBot="1" x14ac:dyDescent="0.35">
      <c r="B2249" s="96" t="s">
        <v>3710</v>
      </c>
      <c r="C2249" s="97">
        <v>507474</v>
      </c>
      <c r="D2249" s="96" t="s">
        <v>388</v>
      </c>
      <c r="E2249" s="96" t="s">
        <v>468</v>
      </c>
    </row>
    <row r="2250" spans="2:5" ht="15" customHeight="1" thickBot="1" x14ac:dyDescent="0.35">
      <c r="B2250" s="96" t="s">
        <v>3711</v>
      </c>
      <c r="C2250" s="96" t="s">
        <v>388</v>
      </c>
      <c r="D2250" s="96" t="s">
        <v>3712</v>
      </c>
      <c r="E2250" s="96" t="s">
        <v>479</v>
      </c>
    </row>
    <row r="2251" spans="2:5" ht="15" customHeight="1" thickBot="1" x14ac:dyDescent="0.35">
      <c r="B2251" s="96" t="s">
        <v>3713</v>
      </c>
      <c r="C2251" s="97">
        <v>530299</v>
      </c>
      <c r="D2251" s="96" t="s">
        <v>3714</v>
      </c>
      <c r="E2251" s="96" t="s">
        <v>410</v>
      </c>
    </row>
    <row r="2252" spans="2:5" ht="15" customHeight="1" thickBot="1" x14ac:dyDescent="0.35">
      <c r="B2252" s="96" t="s">
        <v>3715</v>
      </c>
      <c r="C2252" s="96" t="s">
        <v>388</v>
      </c>
      <c r="D2252" s="96" t="s">
        <v>3716</v>
      </c>
      <c r="E2252" s="96" t="s">
        <v>479</v>
      </c>
    </row>
    <row r="2253" spans="2:5" ht="15" customHeight="1" thickBot="1" x14ac:dyDescent="0.35">
      <c r="B2253" s="96" t="s">
        <v>3717</v>
      </c>
      <c r="C2253" s="97">
        <v>511138</v>
      </c>
      <c r="D2253" s="96" t="s">
        <v>388</v>
      </c>
      <c r="E2253" s="96" t="s">
        <v>405</v>
      </c>
    </row>
    <row r="2254" spans="2:5" ht="15" customHeight="1" thickBot="1" x14ac:dyDescent="0.35">
      <c r="B2254" s="96" t="s">
        <v>3718</v>
      </c>
      <c r="C2254" s="97">
        <v>539599</v>
      </c>
      <c r="D2254" s="96" t="s">
        <v>388</v>
      </c>
      <c r="E2254" s="96" t="s">
        <v>422</v>
      </c>
    </row>
    <row r="2255" spans="2:5" ht="15" customHeight="1" thickBot="1" x14ac:dyDescent="0.35">
      <c r="B2255" s="96" t="s">
        <v>3719</v>
      </c>
      <c r="C2255" s="97">
        <v>523323</v>
      </c>
      <c r="D2255" s="96" t="s">
        <v>388</v>
      </c>
      <c r="E2255" s="96" t="s">
        <v>577</v>
      </c>
    </row>
    <row r="2256" spans="2:5" ht="15" customHeight="1" thickBot="1" x14ac:dyDescent="0.35">
      <c r="B2256" s="96" t="s">
        <v>3720</v>
      </c>
      <c r="C2256" s="97">
        <v>505585</v>
      </c>
      <c r="D2256" s="96" t="s">
        <v>388</v>
      </c>
      <c r="E2256" s="96" t="s">
        <v>809</v>
      </c>
    </row>
    <row r="2257" spans="2:5" ht="15" customHeight="1" thickBot="1" x14ac:dyDescent="0.35">
      <c r="B2257" s="96" t="s">
        <v>3721</v>
      </c>
      <c r="C2257" s="97">
        <v>507598</v>
      </c>
      <c r="D2257" s="96" t="s">
        <v>388</v>
      </c>
      <c r="E2257" s="96" t="s">
        <v>468</v>
      </c>
    </row>
    <row r="2258" spans="2:5" ht="15" customHeight="1" thickBot="1" x14ac:dyDescent="0.35">
      <c r="B2258" s="96" t="s">
        <v>3722</v>
      </c>
      <c r="C2258" s="97">
        <v>532400</v>
      </c>
      <c r="D2258" s="96" t="s">
        <v>3723</v>
      </c>
      <c r="E2258" s="96" t="s">
        <v>374</v>
      </c>
    </row>
    <row r="2259" spans="2:5" ht="15" customHeight="1" thickBot="1" x14ac:dyDescent="0.35">
      <c r="B2259" s="96" t="s">
        <v>3724</v>
      </c>
      <c r="C2259" s="97">
        <v>542651</v>
      </c>
      <c r="D2259" s="96" t="s">
        <v>3725</v>
      </c>
      <c r="E2259" s="96" t="s">
        <v>3726</v>
      </c>
    </row>
    <row r="2260" spans="2:5" ht="15" customHeight="1" thickBot="1" x14ac:dyDescent="0.35">
      <c r="B2260" s="96" t="s">
        <v>3727</v>
      </c>
      <c r="C2260" s="97">
        <v>542459</v>
      </c>
      <c r="D2260" s="96" t="s">
        <v>3728</v>
      </c>
      <c r="E2260" s="96" t="s">
        <v>3726</v>
      </c>
    </row>
    <row r="2261" spans="2:5" ht="15" customHeight="1" thickBot="1" x14ac:dyDescent="0.35">
      <c r="B2261" s="96" t="s">
        <v>3729</v>
      </c>
      <c r="C2261" s="97">
        <v>501261</v>
      </c>
      <c r="D2261" s="96" t="s">
        <v>388</v>
      </c>
      <c r="E2261" s="96" t="s">
        <v>371</v>
      </c>
    </row>
    <row r="2262" spans="2:5" ht="15" customHeight="1" thickBot="1" x14ac:dyDescent="0.35">
      <c r="B2262" s="96" t="s">
        <v>3730</v>
      </c>
      <c r="C2262" s="97">
        <v>530813</v>
      </c>
      <c r="D2262" s="96" t="s">
        <v>3731</v>
      </c>
      <c r="E2262" s="96" t="s">
        <v>448</v>
      </c>
    </row>
    <row r="2263" spans="2:5" ht="15" customHeight="1" thickBot="1" x14ac:dyDescent="0.35">
      <c r="B2263" s="96" t="s">
        <v>3732</v>
      </c>
      <c r="C2263" s="97">
        <v>524518</v>
      </c>
      <c r="D2263" s="96" t="s">
        <v>3733</v>
      </c>
      <c r="E2263" s="96" t="s">
        <v>426</v>
      </c>
    </row>
    <row r="2264" spans="2:5" ht="15" customHeight="1" thickBot="1" x14ac:dyDescent="0.35">
      <c r="B2264" s="96" t="s">
        <v>3734</v>
      </c>
      <c r="C2264" s="97">
        <v>530139</v>
      </c>
      <c r="D2264" s="96" t="s">
        <v>388</v>
      </c>
      <c r="E2264" s="96" t="s">
        <v>405</v>
      </c>
    </row>
    <row r="2265" spans="2:5" ht="15" customHeight="1" thickBot="1" x14ac:dyDescent="0.35">
      <c r="B2265" s="96" t="s">
        <v>3735</v>
      </c>
      <c r="C2265" s="97">
        <v>531328</v>
      </c>
      <c r="D2265" s="96" t="s">
        <v>388</v>
      </c>
      <c r="E2265" s="96" t="s">
        <v>1352</v>
      </c>
    </row>
    <row r="2266" spans="2:5" ht="15" customHeight="1" thickBot="1" x14ac:dyDescent="0.35">
      <c r="B2266" s="96" t="s">
        <v>3736</v>
      </c>
      <c r="C2266" s="97">
        <v>533482</v>
      </c>
      <c r="D2266" s="96" t="s">
        <v>3737</v>
      </c>
      <c r="E2266" s="96" t="s">
        <v>786</v>
      </c>
    </row>
    <row r="2267" spans="2:5" ht="15" customHeight="1" thickBot="1" x14ac:dyDescent="0.35">
      <c r="B2267" s="96" t="s">
        <v>3738</v>
      </c>
      <c r="C2267" s="96" t="s">
        <v>388</v>
      </c>
      <c r="D2267" s="96" t="s">
        <v>3739</v>
      </c>
      <c r="E2267" s="96" t="s">
        <v>399</v>
      </c>
    </row>
    <row r="2268" spans="2:5" ht="15" customHeight="1" thickBot="1" x14ac:dyDescent="0.35">
      <c r="B2268" s="96" t="s">
        <v>3740</v>
      </c>
      <c r="C2268" s="97">
        <v>539384</v>
      </c>
      <c r="D2268" s="96" t="s">
        <v>388</v>
      </c>
      <c r="E2268" s="96" t="s">
        <v>405</v>
      </c>
    </row>
    <row r="2269" spans="2:5" ht="15" customHeight="1" thickBot="1" x14ac:dyDescent="0.35">
      <c r="B2269" s="96" t="s">
        <v>3741</v>
      </c>
      <c r="C2269" s="97">
        <v>504392</v>
      </c>
      <c r="D2269" s="96" t="s">
        <v>388</v>
      </c>
      <c r="E2269" s="96" t="s">
        <v>371</v>
      </c>
    </row>
    <row r="2270" spans="2:5" ht="15" customHeight="1" thickBot="1" x14ac:dyDescent="0.35">
      <c r="B2270" s="96" t="s">
        <v>3742</v>
      </c>
      <c r="C2270" s="97">
        <v>526423</v>
      </c>
      <c r="D2270" s="96" t="s">
        <v>388</v>
      </c>
      <c r="E2270" s="96" t="s">
        <v>508</v>
      </c>
    </row>
    <row r="2271" spans="2:5" ht="15" customHeight="1" thickBot="1" x14ac:dyDescent="0.35">
      <c r="B2271" s="96" t="s">
        <v>3743</v>
      </c>
      <c r="C2271" s="97">
        <v>526423</v>
      </c>
      <c r="D2271" s="96" t="s">
        <v>388</v>
      </c>
      <c r="E2271" s="96" t="s">
        <v>508</v>
      </c>
    </row>
    <row r="2272" spans="2:5" ht="15" customHeight="1" thickBot="1" x14ac:dyDescent="0.35">
      <c r="B2272" s="96" t="s">
        <v>3744</v>
      </c>
      <c r="C2272" s="97">
        <v>533210</v>
      </c>
      <c r="D2272" s="96" t="s">
        <v>388</v>
      </c>
      <c r="E2272" s="96" t="s">
        <v>637</v>
      </c>
    </row>
    <row r="2273" spans="2:5" ht="15" customHeight="1" thickBot="1" x14ac:dyDescent="0.35">
      <c r="B2273" s="96" t="s">
        <v>3745</v>
      </c>
      <c r="C2273" s="96" t="s">
        <v>388</v>
      </c>
      <c r="D2273" s="96" t="s">
        <v>3746</v>
      </c>
      <c r="E2273" s="96" t="s">
        <v>399</v>
      </c>
    </row>
    <row r="2274" spans="2:5" ht="15" customHeight="1" thickBot="1" x14ac:dyDescent="0.35">
      <c r="B2274" s="96" t="s">
        <v>3747</v>
      </c>
      <c r="C2274" s="97">
        <v>523550</v>
      </c>
      <c r="D2274" s="96" t="s">
        <v>388</v>
      </c>
      <c r="E2274" s="96" t="s">
        <v>377</v>
      </c>
    </row>
    <row r="2275" spans="2:5" ht="15" customHeight="1" thickBot="1" x14ac:dyDescent="0.35">
      <c r="B2275" s="96" t="s">
        <v>3748</v>
      </c>
      <c r="C2275" s="97">
        <v>500249</v>
      </c>
      <c r="D2275" s="96" t="s">
        <v>3749</v>
      </c>
      <c r="E2275" s="96" t="s">
        <v>396</v>
      </c>
    </row>
    <row r="2276" spans="2:5" ht="15" customHeight="1" thickBot="1" x14ac:dyDescent="0.35">
      <c r="B2276" s="96" t="s">
        <v>3750</v>
      </c>
      <c r="C2276" s="97">
        <v>519421</v>
      </c>
      <c r="D2276" s="96" t="s">
        <v>388</v>
      </c>
      <c r="E2276" s="96" t="s">
        <v>448</v>
      </c>
    </row>
    <row r="2277" spans="2:5" ht="15" customHeight="1" thickBot="1" x14ac:dyDescent="0.35">
      <c r="B2277" s="96" t="s">
        <v>3751</v>
      </c>
      <c r="C2277" s="96" t="s">
        <v>388</v>
      </c>
      <c r="D2277" s="96" t="s">
        <v>3752</v>
      </c>
      <c r="E2277" s="96" t="s">
        <v>399</v>
      </c>
    </row>
    <row r="2278" spans="2:5" ht="15" customHeight="1" thickBot="1" x14ac:dyDescent="0.35">
      <c r="B2278" s="96" t="s">
        <v>3753</v>
      </c>
      <c r="C2278" s="97">
        <v>503626</v>
      </c>
      <c r="D2278" s="96" t="s">
        <v>388</v>
      </c>
      <c r="E2278" s="96" t="s">
        <v>371</v>
      </c>
    </row>
    <row r="2279" spans="2:5" ht="15" customHeight="1" thickBot="1" x14ac:dyDescent="0.35">
      <c r="B2279" s="96" t="s">
        <v>3754</v>
      </c>
      <c r="C2279" s="97">
        <v>532997</v>
      </c>
      <c r="D2279" s="96" t="s">
        <v>3755</v>
      </c>
      <c r="E2279" s="96" t="s">
        <v>527</v>
      </c>
    </row>
    <row r="2280" spans="2:5" ht="15" customHeight="1" thickBot="1" x14ac:dyDescent="0.35">
      <c r="B2280" s="96" t="s">
        <v>3756</v>
      </c>
      <c r="C2280" s="97">
        <v>530149</v>
      </c>
      <c r="D2280" s="96" t="s">
        <v>388</v>
      </c>
      <c r="E2280" s="96" t="s">
        <v>403</v>
      </c>
    </row>
    <row r="2281" spans="2:5" ht="15" customHeight="1" thickBot="1" x14ac:dyDescent="0.35">
      <c r="B2281" s="96" t="s">
        <v>3757</v>
      </c>
      <c r="C2281" s="97">
        <v>532081</v>
      </c>
      <c r="D2281" s="96" t="s">
        <v>3758</v>
      </c>
      <c r="E2281" s="96" t="s">
        <v>391</v>
      </c>
    </row>
    <row r="2282" spans="2:5" ht="15" customHeight="1" thickBot="1" x14ac:dyDescent="0.35">
      <c r="B2282" s="96" t="s">
        <v>3759</v>
      </c>
      <c r="C2282" s="97">
        <v>532937</v>
      </c>
      <c r="D2282" s="96" t="s">
        <v>388</v>
      </c>
      <c r="E2282" s="96" t="s">
        <v>382</v>
      </c>
    </row>
    <row r="2283" spans="2:5" ht="15" customHeight="1" thickBot="1" x14ac:dyDescent="0.35">
      <c r="B2283" s="96" t="s">
        <v>3760</v>
      </c>
      <c r="C2283" s="97">
        <v>539408</v>
      </c>
      <c r="D2283" s="96" t="s">
        <v>388</v>
      </c>
      <c r="E2283" s="96" t="s">
        <v>405</v>
      </c>
    </row>
    <row r="2284" spans="2:5" ht="15" customHeight="1" thickBot="1" x14ac:dyDescent="0.35">
      <c r="B2284" s="96" t="s">
        <v>3761</v>
      </c>
      <c r="C2284" s="97">
        <v>505299</v>
      </c>
      <c r="D2284" s="96" t="s">
        <v>388</v>
      </c>
      <c r="E2284" s="96" t="s">
        <v>396</v>
      </c>
    </row>
    <row r="2285" spans="2:5" ht="15" customHeight="1" thickBot="1" x14ac:dyDescent="0.35">
      <c r="B2285" s="96" t="s">
        <v>3762</v>
      </c>
      <c r="C2285" s="97">
        <v>513703</v>
      </c>
      <c r="D2285" s="96" t="s">
        <v>388</v>
      </c>
      <c r="E2285" s="96" t="s">
        <v>403</v>
      </c>
    </row>
    <row r="2286" spans="2:5" ht="15" customHeight="1" thickBot="1" x14ac:dyDescent="0.35">
      <c r="B2286" s="96" t="s">
        <v>3763</v>
      </c>
      <c r="C2286" s="97">
        <v>523594</v>
      </c>
      <c r="D2286" s="96" t="s">
        <v>388</v>
      </c>
      <c r="E2286" s="96" t="s">
        <v>508</v>
      </c>
    </row>
    <row r="2287" spans="2:5" ht="15" customHeight="1" thickBot="1" x14ac:dyDescent="0.35">
      <c r="B2287" s="96" t="s">
        <v>3764</v>
      </c>
      <c r="C2287" s="97">
        <v>511048</v>
      </c>
      <c r="D2287" s="96" t="s">
        <v>388</v>
      </c>
      <c r="E2287" s="96" t="s">
        <v>410</v>
      </c>
    </row>
    <row r="2288" spans="2:5" ht="15" customHeight="1" thickBot="1" x14ac:dyDescent="0.35">
      <c r="B2288" s="96" t="s">
        <v>3765</v>
      </c>
      <c r="C2288" s="97">
        <v>514240</v>
      </c>
      <c r="D2288" s="96" t="s">
        <v>388</v>
      </c>
      <c r="E2288" s="96" t="s">
        <v>403</v>
      </c>
    </row>
    <row r="2289" spans="2:5" ht="15" customHeight="1" thickBot="1" x14ac:dyDescent="0.35">
      <c r="B2289" s="96" t="s">
        <v>3766</v>
      </c>
      <c r="C2289" s="97">
        <v>536170</v>
      </c>
      <c r="D2289" s="96" t="s">
        <v>388</v>
      </c>
      <c r="E2289" s="96" t="s">
        <v>410</v>
      </c>
    </row>
    <row r="2290" spans="2:5" ht="15" customHeight="1" thickBot="1" x14ac:dyDescent="0.35">
      <c r="B2290" s="96" t="s">
        <v>3767</v>
      </c>
      <c r="C2290" s="97">
        <v>530421</v>
      </c>
      <c r="D2290" s="96" t="s">
        <v>388</v>
      </c>
      <c r="E2290" s="96" t="s">
        <v>436</v>
      </c>
    </row>
    <row r="2291" spans="2:5" ht="15" customHeight="1" thickBot="1" x14ac:dyDescent="0.35">
      <c r="B2291" s="96" t="s">
        <v>3768</v>
      </c>
      <c r="C2291" s="97">
        <v>531206</v>
      </c>
      <c r="D2291" s="96" t="s">
        <v>388</v>
      </c>
      <c r="E2291" s="96" t="s">
        <v>405</v>
      </c>
    </row>
    <row r="2292" spans="2:5" ht="15" customHeight="1" thickBot="1" x14ac:dyDescent="0.35">
      <c r="B2292" s="96" t="s">
        <v>3769</v>
      </c>
      <c r="C2292" s="97">
        <v>531882</v>
      </c>
      <c r="D2292" s="96" t="s">
        <v>3770</v>
      </c>
      <c r="E2292" s="96" t="s">
        <v>448</v>
      </c>
    </row>
    <row r="2293" spans="2:5" ht="15" customHeight="1" thickBot="1" x14ac:dyDescent="0.35">
      <c r="B2293" s="96" t="s">
        <v>3771</v>
      </c>
      <c r="C2293" s="97">
        <v>539997</v>
      </c>
      <c r="D2293" s="96" t="s">
        <v>388</v>
      </c>
      <c r="E2293" s="96" t="s">
        <v>426</v>
      </c>
    </row>
    <row r="2294" spans="2:5" ht="15" customHeight="1" thickBot="1" x14ac:dyDescent="0.35">
      <c r="B2294" s="96" t="s">
        <v>3772</v>
      </c>
      <c r="C2294" s="97">
        <v>537669</v>
      </c>
      <c r="D2294" s="96" t="s">
        <v>388</v>
      </c>
      <c r="E2294" s="96" t="s">
        <v>466</v>
      </c>
    </row>
    <row r="2295" spans="2:5" ht="15" customHeight="1" thickBot="1" x14ac:dyDescent="0.35">
      <c r="B2295" s="96" t="s">
        <v>3773</v>
      </c>
      <c r="C2295" s="97">
        <v>533519</v>
      </c>
      <c r="D2295" s="96" t="s">
        <v>3774</v>
      </c>
      <c r="E2295" s="96" t="s">
        <v>554</v>
      </c>
    </row>
    <row r="2296" spans="2:5" ht="15" customHeight="1" thickBot="1" x14ac:dyDescent="0.35">
      <c r="B2296" s="96" t="s">
        <v>3775</v>
      </c>
      <c r="C2296" s="97">
        <v>540115</v>
      </c>
      <c r="D2296" s="96" t="s">
        <v>3776</v>
      </c>
      <c r="E2296" s="96" t="s">
        <v>394</v>
      </c>
    </row>
    <row r="2297" spans="2:5" ht="15" customHeight="1" thickBot="1" x14ac:dyDescent="0.35">
      <c r="B2297" s="96" t="s">
        <v>3777</v>
      </c>
      <c r="C2297" s="97">
        <v>526947</v>
      </c>
      <c r="D2297" s="96" t="s">
        <v>3778</v>
      </c>
      <c r="E2297" s="96" t="s">
        <v>1433</v>
      </c>
    </row>
    <row r="2298" spans="2:5" ht="15" customHeight="1" thickBot="1" x14ac:dyDescent="0.35">
      <c r="B2298" s="96" t="s">
        <v>3779</v>
      </c>
      <c r="C2298" s="97">
        <v>505693</v>
      </c>
      <c r="D2298" s="96" t="s">
        <v>3780</v>
      </c>
      <c r="E2298" s="96" t="s">
        <v>573</v>
      </c>
    </row>
    <row r="2299" spans="2:5" ht="15" customHeight="1" thickBot="1" x14ac:dyDescent="0.35">
      <c r="B2299" s="96" t="s">
        <v>3781</v>
      </c>
      <c r="C2299" s="97">
        <v>524202</v>
      </c>
      <c r="D2299" s="96" t="s">
        <v>388</v>
      </c>
      <c r="E2299" s="96" t="s">
        <v>468</v>
      </c>
    </row>
    <row r="2300" spans="2:5" ht="15" customHeight="1" thickBot="1" x14ac:dyDescent="0.35">
      <c r="B2300" s="96" t="s">
        <v>3782</v>
      </c>
      <c r="C2300" s="97">
        <v>524202</v>
      </c>
      <c r="D2300" s="96" t="s">
        <v>388</v>
      </c>
      <c r="E2300" s="96" t="s">
        <v>468</v>
      </c>
    </row>
    <row r="2301" spans="2:5" ht="15" customHeight="1" thickBot="1" x14ac:dyDescent="0.35">
      <c r="B2301" s="96" t="s">
        <v>3783</v>
      </c>
      <c r="C2301" s="97">
        <v>540026</v>
      </c>
      <c r="D2301" s="96" t="s">
        <v>388</v>
      </c>
      <c r="E2301" s="96" t="s">
        <v>474</v>
      </c>
    </row>
    <row r="2302" spans="2:5" ht="15" customHeight="1" thickBot="1" x14ac:dyDescent="0.35">
      <c r="B2302" s="96" t="s">
        <v>3784</v>
      </c>
      <c r="C2302" s="97">
        <v>530577</v>
      </c>
      <c r="D2302" s="96" t="s">
        <v>388</v>
      </c>
      <c r="E2302" s="96" t="s">
        <v>405</v>
      </c>
    </row>
    <row r="2303" spans="2:5" ht="15" customHeight="1" thickBot="1" x14ac:dyDescent="0.35">
      <c r="B2303" s="96" t="s">
        <v>3785</v>
      </c>
      <c r="C2303" s="97">
        <v>524522</v>
      </c>
      <c r="D2303" s="96" t="s">
        <v>388</v>
      </c>
      <c r="E2303" s="96" t="s">
        <v>436</v>
      </c>
    </row>
    <row r="2304" spans="2:5" ht="15" customHeight="1" thickBot="1" x14ac:dyDescent="0.35">
      <c r="B2304" s="96" t="s">
        <v>3786</v>
      </c>
      <c r="C2304" s="96" t="s">
        <v>388</v>
      </c>
      <c r="D2304" s="96" t="s">
        <v>3787</v>
      </c>
      <c r="E2304" s="96" t="s">
        <v>399</v>
      </c>
    </row>
    <row r="2305" spans="2:5" ht="15" customHeight="1" thickBot="1" x14ac:dyDescent="0.35">
      <c r="B2305" s="96" t="s">
        <v>3788</v>
      </c>
      <c r="C2305" s="97">
        <v>531842</v>
      </c>
      <c r="D2305" s="96" t="s">
        <v>388</v>
      </c>
      <c r="E2305" s="96" t="s">
        <v>410</v>
      </c>
    </row>
    <row r="2306" spans="2:5" ht="15" customHeight="1" thickBot="1" x14ac:dyDescent="0.35">
      <c r="B2306" s="96" t="s">
        <v>3789</v>
      </c>
      <c r="C2306" s="97">
        <v>535387</v>
      </c>
      <c r="D2306" s="96" t="s">
        <v>388</v>
      </c>
      <c r="E2306" s="96" t="s">
        <v>403</v>
      </c>
    </row>
    <row r="2307" spans="2:5" ht="15" customHeight="1" thickBot="1" x14ac:dyDescent="0.35">
      <c r="B2307" s="96" t="s">
        <v>3790</v>
      </c>
      <c r="C2307" s="97">
        <v>535387</v>
      </c>
      <c r="D2307" s="96" t="s">
        <v>388</v>
      </c>
      <c r="E2307" s="96" t="s">
        <v>403</v>
      </c>
    </row>
    <row r="2308" spans="2:5" ht="15" customHeight="1" thickBot="1" x14ac:dyDescent="0.35">
      <c r="B2308" s="96" t="s">
        <v>3791</v>
      </c>
      <c r="C2308" s="97">
        <v>505302</v>
      </c>
      <c r="D2308" s="96" t="s">
        <v>388</v>
      </c>
      <c r="E2308" s="96" t="s">
        <v>396</v>
      </c>
    </row>
    <row r="2309" spans="2:5" ht="15" customHeight="1" thickBot="1" x14ac:dyDescent="0.35">
      <c r="B2309" s="96" t="s">
        <v>3792</v>
      </c>
      <c r="C2309" s="97">
        <v>504258</v>
      </c>
      <c r="D2309" s="96" t="s">
        <v>388</v>
      </c>
      <c r="E2309" s="96" t="s">
        <v>686</v>
      </c>
    </row>
    <row r="2310" spans="2:5" ht="15" customHeight="1" thickBot="1" x14ac:dyDescent="0.35">
      <c r="B2310" s="96" t="s">
        <v>3793</v>
      </c>
      <c r="C2310" s="96" t="s">
        <v>388</v>
      </c>
      <c r="D2310" s="96" t="s">
        <v>3794</v>
      </c>
      <c r="E2310" s="96" t="s">
        <v>479</v>
      </c>
    </row>
    <row r="2311" spans="2:5" ht="15" customHeight="1" thickBot="1" x14ac:dyDescent="0.35">
      <c r="B2311" s="96" t="s">
        <v>3795</v>
      </c>
      <c r="C2311" s="97">
        <v>500252</v>
      </c>
      <c r="D2311" s="96" t="s">
        <v>3796</v>
      </c>
      <c r="E2311" s="96" t="s">
        <v>396</v>
      </c>
    </row>
    <row r="2312" spans="2:5" ht="15" customHeight="1" thickBot="1" x14ac:dyDescent="0.35">
      <c r="B2312" s="96" t="s">
        <v>3797</v>
      </c>
      <c r="C2312" s="97">
        <v>502958</v>
      </c>
      <c r="D2312" s="96" t="s">
        <v>388</v>
      </c>
      <c r="E2312" s="96" t="s">
        <v>403</v>
      </c>
    </row>
    <row r="2313" spans="2:5" ht="15" customHeight="1" thickBot="1" x14ac:dyDescent="0.35">
      <c r="B2313" s="96" t="s">
        <v>3798</v>
      </c>
      <c r="C2313" s="97">
        <v>506079</v>
      </c>
      <c r="D2313" s="96" t="s">
        <v>3799</v>
      </c>
      <c r="E2313" s="96" t="s">
        <v>711</v>
      </c>
    </row>
    <row r="2314" spans="2:5" ht="15" customHeight="1" thickBot="1" x14ac:dyDescent="0.35">
      <c r="B2314" s="96" t="s">
        <v>3800</v>
      </c>
      <c r="C2314" s="97">
        <v>534690</v>
      </c>
      <c r="D2314" s="96" t="s">
        <v>3801</v>
      </c>
      <c r="E2314" s="96" t="s">
        <v>706</v>
      </c>
    </row>
    <row r="2315" spans="2:5" ht="15" customHeight="1" thickBot="1" x14ac:dyDescent="0.35">
      <c r="B2315" s="96" t="s">
        <v>3802</v>
      </c>
      <c r="C2315" s="97">
        <v>590075</v>
      </c>
      <c r="D2315" s="96" t="s">
        <v>3803</v>
      </c>
      <c r="E2315" s="96" t="s">
        <v>403</v>
      </c>
    </row>
    <row r="2316" spans="2:5" ht="15" customHeight="1" thickBot="1" x14ac:dyDescent="0.35">
      <c r="B2316" s="96" t="s">
        <v>3804</v>
      </c>
      <c r="C2316" s="97">
        <v>539841</v>
      </c>
      <c r="D2316" s="96" t="s">
        <v>388</v>
      </c>
      <c r="E2316" s="96" t="s">
        <v>709</v>
      </c>
    </row>
    <row r="2317" spans="2:5" ht="15" customHeight="1" thickBot="1" x14ac:dyDescent="0.35">
      <c r="B2317" s="96" t="s">
        <v>3805</v>
      </c>
      <c r="C2317" s="97">
        <v>509048</v>
      </c>
      <c r="D2317" s="96" t="s">
        <v>388</v>
      </c>
      <c r="E2317" s="96" t="s">
        <v>474</v>
      </c>
    </row>
    <row r="2318" spans="2:5" ht="15" customHeight="1" thickBot="1" x14ac:dyDescent="0.35">
      <c r="B2318" s="96" t="s">
        <v>3806</v>
      </c>
      <c r="C2318" s="97">
        <v>532275</v>
      </c>
      <c r="D2318" s="96" t="s">
        <v>388</v>
      </c>
      <c r="E2318" s="96" t="s">
        <v>405</v>
      </c>
    </row>
    <row r="2319" spans="2:5" ht="15" customHeight="1" thickBot="1" x14ac:dyDescent="0.35">
      <c r="B2319" s="96" t="s">
        <v>3807</v>
      </c>
      <c r="C2319" s="97">
        <v>533012</v>
      </c>
      <c r="D2319" s="96" t="s">
        <v>3808</v>
      </c>
      <c r="E2319" s="96" t="s">
        <v>474</v>
      </c>
    </row>
    <row r="2320" spans="2:5" ht="15" customHeight="1" thickBot="1" x14ac:dyDescent="0.35">
      <c r="B2320" s="96" t="s">
        <v>3809</v>
      </c>
      <c r="C2320" s="97">
        <v>540005</v>
      </c>
      <c r="D2320" s="96" t="s">
        <v>3810</v>
      </c>
      <c r="E2320" s="96" t="s">
        <v>374</v>
      </c>
    </row>
    <row r="2321" spans="2:5" ht="15" customHeight="1" thickBot="1" x14ac:dyDescent="0.35">
      <c r="B2321" s="96" t="s">
        <v>3811</v>
      </c>
      <c r="C2321" s="97">
        <v>500510</v>
      </c>
      <c r="D2321" s="96" t="s">
        <v>3812</v>
      </c>
      <c r="E2321" s="96" t="s">
        <v>786</v>
      </c>
    </row>
    <row r="2322" spans="2:5" ht="15" customHeight="1" thickBot="1" x14ac:dyDescent="0.35">
      <c r="B2322" s="96" t="s">
        <v>3813</v>
      </c>
      <c r="C2322" s="97">
        <v>540702</v>
      </c>
      <c r="D2322" s="96" t="s">
        <v>3814</v>
      </c>
      <c r="E2322" s="96" t="s">
        <v>577</v>
      </c>
    </row>
    <row r="2323" spans="2:5" ht="15" customHeight="1" thickBot="1" x14ac:dyDescent="0.35">
      <c r="B2323" s="96" t="s">
        <v>3815</v>
      </c>
      <c r="C2323" s="97">
        <v>531164</v>
      </c>
      <c r="D2323" s="96" t="s">
        <v>388</v>
      </c>
      <c r="E2323" s="96" t="s">
        <v>502</v>
      </c>
    </row>
    <row r="2324" spans="2:5" ht="15" customHeight="1" thickBot="1" x14ac:dyDescent="0.35">
      <c r="B2324" s="96" t="s">
        <v>3816</v>
      </c>
      <c r="C2324" s="97">
        <v>539909</v>
      </c>
      <c r="D2324" s="96" t="s">
        <v>388</v>
      </c>
      <c r="E2324" s="96" t="s">
        <v>405</v>
      </c>
    </row>
    <row r="2325" spans="2:5" ht="15" customHeight="1" thickBot="1" x14ac:dyDescent="0.35">
      <c r="B2325" s="96" t="s">
        <v>3817</v>
      </c>
      <c r="C2325" s="96" t="s">
        <v>388</v>
      </c>
      <c r="D2325" s="96" t="s">
        <v>3818</v>
      </c>
      <c r="E2325" s="96" t="s">
        <v>399</v>
      </c>
    </row>
    <row r="2326" spans="2:5" ht="15" customHeight="1" thickBot="1" x14ac:dyDescent="0.35">
      <c r="B2326" s="96" t="s">
        <v>3819</v>
      </c>
      <c r="C2326" s="97">
        <v>540222</v>
      </c>
      <c r="D2326" s="96" t="s">
        <v>3820</v>
      </c>
      <c r="E2326" s="96" t="s">
        <v>426</v>
      </c>
    </row>
    <row r="2327" spans="2:5" ht="15" customHeight="1" thickBot="1" x14ac:dyDescent="0.35">
      <c r="B2327" s="96" t="s">
        <v>3821</v>
      </c>
      <c r="C2327" s="97">
        <v>532829</v>
      </c>
      <c r="D2327" s="96" t="s">
        <v>388</v>
      </c>
      <c r="E2327" s="96" t="s">
        <v>814</v>
      </c>
    </row>
    <row r="2328" spans="2:5" ht="15" customHeight="1" thickBot="1" x14ac:dyDescent="0.35">
      <c r="B2328" s="96" t="s">
        <v>3822</v>
      </c>
      <c r="C2328" s="96" t="s">
        <v>388</v>
      </c>
      <c r="D2328" s="96" t="s">
        <v>3823</v>
      </c>
      <c r="E2328" s="96" t="s">
        <v>399</v>
      </c>
    </row>
    <row r="2329" spans="2:5" ht="15" customHeight="1" thickBot="1" x14ac:dyDescent="0.35">
      <c r="B2329" s="96" t="s">
        <v>3824</v>
      </c>
      <c r="C2329" s="97">
        <v>531288</v>
      </c>
      <c r="D2329" s="96" t="s">
        <v>388</v>
      </c>
      <c r="E2329" s="96" t="s">
        <v>405</v>
      </c>
    </row>
    <row r="2330" spans="2:5" ht="15" customHeight="1" thickBot="1" x14ac:dyDescent="0.35">
      <c r="B2330" s="96" t="s">
        <v>3825</v>
      </c>
      <c r="C2330" s="97">
        <v>540360</v>
      </c>
      <c r="D2330" s="96" t="s">
        <v>388</v>
      </c>
      <c r="E2330" s="96" t="s">
        <v>371</v>
      </c>
    </row>
    <row r="2331" spans="2:5" ht="15" customHeight="1" thickBot="1" x14ac:dyDescent="0.35">
      <c r="B2331" s="96" t="s">
        <v>3826</v>
      </c>
      <c r="C2331" s="97">
        <v>508306</v>
      </c>
      <c r="D2331" s="96" t="s">
        <v>388</v>
      </c>
      <c r="E2331" s="96" t="s">
        <v>795</v>
      </c>
    </row>
    <row r="2332" spans="2:5" ht="15" customHeight="1" thickBot="1" x14ac:dyDescent="0.35">
      <c r="B2332" s="96" t="s">
        <v>3827</v>
      </c>
      <c r="C2332" s="97">
        <v>517415</v>
      </c>
      <c r="D2332" s="96" t="s">
        <v>388</v>
      </c>
      <c r="E2332" s="96" t="s">
        <v>718</v>
      </c>
    </row>
    <row r="2333" spans="2:5" ht="15" customHeight="1" thickBot="1" x14ac:dyDescent="0.35">
      <c r="B2333" s="96" t="s">
        <v>3828</v>
      </c>
      <c r="C2333" s="97">
        <v>517518</v>
      </c>
      <c r="D2333" s="96" t="s">
        <v>3829</v>
      </c>
      <c r="E2333" s="96" t="s">
        <v>396</v>
      </c>
    </row>
    <row r="2334" spans="2:5" ht="15" customHeight="1" thickBot="1" x14ac:dyDescent="0.35">
      <c r="B2334" s="96" t="s">
        <v>3830</v>
      </c>
      <c r="C2334" s="97">
        <v>509046</v>
      </c>
      <c r="D2334" s="96" t="s">
        <v>388</v>
      </c>
      <c r="E2334" s="96" t="s">
        <v>809</v>
      </c>
    </row>
    <row r="2335" spans="2:5" ht="15" customHeight="1" thickBot="1" x14ac:dyDescent="0.35">
      <c r="B2335" s="96" t="s">
        <v>3831</v>
      </c>
      <c r="C2335" s="97">
        <v>780021</v>
      </c>
      <c r="D2335" s="96" t="s">
        <v>388</v>
      </c>
      <c r="E2335" s="96" t="s">
        <v>479</v>
      </c>
    </row>
    <row r="2336" spans="2:5" ht="15" customHeight="1" thickBot="1" x14ac:dyDescent="0.35">
      <c r="B2336" s="96" t="s">
        <v>3832</v>
      </c>
      <c r="C2336" s="97">
        <v>541233</v>
      </c>
      <c r="D2336" s="96" t="s">
        <v>3833</v>
      </c>
      <c r="E2336" s="96" t="s">
        <v>589</v>
      </c>
    </row>
    <row r="2337" spans="2:5" ht="15" customHeight="1" thickBot="1" x14ac:dyDescent="0.35">
      <c r="B2337" s="96" t="s">
        <v>3834</v>
      </c>
      <c r="C2337" s="97">
        <v>533602</v>
      </c>
      <c r="D2337" s="96" t="s">
        <v>388</v>
      </c>
      <c r="E2337" s="96" t="s">
        <v>408</v>
      </c>
    </row>
    <row r="2338" spans="2:5" ht="15" customHeight="1" thickBot="1" x14ac:dyDescent="0.35">
      <c r="B2338" s="96" t="s">
        <v>3835</v>
      </c>
      <c r="C2338" s="97">
        <v>541196</v>
      </c>
      <c r="D2338" s="96" t="s">
        <v>388</v>
      </c>
      <c r="E2338" s="96" t="s">
        <v>472</v>
      </c>
    </row>
    <row r="2339" spans="2:5" ht="15" customHeight="1" thickBot="1" x14ac:dyDescent="0.35">
      <c r="B2339" s="96" t="s">
        <v>3836</v>
      </c>
      <c r="C2339" s="96" t="s">
        <v>388</v>
      </c>
      <c r="D2339" s="96" t="s">
        <v>3837</v>
      </c>
      <c r="E2339" s="96" t="s">
        <v>399</v>
      </c>
    </row>
    <row r="2340" spans="2:5" ht="15" customHeight="1" thickBot="1" x14ac:dyDescent="0.35">
      <c r="B2340" s="96" t="s">
        <v>3838</v>
      </c>
      <c r="C2340" s="96" t="s">
        <v>388</v>
      </c>
      <c r="D2340" s="96" t="s">
        <v>3837</v>
      </c>
      <c r="E2340" s="96" t="s">
        <v>399</v>
      </c>
    </row>
    <row r="2341" spans="2:5" ht="15" customHeight="1" thickBot="1" x14ac:dyDescent="0.35">
      <c r="B2341" s="96" t="s">
        <v>3839</v>
      </c>
      <c r="C2341" s="97">
        <v>500250</v>
      </c>
      <c r="D2341" s="96" t="s">
        <v>3840</v>
      </c>
      <c r="E2341" s="96" t="s">
        <v>743</v>
      </c>
    </row>
    <row r="2342" spans="2:5" ht="15" customHeight="1" thickBot="1" x14ac:dyDescent="0.35">
      <c r="B2342" s="96" t="s">
        <v>3841</v>
      </c>
      <c r="C2342" s="97">
        <v>533007</v>
      </c>
      <c r="D2342" s="96" t="s">
        <v>3842</v>
      </c>
      <c r="E2342" s="96" t="s">
        <v>1307</v>
      </c>
    </row>
    <row r="2343" spans="2:5" ht="15" customHeight="1" thickBot="1" x14ac:dyDescent="0.35">
      <c r="B2343" s="96" t="s">
        <v>3843</v>
      </c>
      <c r="C2343" s="96" t="s">
        <v>388</v>
      </c>
      <c r="D2343" s="96" t="s">
        <v>3844</v>
      </c>
      <c r="E2343" s="96" t="s">
        <v>399</v>
      </c>
    </row>
    <row r="2344" spans="2:5" ht="15" customHeight="1" thickBot="1" x14ac:dyDescent="0.35">
      <c r="B2344" s="96" t="s">
        <v>3845</v>
      </c>
      <c r="C2344" s="97">
        <v>526596</v>
      </c>
      <c r="D2344" s="96" t="s">
        <v>3846</v>
      </c>
      <c r="E2344" s="96" t="s">
        <v>814</v>
      </c>
    </row>
    <row r="2345" spans="2:5" ht="15" customHeight="1" thickBot="1" x14ac:dyDescent="0.35">
      <c r="B2345" s="96" t="s">
        <v>3847</v>
      </c>
      <c r="C2345" s="97">
        <v>511593</v>
      </c>
      <c r="D2345" s="96" t="s">
        <v>388</v>
      </c>
      <c r="E2345" s="96" t="s">
        <v>405</v>
      </c>
    </row>
    <row r="2346" spans="2:5" ht="15" customHeight="1" thickBot="1" x14ac:dyDescent="0.35">
      <c r="B2346" s="96" t="s">
        <v>3848</v>
      </c>
      <c r="C2346" s="97">
        <v>531027</v>
      </c>
      <c r="D2346" s="96" t="s">
        <v>388</v>
      </c>
      <c r="E2346" s="96" t="s">
        <v>371</v>
      </c>
    </row>
    <row r="2347" spans="2:5" ht="15" customHeight="1" thickBot="1" x14ac:dyDescent="0.35">
      <c r="B2347" s="96" t="s">
        <v>3849</v>
      </c>
      <c r="C2347" s="97">
        <v>500253</v>
      </c>
      <c r="D2347" s="96" t="s">
        <v>3850</v>
      </c>
      <c r="E2347" s="96" t="s">
        <v>446</v>
      </c>
    </row>
    <row r="2348" spans="2:5" ht="15" customHeight="1" thickBot="1" x14ac:dyDescent="0.35">
      <c r="B2348" s="96" t="s">
        <v>3851</v>
      </c>
      <c r="C2348" s="97">
        <v>539927</v>
      </c>
      <c r="D2348" s="96" t="s">
        <v>388</v>
      </c>
      <c r="E2348" s="96" t="s">
        <v>472</v>
      </c>
    </row>
    <row r="2349" spans="2:5" ht="15" customHeight="1" thickBot="1" x14ac:dyDescent="0.35">
      <c r="B2349" s="96" t="s">
        <v>3852</v>
      </c>
      <c r="C2349" s="97">
        <v>507759</v>
      </c>
      <c r="D2349" s="96" t="s">
        <v>388</v>
      </c>
      <c r="E2349" s="96" t="s">
        <v>436</v>
      </c>
    </row>
    <row r="2350" spans="2:5" ht="15" customHeight="1" thickBot="1" x14ac:dyDescent="0.35">
      <c r="B2350" s="96" t="s">
        <v>3853</v>
      </c>
      <c r="C2350" s="97">
        <v>517463</v>
      </c>
      <c r="D2350" s="96" t="s">
        <v>3854</v>
      </c>
      <c r="E2350" s="96" t="s">
        <v>930</v>
      </c>
    </row>
    <row r="2351" spans="2:5" ht="15" customHeight="1" thickBot="1" x14ac:dyDescent="0.35">
      <c r="B2351" s="96" t="s">
        <v>3855</v>
      </c>
      <c r="C2351" s="97">
        <v>531241</v>
      </c>
      <c r="D2351" s="96" t="s">
        <v>3856</v>
      </c>
      <c r="E2351" s="96" t="s">
        <v>934</v>
      </c>
    </row>
    <row r="2352" spans="2:5" ht="15" customHeight="1" thickBot="1" x14ac:dyDescent="0.35">
      <c r="B2352" s="96" t="s">
        <v>3857</v>
      </c>
      <c r="C2352" s="97">
        <v>531633</v>
      </c>
      <c r="D2352" s="96" t="s">
        <v>3858</v>
      </c>
      <c r="E2352" s="96" t="s">
        <v>426</v>
      </c>
    </row>
    <row r="2353" spans="2:5" ht="15" customHeight="1" thickBot="1" x14ac:dyDescent="0.35">
      <c r="B2353" s="96" t="s">
        <v>3859</v>
      </c>
      <c r="C2353" s="97">
        <v>523457</v>
      </c>
      <c r="D2353" s="96" t="s">
        <v>3860</v>
      </c>
      <c r="E2353" s="96" t="s">
        <v>1423</v>
      </c>
    </row>
    <row r="2354" spans="2:5" ht="15" customHeight="1" thickBot="1" x14ac:dyDescent="0.35">
      <c r="B2354" s="96" t="s">
        <v>3861</v>
      </c>
      <c r="C2354" s="97">
        <v>523457</v>
      </c>
      <c r="D2354" s="96" t="s">
        <v>3862</v>
      </c>
      <c r="E2354" s="96" t="s">
        <v>1423</v>
      </c>
    </row>
    <row r="2355" spans="2:5" ht="15" customHeight="1" thickBot="1" x14ac:dyDescent="0.35">
      <c r="B2355" s="96" t="s">
        <v>3863</v>
      </c>
      <c r="C2355" s="97">
        <v>524748</v>
      </c>
      <c r="D2355" s="96" t="s">
        <v>388</v>
      </c>
      <c r="E2355" s="96" t="s">
        <v>436</v>
      </c>
    </row>
    <row r="2356" spans="2:5" ht="15" customHeight="1" thickBot="1" x14ac:dyDescent="0.35">
      <c r="B2356" s="96" t="s">
        <v>3864</v>
      </c>
      <c r="C2356" s="97">
        <v>526604</v>
      </c>
      <c r="D2356" s="96" t="s">
        <v>388</v>
      </c>
      <c r="E2356" s="96" t="s">
        <v>396</v>
      </c>
    </row>
    <row r="2357" spans="2:5" ht="15" customHeight="1" thickBot="1" x14ac:dyDescent="0.35">
      <c r="B2357" s="96" t="s">
        <v>3865</v>
      </c>
      <c r="C2357" s="97">
        <v>507912</v>
      </c>
      <c r="D2357" s="96" t="s">
        <v>388</v>
      </c>
      <c r="E2357" s="96" t="s">
        <v>371</v>
      </c>
    </row>
    <row r="2358" spans="2:5" ht="15" customHeight="1" thickBot="1" x14ac:dyDescent="0.35">
      <c r="B2358" s="96" t="s">
        <v>3866</v>
      </c>
      <c r="C2358" s="97">
        <v>540192</v>
      </c>
      <c r="D2358" s="96" t="s">
        <v>388</v>
      </c>
      <c r="E2358" s="96" t="s">
        <v>371</v>
      </c>
    </row>
    <row r="2359" spans="2:5" ht="15" customHeight="1" thickBot="1" x14ac:dyDescent="0.35">
      <c r="B2359" s="96" t="s">
        <v>3867</v>
      </c>
      <c r="C2359" s="97">
        <v>512455</v>
      </c>
      <c r="D2359" s="96" t="s">
        <v>388</v>
      </c>
      <c r="E2359" s="96" t="s">
        <v>420</v>
      </c>
    </row>
    <row r="2360" spans="2:5" ht="15" customHeight="1" thickBot="1" x14ac:dyDescent="0.35">
      <c r="B2360" s="96" t="s">
        <v>3868</v>
      </c>
      <c r="C2360" s="97">
        <v>539992</v>
      </c>
      <c r="D2360" s="96" t="s">
        <v>3869</v>
      </c>
      <c r="E2360" s="96" t="s">
        <v>396</v>
      </c>
    </row>
    <row r="2361" spans="2:5" ht="15" customHeight="1" thickBot="1" x14ac:dyDescent="0.35">
      <c r="B2361" s="96" t="s">
        <v>3870</v>
      </c>
      <c r="C2361" s="97">
        <v>590082</v>
      </c>
      <c r="D2361" s="96" t="s">
        <v>388</v>
      </c>
      <c r="E2361" s="96" t="s">
        <v>371</v>
      </c>
    </row>
    <row r="2362" spans="2:5" ht="15" customHeight="1" thickBot="1" x14ac:dyDescent="0.35">
      <c r="B2362" s="96" t="s">
        <v>3871</v>
      </c>
      <c r="C2362" s="97">
        <v>532740</v>
      </c>
      <c r="D2362" s="96" t="s">
        <v>3872</v>
      </c>
      <c r="E2362" s="96" t="s">
        <v>396</v>
      </c>
    </row>
    <row r="2363" spans="2:5" ht="15" customHeight="1" thickBot="1" x14ac:dyDescent="0.35">
      <c r="B2363" s="96" t="s">
        <v>3873</v>
      </c>
      <c r="C2363" s="97">
        <v>526568</v>
      </c>
      <c r="D2363" s="96" t="s">
        <v>388</v>
      </c>
      <c r="E2363" s="96" t="s">
        <v>795</v>
      </c>
    </row>
    <row r="2364" spans="2:5" ht="15" customHeight="1" thickBot="1" x14ac:dyDescent="0.35">
      <c r="B2364" s="96" t="s">
        <v>3874</v>
      </c>
      <c r="C2364" s="97">
        <v>534422</v>
      </c>
      <c r="D2364" s="96" t="s">
        <v>388</v>
      </c>
      <c r="E2364" s="96" t="s">
        <v>858</v>
      </c>
    </row>
    <row r="2365" spans="2:5" ht="15" customHeight="1" thickBot="1" x14ac:dyDescent="0.35">
      <c r="B2365" s="96" t="s">
        <v>3875</v>
      </c>
      <c r="C2365" s="97">
        <v>500284</v>
      </c>
      <c r="D2365" s="96" t="s">
        <v>388</v>
      </c>
      <c r="E2365" s="96" t="s">
        <v>436</v>
      </c>
    </row>
    <row r="2366" spans="2:5" ht="15" customHeight="1" thickBot="1" x14ac:dyDescent="0.35">
      <c r="B2366" s="96" t="s">
        <v>3876</v>
      </c>
      <c r="C2366" s="97">
        <v>530065</v>
      </c>
      <c r="D2366" s="96" t="s">
        <v>388</v>
      </c>
      <c r="E2366" s="96" t="s">
        <v>589</v>
      </c>
    </row>
    <row r="2367" spans="2:5" ht="15" customHeight="1" thickBot="1" x14ac:dyDescent="0.35">
      <c r="B2367" s="96" t="s">
        <v>3877</v>
      </c>
      <c r="C2367" s="97">
        <v>540952</v>
      </c>
      <c r="D2367" s="96" t="s">
        <v>388</v>
      </c>
      <c r="E2367" s="96" t="s">
        <v>502</v>
      </c>
    </row>
    <row r="2368" spans="2:5" ht="15" customHeight="1" thickBot="1" x14ac:dyDescent="0.35">
      <c r="B2368" s="96" t="s">
        <v>3878</v>
      </c>
      <c r="C2368" s="97">
        <v>523475</v>
      </c>
      <c r="D2368" s="96" t="s">
        <v>388</v>
      </c>
      <c r="E2368" s="96" t="s">
        <v>448</v>
      </c>
    </row>
    <row r="2369" spans="2:5" ht="15" customHeight="1" thickBot="1" x14ac:dyDescent="0.35">
      <c r="B2369" s="96" t="s">
        <v>3879</v>
      </c>
      <c r="C2369" s="97">
        <v>532998</v>
      </c>
      <c r="D2369" s="96" t="s">
        <v>3880</v>
      </c>
      <c r="E2369" s="96" t="s">
        <v>858</v>
      </c>
    </row>
    <row r="2370" spans="2:5" ht="15" customHeight="1" thickBot="1" x14ac:dyDescent="0.35">
      <c r="B2370" s="96" t="s">
        <v>3881</v>
      </c>
      <c r="C2370" s="97">
        <v>533343</v>
      </c>
      <c r="D2370" s="96" t="s">
        <v>3882</v>
      </c>
      <c r="E2370" s="96" t="s">
        <v>502</v>
      </c>
    </row>
    <row r="2371" spans="2:5" ht="15" customHeight="1" thickBot="1" x14ac:dyDescent="0.35">
      <c r="B2371" s="96" t="s">
        <v>3883</v>
      </c>
      <c r="C2371" s="97">
        <v>539227</v>
      </c>
      <c r="D2371" s="96" t="s">
        <v>388</v>
      </c>
      <c r="E2371" s="96" t="s">
        <v>396</v>
      </c>
    </row>
    <row r="2372" spans="2:5" ht="15" customHeight="1" thickBot="1" x14ac:dyDescent="0.35">
      <c r="B2372" s="96" t="s">
        <v>3884</v>
      </c>
      <c r="C2372" s="97">
        <v>514036</v>
      </c>
      <c r="D2372" s="96" t="s">
        <v>388</v>
      </c>
      <c r="E2372" s="96" t="s">
        <v>403</v>
      </c>
    </row>
    <row r="2373" spans="2:5" ht="15" customHeight="1" thickBot="1" x14ac:dyDescent="0.35">
      <c r="B2373" s="96" t="s">
        <v>3885</v>
      </c>
      <c r="C2373" s="97">
        <v>532783</v>
      </c>
      <c r="D2373" s="96" t="s">
        <v>3886</v>
      </c>
      <c r="E2373" s="96" t="s">
        <v>448</v>
      </c>
    </row>
    <row r="2374" spans="2:5" ht="15" customHeight="1" thickBot="1" x14ac:dyDescent="0.35">
      <c r="B2374" s="96" t="s">
        <v>3887</v>
      </c>
      <c r="C2374" s="97">
        <v>526179</v>
      </c>
      <c r="D2374" s="96" t="s">
        <v>388</v>
      </c>
      <c r="E2374" s="96" t="s">
        <v>625</v>
      </c>
    </row>
    <row r="2375" spans="2:5" ht="15" customHeight="1" thickBot="1" x14ac:dyDescent="0.35">
      <c r="B2375" s="96" t="s">
        <v>3888</v>
      </c>
      <c r="C2375" s="97">
        <v>512048</v>
      </c>
      <c r="D2375" s="96" t="s">
        <v>388</v>
      </c>
      <c r="E2375" s="96" t="s">
        <v>474</v>
      </c>
    </row>
    <row r="2376" spans="2:5" ht="15" customHeight="1" thickBot="1" x14ac:dyDescent="0.35">
      <c r="B2376" s="96" t="s">
        <v>3889</v>
      </c>
      <c r="C2376" s="97">
        <v>532796</v>
      </c>
      <c r="D2376" s="96" t="s">
        <v>3890</v>
      </c>
      <c r="E2376" s="96" t="s">
        <v>743</v>
      </c>
    </row>
    <row r="2377" spans="2:5" ht="15" customHeight="1" thickBot="1" x14ac:dyDescent="0.35">
      <c r="B2377" s="96" t="s">
        <v>3891</v>
      </c>
      <c r="C2377" s="97">
        <v>517206</v>
      </c>
      <c r="D2377" s="96" t="s">
        <v>3892</v>
      </c>
      <c r="E2377" s="96" t="s">
        <v>743</v>
      </c>
    </row>
    <row r="2378" spans="2:5" ht="15" customHeight="1" thickBot="1" x14ac:dyDescent="0.35">
      <c r="B2378" s="96" t="s">
        <v>3893</v>
      </c>
      <c r="C2378" s="97">
        <v>500257</v>
      </c>
      <c r="D2378" s="96" t="s">
        <v>3894</v>
      </c>
      <c r="E2378" s="96" t="s">
        <v>426</v>
      </c>
    </row>
    <row r="2379" spans="2:5" ht="15" customHeight="1" thickBot="1" x14ac:dyDescent="0.35">
      <c r="B2379" s="96" t="s">
        <v>3895</v>
      </c>
      <c r="C2379" s="97">
        <v>539542</v>
      </c>
      <c r="D2379" s="96" t="s">
        <v>3896</v>
      </c>
      <c r="E2379" s="96" t="s">
        <v>502</v>
      </c>
    </row>
    <row r="2380" spans="2:5" ht="15" customHeight="1" thickBot="1" x14ac:dyDescent="0.35">
      <c r="B2380" s="96" t="s">
        <v>3897</v>
      </c>
      <c r="C2380" s="97">
        <v>531402</v>
      </c>
      <c r="D2380" s="96" t="s">
        <v>388</v>
      </c>
      <c r="E2380" s="96" t="s">
        <v>410</v>
      </c>
    </row>
    <row r="2381" spans="2:5" ht="15" customHeight="1" thickBot="1" x14ac:dyDescent="0.35">
      <c r="B2381" s="96" t="s">
        <v>3898</v>
      </c>
      <c r="C2381" s="97">
        <v>500259</v>
      </c>
      <c r="D2381" s="96" t="s">
        <v>3899</v>
      </c>
      <c r="E2381" s="96" t="s">
        <v>426</v>
      </c>
    </row>
    <row r="2382" spans="2:5" ht="15" customHeight="1" thickBot="1" x14ac:dyDescent="0.35">
      <c r="B2382" s="96" t="s">
        <v>3900</v>
      </c>
      <c r="C2382" s="97">
        <v>530689</v>
      </c>
      <c r="D2382" s="96" t="s">
        <v>388</v>
      </c>
      <c r="E2382" s="96" t="s">
        <v>570</v>
      </c>
    </row>
    <row r="2383" spans="2:5" ht="15" customHeight="1" thickBot="1" x14ac:dyDescent="0.35">
      <c r="B2383" s="96" t="s">
        <v>3901</v>
      </c>
      <c r="C2383" s="97">
        <v>505320</v>
      </c>
      <c r="D2383" s="96" t="s">
        <v>388</v>
      </c>
      <c r="E2383" s="96" t="s">
        <v>396</v>
      </c>
    </row>
    <row r="2384" spans="2:5" ht="15" customHeight="1" thickBot="1" x14ac:dyDescent="0.35">
      <c r="B2384" s="96" t="s">
        <v>3902</v>
      </c>
      <c r="C2384" s="97">
        <v>534532</v>
      </c>
      <c r="D2384" s="96" t="s">
        <v>3903</v>
      </c>
      <c r="E2384" s="96" t="s">
        <v>502</v>
      </c>
    </row>
    <row r="2385" spans="2:5" ht="15" customHeight="1" thickBot="1" x14ac:dyDescent="0.35">
      <c r="B2385" s="96" t="s">
        <v>3904</v>
      </c>
      <c r="C2385" s="97">
        <v>526935</v>
      </c>
      <c r="D2385" s="96" t="s">
        <v>388</v>
      </c>
      <c r="E2385" s="96" t="s">
        <v>371</v>
      </c>
    </row>
    <row r="2386" spans="2:5" ht="15" customHeight="1" thickBot="1" x14ac:dyDescent="0.35">
      <c r="B2386" s="96" t="s">
        <v>3905</v>
      </c>
      <c r="C2386" s="97">
        <v>538890</v>
      </c>
      <c r="D2386" s="96" t="s">
        <v>388</v>
      </c>
      <c r="E2386" s="96" t="s">
        <v>403</v>
      </c>
    </row>
    <row r="2387" spans="2:5" ht="15" customHeight="1" thickBot="1" x14ac:dyDescent="0.35">
      <c r="B2387" s="96" t="s">
        <v>3906</v>
      </c>
      <c r="C2387" s="97">
        <v>538890</v>
      </c>
      <c r="D2387" s="96" t="s">
        <v>388</v>
      </c>
      <c r="E2387" s="96" t="s">
        <v>403</v>
      </c>
    </row>
    <row r="2388" spans="2:5" ht="15" customHeight="1" thickBot="1" x14ac:dyDescent="0.35">
      <c r="B2388" s="96" t="s">
        <v>3907</v>
      </c>
      <c r="C2388" s="96" t="s">
        <v>388</v>
      </c>
      <c r="D2388" s="96" t="s">
        <v>3908</v>
      </c>
      <c r="E2388" s="96" t="s">
        <v>399</v>
      </c>
    </row>
    <row r="2389" spans="2:5" ht="15" customHeight="1" thickBot="1" x14ac:dyDescent="0.35">
      <c r="B2389" s="96" t="s">
        <v>3909</v>
      </c>
      <c r="C2389" s="97">
        <v>506543</v>
      </c>
      <c r="D2389" s="96" t="s">
        <v>388</v>
      </c>
      <c r="E2389" s="96" t="s">
        <v>896</v>
      </c>
    </row>
    <row r="2390" spans="2:5" ht="15" customHeight="1" thickBot="1" x14ac:dyDescent="0.35">
      <c r="B2390" s="96" t="s">
        <v>3910</v>
      </c>
      <c r="C2390" s="97">
        <v>532906</v>
      </c>
      <c r="D2390" s="96" t="s">
        <v>3911</v>
      </c>
      <c r="E2390" s="96" t="s">
        <v>786</v>
      </c>
    </row>
    <row r="2391" spans="2:5" ht="15" customHeight="1" thickBot="1" x14ac:dyDescent="0.35">
      <c r="B2391" s="96" t="s">
        <v>3912</v>
      </c>
      <c r="C2391" s="97">
        <v>507836</v>
      </c>
      <c r="D2391" s="96" t="s">
        <v>388</v>
      </c>
      <c r="E2391" s="96" t="s">
        <v>589</v>
      </c>
    </row>
    <row r="2392" spans="2:5" ht="15" customHeight="1" thickBot="1" x14ac:dyDescent="0.35">
      <c r="B2392" s="96" t="s">
        <v>3913</v>
      </c>
      <c r="C2392" s="97">
        <v>507836</v>
      </c>
      <c r="D2392" s="96" t="s">
        <v>388</v>
      </c>
      <c r="E2392" s="96" t="s">
        <v>589</v>
      </c>
    </row>
    <row r="2393" spans="2:5" ht="15" customHeight="1" thickBot="1" x14ac:dyDescent="0.35">
      <c r="B2393" s="96" t="s">
        <v>3914</v>
      </c>
      <c r="C2393" s="97">
        <v>541973</v>
      </c>
      <c r="D2393" s="96" t="s">
        <v>388</v>
      </c>
      <c r="E2393" s="96" t="s">
        <v>589</v>
      </c>
    </row>
    <row r="2394" spans="2:5" ht="15" customHeight="1" thickBot="1" x14ac:dyDescent="0.35">
      <c r="B2394" s="96" t="s">
        <v>3915</v>
      </c>
      <c r="C2394" s="97">
        <v>523248</v>
      </c>
      <c r="D2394" s="96" t="s">
        <v>388</v>
      </c>
      <c r="E2394" s="96" t="s">
        <v>508</v>
      </c>
    </row>
    <row r="2395" spans="2:5" ht="15" customHeight="1" thickBot="1" x14ac:dyDescent="0.35">
      <c r="B2395" s="96" t="s">
        <v>3916</v>
      </c>
      <c r="C2395" s="97">
        <v>501471</v>
      </c>
      <c r="D2395" s="96" t="s">
        <v>388</v>
      </c>
      <c r="E2395" s="96" t="s">
        <v>410</v>
      </c>
    </row>
    <row r="2396" spans="2:5" ht="15" customHeight="1" thickBot="1" x14ac:dyDescent="0.35">
      <c r="B2396" s="96" t="s">
        <v>3917</v>
      </c>
      <c r="C2396" s="96" t="s">
        <v>388</v>
      </c>
      <c r="D2396" s="96" t="s">
        <v>3918</v>
      </c>
      <c r="E2396" s="96" t="s">
        <v>399</v>
      </c>
    </row>
    <row r="2397" spans="2:5" ht="15" customHeight="1" thickBot="1" x14ac:dyDescent="0.35">
      <c r="B2397" s="96" t="s">
        <v>3919</v>
      </c>
      <c r="C2397" s="97">
        <v>512600</v>
      </c>
      <c r="D2397" s="96" t="s">
        <v>388</v>
      </c>
      <c r="E2397" s="96" t="s">
        <v>410</v>
      </c>
    </row>
    <row r="2398" spans="2:5" ht="15" customHeight="1" thickBot="1" x14ac:dyDescent="0.35">
      <c r="B2398" s="96" t="s">
        <v>3920</v>
      </c>
      <c r="C2398" s="96" t="s">
        <v>388</v>
      </c>
      <c r="D2398" s="96" t="s">
        <v>3921</v>
      </c>
      <c r="E2398" s="96" t="s">
        <v>399</v>
      </c>
    </row>
    <row r="2399" spans="2:5" ht="15" customHeight="1" thickBot="1" x14ac:dyDescent="0.35">
      <c r="B2399" s="96" t="s">
        <v>3922</v>
      </c>
      <c r="C2399" s="97">
        <v>539894</v>
      </c>
      <c r="D2399" s="96" t="s">
        <v>388</v>
      </c>
      <c r="E2399" s="96" t="s">
        <v>786</v>
      </c>
    </row>
    <row r="2400" spans="2:5" ht="15" customHeight="1" thickBot="1" x14ac:dyDescent="0.35">
      <c r="B2400" s="96" t="s">
        <v>3923</v>
      </c>
      <c r="C2400" s="97">
        <v>515093</v>
      </c>
      <c r="D2400" s="96" t="s">
        <v>3924</v>
      </c>
      <c r="E2400" s="96" t="s">
        <v>916</v>
      </c>
    </row>
    <row r="2401" spans="2:5" ht="15" customHeight="1" thickBot="1" x14ac:dyDescent="0.35">
      <c r="B2401" s="96" t="s">
        <v>3925</v>
      </c>
      <c r="C2401" s="97">
        <v>780009</v>
      </c>
      <c r="D2401" s="96" t="s">
        <v>388</v>
      </c>
      <c r="E2401" s="96" t="s">
        <v>479</v>
      </c>
    </row>
    <row r="2402" spans="2:5" ht="15" customHeight="1" thickBot="1" x14ac:dyDescent="0.35">
      <c r="B2402" s="96" t="s">
        <v>3926</v>
      </c>
      <c r="C2402" s="97">
        <v>531497</v>
      </c>
      <c r="D2402" s="96" t="s">
        <v>3927</v>
      </c>
      <c r="E2402" s="96" t="s">
        <v>786</v>
      </c>
    </row>
    <row r="2403" spans="2:5" ht="15" customHeight="1" thickBot="1" x14ac:dyDescent="0.35">
      <c r="B2403" s="96" t="s">
        <v>3928</v>
      </c>
      <c r="C2403" s="97">
        <v>519279</v>
      </c>
      <c r="D2403" s="96" t="s">
        <v>388</v>
      </c>
      <c r="E2403" s="96" t="s">
        <v>586</v>
      </c>
    </row>
    <row r="2404" spans="2:5" ht="15" customHeight="1" thickBot="1" x14ac:dyDescent="0.35">
      <c r="B2404" s="96" t="s">
        <v>3929</v>
      </c>
      <c r="C2404" s="97">
        <v>515059</v>
      </c>
      <c r="D2404" s="96" t="s">
        <v>388</v>
      </c>
      <c r="E2404" s="96" t="s">
        <v>637</v>
      </c>
    </row>
    <row r="2405" spans="2:5" ht="15" customHeight="1" thickBot="1" x14ac:dyDescent="0.35">
      <c r="B2405" s="96" t="s">
        <v>3930</v>
      </c>
      <c r="C2405" s="97">
        <v>511000</v>
      </c>
      <c r="D2405" s="96" t="s">
        <v>388</v>
      </c>
      <c r="E2405" s="96" t="s">
        <v>405</v>
      </c>
    </row>
    <row r="2406" spans="2:5" ht="15" customHeight="1" thickBot="1" x14ac:dyDescent="0.35">
      <c r="B2406" s="96" t="s">
        <v>3931</v>
      </c>
      <c r="C2406" s="97">
        <v>531910</v>
      </c>
      <c r="D2406" s="96" t="s">
        <v>388</v>
      </c>
      <c r="E2406" s="96" t="s">
        <v>426</v>
      </c>
    </row>
    <row r="2407" spans="2:5" ht="15" customHeight="1" thickBot="1" x14ac:dyDescent="0.35">
      <c r="B2407" s="96" t="s">
        <v>3932</v>
      </c>
      <c r="C2407" s="96" t="s">
        <v>388</v>
      </c>
      <c r="D2407" s="96" t="s">
        <v>3933</v>
      </c>
      <c r="E2407" s="96" t="s">
        <v>399</v>
      </c>
    </row>
    <row r="2408" spans="2:5" ht="15" customHeight="1" thickBot="1" x14ac:dyDescent="0.35">
      <c r="B2408" s="96" t="s">
        <v>3934</v>
      </c>
      <c r="C2408" s="96" t="s">
        <v>388</v>
      </c>
      <c r="D2408" s="96" t="s">
        <v>3935</v>
      </c>
      <c r="E2408" s="96" t="s">
        <v>399</v>
      </c>
    </row>
    <row r="2409" spans="2:5" ht="15" customHeight="1" thickBot="1" x14ac:dyDescent="0.35">
      <c r="B2409" s="96" t="s">
        <v>3936</v>
      </c>
      <c r="C2409" s="97">
        <v>590134</v>
      </c>
      <c r="D2409" s="96" t="s">
        <v>3937</v>
      </c>
      <c r="E2409" s="96" t="s">
        <v>896</v>
      </c>
    </row>
    <row r="2410" spans="2:5" ht="15" customHeight="1" thickBot="1" x14ac:dyDescent="0.35">
      <c r="B2410" s="96" t="s">
        <v>3938</v>
      </c>
      <c r="C2410" s="97">
        <v>538401</v>
      </c>
      <c r="D2410" s="96" t="s">
        <v>388</v>
      </c>
      <c r="E2410" s="96" t="s">
        <v>930</v>
      </c>
    </row>
    <row r="2411" spans="2:5" ht="15" customHeight="1" thickBot="1" x14ac:dyDescent="0.35">
      <c r="B2411" s="96" t="s">
        <v>3939</v>
      </c>
      <c r="C2411" s="97">
        <v>500264</v>
      </c>
      <c r="D2411" s="96" t="s">
        <v>388</v>
      </c>
      <c r="E2411" s="96" t="s">
        <v>403</v>
      </c>
    </row>
    <row r="2412" spans="2:5" ht="15" customHeight="1" thickBot="1" x14ac:dyDescent="0.35">
      <c r="B2412" s="96" t="s">
        <v>3940</v>
      </c>
      <c r="C2412" s="97">
        <v>540650</v>
      </c>
      <c r="D2412" s="96" t="s">
        <v>3941</v>
      </c>
      <c r="E2412" s="96" t="s">
        <v>1087</v>
      </c>
    </row>
    <row r="2413" spans="2:5" ht="15" customHeight="1" thickBot="1" x14ac:dyDescent="0.35">
      <c r="B2413" s="96" t="s">
        <v>3942</v>
      </c>
      <c r="C2413" s="97">
        <v>524000</v>
      </c>
      <c r="D2413" s="96" t="s">
        <v>3943</v>
      </c>
      <c r="E2413" s="96" t="s">
        <v>405</v>
      </c>
    </row>
    <row r="2414" spans="2:5" ht="15" customHeight="1" thickBot="1" x14ac:dyDescent="0.35">
      <c r="B2414" s="96" t="s">
        <v>3944</v>
      </c>
      <c r="C2414" s="97">
        <v>517449</v>
      </c>
      <c r="D2414" s="96" t="s">
        <v>388</v>
      </c>
      <c r="E2414" s="96" t="s">
        <v>1307</v>
      </c>
    </row>
    <row r="2415" spans="2:5" ht="15" customHeight="1" thickBot="1" x14ac:dyDescent="0.35">
      <c r="B2415" s="96" t="s">
        <v>3945</v>
      </c>
      <c r="C2415" s="97">
        <v>512377</v>
      </c>
      <c r="D2415" s="96" t="s">
        <v>388</v>
      </c>
      <c r="E2415" s="96" t="s">
        <v>809</v>
      </c>
    </row>
    <row r="2416" spans="2:5" ht="15" customHeight="1" thickBot="1" x14ac:dyDescent="0.35">
      <c r="B2416" s="96" t="s">
        <v>3946</v>
      </c>
      <c r="C2416" s="97">
        <v>532896</v>
      </c>
      <c r="D2416" s="96" t="s">
        <v>3947</v>
      </c>
      <c r="E2416" s="96" t="s">
        <v>382</v>
      </c>
    </row>
    <row r="2417" spans="2:5" ht="15" customHeight="1" thickBot="1" x14ac:dyDescent="0.35">
      <c r="B2417" s="96" t="s">
        <v>3948</v>
      </c>
      <c r="C2417" s="97">
        <v>523384</v>
      </c>
      <c r="D2417" s="96" t="s">
        <v>3949</v>
      </c>
      <c r="E2417" s="96" t="s">
        <v>405</v>
      </c>
    </row>
    <row r="2418" spans="2:5" ht="15" customHeight="1" thickBot="1" x14ac:dyDescent="0.35">
      <c r="B2418" s="96" t="s">
        <v>3950</v>
      </c>
      <c r="C2418" s="97">
        <v>519612</v>
      </c>
      <c r="D2418" s="96" t="s">
        <v>388</v>
      </c>
      <c r="E2418" s="96" t="s">
        <v>448</v>
      </c>
    </row>
    <row r="2419" spans="2:5" ht="15" customHeight="1" thickBot="1" x14ac:dyDescent="0.35">
      <c r="B2419" s="96" t="s">
        <v>3951</v>
      </c>
      <c r="C2419" s="97">
        <v>514450</v>
      </c>
      <c r="D2419" s="96" t="s">
        <v>388</v>
      </c>
      <c r="E2419" s="96" t="s">
        <v>1307</v>
      </c>
    </row>
    <row r="2420" spans="2:5" ht="15" customHeight="1" thickBot="1" x14ac:dyDescent="0.35">
      <c r="B2420" s="96" t="s">
        <v>3952</v>
      </c>
      <c r="C2420" s="97">
        <v>513460</v>
      </c>
      <c r="D2420" s="96" t="s">
        <v>388</v>
      </c>
      <c r="E2420" s="96" t="s">
        <v>711</v>
      </c>
    </row>
    <row r="2421" spans="2:5" ht="15" customHeight="1" thickBot="1" x14ac:dyDescent="0.35">
      <c r="B2421" s="96" t="s">
        <v>3953</v>
      </c>
      <c r="C2421" s="97">
        <v>513554</v>
      </c>
      <c r="D2421" s="96" t="s">
        <v>3954</v>
      </c>
      <c r="E2421" s="96" t="s">
        <v>711</v>
      </c>
    </row>
    <row r="2422" spans="2:5" ht="15" customHeight="1" thickBot="1" x14ac:dyDescent="0.35">
      <c r="B2422" s="96" t="s">
        <v>3955</v>
      </c>
      <c r="C2422" s="97">
        <v>531515</v>
      </c>
      <c r="D2422" s="96" t="s">
        <v>388</v>
      </c>
      <c r="E2422" s="96" t="s">
        <v>410</v>
      </c>
    </row>
    <row r="2423" spans="2:5" ht="15" customHeight="1" thickBot="1" x14ac:dyDescent="0.35">
      <c r="B2423" s="96" t="s">
        <v>3956</v>
      </c>
      <c r="C2423" s="97">
        <v>539957</v>
      </c>
      <c r="D2423" s="96" t="s">
        <v>3957</v>
      </c>
      <c r="E2423" s="96" t="s">
        <v>413</v>
      </c>
    </row>
    <row r="2424" spans="2:5" ht="15" customHeight="1" thickBot="1" x14ac:dyDescent="0.35">
      <c r="B2424" s="96" t="s">
        <v>3958</v>
      </c>
      <c r="C2424" s="97">
        <v>500108</v>
      </c>
      <c r="D2424" s="96" t="s">
        <v>3959</v>
      </c>
      <c r="E2424" s="96" t="s">
        <v>1331</v>
      </c>
    </row>
    <row r="2425" spans="2:5" ht="15" customHeight="1" thickBot="1" x14ac:dyDescent="0.35">
      <c r="B2425" s="96" t="s">
        <v>3960</v>
      </c>
      <c r="C2425" s="97">
        <v>530441</v>
      </c>
      <c r="D2425" s="96" t="s">
        <v>388</v>
      </c>
      <c r="E2425" s="96" t="s">
        <v>809</v>
      </c>
    </row>
    <row r="2426" spans="2:5" ht="15" customHeight="1" thickBot="1" x14ac:dyDescent="0.35">
      <c r="B2426" s="96" t="s">
        <v>3961</v>
      </c>
      <c r="C2426" s="97">
        <v>530441</v>
      </c>
      <c r="D2426" s="96" t="s">
        <v>388</v>
      </c>
      <c r="E2426" s="96" t="s">
        <v>809</v>
      </c>
    </row>
    <row r="2427" spans="2:5" ht="15" customHeight="1" thickBot="1" x14ac:dyDescent="0.35">
      <c r="B2427" s="96" t="s">
        <v>3962</v>
      </c>
      <c r="C2427" s="97">
        <v>505523</v>
      </c>
      <c r="D2427" s="96" t="s">
        <v>388</v>
      </c>
      <c r="E2427" s="96" t="s">
        <v>410</v>
      </c>
    </row>
    <row r="2428" spans="2:5" ht="15" customHeight="1" thickBot="1" x14ac:dyDescent="0.35">
      <c r="B2428" s="96" t="s">
        <v>3963</v>
      </c>
      <c r="C2428" s="97">
        <v>500266</v>
      </c>
      <c r="D2428" s="96" t="s">
        <v>3964</v>
      </c>
      <c r="E2428" s="96" t="s">
        <v>408</v>
      </c>
    </row>
    <row r="2429" spans="2:5" ht="15" customHeight="1" thickBot="1" x14ac:dyDescent="0.35">
      <c r="B2429" s="96" t="s">
        <v>3965</v>
      </c>
      <c r="C2429" s="97">
        <v>500265</v>
      </c>
      <c r="D2429" s="96" t="s">
        <v>3966</v>
      </c>
      <c r="E2429" s="96" t="s">
        <v>786</v>
      </c>
    </row>
    <row r="2430" spans="2:5" ht="15" customHeight="1" thickBot="1" x14ac:dyDescent="0.35">
      <c r="B2430" s="96" t="s">
        <v>3967</v>
      </c>
      <c r="C2430" s="97">
        <v>526795</v>
      </c>
      <c r="D2430" s="96" t="s">
        <v>388</v>
      </c>
      <c r="E2430" s="96" t="s">
        <v>460</v>
      </c>
    </row>
    <row r="2431" spans="2:5" ht="15" customHeight="1" thickBot="1" x14ac:dyDescent="0.35">
      <c r="B2431" s="96" t="s">
        <v>3968</v>
      </c>
      <c r="C2431" s="97">
        <v>512337</v>
      </c>
      <c r="D2431" s="96" t="s">
        <v>388</v>
      </c>
      <c r="E2431" s="96" t="s">
        <v>410</v>
      </c>
    </row>
    <row r="2432" spans="2:5" ht="15" customHeight="1" thickBot="1" x14ac:dyDescent="0.35">
      <c r="B2432" s="96" t="s">
        <v>3969</v>
      </c>
      <c r="C2432" s="97">
        <v>539383</v>
      </c>
      <c r="D2432" s="96" t="s">
        <v>388</v>
      </c>
      <c r="E2432" s="96" t="s">
        <v>374</v>
      </c>
    </row>
    <row r="2433" spans="2:5" ht="15" customHeight="1" thickBot="1" x14ac:dyDescent="0.35">
      <c r="B2433" s="96" t="s">
        <v>3970</v>
      </c>
      <c r="C2433" s="97">
        <v>531648</v>
      </c>
      <c r="D2433" s="96" t="s">
        <v>388</v>
      </c>
      <c r="E2433" s="96" t="s">
        <v>462</v>
      </c>
    </row>
    <row r="2434" spans="2:5" ht="15" customHeight="1" thickBot="1" x14ac:dyDescent="0.35">
      <c r="B2434" s="96" t="s">
        <v>3971</v>
      </c>
      <c r="C2434" s="97">
        <v>542677</v>
      </c>
      <c r="D2434" s="96" t="s">
        <v>3972</v>
      </c>
      <c r="E2434" s="96" t="s">
        <v>474</v>
      </c>
    </row>
    <row r="2435" spans="2:5" ht="15" customHeight="1" thickBot="1" x14ac:dyDescent="0.35">
      <c r="B2435" s="96" t="s">
        <v>3973</v>
      </c>
      <c r="C2435" s="96" t="s">
        <v>388</v>
      </c>
      <c r="D2435" s="96" t="s">
        <v>3974</v>
      </c>
      <c r="E2435" s="96" t="s">
        <v>399</v>
      </c>
    </row>
    <row r="2436" spans="2:5" ht="15" customHeight="1" thickBot="1" x14ac:dyDescent="0.35">
      <c r="B2436" s="96" t="s">
        <v>3975</v>
      </c>
      <c r="C2436" s="96" t="s">
        <v>388</v>
      </c>
      <c r="D2436" s="96" t="s">
        <v>3976</v>
      </c>
      <c r="E2436" s="96" t="s">
        <v>399</v>
      </c>
    </row>
    <row r="2437" spans="2:5" ht="15" customHeight="1" thickBot="1" x14ac:dyDescent="0.35">
      <c r="B2437" s="96" t="s">
        <v>3977</v>
      </c>
      <c r="C2437" s="97">
        <v>532720</v>
      </c>
      <c r="D2437" s="96" t="s">
        <v>3978</v>
      </c>
      <c r="E2437" s="96" t="s">
        <v>405</v>
      </c>
    </row>
    <row r="2438" spans="2:5" ht="15" customHeight="1" thickBot="1" x14ac:dyDescent="0.35">
      <c r="B2438" s="96" t="s">
        <v>3979</v>
      </c>
      <c r="C2438" s="97">
        <v>500520</v>
      </c>
      <c r="D2438" s="96" t="s">
        <v>3980</v>
      </c>
      <c r="E2438" s="96" t="s">
        <v>2317</v>
      </c>
    </row>
    <row r="2439" spans="2:5" ht="15" customHeight="1" thickBot="1" x14ac:dyDescent="0.35">
      <c r="B2439" s="96" t="s">
        <v>3981</v>
      </c>
      <c r="C2439" s="97">
        <v>532756</v>
      </c>
      <c r="D2439" s="96" t="s">
        <v>3982</v>
      </c>
      <c r="E2439" s="96" t="s">
        <v>1307</v>
      </c>
    </row>
    <row r="2440" spans="2:5" ht="15" customHeight="1" thickBot="1" x14ac:dyDescent="0.35">
      <c r="B2440" s="96" t="s">
        <v>3983</v>
      </c>
      <c r="C2440" s="97">
        <v>533088</v>
      </c>
      <c r="D2440" s="96" t="s">
        <v>3984</v>
      </c>
      <c r="E2440" s="96" t="s">
        <v>589</v>
      </c>
    </row>
    <row r="2441" spans="2:5" ht="15" customHeight="1" thickBot="1" x14ac:dyDescent="0.35">
      <c r="B2441" s="96" t="s">
        <v>3985</v>
      </c>
      <c r="C2441" s="97">
        <v>533088</v>
      </c>
      <c r="D2441" s="96" t="s">
        <v>3984</v>
      </c>
      <c r="E2441" s="96" t="s">
        <v>589</v>
      </c>
    </row>
    <row r="2442" spans="2:5" ht="15" customHeight="1" thickBot="1" x14ac:dyDescent="0.35">
      <c r="B2442" s="96" t="s">
        <v>3986</v>
      </c>
      <c r="C2442" s="97">
        <v>532313</v>
      </c>
      <c r="D2442" s="96" t="s">
        <v>3987</v>
      </c>
      <c r="E2442" s="96" t="s">
        <v>474</v>
      </c>
    </row>
    <row r="2443" spans="2:5" ht="15" customHeight="1" thickBot="1" x14ac:dyDescent="0.35">
      <c r="B2443" s="96" t="s">
        <v>3988</v>
      </c>
      <c r="C2443" s="97">
        <v>540768</v>
      </c>
      <c r="D2443" s="96" t="s">
        <v>3989</v>
      </c>
      <c r="E2443" s="96" t="s">
        <v>709</v>
      </c>
    </row>
    <row r="2444" spans="2:5" ht="15" customHeight="1" thickBot="1" x14ac:dyDescent="0.35">
      <c r="B2444" s="96" t="s">
        <v>3990</v>
      </c>
      <c r="C2444" s="97">
        <v>542503</v>
      </c>
      <c r="D2444" s="96" t="s">
        <v>3991</v>
      </c>
      <c r="E2444" s="96" t="s">
        <v>2365</v>
      </c>
    </row>
    <row r="2445" spans="2:5" ht="15" customHeight="1" thickBot="1" x14ac:dyDescent="0.35">
      <c r="B2445" s="96" t="s">
        <v>3992</v>
      </c>
      <c r="C2445" s="97">
        <v>590078</v>
      </c>
      <c r="D2445" s="96" t="s">
        <v>3993</v>
      </c>
      <c r="E2445" s="96" t="s">
        <v>420</v>
      </c>
    </row>
    <row r="2446" spans="2:5" ht="15" customHeight="1" thickBot="1" x14ac:dyDescent="0.35">
      <c r="B2446" s="96" t="s">
        <v>3994</v>
      </c>
      <c r="C2446" s="97">
        <v>513430</v>
      </c>
      <c r="D2446" s="96" t="s">
        <v>388</v>
      </c>
      <c r="E2446" s="96" t="s">
        <v>693</v>
      </c>
    </row>
    <row r="2447" spans="2:5" ht="15" customHeight="1" thickBot="1" x14ac:dyDescent="0.35">
      <c r="B2447" s="96" t="s">
        <v>3995</v>
      </c>
      <c r="C2447" s="97">
        <v>539289</v>
      </c>
      <c r="D2447" s="96" t="s">
        <v>3996</v>
      </c>
      <c r="E2447" s="96" t="s">
        <v>374</v>
      </c>
    </row>
    <row r="2448" spans="2:5" ht="15" customHeight="1" thickBot="1" x14ac:dyDescent="0.35">
      <c r="B2448" s="96" t="s">
        <v>3997</v>
      </c>
      <c r="C2448" s="97">
        <v>500267</v>
      </c>
      <c r="D2448" s="96" t="s">
        <v>388</v>
      </c>
      <c r="E2448" s="96" t="s">
        <v>1046</v>
      </c>
    </row>
    <row r="2449" spans="2:5" ht="15" customHeight="1" thickBot="1" x14ac:dyDescent="0.35">
      <c r="B2449" s="96" t="s">
        <v>3998</v>
      </c>
      <c r="C2449" s="97">
        <v>539229</v>
      </c>
      <c r="D2449" s="96" t="s">
        <v>388</v>
      </c>
      <c r="E2449" s="96" t="s">
        <v>377</v>
      </c>
    </row>
    <row r="2450" spans="2:5" ht="15" customHeight="1" thickBot="1" x14ac:dyDescent="0.35">
      <c r="B2450" s="96" t="s">
        <v>3999</v>
      </c>
      <c r="C2450" s="97">
        <v>506919</v>
      </c>
      <c r="D2450" s="96" t="s">
        <v>388</v>
      </c>
      <c r="E2450" s="96" t="s">
        <v>426</v>
      </c>
    </row>
    <row r="2451" spans="2:5" ht="15" customHeight="1" thickBot="1" x14ac:dyDescent="0.35">
      <c r="B2451" s="96" t="s">
        <v>4000</v>
      </c>
      <c r="C2451" s="97">
        <v>539400</v>
      </c>
      <c r="D2451" s="96" t="s">
        <v>388</v>
      </c>
      <c r="E2451" s="96" t="s">
        <v>502</v>
      </c>
    </row>
    <row r="2452" spans="2:5" ht="15" customHeight="1" thickBot="1" x14ac:dyDescent="0.35">
      <c r="B2452" s="96" t="s">
        <v>4001</v>
      </c>
      <c r="C2452" s="97">
        <v>539400</v>
      </c>
      <c r="D2452" s="96" t="s">
        <v>388</v>
      </c>
      <c r="E2452" s="96" t="s">
        <v>502</v>
      </c>
    </row>
    <row r="2453" spans="2:5" ht="15" customHeight="1" thickBot="1" x14ac:dyDescent="0.35">
      <c r="B2453" s="96" t="s">
        <v>4002</v>
      </c>
      <c r="C2453" s="97">
        <v>532728</v>
      </c>
      <c r="D2453" s="96" t="s">
        <v>4003</v>
      </c>
      <c r="E2453" s="96" t="s">
        <v>382</v>
      </c>
    </row>
    <row r="2454" spans="2:5" ht="15" customHeight="1" thickBot="1" x14ac:dyDescent="0.35">
      <c r="B2454" s="96" t="s">
        <v>4004</v>
      </c>
      <c r="C2454" s="97">
        <v>513269</v>
      </c>
      <c r="D2454" s="96" t="s">
        <v>4005</v>
      </c>
      <c r="E2454" s="96" t="s">
        <v>786</v>
      </c>
    </row>
    <row r="2455" spans="2:5" ht="15" customHeight="1" thickBot="1" x14ac:dyDescent="0.35">
      <c r="B2455" s="96" t="s">
        <v>4006</v>
      </c>
      <c r="C2455" s="97">
        <v>513269</v>
      </c>
      <c r="D2455" s="96" t="s">
        <v>4005</v>
      </c>
      <c r="E2455" s="96" t="s">
        <v>786</v>
      </c>
    </row>
    <row r="2456" spans="2:5" ht="15" customHeight="1" thickBot="1" x14ac:dyDescent="0.35">
      <c r="B2456" s="96" t="s">
        <v>4007</v>
      </c>
      <c r="C2456" s="97">
        <v>533169</v>
      </c>
      <c r="D2456" s="96" t="s">
        <v>4008</v>
      </c>
      <c r="E2456" s="96" t="s">
        <v>786</v>
      </c>
    </row>
    <row r="2457" spans="2:5" ht="15" customHeight="1" thickBot="1" x14ac:dyDescent="0.35">
      <c r="B2457" s="96" t="s">
        <v>4009</v>
      </c>
      <c r="C2457" s="97">
        <v>539045</v>
      </c>
      <c r="D2457" s="96" t="s">
        <v>4010</v>
      </c>
      <c r="E2457" s="96" t="s">
        <v>693</v>
      </c>
    </row>
    <row r="2458" spans="2:5" ht="15" customHeight="1" thickBot="1" x14ac:dyDescent="0.35">
      <c r="B2458" s="96" t="s">
        <v>4011</v>
      </c>
      <c r="C2458" s="97">
        <v>539046</v>
      </c>
      <c r="D2458" s="96" t="s">
        <v>4012</v>
      </c>
      <c r="E2458" s="96" t="s">
        <v>420</v>
      </c>
    </row>
    <row r="2459" spans="2:5" ht="15" customHeight="1" thickBot="1" x14ac:dyDescent="0.35">
      <c r="B2459" s="96" t="s">
        <v>4013</v>
      </c>
      <c r="C2459" s="97">
        <v>532932</v>
      </c>
      <c r="D2459" s="96" t="s">
        <v>4014</v>
      </c>
      <c r="E2459" s="96" t="s">
        <v>583</v>
      </c>
    </row>
    <row r="2460" spans="2:5" ht="15" customHeight="1" thickBot="1" x14ac:dyDescent="0.35">
      <c r="B2460" s="96" t="s">
        <v>4015</v>
      </c>
      <c r="C2460" s="97">
        <v>539044</v>
      </c>
      <c r="D2460" s="96" t="s">
        <v>4016</v>
      </c>
      <c r="E2460" s="96" t="s">
        <v>420</v>
      </c>
    </row>
    <row r="2461" spans="2:5" ht="15" customHeight="1" thickBot="1" x14ac:dyDescent="0.35">
      <c r="B2461" s="96" t="s">
        <v>4017</v>
      </c>
      <c r="C2461" s="97">
        <v>500268</v>
      </c>
      <c r="D2461" s="96" t="s">
        <v>4018</v>
      </c>
      <c r="E2461" s="96" t="s">
        <v>602</v>
      </c>
    </row>
    <row r="2462" spans="2:5" ht="15" customHeight="1" thickBot="1" x14ac:dyDescent="0.35">
      <c r="B2462" s="96" t="s">
        <v>4019</v>
      </c>
      <c r="C2462" s="97">
        <v>531213</v>
      </c>
      <c r="D2462" s="96" t="s">
        <v>4020</v>
      </c>
      <c r="E2462" s="96" t="s">
        <v>405</v>
      </c>
    </row>
    <row r="2463" spans="2:5" ht="15" customHeight="1" thickBot="1" x14ac:dyDescent="0.35">
      <c r="B2463" s="96" t="s">
        <v>4021</v>
      </c>
      <c r="C2463" s="97">
        <v>540402</v>
      </c>
      <c r="D2463" s="96" t="s">
        <v>388</v>
      </c>
      <c r="E2463" s="96" t="s">
        <v>474</v>
      </c>
    </row>
    <row r="2464" spans="2:5" ht="15" customHeight="1" thickBot="1" x14ac:dyDescent="0.35">
      <c r="B2464" s="96" t="s">
        <v>4022</v>
      </c>
      <c r="C2464" s="96" t="s">
        <v>388</v>
      </c>
      <c r="D2464" s="96" t="s">
        <v>4023</v>
      </c>
      <c r="E2464" s="96" t="s">
        <v>399</v>
      </c>
    </row>
    <row r="2465" spans="2:5" ht="15" customHeight="1" thickBot="1" x14ac:dyDescent="0.35">
      <c r="B2465" s="96" t="s">
        <v>4024</v>
      </c>
      <c r="C2465" s="97">
        <v>533204</v>
      </c>
      <c r="D2465" s="96" t="s">
        <v>4025</v>
      </c>
      <c r="E2465" s="96" t="s">
        <v>403</v>
      </c>
    </row>
    <row r="2466" spans="2:5" ht="15" customHeight="1" thickBot="1" x14ac:dyDescent="0.35">
      <c r="B2466" s="96" t="s">
        <v>4026</v>
      </c>
      <c r="C2466" s="97">
        <v>505850</v>
      </c>
      <c r="D2466" s="96" t="s">
        <v>4027</v>
      </c>
      <c r="E2466" s="96" t="s">
        <v>405</v>
      </c>
    </row>
    <row r="2467" spans="2:5" ht="15" customHeight="1" thickBot="1" x14ac:dyDescent="0.35">
      <c r="B2467" s="96" t="s">
        <v>4028</v>
      </c>
      <c r="C2467" s="97">
        <v>502157</v>
      </c>
      <c r="D2467" s="96" t="s">
        <v>4029</v>
      </c>
      <c r="E2467" s="96" t="s">
        <v>401</v>
      </c>
    </row>
    <row r="2468" spans="2:5" ht="15" customHeight="1" thickBot="1" x14ac:dyDescent="0.35">
      <c r="B2468" s="96" t="s">
        <v>4030</v>
      </c>
      <c r="C2468" s="97">
        <v>532637</v>
      </c>
      <c r="D2468" s="96" t="s">
        <v>4031</v>
      </c>
      <c r="E2468" s="96" t="s">
        <v>426</v>
      </c>
    </row>
    <row r="2469" spans="2:5" ht="15" customHeight="1" thickBot="1" x14ac:dyDescent="0.35">
      <c r="B2469" s="96" t="s">
        <v>4032</v>
      </c>
      <c r="C2469" s="97">
        <v>537800</v>
      </c>
      <c r="D2469" s="96" t="s">
        <v>388</v>
      </c>
      <c r="E2469" s="96" t="s">
        <v>405</v>
      </c>
    </row>
    <row r="2470" spans="2:5" ht="15" customHeight="1" thickBot="1" x14ac:dyDescent="0.35">
      <c r="B2470" s="96" t="s">
        <v>4033</v>
      </c>
      <c r="C2470" s="97">
        <v>514418</v>
      </c>
      <c r="D2470" s="96" t="s">
        <v>388</v>
      </c>
      <c r="E2470" s="96" t="s">
        <v>436</v>
      </c>
    </row>
    <row r="2471" spans="2:5" ht="15" customHeight="1" thickBot="1" x14ac:dyDescent="0.35">
      <c r="B2471" s="96" t="s">
        <v>4034</v>
      </c>
      <c r="C2471" s="97">
        <v>539275</v>
      </c>
      <c r="D2471" s="96" t="s">
        <v>388</v>
      </c>
      <c r="E2471" s="96" t="s">
        <v>586</v>
      </c>
    </row>
    <row r="2472" spans="2:5" ht="15" customHeight="1" thickBot="1" x14ac:dyDescent="0.35">
      <c r="B2472" s="96" t="s">
        <v>4035</v>
      </c>
      <c r="C2472" s="97">
        <v>516007</v>
      </c>
      <c r="D2472" s="96" t="s">
        <v>4036</v>
      </c>
      <c r="E2472" s="96" t="s">
        <v>883</v>
      </c>
    </row>
    <row r="2473" spans="2:5" ht="15" customHeight="1" thickBot="1" x14ac:dyDescent="0.35">
      <c r="B2473" s="96" t="s">
        <v>4037</v>
      </c>
      <c r="C2473" s="97">
        <v>530011</v>
      </c>
      <c r="D2473" s="96" t="s">
        <v>4038</v>
      </c>
      <c r="E2473" s="96" t="s">
        <v>896</v>
      </c>
    </row>
    <row r="2474" spans="2:5" ht="15" customHeight="1" thickBot="1" x14ac:dyDescent="0.35">
      <c r="B2474" s="96" t="s">
        <v>4039</v>
      </c>
      <c r="C2474" s="97">
        <v>500109</v>
      </c>
      <c r="D2474" s="96" t="s">
        <v>4040</v>
      </c>
      <c r="E2474" s="96" t="s">
        <v>1316</v>
      </c>
    </row>
    <row r="2475" spans="2:5" ht="15" customHeight="1" thickBot="1" x14ac:dyDescent="0.35">
      <c r="B2475" s="96" t="s">
        <v>4041</v>
      </c>
      <c r="C2475" s="97">
        <v>530243</v>
      </c>
      <c r="D2475" s="96" t="s">
        <v>388</v>
      </c>
      <c r="E2475" s="96" t="s">
        <v>481</v>
      </c>
    </row>
    <row r="2476" spans="2:5" ht="15" customHeight="1" thickBot="1" x14ac:dyDescent="0.35">
      <c r="B2476" s="96" t="s">
        <v>4042</v>
      </c>
      <c r="C2476" s="97">
        <v>507938</v>
      </c>
      <c r="D2476" s="96" t="s">
        <v>388</v>
      </c>
      <c r="E2476" s="96" t="s">
        <v>405</v>
      </c>
    </row>
    <row r="2477" spans="2:5" ht="15" customHeight="1" thickBot="1" x14ac:dyDescent="0.35">
      <c r="B2477" s="96" t="s">
        <v>4043</v>
      </c>
      <c r="C2477" s="97">
        <v>533078</v>
      </c>
      <c r="D2477" s="96" t="s">
        <v>388</v>
      </c>
      <c r="E2477" s="96" t="s">
        <v>474</v>
      </c>
    </row>
    <row r="2478" spans="2:5" ht="15" customHeight="1" thickBot="1" x14ac:dyDescent="0.35">
      <c r="B2478" s="96" t="s">
        <v>4044</v>
      </c>
      <c r="C2478" s="97">
        <v>540396</v>
      </c>
      <c r="D2478" s="96" t="s">
        <v>388</v>
      </c>
      <c r="E2478" s="96" t="s">
        <v>403</v>
      </c>
    </row>
    <row r="2479" spans="2:5" ht="15" customHeight="1" thickBot="1" x14ac:dyDescent="0.35">
      <c r="B2479" s="96" t="s">
        <v>4045</v>
      </c>
      <c r="C2479" s="97">
        <v>540396</v>
      </c>
      <c r="D2479" s="96" t="s">
        <v>388</v>
      </c>
      <c r="E2479" s="96" t="s">
        <v>403</v>
      </c>
    </row>
    <row r="2480" spans="2:5" ht="15" customHeight="1" thickBot="1" x14ac:dyDescent="0.35">
      <c r="B2480" s="96" t="s">
        <v>4046</v>
      </c>
      <c r="C2480" s="97">
        <v>541974</v>
      </c>
      <c r="D2480" s="96" t="s">
        <v>388</v>
      </c>
      <c r="E2480" s="96" t="s">
        <v>637</v>
      </c>
    </row>
    <row r="2481" spans="2:5" ht="15" customHeight="1" thickBot="1" x14ac:dyDescent="0.35">
      <c r="B2481" s="96" t="s">
        <v>4047</v>
      </c>
      <c r="C2481" s="97">
        <v>539207</v>
      </c>
      <c r="D2481" s="96" t="s">
        <v>4048</v>
      </c>
      <c r="E2481" s="96" t="s">
        <v>823</v>
      </c>
    </row>
    <row r="2482" spans="2:5" ht="15" customHeight="1" thickBot="1" x14ac:dyDescent="0.35">
      <c r="B2482" s="96" t="s">
        <v>4049</v>
      </c>
      <c r="C2482" s="97">
        <v>530537</v>
      </c>
      <c r="D2482" s="96" t="s">
        <v>388</v>
      </c>
      <c r="E2482" s="96" t="s">
        <v>446</v>
      </c>
    </row>
    <row r="2483" spans="2:5" ht="15" customHeight="1" thickBot="1" x14ac:dyDescent="0.35">
      <c r="B2483" s="96" t="s">
        <v>4050</v>
      </c>
      <c r="C2483" s="97">
        <v>511758</v>
      </c>
      <c r="D2483" s="96" t="s">
        <v>388</v>
      </c>
      <c r="E2483" s="96" t="s">
        <v>405</v>
      </c>
    </row>
    <row r="2484" spans="2:5" ht="15" customHeight="1" thickBot="1" x14ac:dyDescent="0.35">
      <c r="B2484" s="96" t="s">
        <v>4051</v>
      </c>
      <c r="C2484" s="97">
        <v>512303</v>
      </c>
      <c r="D2484" s="96" t="s">
        <v>388</v>
      </c>
      <c r="E2484" s="96" t="s">
        <v>809</v>
      </c>
    </row>
    <row r="2485" spans="2:5" ht="15" customHeight="1" thickBot="1" x14ac:dyDescent="0.35">
      <c r="B2485" s="96" t="s">
        <v>4052</v>
      </c>
      <c r="C2485" s="97">
        <v>505324</v>
      </c>
      <c r="D2485" s="96" t="s">
        <v>4053</v>
      </c>
      <c r="E2485" s="96" t="s">
        <v>396</v>
      </c>
    </row>
    <row r="2486" spans="2:5" ht="15" customHeight="1" thickBot="1" x14ac:dyDescent="0.35">
      <c r="B2486" s="96" t="s">
        <v>4054</v>
      </c>
      <c r="C2486" s="97">
        <v>505324</v>
      </c>
      <c r="D2486" s="96" t="s">
        <v>4053</v>
      </c>
      <c r="E2486" s="96" t="s">
        <v>396</v>
      </c>
    </row>
    <row r="2487" spans="2:5" ht="15" customHeight="1" thickBot="1" x14ac:dyDescent="0.35">
      <c r="B2487" s="96" t="s">
        <v>4055</v>
      </c>
      <c r="C2487" s="97">
        <v>538970</v>
      </c>
      <c r="D2487" s="96" t="s">
        <v>388</v>
      </c>
      <c r="E2487" s="96" t="s">
        <v>474</v>
      </c>
    </row>
    <row r="2488" spans="2:5" ht="15" customHeight="1" thickBot="1" x14ac:dyDescent="0.35">
      <c r="B2488" s="96" t="s">
        <v>4056</v>
      </c>
      <c r="C2488" s="97">
        <v>521018</v>
      </c>
      <c r="D2488" s="96" t="s">
        <v>4057</v>
      </c>
      <c r="E2488" s="96" t="s">
        <v>403</v>
      </c>
    </row>
    <row r="2489" spans="2:5" ht="15" customHeight="1" thickBot="1" x14ac:dyDescent="0.35">
      <c r="B2489" s="96" t="s">
        <v>4058</v>
      </c>
      <c r="C2489" s="97">
        <v>503101</v>
      </c>
      <c r="D2489" s="96" t="s">
        <v>4059</v>
      </c>
      <c r="E2489" s="96" t="s">
        <v>474</v>
      </c>
    </row>
    <row r="2490" spans="2:5" ht="15" customHeight="1" thickBot="1" x14ac:dyDescent="0.35">
      <c r="B2490" s="96" t="s">
        <v>4060</v>
      </c>
      <c r="C2490" s="97">
        <v>502250</v>
      </c>
      <c r="D2490" s="96" t="s">
        <v>388</v>
      </c>
      <c r="E2490" s="96" t="s">
        <v>916</v>
      </c>
    </row>
    <row r="2491" spans="2:5" ht="15" customHeight="1" thickBot="1" x14ac:dyDescent="0.35">
      <c r="B2491" s="96" t="s">
        <v>4061</v>
      </c>
      <c r="C2491" s="97">
        <v>513544</v>
      </c>
      <c r="D2491" s="96" t="s">
        <v>388</v>
      </c>
      <c r="E2491" s="96" t="s">
        <v>462</v>
      </c>
    </row>
    <row r="2492" spans="2:5" ht="15" customHeight="1" thickBot="1" x14ac:dyDescent="0.35">
      <c r="B2492" s="96" t="s">
        <v>4062</v>
      </c>
      <c r="C2492" s="97">
        <v>530543</v>
      </c>
      <c r="D2492" s="96" t="s">
        <v>388</v>
      </c>
      <c r="E2492" s="96" t="s">
        <v>474</v>
      </c>
    </row>
    <row r="2493" spans="2:5" ht="15" customHeight="1" thickBot="1" x14ac:dyDescent="0.35">
      <c r="B2493" s="96" t="s">
        <v>4063</v>
      </c>
      <c r="C2493" s="97">
        <v>540254</v>
      </c>
      <c r="D2493" s="96" t="s">
        <v>388</v>
      </c>
      <c r="E2493" s="96" t="s">
        <v>405</v>
      </c>
    </row>
    <row r="2494" spans="2:5" ht="15" customHeight="1" thickBot="1" x14ac:dyDescent="0.35">
      <c r="B2494" s="96" t="s">
        <v>4064</v>
      </c>
      <c r="C2494" s="97">
        <v>500206</v>
      </c>
      <c r="D2494" s="96" t="s">
        <v>388</v>
      </c>
      <c r="E2494" s="96" t="s">
        <v>405</v>
      </c>
    </row>
    <row r="2495" spans="2:5" ht="15" customHeight="1" thickBot="1" x14ac:dyDescent="0.35">
      <c r="B2495" s="96" t="s">
        <v>4065</v>
      </c>
      <c r="C2495" s="97">
        <v>531642</v>
      </c>
      <c r="D2495" s="96" t="s">
        <v>4066</v>
      </c>
      <c r="E2495" s="96" t="s">
        <v>570</v>
      </c>
    </row>
    <row r="2496" spans="2:5" ht="15" customHeight="1" thickBot="1" x14ac:dyDescent="0.35">
      <c r="B2496" s="96" t="s">
        <v>4067</v>
      </c>
      <c r="C2496" s="96" t="s">
        <v>388</v>
      </c>
      <c r="D2496" s="96" t="s">
        <v>4068</v>
      </c>
      <c r="E2496" s="96" t="s">
        <v>399</v>
      </c>
    </row>
    <row r="2497" spans="2:5" ht="15" customHeight="1" thickBot="1" x14ac:dyDescent="0.35">
      <c r="B2497" s="96" t="s">
        <v>4069</v>
      </c>
      <c r="C2497" s="96" t="s">
        <v>388</v>
      </c>
      <c r="D2497" s="96" t="s">
        <v>4068</v>
      </c>
      <c r="E2497" s="96" t="s">
        <v>399</v>
      </c>
    </row>
    <row r="2498" spans="2:5" ht="15" customHeight="1" thickBot="1" x14ac:dyDescent="0.35">
      <c r="B2498" s="96" t="s">
        <v>4070</v>
      </c>
      <c r="C2498" s="97">
        <v>531503</v>
      </c>
      <c r="D2498" s="96" t="s">
        <v>388</v>
      </c>
      <c r="E2498" s="96" t="s">
        <v>403</v>
      </c>
    </row>
    <row r="2499" spans="2:5" ht="15" customHeight="1" thickBot="1" x14ac:dyDescent="0.35">
      <c r="B2499" s="96" t="s">
        <v>4071</v>
      </c>
      <c r="C2499" s="97">
        <v>526891</v>
      </c>
      <c r="D2499" s="96" t="s">
        <v>388</v>
      </c>
      <c r="E2499" s="96" t="s">
        <v>371</v>
      </c>
    </row>
    <row r="2500" spans="2:5" ht="15" customHeight="1" thickBot="1" x14ac:dyDescent="0.35">
      <c r="B2500" s="96" t="s">
        <v>4072</v>
      </c>
      <c r="C2500" s="97">
        <v>524404</v>
      </c>
      <c r="D2500" s="96" t="s">
        <v>4073</v>
      </c>
      <c r="E2500" s="96" t="s">
        <v>426</v>
      </c>
    </row>
    <row r="2501" spans="2:5" ht="15" customHeight="1" thickBot="1" x14ac:dyDescent="0.35">
      <c r="B2501" s="96" t="s">
        <v>4074</v>
      </c>
      <c r="C2501" s="96" t="s">
        <v>388</v>
      </c>
      <c r="D2501" s="96" t="s">
        <v>4075</v>
      </c>
      <c r="E2501" s="96" t="s">
        <v>399</v>
      </c>
    </row>
    <row r="2502" spans="2:5" ht="15" customHeight="1" thickBot="1" x14ac:dyDescent="0.35">
      <c r="B2502" s="96" t="s">
        <v>4076</v>
      </c>
      <c r="C2502" s="97">
        <v>517467</v>
      </c>
      <c r="D2502" s="96" t="s">
        <v>388</v>
      </c>
      <c r="E2502" s="96" t="s">
        <v>686</v>
      </c>
    </row>
    <row r="2503" spans="2:5" ht="15" customHeight="1" thickBot="1" x14ac:dyDescent="0.35">
      <c r="B2503" s="96" t="s">
        <v>4077</v>
      </c>
      <c r="C2503" s="97">
        <v>523566</v>
      </c>
      <c r="D2503" s="96" t="s">
        <v>388</v>
      </c>
      <c r="E2503" s="96" t="s">
        <v>474</v>
      </c>
    </row>
    <row r="2504" spans="2:5" ht="15" customHeight="1" thickBot="1" x14ac:dyDescent="0.35">
      <c r="B2504" s="96" t="s">
        <v>4078</v>
      </c>
      <c r="C2504" s="97">
        <v>531540</v>
      </c>
      <c r="D2504" s="96" t="s">
        <v>388</v>
      </c>
      <c r="E2504" s="96" t="s">
        <v>786</v>
      </c>
    </row>
    <row r="2505" spans="2:5" ht="15" customHeight="1" thickBot="1" x14ac:dyDescent="0.35">
      <c r="B2505" s="96" t="s">
        <v>4079</v>
      </c>
      <c r="C2505" s="97">
        <v>531319</v>
      </c>
      <c r="D2505" s="96" t="s">
        <v>388</v>
      </c>
      <c r="E2505" s="96" t="s">
        <v>405</v>
      </c>
    </row>
    <row r="2506" spans="2:5" ht="15" customHeight="1" thickBot="1" x14ac:dyDescent="0.35">
      <c r="B2506" s="96" t="s">
        <v>4080</v>
      </c>
      <c r="C2506" s="97">
        <v>532500</v>
      </c>
      <c r="D2506" s="96" t="s">
        <v>4081</v>
      </c>
      <c r="E2506" s="96" t="s">
        <v>2317</v>
      </c>
    </row>
    <row r="2507" spans="2:5" ht="15" customHeight="1" thickBot="1" x14ac:dyDescent="0.35">
      <c r="B2507" s="96" t="s">
        <v>4082</v>
      </c>
      <c r="C2507" s="97">
        <v>532500</v>
      </c>
      <c r="D2507" s="96" t="s">
        <v>4081</v>
      </c>
      <c r="E2507" s="96" t="s">
        <v>2317</v>
      </c>
    </row>
    <row r="2508" spans="2:5" ht="15" customHeight="1" thickBot="1" x14ac:dyDescent="0.35">
      <c r="B2508" s="96" t="s">
        <v>4083</v>
      </c>
      <c r="C2508" s="96" t="s">
        <v>388</v>
      </c>
      <c r="D2508" s="96" t="s">
        <v>4084</v>
      </c>
      <c r="E2508" s="96" t="s">
        <v>399</v>
      </c>
    </row>
    <row r="2509" spans="2:5" ht="15" customHeight="1" thickBot="1" x14ac:dyDescent="0.35">
      <c r="B2509" s="96" t="s">
        <v>4085</v>
      </c>
      <c r="C2509" s="97">
        <v>540749</v>
      </c>
      <c r="D2509" s="96" t="s">
        <v>4086</v>
      </c>
      <c r="E2509" s="96" t="s">
        <v>405</v>
      </c>
    </row>
    <row r="2510" spans="2:5" ht="15" customHeight="1" thickBot="1" x14ac:dyDescent="0.35">
      <c r="B2510" s="96" t="s">
        <v>4087</v>
      </c>
      <c r="C2510" s="96" t="s">
        <v>388</v>
      </c>
      <c r="D2510" s="96" t="s">
        <v>4088</v>
      </c>
      <c r="E2510" s="96" t="s">
        <v>479</v>
      </c>
    </row>
    <row r="2511" spans="2:5" ht="15" customHeight="1" thickBot="1" x14ac:dyDescent="0.35">
      <c r="B2511" s="96" t="s">
        <v>4089</v>
      </c>
      <c r="C2511" s="97">
        <v>523704</v>
      </c>
      <c r="D2511" s="96" t="s">
        <v>4090</v>
      </c>
      <c r="E2511" s="96" t="s">
        <v>481</v>
      </c>
    </row>
    <row r="2512" spans="2:5" ht="15" customHeight="1" thickBot="1" x14ac:dyDescent="0.35">
      <c r="B2512" s="96" t="s">
        <v>4091</v>
      </c>
      <c r="C2512" s="97">
        <v>506867</v>
      </c>
      <c r="D2512" s="96" t="s">
        <v>388</v>
      </c>
      <c r="E2512" s="96" t="s">
        <v>403</v>
      </c>
    </row>
    <row r="2513" spans="2:5" ht="15" customHeight="1" thickBot="1" x14ac:dyDescent="0.35">
      <c r="B2513" s="96" t="s">
        <v>4092</v>
      </c>
      <c r="C2513" s="97">
        <v>511768</v>
      </c>
      <c r="D2513" s="96" t="s">
        <v>388</v>
      </c>
      <c r="E2513" s="96" t="s">
        <v>405</v>
      </c>
    </row>
    <row r="2514" spans="2:5" ht="15" customHeight="1" thickBot="1" x14ac:dyDescent="0.35">
      <c r="B2514" s="96" t="s">
        <v>4093</v>
      </c>
      <c r="C2514" s="97">
        <v>511688</v>
      </c>
      <c r="D2514" s="96" t="s">
        <v>388</v>
      </c>
      <c r="E2514" s="96" t="s">
        <v>405</v>
      </c>
    </row>
    <row r="2515" spans="2:5" ht="15" customHeight="1" thickBot="1" x14ac:dyDescent="0.35">
      <c r="B2515" s="96" t="s">
        <v>4094</v>
      </c>
      <c r="C2515" s="97">
        <v>540704</v>
      </c>
      <c r="D2515" s="96" t="s">
        <v>4095</v>
      </c>
      <c r="E2515" s="96" t="s">
        <v>394</v>
      </c>
    </row>
    <row r="2516" spans="2:5" ht="15" customHeight="1" thickBot="1" x14ac:dyDescent="0.35">
      <c r="B2516" s="96" t="s">
        <v>4096</v>
      </c>
      <c r="C2516" s="97">
        <v>539219</v>
      </c>
      <c r="D2516" s="96" t="s">
        <v>388</v>
      </c>
      <c r="E2516" s="96" t="s">
        <v>1307</v>
      </c>
    </row>
    <row r="2517" spans="2:5" ht="15" customHeight="1" thickBot="1" x14ac:dyDescent="0.35">
      <c r="B2517" s="96" t="s">
        <v>4097</v>
      </c>
      <c r="C2517" s="97">
        <v>500248</v>
      </c>
      <c r="D2517" s="96" t="s">
        <v>388</v>
      </c>
      <c r="E2517" s="96" t="s">
        <v>508</v>
      </c>
    </row>
    <row r="2518" spans="2:5" ht="15" customHeight="1" thickBot="1" x14ac:dyDescent="0.35">
      <c r="B2518" s="96" t="s">
        <v>4098</v>
      </c>
      <c r="C2518" s="97">
        <v>523371</v>
      </c>
      <c r="D2518" s="96" t="s">
        <v>4099</v>
      </c>
      <c r="E2518" s="96" t="s">
        <v>1087</v>
      </c>
    </row>
    <row r="2519" spans="2:5" ht="15" customHeight="1" thickBot="1" x14ac:dyDescent="0.35">
      <c r="B2519" s="96" t="s">
        <v>4100</v>
      </c>
      <c r="C2519" s="97">
        <v>539981</v>
      </c>
      <c r="D2519" s="96" t="s">
        <v>4101</v>
      </c>
      <c r="E2519" s="96" t="s">
        <v>554</v>
      </c>
    </row>
    <row r="2520" spans="2:5" ht="15" customHeight="1" thickBot="1" x14ac:dyDescent="0.35">
      <c r="B2520" s="96" t="s">
        <v>4102</v>
      </c>
      <c r="C2520" s="97">
        <v>534563</v>
      </c>
      <c r="D2520" s="96" t="s">
        <v>4103</v>
      </c>
      <c r="E2520" s="96" t="s">
        <v>396</v>
      </c>
    </row>
    <row r="2521" spans="2:5" ht="15" customHeight="1" thickBot="1" x14ac:dyDescent="0.35">
      <c r="B2521" s="96" t="s">
        <v>4104</v>
      </c>
      <c r="C2521" s="97">
        <v>500271</v>
      </c>
      <c r="D2521" s="96" t="s">
        <v>4105</v>
      </c>
      <c r="E2521" s="96" t="s">
        <v>2800</v>
      </c>
    </row>
    <row r="2522" spans="2:5" ht="15" customHeight="1" thickBot="1" x14ac:dyDescent="0.35">
      <c r="B2522" s="96" t="s">
        <v>4106</v>
      </c>
      <c r="C2522" s="97">
        <v>539981</v>
      </c>
      <c r="D2522" s="96" t="s">
        <v>4107</v>
      </c>
      <c r="E2522" s="96" t="s">
        <v>554</v>
      </c>
    </row>
    <row r="2523" spans="2:5" ht="15" customHeight="1" thickBot="1" x14ac:dyDescent="0.35">
      <c r="B2523" s="96" t="s">
        <v>4108</v>
      </c>
      <c r="C2523" s="97">
        <v>539940</v>
      </c>
      <c r="D2523" s="96" t="s">
        <v>4109</v>
      </c>
      <c r="E2523" s="96" t="s">
        <v>554</v>
      </c>
    </row>
    <row r="2524" spans="2:5" ht="15" customHeight="1" thickBot="1" x14ac:dyDescent="0.35">
      <c r="B2524" s="96" t="s">
        <v>4110</v>
      </c>
      <c r="C2524" s="97">
        <v>534338</v>
      </c>
      <c r="D2524" s="96" t="s">
        <v>388</v>
      </c>
      <c r="E2524" s="96" t="s">
        <v>474</v>
      </c>
    </row>
    <row r="2525" spans="2:5" ht="15" customHeight="1" thickBot="1" x14ac:dyDescent="0.35">
      <c r="B2525" s="96" t="s">
        <v>4111</v>
      </c>
      <c r="C2525" s="97">
        <v>526538</v>
      </c>
      <c r="D2525" s="96" t="s">
        <v>388</v>
      </c>
      <c r="E2525" s="96" t="s">
        <v>426</v>
      </c>
    </row>
    <row r="2526" spans="2:5" ht="15" customHeight="1" thickBot="1" x14ac:dyDescent="0.35">
      <c r="B2526" s="96" t="s">
        <v>4112</v>
      </c>
      <c r="C2526" s="97">
        <v>540401</v>
      </c>
      <c r="D2526" s="96" t="s">
        <v>388</v>
      </c>
      <c r="E2526" s="96" t="s">
        <v>410</v>
      </c>
    </row>
    <row r="2527" spans="2:5" ht="15" customHeight="1" thickBot="1" x14ac:dyDescent="0.35">
      <c r="B2527" s="96" t="s">
        <v>4113</v>
      </c>
      <c r="C2527" s="97">
        <v>539519</v>
      </c>
      <c r="D2527" s="96" t="s">
        <v>388</v>
      </c>
      <c r="E2527" s="96" t="s">
        <v>422</v>
      </c>
    </row>
    <row r="2528" spans="2:5" ht="15" customHeight="1" thickBot="1" x14ac:dyDescent="0.35">
      <c r="B2528" s="96" t="s">
        <v>4114</v>
      </c>
      <c r="C2528" s="97">
        <v>531221</v>
      </c>
      <c r="D2528" s="96" t="s">
        <v>388</v>
      </c>
      <c r="E2528" s="96" t="s">
        <v>916</v>
      </c>
    </row>
    <row r="2529" spans="2:5" ht="15" customHeight="1" thickBot="1" x14ac:dyDescent="0.35">
      <c r="B2529" s="96" t="s">
        <v>4115</v>
      </c>
      <c r="C2529" s="97">
        <v>531680</v>
      </c>
      <c r="D2529" s="96" t="s">
        <v>388</v>
      </c>
      <c r="E2529" s="96" t="s">
        <v>502</v>
      </c>
    </row>
    <row r="2530" spans="2:5" ht="15" customHeight="1" thickBot="1" x14ac:dyDescent="0.35">
      <c r="B2530" s="96" t="s">
        <v>4116</v>
      </c>
      <c r="C2530" s="97">
        <v>522249</v>
      </c>
      <c r="D2530" s="96" t="s">
        <v>4117</v>
      </c>
      <c r="E2530" s="96" t="s">
        <v>403</v>
      </c>
    </row>
    <row r="2531" spans="2:5" ht="15" customHeight="1" thickBot="1" x14ac:dyDescent="0.35">
      <c r="B2531" s="96" t="s">
        <v>4118</v>
      </c>
      <c r="C2531" s="97">
        <v>523792</v>
      </c>
      <c r="D2531" s="96" t="s">
        <v>4119</v>
      </c>
      <c r="E2531" s="96" t="s">
        <v>396</v>
      </c>
    </row>
    <row r="2532" spans="2:5" ht="15" customHeight="1" thickBot="1" x14ac:dyDescent="0.35">
      <c r="B2532" s="96" t="s">
        <v>4120</v>
      </c>
      <c r="C2532" s="97">
        <v>533152</v>
      </c>
      <c r="D2532" s="96" t="s">
        <v>4121</v>
      </c>
      <c r="E2532" s="96" t="s">
        <v>786</v>
      </c>
    </row>
    <row r="2533" spans="2:5" ht="15" customHeight="1" thickBot="1" x14ac:dyDescent="0.35">
      <c r="B2533" s="96" t="s">
        <v>4122</v>
      </c>
      <c r="C2533" s="97">
        <v>532852</v>
      </c>
      <c r="D2533" s="96" t="s">
        <v>4123</v>
      </c>
      <c r="E2533" s="96" t="s">
        <v>408</v>
      </c>
    </row>
    <row r="2534" spans="2:5" ht="15" customHeight="1" thickBot="1" x14ac:dyDescent="0.35">
      <c r="B2534" s="96" t="s">
        <v>4124</v>
      </c>
      <c r="C2534" s="97">
        <v>532654</v>
      </c>
      <c r="D2534" s="96" t="s">
        <v>4125</v>
      </c>
      <c r="E2534" s="96" t="s">
        <v>795</v>
      </c>
    </row>
    <row r="2535" spans="2:5" ht="15" customHeight="1" thickBot="1" x14ac:dyDescent="0.35">
      <c r="B2535" s="96" t="s">
        <v>4126</v>
      </c>
      <c r="C2535" s="97">
        <v>532654</v>
      </c>
      <c r="D2535" s="96" t="s">
        <v>4125</v>
      </c>
      <c r="E2535" s="96" t="s">
        <v>795</v>
      </c>
    </row>
    <row r="2536" spans="2:5" ht="15" customHeight="1" thickBot="1" x14ac:dyDescent="0.35">
      <c r="B2536" s="96" t="s">
        <v>4127</v>
      </c>
      <c r="C2536" s="97">
        <v>532629</v>
      </c>
      <c r="D2536" s="96" t="s">
        <v>4128</v>
      </c>
      <c r="E2536" s="96" t="s">
        <v>786</v>
      </c>
    </row>
    <row r="2537" spans="2:5" ht="15" customHeight="1" thickBot="1" x14ac:dyDescent="0.35">
      <c r="B2537" s="96" t="s">
        <v>4129</v>
      </c>
      <c r="C2537" s="97">
        <v>512267</v>
      </c>
      <c r="D2537" s="96" t="s">
        <v>388</v>
      </c>
      <c r="E2537" s="96" t="s">
        <v>391</v>
      </c>
    </row>
    <row r="2538" spans="2:5" ht="15" customHeight="1" thickBot="1" x14ac:dyDescent="0.35">
      <c r="B2538" s="96" t="s">
        <v>4130</v>
      </c>
      <c r="C2538" s="97">
        <v>531146</v>
      </c>
      <c r="D2538" s="96" t="s">
        <v>388</v>
      </c>
      <c r="E2538" s="96" t="s">
        <v>426</v>
      </c>
    </row>
    <row r="2539" spans="2:5" ht="15" customHeight="1" thickBot="1" x14ac:dyDescent="0.35">
      <c r="B2539" s="96" t="s">
        <v>4131</v>
      </c>
      <c r="C2539" s="97">
        <v>523144</v>
      </c>
      <c r="D2539" s="96" t="s">
        <v>388</v>
      </c>
      <c r="E2539" s="96" t="s">
        <v>426</v>
      </c>
    </row>
    <row r="2540" spans="2:5" ht="15" customHeight="1" thickBot="1" x14ac:dyDescent="0.35">
      <c r="B2540" s="96" t="s">
        <v>4132</v>
      </c>
      <c r="C2540" s="97">
        <v>539938</v>
      </c>
      <c r="D2540" s="96" t="s">
        <v>4133</v>
      </c>
      <c r="E2540" s="96" t="s">
        <v>371</v>
      </c>
    </row>
    <row r="2541" spans="2:5" ht="15" customHeight="1" thickBot="1" x14ac:dyDescent="0.35">
      <c r="B2541" s="96" t="s">
        <v>4134</v>
      </c>
      <c r="C2541" s="97">
        <v>540937</v>
      </c>
      <c r="D2541" s="96" t="s">
        <v>388</v>
      </c>
      <c r="E2541" s="96" t="s">
        <v>426</v>
      </c>
    </row>
    <row r="2542" spans="2:5" ht="15" customHeight="1" thickBot="1" x14ac:dyDescent="0.35">
      <c r="B2542" s="96" t="s">
        <v>4135</v>
      </c>
      <c r="C2542" s="97">
        <v>526301</v>
      </c>
      <c r="D2542" s="96" t="s">
        <v>388</v>
      </c>
      <c r="E2542" s="96" t="s">
        <v>577</v>
      </c>
    </row>
    <row r="2543" spans="2:5" ht="15" customHeight="1" thickBot="1" x14ac:dyDescent="0.35">
      <c r="B2543" s="96" t="s">
        <v>4136</v>
      </c>
      <c r="C2543" s="97">
        <v>538834</v>
      </c>
      <c r="D2543" s="96" t="s">
        <v>388</v>
      </c>
      <c r="E2543" s="96" t="s">
        <v>405</v>
      </c>
    </row>
    <row r="2544" spans="2:5" ht="15" customHeight="1" thickBot="1" x14ac:dyDescent="0.35">
      <c r="B2544" s="96" t="s">
        <v>4137</v>
      </c>
      <c r="C2544" s="97">
        <v>512505</v>
      </c>
      <c r="D2544" s="96" t="s">
        <v>388</v>
      </c>
      <c r="E2544" s="96" t="s">
        <v>711</v>
      </c>
    </row>
    <row r="2545" spans="2:5" ht="15" customHeight="1" thickBot="1" x14ac:dyDescent="0.35">
      <c r="B2545" s="96" t="s">
        <v>4138</v>
      </c>
      <c r="C2545" s="97">
        <v>540519</v>
      </c>
      <c r="D2545" s="96" t="s">
        <v>388</v>
      </c>
      <c r="E2545" s="96" t="s">
        <v>396</v>
      </c>
    </row>
    <row r="2546" spans="2:5" ht="15" customHeight="1" thickBot="1" x14ac:dyDescent="0.35">
      <c r="B2546" s="96" t="s">
        <v>4139</v>
      </c>
      <c r="C2546" s="97">
        <v>511276</v>
      </c>
      <c r="D2546" s="96" t="s">
        <v>388</v>
      </c>
      <c r="E2546" s="96" t="s">
        <v>586</v>
      </c>
    </row>
    <row r="2547" spans="2:5" ht="15" customHeight="1" thickBot="1" x14ac:dyDescent="0.35">
      <c r="B2547" s="96" t="s">
        <v>4140</v>
      </c>
      <c r="C2547" s="97">
        <v>531176</v>
      </c>
      <c r="D2547" s="96" t="s">
        <v>388</v>
      </c>
      <c r="E2547" s="96" t="s">
        <v>405</v>
      </c>
    </row>
    <row r="2548" spans="2:5" ht="15" customHeight="1" thickBot="1" x14ac:dyDescent="0.35">
      <c r="B2548" s="96" t="s">
        <v>4141</v>
      </c>
      <c r="C2548" s="97">
        <v>531417</v>
      </c>
      <c r="D2548" s="96" t="s">
        <v>388</v>
      </c>
      <c r="E2548" s="96" t="s">
        <v>405</v>
      </c>
    </row>
    <row r="2549" spans="2:5" ht="15" customHeight="1" thickBot="1" x14ac:dyDescent="0.35">
      <c r="B2549" s="96" t="s">
        <v>4142</v>
      </c>
      <c r="C2549" s="97">
        <v>532105</v>
      </c>
      <c r="D2549" s="96" t="s">
        <v>388</v>
      </c>
      <c r="E2549" s="96" t="s">
        <v>809</v>
      </c>
    </row>
    <row r="2550" spans="2:5" ht="15" customHeight="1" thickBot="1" x14ac:dyDescent="0.35">
      <c r="B2550" s="96" t="s">
        <v>4143</v>
      </c>
      <c r="C2550" s="97">
        <v>532105</v>
      </c>
      <c r="D2550" s="96" t="s">
        <v>388</v>
      </c>
      <c r="E2550" s="96" t="s">
        <v>809</v>
      </c>
    </row>
    <row r="2551" spans="2:5" ht="15" customHeight="1" thickBot="1" x14ac:dyDescent="0.35">
      <c r="B2551" s="96" t="s">
        <v>4144</v>
      </c>
      <c r="C2551" s="97">
        <v>539767</v>
      </c>
      <c r="D2551" s="96" t="s">
        <v>388</v>
      </c>
      <c r="E2551" s="96" t="s">
        <v>474</v>
      </c>
    </row>
    <row r="2552" spans="2:5" ht="15" customHeight="1" thickBot="1" x14ac:dyDescent="0.35">
      <c r="B2552" s="96" t="s">
        <v>4145</v>
      </c>
      <c r="C2552" s="97">
        <v>532408</v>
      </c>
      <c r="D2552" s="96" t="s">
        <v>4146</v>
      </c>
      <c r="E2552" s="96" t="s">
        <v>481</v>
      </c>
    </row>
    <row r="2553" spans="2:5" ht="15" customHeight="1" thickBot="1" x14ac:dyDescent="0.35">
      <c r="B2553" s="96" t="s">
        <v>4147</v>
      </c>
      <c r="C2553" s="97">
        <v>541352</v>
      </c>
      <c r="D2553" s="96" t="s">
        <v>388</v>
      </c>
      <c r="E2553" s="96" t="s">
        <v>468</v>
      </c>
    </row>
    <row r="2554" spans="2:5" ht="15" customHeight="1" thickBot="1" x14ac:dyDescent="0.35">
      <c r="B2554" s="96" t="s">
        <v>4148</v>
      </c>
      <c r="C2554" s="97">
        <v>532865</v>
      </c>
      <c r="D2554" s="96" t="s">
        <v>4149</v>
      </c>
      <c r="E2554" s="96" t="s">
        <v>548</v>
      </c>
    </row>
    <row r="2555" spans="2:5" ht="15" customHeight="1" thickBot="1" x14ac:dyDescent="0.35">
      <c r="B2555" s="96" t="s">
        <v>4150</v>
      </c>
      <c r="C2555" s="97">
        <v>511367</v>
      </c>
      <c r="D2555" s="96" t="s">
        <v>388</v>
      </c>
      <c r="E2555" s="96" t="s">
        <v>405</v>
      </c>
    </row>
    <row r="2556" spans="2:5" ht="15" customHeight="1" thickBot="1" x14ac:dyDescent="0.35">
      <c r="B2556" s="96" t="s">
        <v>4151</v>
      </c>
      <c r="C2556" s="97">
        <v>511367</v>
      </c>
      <c r="D2556" s="96" t="s">
        <v>388</v>
      </c>
      <c r="E2556" s="96" t="s">
        <v>405</v>
      </c>
    </row>
    <row r="2557" spans="2:5" ht="15" customHeight="1" thickBot="1" x14ac:dyDescent="0.35">
      <c r="B2557" s="96" t="s">
        <v>4152</v>
      </c>
      <c r="C2557" s="97">
        <v>539012</v>
      </c>
      <c r="D2557" s="96" t="s">
        <v>388</v>
      </c>
      <c r="E2557" s="96" t="s">
        <v>394</v>
      </c>
    </row>
    <row r="2558" spans="2:5" ht="15" customHeight="1" thickBot="1" x14ac:dyDescent="0.35">
      <c r="B2558" s="96" t="s">
        <v>4153</v>
      </c>
      <c r="C2558" s="97">
        <v>540730</v>
      </c>
      <c r="D2558" s="96" t="s">
        <v>388</v>
      </c>
      <c r="E2558" s="96" t="s">
        <v>410</v>
      </c>
    </row>
    <row r="2559" spans="2:5" ht="15" customHeight="1" thickBot="1" x14ac:dyDescent="0.35">
      <c r="B2559" s="96" t="s">
        <v>4154</v>
      </c>
      <c r="C2559" s="97">
        <v>511740</v>
      </c>
      <c r="D2559" s="96" t="s">
        <v>388</v>
      </c>
      <c r="E2559" s="96" t="s">
        <v>446</v>
      </c>
    </row>
    <row r="2560" spans="2:5" ht="15" customHeight="1" thickBot="1" x14ac:dyDescent="0.35">
      <c r="B2560" s="96" t="s">
        <v>4155</v>
      </c>
      <c r="C2560" s="97">
        <v>511377</v>
      </c>
      <c r="D2560" s="96" t="s">
        <v>388</v>
      </c>
      <c r="E2560" s="96" t="s">
        <v>405</v>
      </c>
    </row>
    <row r="2561" spans="2:5" ht="15" customHeight="1" thickBot="1" x14ac:dyDescent="0.35">
      <c r="B2561" s="96" t="s">
        <v>4156</v>
      </c>
      <c r="C2561" s="97">
        <v>511738</v>
      </c>
      <c r="D2561" s="96" t="s">
        <v>388</v>
      </c>
      <c r="E2561" s="96" t="s">
        <v>371</v>
      </c>
    </row>
    <row r="2562" spans="2:5" ht="15" customHeight="1" thickBot="1" x14ac:dyDescent="0.35">
      <c r="B2562" s="96" t="s">
        <v>4157</v>
      </c>
      <c r="C2562" s="97">
        <v>532307</v>
      </c>
      <c r="D2562" s="96" t="s">
        <v>4158</v>
      </c>
      <c r="E2562" s="96" t="s">
        <v>481</v>
      </c>
    </row>
    <row r="2563" spans="2:5" ht="15" customHeight="1" thickBot="1" x14ac:dyDescent="0.35">
      <c r="B2563" s="96" t="s">
        <v>4159</v>
      </c>
      <c r="C2563" s="97">
        <v>531127</v>
      </c>
      <c r="D2563" s="96" t="s">
        <v>388</v>
      </c>
      <c r="E2563" s="96" t="s">
        <v>405</v>
      </c>
    </row>
    <row r="2564" spans="2:5" ht="15" customHeight="1" thickBot="1" x14ac:dyDescent="0.35">
      <c r="B2564" s="96" t="s">
        <v>4160</v>
      </c>
      <c r="C2564" s="97">
        <v>523828</v>
      </c>
      <c r="D2564" s="96" t="s">
        <v>4161</v>
      </c>
      <c r="E2564" s="96" t="s">
        <v>743</v>
      </c>
    </row>
    <row r="2565" spans="2:5" ht="15" customHeight="1" thickBot="1" x14ac:dyDescent="0.35">
      <c r="B2565" s="96" t="s">
        <v>4162</v>
      </c>
      <c r="C2565" s="97">
        <v>531727</v>
      </c>
      <c r="D2565" s="96" t="s">
        <v>388</v>
      </c>
      <c r="E2565" s="96" t="s">
        <v>743</v>
      </c>
    </row>
    <row r="2566" spans="2:5" ht="15" customHeight="1" thickBot="1" x14ac:dyDescent="0.35">
      <c r="B2566" s="96" t="s">
        <v>4163</v>
      </c>
      <c r="C2566" s="97">
        <v>539126</v>
      </c>
      <c r="D2566" s="96" t="s">
        <v>4164</v>
      </c>
      <c r="E2566" s="96" t="s">
        <v>983</v>
      </c>
    </row>
    <row r="2567" spans="2:5" ht="15" customHeight="1" thickBot="1" x14ac:dyDescent="0.35">
      <c r="B2567" s="96" t="s">
        <v>4165</v>
      </c>
      <c r="C2567" s="97">
        <v>538942</v>
      </c>
      <c r="D2567" s="96" t="s">
        <v>388</v>
      </c>
      <c r="E2567" s="96" t="s">
        <v>809</v>
      </c>
    </row>
    <row r="2568" spans="2:5" ht="15" customHeight="1" thickBot="1" x14ac:dyDescent="0.35">
      <c r="B2568" s="96" t="s">
        <v>4166</v>
      </c>
      <c r="C2568" s="97">
        <v>526235</v>
      </c>
      <c r="D2568" s="96" t="s">
        <v>4167</v>
      </c>
      <c r="E2568" s="96" t="s">
        <v>377</v>
      </c>
    </row>
    <row r="2569" spans="2:5" ht="15" customHeight="1" thickBot="1" x14ac:dyDescent="0.35">
      <c r="B2569" s="96" t="s">
        <v>4168</v>
      </c>
      <c r="C2569" s="97">
        <v>500126</v>
      </c>
      <c r="D2569" s="96" t="s">
        <v>4169</v>
      </c>
      <c r="E2569" s="96" t="s">
        <v>426</v>
      </c>
    </row>
    <row r="2570" spans="2:5" ht="15" customHeight="1" thickBot="1" x14ac:dyDescent="0.35">
      <c r="B2570" s="96" t="s">
        <v>4170</v>
      </c>
      <c r="C2570" s="97">
        <v>538964</v>
      </c>
      <c r="D2570" s="96" t="s">
        <v>388</v>
      </c>
      <c r="E2570" s="96" t="s">
        <v>426</v>
      </c>
    </row>
    <row r="2571" spans="2:5" ht="15" customHeight="1" thickBot="1" x14ac:dyDescent="0.35">
      <c r="B2571" s="96" t="s">
        <v>4171</v>
      </c>
      <c r="C2571" s="97">
        <v>531357</v>
      </c>
      <c r="D2571" s="96" t="s">
        <v>388</v>
      </c>
      <c r="E2571" s="96" t="s">
        <v>410</v>
      </c>
    </row>
    <row r="2572" spans="2:5" ht="15" customHeight="1" thickBot="1" x14ac:dyDescent="0.35">
      <c r="B2572" s="96" t="s">
        <v>4172</v>
      </c>
      <c r="C2572" s="97">
        <v>512415</v>
      </c>
      <c r="D2572" s="96" t="s">
        <v>388</v>
      </c>
      <c r="E2572" s="96" t="s">
        <v>809</v>
      </c>
    </row>
    <row r="2573" spans="2:5" ht="15" customHeight="1" thickBot="1" x14ac:dyDescent="0.35">
      <c r="B2573" s="96" t="s">
        <v>4173</v>
      </c>
      <c r="C2573" s="97">
        <v>500274</v>
      </c>
      <c r="D2573" s="96" t="s">
        <v>388</v>
      </c>
      <c r="E2573" s="96" t="s">
        <v>426</v>
      </c>
    </row>
    <row r="2574" spans="2:5" ht="15" customHeight="1" thickBot="1" x14ac:dyDescent="0.35">
      <c r="B2574" s="96" t="s">
        <v>4174</v>
      </c>
      <c r="C2574" s="97">
        <v>531810</v>
      </c>
      <c r="D2574" s="96" t="s">
        <v>388</v>
      </c>
      <c r="E2574" s="96" t="s">
        <v>711</v>
      </c>
    </row>
    <row r="2575" spans="2:5" ht="15" customHeight="1" thickBot="1" x14ac:dyDescent="0.35">
      <c r="B2575" s="96" t="s">
        <v>4175</v>
      </c>
      <c r="C2575" s="97">
        <v>531810</v>
      </c>
      <c r="D2575" s="96" t="s">
        <v>388</v>
      </c>
      <c r="E2575" s="96" t="s">
        <v>711</v>
      </c>
    </row>
    <row r="2576" spans="2:5" ht="15" customHeight="1" thickBot="1" x14ac:dyDescent="0.35">
      <c r="B2576" s="96" t="s">
        <v>4176</v>
      </c>
      <c r="C2576" s="97">
        <v>513335</v>
      </c>
      <c r="D2576" s="96" t="s">
        <v>4177</v>
      </c>
      <c r="E2576" s="96" t="s">
        <v>1307</v>
      </c>
    </row>
    <row r="2577" spans="2:5" ht="15" customHeight="1" thickBot="1" x14ac:dyDescent="0.35">
      <c r="B2577" s="96" t="s">
        <v>4178</v>
      </c>
      <c r="C2577" s="97">
        <v>532990</v>
      </c>
      <c r="D2577" s="96" t="s">
        <v>4179</v>
      </c>
      <c r="E2577" s="96" t="s">
        <v>420</v>
      </c>
    </row>
    <row r="2578" spans="2:5" ht="15" customHeight="1" thickBot="1" x14ac:dyDescent="0.35">
      <c r="B2578" s="96" t="s">
        <v>4180</v>
      </c>
      <c r="C2578" s="97">
        <v>500159</v>
      </c>
      <c r="D2578" s="96" t="s">
        <v>388</v>
      </c>
      <c r="E2578" s="96" t="s">
        <v>382</v>
      </c>
    </row>
    <row r="2579" spans="2:5" ht="15" customHeight="1" thickBot="1" x14ac:dyDescent="0.35">
      <c r="B2579" s="96" t="s">
        <v>4181</v>
      </c>
      <c r="C2579" s="97">
        <v>542650</v>
      </c>
      <c r="D2579" s="96" t="s">
        <v>4182</v>
      </c>
      <c r="E2579" s="96" t="s">
        <v>577</v>
      </c>
    </row>
    <row r="2580" spans="2:5" ht="15" customHeight="1" thickBot="1" x14ac:dyDescent="0.35">
      <c r="B2580" s="96" t="s">
        <v>4183</v>
      </c>
      <c r="C2580" s="97">
        <v>540150</v>
      </c>
      <c r="D2580" s="96" t="s">
        <v>388</v>
      </c>
      <c r="E2580" s="96" t="s">
        <v>786</v>
      </c>
    </row>
    <row r="2581" spans="2:5" ht="15" customHeight="1" thickBot="1" x14ac:dyDescent="0.35">
      <c r="B2581" s="96" t="s">
        <v>4184</v>
      </c>
      <c r="C2581" s="97">
        <v>513496</v>
      </c>
      <c r="D2581" s="96" t="s">
        <v>388</v>
      </c>
      <c r="E2581" s="96" t="s">
        <v>2902</v>
      </c>
    </row>
    <row r="2582" spans="2:5" ht="15" customHeight="1" thickBot="1" x14ac:dyDescent="0.35">
      <c r="B2582" s="96" t="s">
        <v>4185</v>
      </c>
      <c r="C2582" s="97">
        <v>531613</v>
      </c>
      <c r="D2582" s="96" t="s">
        <v>4186</v>
      </c>
      <c r="E2582" s="96" t="s">
        <v>944</v>
      </c>
    </row>
    <row r="2583" spans="2:5" ht="15" customHeight="1" thickBot="1" x14ac:dyDescent="0.35">
      <c r="B2583" s="96" t="s">
        <v>4187</v>
      </c>
      <c r="C2583" s="97">
        <v>526622</v>
      </c>
      <c r="D2583" s="96" t="s">
        <v>388</v>
      </c>
      <c r="E2583" s="96" t="s">
        <v>709</v>
      </c>
    </row>
    <row r="2584" spans="2:5" ht="15" customHeight="1" thickBot="1" x14ac:dyDescent="0.35">
      <c r="B2584" s="96" t="s">
        <v>4188</v>
      </c>
      <c r="C2584" s="97">
        <v>526622</v>
      </c>
      <c r="D2584" s="96" t="s">
        <v>388</v>
      </c>
      <c r="E2584" s="96" t="s">
        <v>709</v>
      </c>
    </row>
    <row r="2585" spans="2:5" ht="15" customHeight="1" thickBot="1" x14ac:dyDescent="0.35">
      <c r="B2585" s="96" t="s">
        <v>4189</v>
      </c>
      <c r="C2585" s="97">
        <v>513721</v>
      </c>
      <c r="D2585" s="96" t="s">
        <v>388</v>
      </c>
      <c r="E2585" s="96" t="s">
        <v>420</v>
      </c>
    </row>
    <row r="2586" spans="2:5" ht="15" customHeight="1" thickBot="1" x14ac:dyDescent="0.35">
      <c r="B2586" s="96" t="s">
        <v>4190</v>
      </c>
      <c r="C2586" s="97">
        <v>532850</v>
      </c>
      <c r="D2586" s="96" t="s">
        <v>4191</v>
      </c>
      <c r="E2586" s="96" t="s">
        <v>930</v>
      </c>
    </row>
    <row r="2587" spans="2:5" ht="15" customHeight="1" thickBot="1" x14ac:dyDescent="0.35">
      <c r="B2587" s="96" t="s">
        <v>4192</v>
      </c>
      <c r="C2587" s="97">
        <v>523343</v>
      </c>
      <c r="D2587" s="96" t="s">
        <v>388</v>
      </c>
      <c r="E2587" s="96" t="s">
        <v>405</v>
      </c>
    </row>
    <row r="2588" spans="2:5" ht="15" customHeight="1" thickBot="1" x14ac:dyDescent="0.35">
      <c r="B2588" s="96" t="s">
        <v>4193</v>
      </c>
      <c r="C2588" s="97">
        <v>523343</v>
      </c>
      <c r="D2588" s="96" t="s">
        <v>388</v>
      </c>
      <c r="E2588" s="96" t="s">
        <v>405</v>
      </c>
    </row>
    <row r="2589" spans="2:5" ht="15" customHeight="1" thickBot="1" x14ac:dyDescent="0.35">
      <c r="B2589" s="96" t="s">
        <v>4194</v>
      </c>
      <c r="C2589" s="97">
        <v>526251</v>
      </c>
      <c r="D2589" s="96" t="s">
        <v>388</v>
      </c>
      <c r="E2589" s="96" t="s">
        <v>371</v>
      </c>
    </row>
    <row r="2590" spans="2:5" ht="15" customHeight="1" thickBot="1" x14ac:dyDescent="0.35">
      <c r="B2590" s="96" t="s">
        <v>4195</v>
      </c>
      <c r="C2590" s="97">
        <v>500277</v>
      </c>
      <c r="D2590" s="96" t="s">
        <v>388</v>
      </c>
      <c r="E2590" s="96" t="s">
        <v>403</v>
      </c>
    </row>
    <row r="2591" spans="2:5" ht="15" customHeight="1" thickBot="1" x14ac:dyDescent="0.35">
      <c r="B2591" s="96" t="s">
        <v>4196</v>
      </c>
      <c r="C2591" s="97">
        <v>531192</v>
      </c>
      <c r="D2591" s="96" t="s">
        <v>388</v>
      </c>
      <c r="E2591" s="96" t="s">
        <v>405</v>
      </c>
    </row>
    <row r="2592" spans="2:5" ht="15" customHeight="1" thickBot="1" x14ac:dyDescent="0.35">
      <c r="B2592" s="96" t="s">
        <v>4197</v>
      </c>
      <c r="C2592" s="97">
        <v>540744</v>
      </c>
      <c r="D2592" s="96" t="s">
        <v>388</v>
      </c>
      <c r="E2592" s="96" t="s">
        <v>420</v>
      </c>
    </row>
    <row r="2593" spans="2:5" ht="15" customHeight="1" thickBot="1" x14ac:dyDescent="0.35">
      <c r="B2593" s="96" t="s">
        <v>4198</v>
      </c>
      <c r="C2593" s="97">
        <v>533310</v>
      </c>
      <c r="D2593" s="96" t="s">
        <v>4199</v>
      </c>
      <c r="E2593" s="96" t="s">
        <v>4200</v>
      </c>
    </row>
    <row r="2594" spans="2:5" ht="15" customHeight="1" thickBot="1" x14ac:dyDescent="0.35">
      <c r="B2594" s="96" t="s">
        <v>4201</v>
      </c>
      <c r="C2594" s="97">
        <v>526570</v>
      </c>
      <c r="D2594" s="96" t="s">
        <v>388</v>
      </c>
      <c r="E2594" s="96" t="s">
        <v>916</v>
      </c>
    </row>
    <row r="2595" spans="2:5" ht="15" customHeight="1" thickBot="1" x14ac:dyDescent="0.35">
      <c r="B2595" s="96" t="s">
        <v>4202</v>
      </c>
      <c r="C2595" s="97">
        <v>538895</v>
      </c>
      <c r="D2595" s="96" t="s">
        <v>388</v>
      </c>
      <c r="E2595" s="96" t="s">
        <v>410</v>
      </c>
    </row>
    <row r="2596" spans="2:5" ht="15" customHeight="1" thickBot="1" x14ac:dyDescent="0.35">
      <c r="B2596" s="96" t="s">
        <v>4203</v>
      </c>
      <c r="C2596" s="97">
        <v>541337</v>
      </c>
      <c r="D2596" s="96" t="s">
        <v>388</v>
      </c>
      <c r="E2596" s="96" t="s">
        <v>665</v>
      </c>
    </row>
    <row r="2597" spans="2:5" ht="15" customHeight="1" thickBot="1" x14ac:dyDescent="0.35">
      <c r="B2597" s="96" t="s">
        <v>4204</v>
      </c>
      <c r="C2597" s="97">
        <v>531338</v>
      </c>
      <c r="D2597" s="96" t="s">
        <v>388</v>
      </c>
      <c r="E2597" s="96" t="s">
        <v>916</v>
      </c>
    </row>
    <row r="2598" spans="2:5" ht="15" customHeight="1" thickBot="1" x14ac:dyDescent="0.35">
      <c r="B2598" s="96" t="s">
        <v>4205</v>
      </c>
      <c r="C2598" s="97">
        <v>511018</v>
      </c>
      <c r="D2598" s="96" t="s">
        <v>388</v>
      </c>
      <c r="E2598" s="96" t="s">
        <v>809</v>
      </c>
    </row>
    <row r="2599" spans="2:5" ht="15" customHeight="1" thickBot="1" x14ac:dyDescent="0.35">
      <c r="B2599" s="96" t="s">
        <v>4206</v>
      </c>
      <c r="C2599" s="97">
        <v>507621</v>
      </c>
      <c r="D2599" s="96" t="s">
        <v>388</v>
      </c>
      <c r="E2599" s="96" t="s">
        <v>448</v>
      </c>
    </row>
    <row r="2600" spans="2:5" ht="15" customHeight="1" thickBot="1" x14ac:dyDescent="0.35">
      <c r="B2600" s="96" t="s">
        <v>4207</v>
      </c>
      <c r="C2600" s="97">
        <v>511187</v>
      </c>
      <c r="D2600" s="96" t="s">
        <v>388</v>
      </c>
      <c r="E2600" s="96" t="s">
        <v>809</v>
      </c>
    </row>
    <row r="2601" spans="2:5" ht="15" customHeight="1" thickBot="1" x14ac:dyDescent="0.35">
      <c r="B2601" s="96" t="s">
        <v>4208</v>
      </c>
      <c r="C2601" s="96" t="s">
        <v>388</v>
      </c>
      <c r="D2601" s="96" t="s">
        <v>4209</v>
      </c>
      <c r="E2601" s="96" t="s">
        <v>399</v>
      </c>
    </row>
    <row r="2602" spans="2:5" ht="15" customHeight="1" thickBot="1" x14ac:dyDescent="0.35">
      <c r="B2602" s="96" t="s">
        <v>4210</v>
      </c>
      <c r="C2602" s="97">
        <v>531456</v>
      </c>
      <c r="D2602" s="96" t="s">
        <v>388</v>
      </c>
      <c r="E2602" s="96" t="s">
        <v>403</v>
      </c>
    </row>
    <row r="2603" spans="2:5" ht="15" customHeight="1" thickBot="1" x14ac:dyDescent="0.35">
      <c r="B2603" s="96" t="s">
        <v>4211</v>
      </c>
      <c r="C2603" s="97">
        <v>538962</v>
      </c>
      <c r="D2603" s="96" t="s">
        <v>4212</v>
      </c>
      <c r="E2603" s="96" t="s">
        <v>743</v>
      </c>
    </row>
    <row r="2604" spans="2:5" ht="15" customHeight="1" thickBot="1" x14ac:dyDescent="0.35">
      <c r="B2604" s="96" t="s">
        <v>4213</v>
      </c>
      <c r="C2604" s="97">
        <v>539303</v>
      </c>
      <c r="D2604" s="96" t="s">
        <v>388</v>
      </c>
      <c r="E2604" s="96" t="s">
        <v>405</v>
      </c>
    </row>
    <row r="2605" spans="2:5" ht="15" customHeight="1" thickBot="1" x14ac:dyDescent="0.35">
      <c r="B2605" s="96" t="s">
        <v>4214</v>
      </c>
      <c r="C2605" s="97">
        <v>532539</v>
      </c>
      <c r="D2605" s="96" t="s">
        <v>4215</v>
      </c>
      <c r="E2605" s="96" t="s">
        <v>743</v>
      </c>
    </row>
    <row r="2606" spans="2:5" ht="15" customHeight="1" thickBot="1" x14ac:dyDescent="0.35">
      <c r="B2606" s="96" t="s">
        <v>4216</v>
      </c>
      <c r="C2606" s="97">
        <v>517344</v>
      </c>
      <c r="D2606" s="96" t="s">
        <v>4217</v>
      </c>
      <c r="E2606" s="96" t="s">
        <v>481</v>
      </c>
    </row>
    <row r="2607" spans="2:5" ht="15" customHeight="1" thickBot="1" x14ac:dyDescent="0.35">
      <c r="B2607" s="96" t="s">
        <v>4218</v>
      </c>
      <c r="C2607" s="97">
        <v>517344</v>
      </c>
      <c r="D2607" s="96" t="s">
        <v>4217</v>
      </c>
      <c r="E2607" s="96" t="s">
        <v>481</v>
      </c>
    </row>
    <row r="2608" spans="2:5" ht="15" customHeight="1" thickBot="1" x14ac:dyDescent="0.35">
      <c r="B2608" s="96" t="s">
        <v>4219</v>
      </c>
      <c r="C2608" s="97">
        <v>532819</v>
      </c>
      <c r="D2608" s="96" t="s">
        <v>4220</v>
      </c>
      <c r="E2608" s="96" t="s">
        <v>374</v>
      </c>
    </row>
    <row r="2609" spans="2:5" ht="15" customHeight="1" thickBot="1" x14ac:dyDescent="0.35">
      <c r="B2609" s="96" t="s">
        <v>4221</v>
      </c>
      <c r="C2609" s="97">
        <v>523373</v>
      </c>
      <c r="D2609" s="96" t="s">
        <v>388</v>
      </c>
      <c r="E2609" s="96" t="s">
        <v>502</v>
      </c>
    </row>
    <row r="2610" spans="2:5" ht="15" customHeight="1" thickBot="1" x14ac:dyDescent="0.35">
      <c r="B2610" s="96" t="s">
        <v>4222</v>
      </c>
      <c r="C2610" s="97">
        <v>523373</v>
      </c>
      <c r="D2610" s="96" t="s">
        <v>388</v>
      </c>
      <c r="E2610" s="96" t="s">
        <v>502</v>
      </c>
    </row>
    <row r="2611" spans="2:5" ht="15" customHeight="1" thickBot="1" x14ac:dyDescent="0.35">
      <c r="B2611" s="96" t="s">
        <v>4223</v>
      </c>
      <c r="C2611" s="97">
        <v>532164</v>
      </c>
      <c r="D2611" s="96" t="s">
        <v>388</v>
      </c>
      <c r="E2611" s="96" t="s">
        <v>405</v>
      </c>
    </row>
    <row r="2612" spans="2:5" ht="15" customHeight="1" thickBot="1" x14ac:dyDescent="0.35">
      <c r="B2612" s="96" t="s">
        <v>4224</v>
      </c>
      <c r="C2612" s="97">
        <v>505797</v>
      </c>
      <c r="D2612" s="96" t="s">
        <v>388</v>
      </c>
      <c r="E2612" s="96" t="s">
        <v>573</v>
      </c>
    </row>
    <row r="2613" spans="2:5" ht="15" customHeight="1" thickBot="1" x14ac:dyDescent="0.35">
      <c r="B2613" s="96" t="s">
        <v>4225</v>
      </c>
      <c r="C2613" s="97">
        <v>500279</v>
      </c>
      <c r="D2613" s="96" t="s">
        <v>4226</v>
      </c>
      <c r="E2613" s="96" t="s">
        <v>757</v>
      </c>
    </row>
    <row r="2614" spans="2:5" ht="15" customHeight="1" thickBot="1" x14ac:dyDescent="0.35">
      <c r="B2614" s="96" t="s">
        <v>4227</v>
      </c>
      <c r="C2614" s="97">
        <v>505336</v>
      </c>
      <c r="D2614" s="96" t="s">
        <v>388</v>
      </c>
      <c r="E2614" s="96" t="s">
        <v>396</v>
      </c>
    </row>
    <row r="2615" spans="2:5" ht="15" customHeight="1" thickBot="1" x14ac:dyDescent="0.35">
      <c r="B2615" s="96" t="s">
        <v>4228</v>
      </c>
      <c r="C2615" s="97">
        <v>505336</v>
      </c>
      <c r="D2615" s="96" t="s">
        <v>388</v>
      </c>
      <c r="E2615" s="96" t="s">
        <v>396</v>
      </c>
    </row>
    <row r="2616" spans="2:5" ht="15" customHeight="1" thickBot="1" x14ac:dyDescent="0.35">
      <c r="B2616" s="96" t="s">
        <v>4229</v>
      </c>
      <c r="C2616" s="97">
        <v>526642</v>
      </c>
      <c r="D2616" s="96" t="s">
        <v>4230</v>
      </c>
      <c r="E2616" s="96" t="s">
        <v>814</v>
      </c>
    </row>
    <row r="2617" spans="2:5" ht="15" customHeight="1" thickBot="1" x14ac:dyDescent="0.35">
      <c r="B2617" s="96" t="s">
        <v>4231</v>
      </c>
      <c r="C2617" s="97">
        <v>539220</v>
      </c>
      <c r="D2617" s="96" t="s">
        <v>388</v>
      </c>
      <c r="E2617" s="96" t="s">
        <v>502</v>
      </c>
    </row>
    <row r="2618" spans="2:5" ht="15" customHeight="1" thickBot="1" x14ac:dyDescent="0.35">
      <c r="B2618" s="96" t="s">
        <v>4232</v>
      </c>
      <c r="C2618" s="97">
        <v>541195</v>
      </c>
      <c r="D2618" s="96" t="s">
        <v>4233</v>
      </c>
      <c r="E2618" s="96" t="s">
        <v>711</v>
      </c>
    </row>
    <row r="2619" spans="2:5" ht="15" customHeight="1" thickBot="1" x14ac:dyDescent="0.35">
      <c r="B2619" s="96" t="s">
        <v>4234</v>
      </c>
      <c r="C2619" s="97">
        <v>539594</v>
      </c>
      <c r="D2619" s="96" t="s">
        <v>388</v>
      </c>
      <c r="E2619" s="96" t="s">
        <v>586</v>
      </c>
    </row>
    <row r="2620" spans="2:5" ht="15" customHeight="1" thickBot="1" x14ac:dyDescent="0.35">
      <c r="B2620" s="96" t="s">
        <v>4235</v>
      </c>
      <c r="C2620" s="96" t="s">
        <v>388</v>
      </c>
      <c r="D2620" s="96" t="s">
        <v>4236</v>
      </c>
      <c r="E2620" s="96" t="s">
        <v>399</v>
      </c>
    </row>
    <row r="2621" spans="2:5" ht="15" customHeight="1" thickBot="1" x14ac:dyDescent="0.35">
      <c r="B2621" s="96" t="s">
        <v>4237</v>
      </c>
      <c r="C2621" s="97">
        <v>523782</v>
      </c>
      <c r="D2621" s="96" t="s">
        <v>388</v>
      </c>
      <c r="E2621" s="96" t="s">
        <v>410</v>
      </c>
    </row>
    <row r="2622" spans="2:5" ht="15" customHeight="1" thickBot="1" x14ac:dyDescent="0.35">
      <c r="B2622" s="96" t="s">
        <v>4238</v>
      </c>
      <c r="C2622" s="97">
        <v>523782</v>
      </c>
      <c r="D2622" s="96" t="s">
        <v>388</v>
      </c>
      <c r="E2622" s="96" t="s">
        <v>410</v>
      </c>
    </row>
    <row r="2623" spans="2:5" ht="15" customHeight="1" thickBot="1" x14ac:dyDescent="0.35">
      <c r="B2623" s="96" t="s">
        <v>4239</v>
      </c>
      <c r="C2623" s="97">
        <v>540078</v>
      </c>
      <c r="D2623" s="96" t="s">
        <v>388</v>
      </c>
      <c r="E2623" s="96" t="s">
        <v>583</v>
      </c>
    </row>
    <row r="2624" spans="2:5" ht="15" customHeight="1" thickBot="1" x14ac:dyDescent="0.35">
      <c r="B2624" s="96" t="s">
        <v>4240</v>
      </c>
      <c r="C2624" s="96" t="s">
        <v>388</v>
      </c>
      <c r="D2624" s="96" t="s">
        <v>4241</v>
      </c>
      <c r="E2624" s="96" t="s">
        <v>399</v>
      </c>
    </row>
    <row r="2625" spans="2:5" ht="15" customHeight="1" thickBot="1" x14ac:dyDescent="0.35">
      <c r="B2625" s="96" t="s">
        <v>4242</v>
      </c>
      <c r="C2625" s="97">
        <v>522036</v>
      </c>
      <c r="D2625" s="96" t="s">
        <v>4243</v>
      </c>
      <c r="E2625" s="96" t="s">
        <v>573</v>
      </c>
    </row>
    <row r="2626" spans="2:5" ht="15" customHeight="1" thickBot="1" x14ac:dyDescent="0.35">
      <c r="B2626" s="96" t="s">
        <v>4244</v>
      </c>
      <c r="C2626" s="97">
        <v>522241</v>
      </c>
      <c r="D2626" s="96" t="s">
        <v>4245</v>
      </c>
      <c r="E2626" s="96" t="s">
        <v>1307</v>
      </c>
    </row>
    <row r="2627" spans="2:5" ht="15" customHeight="1" thickBot="1" x14ac:dyDescent="0.35">
      <c r="B2627" s="96" t="s">
        <v>4246</v>
      </c>
      <c r="C2627" s="97">
        <v>509196</v>
      </c>
      <c r="D2627" s="96" t="s">
        <v>4247</v>
      </c>
      <c r="E2627" s="96" t="s">
        <v>4248</v>
      </c>
    </row>
    <row r="2628" spans="2:5" ht="15" customHeight="1" thickBot="1" x14ac:dyDescent="0.35">
      <c r="B2628" s="96" t="s">
        <v>4249</v>
      </c>
      <c r="C2628" s="96" t="s">
        <v>388</v>
      </c>
      <c r="D2628" s="96" t="s">
        <v>4250</v>
      </c>
      <c r="E2628" s="96" t="s">
        <v>399</v>
      </c>
    </row>
    <row r="2629" spans="2:5" ht="15" customHeight="1" thickBot="1" x14ac:dyDescent="0.35">
      <c r="B2629" s="96" t="s">
        <v>4251</v>
      </c>
      <c r="C2629" s="97">
        <v>513377</v>
      </c>
      <c r="D2629" s="96" t="s">
        <v>4252</v>
      </c>
      <c r="E2629" s="96" t="s">
        <v>410</v>
      </c>
    </row>
    <row r="2630" spans="2:5" ht="15" customHeight="1" thickBot="1" x14ac:dyDescent="0.35">
      <c r="B2630" s="96" t="s">
        <v>4253</v>
      </c>
      <c r="C2630" s="97">
        <v>503772</v>
      </c>
      <c r="D2630" s="96" t="s">
        <v>388</v>
      </c>
      <c r="E2630" s="96" t="s">
        <v>410</v>
      </c>
    </row>
    <row r="2631" spans="2:5" ht="15" customHeight="1" thickBot="1" x14ac:dyDescent="0.35">
      <c r="B2631" s="96" t="s">
        <v>4254</v>
      </c>
      <c r="C2631" s="97">
        <v>503015</v>
      </c>
      <c r="D2631" s="96" t="s">
        <v>388</v>
      </c>
      <c r="E2631" s="96" t="s">
        <v>410</v>
      </c>
    </row>
    <row r="2632" spans="2:5" ht="15" customHeight="1" thickBot="1" x14ac:dyDescent="0.35">
      <c r="B2632" s="96" t="s">
        <v>4255</v>
      </c>
      <c r="C2632" s="97">
        <v>539762</v>
      </c>
      <c r="D2632" s="96" t="s">
        <v>388</v>
      </c>
      <c r="E2632" s="96" t="s">
        <v>586</v>
      </c>
    </row>
    <row r="2633" spans="2:5" ht="15" customHeight="1" thickBot="1" x14ac:dyDescent="0.35">
      <c r="B2633" s="96" t="s">
        <v>4256</v>
      </c>
      <c r="C2633" s="97">
        <v>519287</v>
      </c>
      <c r="D2633" s="96" t="s">
        <v>388</v>
      </c>
      <c r="E2633" s="96" t="s">
        <v>448</v>
      </c>
    </row>
    <row r="2634" spans="2:5" ht="15" customHeight="1" thickBot="1" x14ac:dyDescent="0.35">
      <c r="B2634" s="96" t="s">
        <v>4257</v>
      </c>
      <c r="C2634" s="97">
        <v>503015</v>
      </c>
      <c r="D2634" s="96" t="s">
        <v>388</v>
      </c>
      <c r="E2634" s="96" t="s">
        <v>410</v>
      </c>
    </row>
    <row r="2635" spans="2:5" ht="15" customHeight="1" thickBot="1" x14ac:dyDescent="0.35">
      <c r="B2635" s="96" t="s">
        <v>4258</v>
      </c>
      <c r="C2635" s="97">
        <v>509760</v>
      </c>
      <c r="D2635" s="96" t="s">
        <v>388</v>
      </c>
      <c r="E2635" s="96" t="s">
        <v>371</v>
      </c>
    </row>
    <row r="2636" spans="2:5" ht="15" customHeight="1" thickBot="1" x14ac:dyDescent="0.35">
      <c r="B2636" s="96" t="s">
        <v>4259</v>
      </c>
      <c r="C2636" s="97">
        <v>513303</v>
      </c>
      <c r="D2636" s="96" t="s">
        <v>4260</v>
      </c>
      <c r="E2636" s="96" t="s">
        <v>4261</v>
      </c>
    </row>
    <row r="2637" spans="2:5" ht="15" customHeight="1" thickBot="1" x14ac:dyDescent="0.35">
      <c r="B2637" s="96" t="s">
        <v>4262</v>
      </c>
      <c r="C2637" s="97">
        <v>537092</v>
      </c>
      <c r="D2637" s="96" t="s">
        <v>388</v>
      </c>
      <c r="E2637" s="96" t="s">
        <v>371</v>
      </c>
    </row>
    <row r="2638" spans="2:5" ht="15" customHeight="1" thickBot="1" x14ac:dyDescent="0.35">
      <c r="B2638" s="96" t="s">
        <v>4263</v>
      </c>
      <c r="C2638" s="97">
        <v>519003</v>
      </c>
      <c r="D2638" s="96" t="s">
        <v>388</v>
      </c>
      <c r="E2638" s="96" t="s">
        <v>586</v>
      </c>
    </row>
    <row r="2639" spans="2:5" ht="15" customHeight="1" thickBot="1" x14ac:dyDescent="0.35">
      <c r="B2639" s="96" t="s">
        <v>4264</v>
      </c>
      <c r="C2639" s="97">
        <v>500890</v>
      </c>
      <c r="D2639" s="96" t="s">
        <v>4265</v>
      </c>
      <c r="E2639" s="96" t="s">
        <v>868</v>
      </c>
    </row>
    <row r="2640" spans="2:5" ht="15" customHeight="1" thickBot="1" x14ac:dyDescent="0.35">
      <c r="B2640" s="96" t="s">
        <v>4266</v>
      </c>
      <c r="C2640" s="97">
        <v>503776</v>
      </c>
      <c r="D2640" s="96" t="s">
        <v>388</v>
      </c>
      <c r="E2640" s="96" t="s">
        <v>532</v>
      </c>
    </row>
    <row r="2641" spans="2:5" ht="15" customHeight="1" thickBot="1" x14ac:dyDescent="0.35">
      <c r="B2641" s="96" t="s">
        <v>4267</v>
      </c>
      <c r="C2641" s="97">
        <v>506261</v>
      </c>
      <c r="D2641" s="96" t="s">
        <v>388</v>
      </c>
      <c r="E2641" s="96" t="s">
        <v>686</v>
      </c>
    </row>
    <row r="2642" spans="2:5" ht="15" customHeight="1" thickBot="1" x14ac:dyDescent="0.35">
      <c r="B2642" s="96" t="s">
        <v>4268</v>
      </c>
      <c r="C2642" s="96" t="s">
        <v>388</v>
      </c>
      <c r="D2642" s="96" t="s">
        <v>4269</v>
      </c>
      <c r="E2642" s="96" t="s">
        <v>399</v>
      </c>
    </row>
    <row r="2643" spans="2:5" ht="15" customHeight="1" thickBot="1" x14ac:dyDescent="0.35">
      <c r="B2643" s="96" t="s">
        <v>4270</v>
      </c>
      <c r="C2643" s="97">
        <v>531453</v>
      </c>
      <c r="D2643" s="96" t="s">
        <v>4271</v>
      </c>
      <c r="E2643" s="96" t="s">
        <v>403</v>
      </c>
    </row>
    <row r="2644" spans="2:5" ht="15" customHeight="1" thickBot="1" x14ac:dyDescent="0.35">
      <c r="B2644" s="96" t="s">
        <v>4272</v>
      </c>
      <c r="C2644" s="97">
        <v>530169</v>
      </c>
      <c r="D2644" s="96" t="s">
        <v>388</v>
      </c>
      <c r="E2644" s="96" t="s">
        <v>382</v>
      </c>
    </row>
    <row r="2645" spans="2:5" ht="15" customHeight="1" thickBot="1" x14ac:dyDescent="0.35">
      <c r="B2645" s="96" t="s">
        <v>4273</v>
      </c>
      <c r="C2645" s="97">
        <v>532140</v>
      </c>
      <c r="D2645" s="96" t="s">
        <v>388</v>
      </c>
      <c r="E2645" s="96" t="s">
        <v>403</v>
      </c>
    </row>
    <row r="2646" spans="2:5" ht="15" customHeight="1" thickBot="1" x14ac:dyDescent="0.35">
      <c r="B2646" s="96" t="s">
        <v>4274</v>
      </c>
      <c r="C2646" s="97">
        <v>530047</v>
      </c>
      <c r="D2646" s="96" t="s">
        <v>4275</v>
      </c>
      <c r="E2646" s="96" t="s">
        <v>403</v>
      </c>
    </row>
    <row r="2647" spans="2:5" ht="15" customHeight="1" thickBot="1" x14ac:dyDescent="0.35">
      <c r="B2647" s="96" t="s">
        <v>4276</v>
      </c>
      <c r="C2647" s="97">
        <v>533286</v>
      </c>
      <c r="D2647" s="96" t="s">
        <v>4277</v>
      </c>
      <c r="E2647" s="96" t="s">
        <v>368</v>
      </c>
    </row>
    <row r="2648" spans="2:5" ht="15" customHeight="1" thickBot="1" x14ac:dyDescent="0.35">
      <c r="B2648" s="96" t="s">
        <v>4278</v>
      </c>
      <c r="C2648" s="96" t="s">
        <v>388</v>
      </c>
      <c r="D2648" s="96" t="s">
        <v>4279</v>
      </c>
      <c r="E2648" s="96" t="s">
        <v>399</v>
      </c>
    </row>
    <row r="2649" spans="2:5" ht="15" customHeight="1" thickBot="1" x14ac:dyDescent="0.35">
      <c r="B2649" s="96" t="s">
        <v>4280</v>
      </c>
      <c r="C2649" s="97">
        <v>533080</v>
      </c>
      <c r="D2649" s="96" t="s">
        <v>4281</v>
      </c>
      <c r="E2649" s="96" t="s">
        <v>583</v>
      </c>
    </row>
    <row r="2650" spans="2:5" ht="15" customHeight="1" thickBot="1" x14ac:dyDescent="0.35">
      <c r="B2650" s="96" t="s">
        <v>4282</v>
      </c>
      <c r="C2650" s="97">
        <v>526263</v>
      </c>
      <c r="D2650" s="96" t="s">
        <v>4283</v>
      </c>
      <c r="E2650" s="96" t="s">
        <v>718</v>
      </c>
    </row>
    <row r="2651" spans="2:5" ht="15" customHeight="1" thickBot="1" x14ac:dyDescent="0.35">
      <c r="B2651" s="96" t="s">
        <v>4284</v>
      </c>
      <c r="C2651" s="97">
        <v>511551</v>
      </c>
      <c r="D2651" s="96" t="s">
        <v>388</v>
      </c>
      <c r="E2651" s="96" t="s">
        <v>371</v>
      </c>
    </row>
    <row r="2652" spans="2:5" ht="15" customHeight="1" thickBot="1" x14ac:dyDescent="0.35">
      <c r="B2652" s="96" t="s">
        <v>4285</v>
      </c>
      <c r="C2652" s="97">
        <v>535910</v>
      </c>
      <c r="D2652" s="96" t="s">
        <v>388</v>
      </c>
      <c r="E2652" s="96" t="s">
        <v>405</v>
      </c>
    </row>
    <row r="2653" spans="2:5" ht="15" customHeight="1" thickBot="1" x14ac:dyDescent="0.35">
      <c r="B2653" s="96" t="s">
        <v>4286</v>
      </c>
      <c r="C2653" s="97">
        <v>532078</v>
      </c>
      <c r="D2653" s="96" t="s">
        <v>388</v>
      </c>
      <c r="E2653" s="96" t="s">
        <v>420</v>
      </c>
    </row>
    <row r="2654" spans="2:5" ht="15" customHeight="1" thickBot="1" x14ac:dyDescent="0.35">
      <c r="B2654" s="96" t="s">
        <v>4287</v>
      </c>
      <c r="C2654" s="97">
        <v>513446</v>
      </c>
      <c r="D2654" s="96" t="s">
        <v>4288</v>
      </c>
      <c r="E2654" s="96" t="s">
        <v>420</v>
      </c>
    </row>
    <row r="2655" spans="2:5" ht="15" customHeight="1" thickBot="1" x14ac:dyDescent="0.35">
      <c r="B2655" s="96" t="s">
        <v>4289</v>
      </c>
      <c r="C2655" s="97">
        <v>532723</v>
      </c>
      <c r="D2655" s="96" t="s">
        <v>388</v>
      </c>
      <c r="E2655" s="96" t="s">
        <v>474</v>
      </c>
    </row>
    <row r="2656" spans="2:5" ht="15" customHeight="1" thickBot="1" x14ac:dyDescent="0.35">
      <c r="B2656" s="96" t="s">
        <v>4290</v>
      </c>
      <c r="C2656" s="97">
        <v>505343</v>
      </c>
      <c r="D2656" s="96" t="s">
        <v>388</v>
      </c>
      <c r="E2656" s="96" t="s">
        <v>809</v>
      </c>
    </row>
    <row r="2657" spans="2:5" ht="15" customHeight="1" thickBot="1" x14ac:dyDescent="0.35">
      <c r="B2657" s="96" t="s">
        <v>4291</v>
      </c>
      <c r="C2657" s="97">
        <v>505343</v>
      </c>
      <c r="D2657" s="96" t="s">
        <v>388</v>
      </c>
      <c r="E2657" s="96" t="s">
        <v>809</v>
      </c>
    </row>
    <row r="2658" spans="2:5" ht="15" customHeight="1" thickBot="1" x14ac:dyDescent="0.35">
      <c r="B2658" s="96" t="s">
        <v>4292</v>
      </c>
      <c r="C2658" s="97">
        <v>524084</v>
      </c>
      <c r="D2658" s="96" t="s">
        <v>4293</v>
      </c>
      <c r="E2658" s="96" t="s">
        <v>532</v>
      </c>
    </row>
    <row r="2659" spans="2:5" ht="15" customHeight="1" thickBot="1" x14ac:dyDescent="0.35">
      <c r="B2659" s="96" t="s">
        <v>4294</v>
      </c>
      <c r="C2659" s="97">
        <v>524084</v>
      </c>
      <c r="D2659" s="96" t="s">
        <v>4293</v>
      </c>
      <c r="E2659" s="96" t="s">
        <v>532</v>
      </c>
    </row>
    <row r="2660" spans="2:5" ht="15" customHeight="1" thickBot="1" x14ac:dyDescent="0.35">
      <c r="B2660" s="96" t="s">
        <v>4295</v>
      </c>
      <c r="C2660" s="97">
        <v>538836</v>
      </c>
      <c r="D2660" s="96" t="s">
        <v>4296</v>
      </c>
      <c r="E2660" s="96" t="s">
        <v>502</v>
      </c>
    </row>
    <row r="2661" spans="2:5" ht="15" customHeight="1" thickBot="1" x14ac:dyDescent="0.35">
      <c r="B2661" s="96" t="s">
        <v>4297</v>
      </c>
      <c r="C2661" s="97">
        <v>530167</v>
      </c>
      <c r="D2661" s="96" t="s">
        <v>388</v>
      </c>
      <c r="E2661" s="96" t="s">
        <v>405</v>
      </c>
    </row>
    <row r="2662" spans="2:5" ht="15" customHeight="1" thickBot="1" x14ac:dyDescent="0.35">
      <c r="B2662" s="96" t="s">
        <v>4298</v>
      </c>
      <c r="C2662" s="97">
        <v>539199</v>
      </c>
      <c r="D2662" s="96" t="s">
        <v>388</v>
      </c>
      <c r="E2662" s="96" t="s">
        <v>371</v>
      </c>
    </row>
    <row r="2663" spans="2:5" ht="15" customHeight="1" thickBot="1" x14ac:dyDescent="0.35">
      <c r="B2663" s="96" t="s">
        <v>4299</v>
      </c>
      <c r="C2663" s="97">
        <v>532621</v>
      </c>
      <c r="D2663" s="96" t="s">
        <v>4300</v>
      </c>
      <c r="E2663" s="96" t="s">
        <v>403</v>
      </c>
    </row>
    <row r="2664" spans="2:5" ht="15" customHeight="1" thickBot="1" x14ac:dyDescent="0.35">
      <c r="B2664" s="96" t="s">
        <v>4301</v>
      </c>
      <c r="C2664" s="97">
        <v>511549</v>
      </c>
      <c r="D2664" s="96" t="s">
        <v>388</v>
      </c>
      <c r="E2664" s="96" t="s">
        <v>405</v>
      </c>
    </row>
    <row r="2665" spans="2:5" ht="15" customHeight="1" thickBot="1" x14ac:dyDescent="0.35">
      <c r="B2665" s="96" t="s">
        <v>4302</v>
      </c>
      <c r="C2665" s="97">
        <v>500288</v>
      </c>
      <c r="D2665" s="96" t="s">
        <v>4303</v>
      </c>
      <c r="E2665" s="96" t="s">
        <v>426</v>
      </c>
    </row>
    <row r="2666" spans="2:5" ht="15" customHeight="1" thickBot="1" x14ac:dyDescent="0.35">
      <c r="B2666" s="96" t="s">
        <v>4304</v>
      </c>
      <c r="C2666" s="97">
        <v>526237</v>
      </c>
      <c r="D2666" s="96" t="s">
        <v>388</v>
      </c>
      <c r="E2666" s="96" t="s">
        <v>405</v>
      </c>
    </row>
    <row r="2667" spans="2:5" ht="15" customHeight="1" thickBot="1" x14ac:dyDescent="0.35">
      <c r="B2667" s="96" t="s">
        <v>4305</v>
      </c>
      <c r="C2667" s="97">
        <v>523160</v>
      </c>
      <c r="D2667" s="96" t="s">
        <v>388</v>
      </c>
      <c r="E2667" s="96" t="s">
        <v>573</v>
      </c>
    </row>
    <row r="2668" spans="2:5" ht="15" customHeight="1" thickBot="1" x14ac:dyDescent="0.35">
      <c r="B2668" s="96" t="s">
        <v>4306</v>
      </c>
      <c r="C2668" s="97">
        <v>523160</v>
      </c>
      <c r="D2668" s="96" t="s">
        <v>388</v>
      </c>
      <c r="E2668" s="96" t="s">
        <v>573</v>
      </c>
    </row>
    <row r="2669" spans="2:5" ht="15" customHeight="1" thickBot="1" x14ac:dyDescent="0.35">
      <c r="B2669" s="96" t="s">
        <v>4307</v>
      </c>
      <c r="C2669" s="97">
        <v>513305</v>
      </c>
      <c r="D2669" s="96" t="s">
        <v>4308</v>
      </c>
      <c r="E2669" s="96" t="s">
        <v>809</v>
      </c>
    </row>
    <row r="2670" spans="2:5" ht="15" customHeight="1" thickBot="1" x14ac:dyDescent="0.35">
      <c r="B2670" s="96" t="s">
        <v>4309</v>
      </c>
      <c r="C2670" s="97">
        <v>532407</v>
      </c>
      <c r="D2670" s="96" t="s">
        <v>388</v>
      </c>
      <c r="E2670" s="96" t="s">
        <v>481</v>
      </c>
    </row>
    <row r="2671" spans="2:5" ht="15" customHeight="1" thickBot="1" x14ac:dyDescent="0.35">
      <c r="B2671" s="96" t="s">
        <v>4310</v>
      </c>
      <c r="C2671" s="96" t="s">
        <v>388</v>
      </c>
      <c r="D2671" s="96" t="s">
        <v>4311</v>
      </c>
      <c r="E2671" s="96" t="s">
        <v>479</v>
      </c>
    </row>
    <row r="2672" spans="2:5" ht="15" customHeight="1" thickBot="1" x14ac:dyDescent="0.35">
      <c r="B2672" s="96" t="s">
        <v>4312</v>
      </c>
      <c r="C2672" s="97">
        <v>517334</v>
      </c>
      <c r="D2672" s="96" t="s">
        <v>4313</v>
      </c>
      <c r="E2672" s="96" t="s">
        <v>743</v>
      </c>
    </row>
    <row r="2673" spans="2:5" ht="15" customHeight="1" thickBot="1" x14ac:dyDescent="0.35">
      <c r="B2673" s="96" t="s">
        <v>4314</v>
      </c>
      <c r="C2673" s="97">
        <v>532892</v>
      </c>
      <c r="D2673" s="96" t="s">
        <v>4315</v>
      </c>
      <c r="E2673" s="96" t="s">
        <v>405</v>
      </c>
    </row>
    <row r="2674" spans="2:5" ht="15" customHeight="1" thickBot="1" x14ac:dyDescent="0.35">
      <c r="B2674" s="96" t="s">
        <v>4316</v>
      </c>
      <c r="C2674" s="97">
        <v>590115</v>
      </c>
      <c r="D2674" s="96" t="s">
        <v>4317</v>
      </c>
      <c r="E2674" s="96" t="s">
        <v>371</v>
      </c>
    </row>
    <row r="2675" spans="2:5" ht="15" customHeight="1" thickBot="1" x14ac:dyDescent="0.35">
      <c r="B2675" s="96" t="s">
        <v>4318</v>
      </c>
      <c r="C2675" s="97">
        <v>533385</v>
      </c>
      <c r="D2675" s="96" t="s">
        <v>4319</v>
      </c>
      <c r="E2675" s="96" t="s">
        <v>371</v>
      </c>
    </row>
    <row r="2676" spans="2:5" ht="15" customHeight="1" thickBot="1" x14ac:dyDescent="0.35">
      <c r="B2676" s="96" t="s">
        <v>4320</v>
      </c>
      <c r="C2676" s="97">
        <v>507522</v>
      </c>
      <c r="D2676" s="96" t="s">
        <v>388</v>
      </c>
      <c r="E2676" s="96" t="s">
        <v>1020</v>
      </c>
    </row>
    <row r="2677" spans="2:5" ht="15" customHeight="1" thickBot="1" x14ac:dyDescent="0.35">
      <c r="B2677" s="96" t="s">
        <v>4321</v>
      </c>
      <c r="C2677" s="97">
        <v>526299</v>
      </c>
      <c r="D2677" s="96" t="s">
        <v>4322</v>
      </c>
      <c r="E2677" s="96" t="s">
        <v>374</v>
      </c>
    </row>
    <row r="2678" spans="2:5" ht="15" customHeight="1" thickBot="1" x14ac:dyDescent="0.35">
      <c r="B2678" s="96" t="s">
        <v>4323</v>
      </c>
      <c r="C2678" s="97">
        <v>500450</v>
      </c>
      <c r="D2678" s="96" t="s">
        <v>388</v>
      </c>
      <c r="E2678" s="96" t="s">
        <v>371</v>
      </c>
    </row>
    <row r="2679" spans="2:5" ht="15" customHeight="1" thickBot="1" x14ac:dyDescent="0.35">
      <c r="B2679" s="96" t="s">
        <v>4324</v>
      </c>
      <c r="C2679" s="97">
        <v>526143</v>
      </c>
      <c r="D2679" s="96" t="s">
        <v>388</v>
      </c>
      <c r="E2679" s="96" t="s">
        <v>583</v>
      </c>
    </row>
    <row r="2680" spans="2:5" ht="15" customHeight="1" thickBot="1" x14ac:dyDescent="0.35">
      <c r="B2680" s="96" t="s">
        <v>4325</v>
      </c>
      <c r="C2680" s="97">
        <v>532440</v>
      </c>
      <c r="D2680" s="96" t="s">
        <v>4326</v>
      </c>
      <c r="E2680" s="96" t="s">
        <v>2380</v>
      </c>
    </row>
    <row r="2681" spans="2:5" ht="15" customHeight="1" thickBot="1" x14ac:dyDescent="0.35">
      <c r="B2681" s="96" t="s">
        <v>4327</v>
      </c>
      <c r="C2681" s="97">
        <v>540809</v>
      </c>
      <c r="D2681" s="96" t="s">
        <v>388</v>
      </c>
      <c r="E2681" s="96" t="s">
        <v>410</v>
      </c>
    </row>
    <row r="2682" spans="2:5" ht="15" customHeight="1" thickBot="1" x14ac:dyDescent="0.35">
      <c r="B2682" s="96" t="s">
        <v>4328</v>
      </c>
      <c r="C2682" s="97">
        <v>500290</v>
      </c>
      <c r="D2682" s="96" t="s">
        <v>4329</v>
      </c>
      <c r="E2682" s="96" t="s">
        <v>868</v>
      </c>
    </row>
    <row r="2683" spans="2:5" ht="15" customHeight="1" thickBot="1" x14ac:dyDescent="0.35">
      <c r="B2683" s="96" t="s">
        <v>4330</v>
      </c>
      <c r="C2683" s="97">
        <v>532376</v>
      </c>
      <c r="D2683" s="96" t="s">
        <v>4331</v>
      </c>
      <c r="E2683" s="96" t="s">
        <v>534</v>
      </c>
    </row>
    <row r="2684" spans="2:5" ht="15" customHeight="1" thickBot="1" x14ac:dyDescent="0.35">
      <c r="B2684" s="96" t="s">
        <v>4332</v>
      </c>
      <c r="C2684" s="97">
        <v>512065</v>
      </c>
      <c r="D2684" s="96" t="s">
        <v>388</v>
      </c>
      <c r="E2684" s="96" t="s">
        <v>405</v>
      </c>
    </row>
    <row r="2685" spans="2:5" ht="15" customHeight="1" thickBot="1" x14ac:dyDescent="0.35">
      <c r="B2685" s="96" t="s">
        <v>4333</v>
      </c>
      <c r="C2685" s="97">
        <v>532650</v>
      </c>
      <c r="D2685" s="96" t="s">
        <v>4334</v>
      </c>
      <c r="E2685" s="96" t="s">
        <v>711</v>
      </c>
    </row>
    <row r="2686" spans="2:5" ht="15" customHeight="1" thickBot="1" x14ac:dyDescent="0.35">
      <c r="B2686" s="96" t="s">
        <v>4335</v>
      </c>
      <c r="C2686" s="97">
        <v>508922</v>
      </c>
      <c r="D2686" s="96" t="s">
        <v>388</v>
      </c>
      <c r="E2686" s="96" t="s">
        <v>1433</v>
      </c>
    </row>
    <row r="2687" spans="2:5" ht="15" customHeight="1" thickBot="1" x14ac:dyDescent="0.35">
      <c r="B2687" s="96" t="s">
        <v>4336</v>
      </c>
      <c r="C2687" s="97">
        <v>508922</v>
      </c>
      <c r="D2687" s="96" t="s">
        <v>388</v>
      </c>
      <c r="E2687" s="96" t="s">
        <v>1433</v>
      </c>
    </row>
    <row r="2688" spans="2:5" ht="15" customHeight="1" thickBot="1" x14ac:dyDescent="0.35">
      <c r="B2688" s="96" t="s">
        <v>4337</v>
      </c>
      <c r="C2688" s="96" t="s">
        <v>388</v>
      </c>
      <c r="D2688" s="96" t="s">
        <v>4338</v>
      </c>
      <c r="E2688" s="96" t="s">
        <v>1433</v>
      </c>
    </row>
    <row r="2689" spans="2:5" ht="15" customHeight="1" thickBot="1" x14ac:dyDescent="0.35">
      <c r="B2689" s="96" t="s">
        <v>4339</v>
      </c>
      <c r="C2689" s="97">
        <v>542597</v>
      </c>
      <c r="D2689" s="96" t="s">
        <v>4340</v>
      </c>
      <c r="E2689" s="96" t="s">
        <v>754</v>
      </c>
    </row>
    <row r="2690" spans="2:5" ht="15" customHeight="1" thickBot="1" x14ac:dyDescent="0.35">
      <c r="B2690" s="96" t="s">
        <v>4341</v>
      </c>
      <c r="C2690" s="97">
        <v>534312</v>
      </c>
      <c r="D2690" s="96" t="s">
        <v>4342</v>
      </c>
      <c r="E2690" s="96" t="s">
        <v>493</v>
      </c>
    </row>
    <row r="2691" spans="2:5" ht="15" customHeight="1" thickBot="1" x14ac:dyDescent="0.35">
      <c r="B2691" s="96" t="s">
        <v>4343</v>
      </c>
      <c r="C2691" s="97">
        <v>531919</v>
      </c>
      <c r="D2691" s="96" t="s">
        <v>388</v>
      </c>
      <c r="E2691" s="96" t="s">
        <v>408</v>
      </c>
    </row>
    <row r="2692" spans="2:5" ht="15" customHeight="1" thickBot="1" x14ac:dyDescent="0.35">
      <c r="B2692" s="96" t="s">
        <v>4344</v>
      </c>
      <c r="C2692" s="97">
        <v>539819</v>
      </c>
      <c r="D2692" s="96" t="s">
        <v>388</v>
      </c>
      <c r="E2692" s="96" t="s">
        <v>371</v>
      </c>
    </row>
    <row r="2693" spans="2:5" ht="15" customHeight="1" thickBot="1" x14ac:dyDescent="0.35">
      <c r="B2693" s="96" t="s">
        <v>4345</v>
      </c>
      <c r="C2693" s="97">
        <v>538743</v>
      </c>
      <c r="D2693" s="96" t="s">
        <v>388</v>
      </c>
      <c r="E2693" s="96" t="s">
        <v>374</v>
      </c>
    </row>
    <row r="2694" spans="2:5" ht="15" customHeight="1" thickBot="1" x14ac:dyDescent="0.35">
      <c r="B2694" s="96" t="s">
        <v>4346</v>
      </c>
      <c r="C2694" s="97">
        <v>532097</v>
      </c>
      <c r="D2694" s="96" t="s">
        <v>4347</v>
      </c>
      <c r="E2694" s="96" t="s">
        <v>786</v>
      </c>
    </row>
    <row r="2695" spans="2:5" ht="15" customHeight="1" thickBot="1" x14ac:dyDescent="0.35">
      <c r="B2695" s="96" t="s">
        <v>4348</v>
      </c>
      <c r="C2695" s="97">
        <v>500460</v>
      </c>
      <c r="D2695" s="96" t="s">
        <v>4349</v>
      </c>
      <c r="E2695" s="96" t="s">
        <v>420</v>
      </c>
    </row>
    <row r="2696" spans="2:5" ht="15" customHeight="1" thickBot="1" x14ac:dyDescent="0.35">
      <c r="B2696" s="96" t="s">
        <v>4350</v>
      </c>
      <c r="C2696" s="97">
        <v>523832</v>
      </c>
      <c r="D2696" s="96" t="s">
        <v>4351</v>
      </c>
      <c r="E2696" s="96" t="s">
        <v>506</v>
      </c>
    </row>
    <row r="2697" spans="2:5" ht="15" customHeight="1" thickBot="1" x14ac:dyDescent="0.35">
      <c r="B2697" s="96" t="s">
        <v>4352</v>
      </c>
      <c r="C2697" s="97">
        <v>530341</v>
      </c>
      <c r="D2697" s="96" t="s">
        <v>388</v>
      </c>
      <c r="E2697" s="96" t="s">
        <v>371</v>
      </c>
    </row>
    <row r="2698" spans="2:5" ht="15" customHeight="1" thickBot="1" x14ac:dyDescent="0.35">
      <c r="B2698" s="96" t="s">
        <v>4353</v>
      </c>
      <c r="C2698" s="97">
        <v>535204</v>
      </c>
      <c r="D2698" s="96" t="s">
        <v>388</v>
      </c>
      <c r="E2698" s="96" t="s">
        <v>410</v>
      </c>
    </row>
    <row r="2699" spans="2:5" ht="15" customHeight="1" thickBot="1" x14ac:dyDescent="0.35">
      <c r="B2699" s="96" t="s">
        <v>4354</v>
      </c>
      <c r="C2699" s="97">
        <v>532357</v>
      </c>
      <c r="D2699" s="96" t="s">
        <v>4355</v>
      </c>
      <c r="E2699" s="96" t="s">
        <v>391</v>
      </c>
    </row>
    <row r="2700" spans="2:5" ht="15" customHeight="1" thickBot="1" x14ac:dyDescent="0.35">
      <c r="B2700" s="96" t="s">
        <v>4356</v>
      </c>
      <c r="C2700" s="97">
        <v>501477</v>
      </c>
      <c r="D2700" s="96" t="s">
        <v>388</v>
      </c>
      <c r="E2700" s="96" t="s">
        <v>410</v>
      </c>
    </row>
    <row r="2701" spans="2:5" ht="15" customHeight="1" thickBot="1" x14ac:dyDescent="0.35">
      <c r="B2701" s="96" t="s">
        <v>4357</v>
      </c>
      <c r="C2701" s="97">
        <v>501477</v>
      </c>
      <c r="D2701" s="96" t="s">
        <v>388</v>
      </c>
      <c r="E2701" s="96" t="s">
        <v>410</v>
      </c>
    </row>
    <row r="2702" spans="2:5" ht="15" customHeight="1" thickBot="1" x14ac:dyDescent="0.35">
      <c r="B2702" s="96" t="s">
        <v>4358</v>
      </c>
      <c r="C2702" s="97">
        <v>534091</v>
      </c>
      <c r="D2702" s="96" t="s">
        <v>4359</v>
      </c>
      <c r="E2702" s="96" t="s">
        <v>408</v>
      </c>
    </row>
    <row r="2703" spans="2:5" ht="15" customHeight="1" thickBot="1" x14ac:dyDescent="0.35">
      <c r="B2703" s="96" t="s">
        <v>4360</v>
      </c>
      <c r="C2703" s="97">
        <v>534091</v>
      </c>
      <c r="D2703" s="96" t="s">
        <v>4359</v>
      </c>
      <c r="E2703" s="96" t="s">
        <v>408</v>
      </c>
    </row>
    <row r="2704" spans="2:5" ht="15" customHeight="1" thickBot="1" x14ac:dyDescent="0.35">
      <c r="B2704" s="96" t="s">
        <v>4361</v>
      </c>
      <c r="C2704" s="97">
        <v>526169</v>
      </c>
      <c r="D2704" s="96" t="s">
        <v>388</v>
      </c>
      <c r="E2704" s="96" t="s">
        <v>868</v>
      </c>
    </row>
    <row r="2705" spans="2:5" ht="15" customHeight="1" thickBot="1" x14ac:dyDescent="0.35">
      <c r="B2705" s="96" t="s">
        <v>4362</v>
      </c>
      <c r="C2705" s="97">
        <v>526169</v>
      </c>
      <c r="D2705" s="96" t="s">
        <v>388</v>
      </c>
      <c r="E2705" s="96" t="s">
        <v>868</v>
      </c>
    </row>
    <row r="2706" spans="2:5" ht="15" customHeight="1" thickBot="1" x14ac:dyDescent="0.35">
      <c r="B2706" s="96" t="s">
        <v>4363</v>
      </c>
      <c r="C2706" s="97">
        <v>505594</v>
      </c>
      <c r="D2706" s="96" t="s">
        <v>388</v>
      </c>
      <c r="E2706" s="96" t="s">
        <v>809</v>
      </c>
    </row>
    <row r="2707" spans="2:5" ht="15" customHeight="1" thickBot="1" x14ac:dyDescent="0.35">
      <c r="B2707" s="96" t="s">
        <v>4364</v>
      </c>
      <c r="C2707" s="97">
        <v>504356</v>
      </c>
      <c r="D2707" s="96" t="s">
        <v>388</v>
      </c>
      <c r="E2707" s="96" t="s">
        <v>809</v>
      </c>
    </row>
    <row r="2708" spans="2:5" ht="15" customHeight="1" thickBot="1" x14ac:dyDescent="0.35">
      <c r="B2708" s="96" t="s">
        <v>4365</v>
      </c>
      <c r="C2708" s="97">
        <v>520059</v>
      </c>
      <c r="D2708" s="96" t="s">
        <v>4366</v>
      </c>
      <c r="E2708" s="96" t="s">
        <v>743</v>
      </c>
    </row>
    <row r="2709" spans="2:5" ht="15" customHeight="1" thickBot="1" x14ac:dyDescent="0.35">
      <c r="B2709" s="96" t="s">
        <v>4367</v>
      </c>
      <c r="C2709" s="97">
        <v>520043</v>
      </c>
      <c r="D2709" s="96" t="s">
        <v>4368</v>
      </c>
      <c r="E2709" s="96" t="s">
        <v>743</v>
      </c>
    </row>
    <row r="2710" spans="2:5" ht="15" customHeight="1" thickBot="1" x14ac:dyDescent="0.35">
      <c r="B2710" s="96" t="s">
        <v>4369</v>
      </c>
      <c r="C2710" s="97">
        <v>511200</v>
      </c>
      <c r="D2710" s="96" t="s">
        <v>388</v>
      </c>
      <c r="E2710" s="96" t="s">
        <v>809</v>
      </c>
    </row>
    <row r="2711" spans="2:5" ht="15" customHeight="1" thickBot="1" x14ac:dyDescent="0.35">
      <c r="B2711" s="96" t="s">
        <v>4370</v>
      </c>
      <c r="C2711" s="97">
        <v>511401</v>
      </c>
      <c r="D2711" s="96" t="s">
        <v>4371</v>
      </c>
      <c r="E2711" s="96" t="s">
        <v>371</v>
      </c>
    </row>
    <row r="2712" spans="2:5" ht="15" customHeight="1" thickBot="1" x14ac:dyDescent="0.35">
      <c r="B2712" s="96" t="s">
        <v>4372</v>
      </c>
      <c r="C2712" s="97">
        <v>531821</v>
      </c>
      <c r="D2712" s="96" t="s">
        <v>388</v>
      </c>
      <c r="E2712" s="96" t="s">
        <v>371</v>
      </c>
    </row>
    <row r="2713" spans="2:5" ht="15" customHeight="1" thickBot="1" x14ac:dyDescent="0.35">
      <c r="B2713" s="96" t="s">
        <v>4373</v>
      </c>
      <c r="C2713" s="97">
        <v>515037</v>
      </c>
      <c r="D2713" s="96" t="s">
        <v>4374</v>
      </c>
      <c r="E2713" s="96" t="s">
        <v>665</v>
      </c>
    </row>
    <row r="2714" spans="2:5" ht="15" customHeight="1" thickBot="1" x14ac:dyDescent="0.35">
      <c r="B2714" s="96" t="s">
        <v>4375</v>
      </c>
      <c r="C2714" s="97">
        <v>540366</v>
      </c>
      <c r="D2714" s="96" t="s">
        <v>4376</v>
      </c>
      <c r="E2714" s="96" t="s">
        <v>1126</v>
      </c>
    </row>
    <row r="2715" spans="2:5" ht="15" customHeight="1" thickBot="1" x14ac:dyDescent="0.35">
      <c r="B2715" s="96" t="s">
        <v>4377</v>
      </c>
      <c r="C2715" s="97">
        <v>511766</v>
      </c>
      <c r="D2715" s="96" t="s">
        <v>4378</v>
      </c>
      <c r="E2715" s="96" t="s">
        <v>405</v>
      </c>
    </row>
    <row r="2716" spans="2:5" ht="15" customHeight="1" thickBot="1" x14ac:dyDescent="0.35">
      <c r="B2716" s="96" t="s">
        <v>4379</v>
      </c>
      <c r="C2716" s="97">
        <v>533398</v>
      </c>
      <c r="D2716" s="96" t="s">
        <v>4380</v>
      </c>
      <c r="E2716" s="96" t="s">
        <v>405</v>
      </c>
    </row>
    <row r="2717" spans="2:5" ht="15" customHeight="1" thickBot="1" x14ac:dyDescent="0.35">
      <c r="B2717" s="96" t="s">
        <v>4381</v>
      </c>
      <c r="C2717" s="97">
        <v>532991</v>
      </c>
      <c r="D2717" s="96" t="s">
        <v>4382</v>
      </c>
      <c r="E2717" s="96" t="s">
        <v>474</v>
      </c>
    </row>
    <row r="2718" spans="2:5" ht="15" customHeight="1" thickBot="1" x14ac:dyDescent="0.35">
      <c r="B2718" s="96" t="s">
        <v>4383</v>
      </c>
      <c r="C2718" s="97">
        <v>538862</v>
      </c>
      <c r="D2718" s="96" t="s">
        <v>388</v>
      </c>
      <c r="E2718" s="96" t="s">
        <v>371</v>
      </c>
    </row>
    <row r="2719" spans="2:5" ht="15" customHeight="1" thickBot="1" x14ac:dyDescent="0.35">
      <c r="B2719" s="96" t="s">
        <v>4384</v>
      </c>
      <c r="C2719" s="97">
        <v>506734</v>
      </c>
      <c r="D2719" s="96" t="s">
        <v>388</v>
      </c>
      <c r="E2719" s="96" t="s">
        <v>436</v>
      </c>
    </row>
    <row r="2720" spans="2:5" ht="15" customHeight="1" thickBot="1" x14ac:dyDescent="0.35">
      <c r="B2720" s="96" t="s">
        <v>4385</v>
      </c>
      <c r="C2720" s="97">
        <v>535205</v>
      </c>
      <c r="D2720" s="96" t="s">
        <v>388</v>
      </c>
      <c r="E2720" s="96" t="s">
        <v>410</v>
      </c>
    </row>
    <row r="2721" spans="2:5" ht="15" customHeight="1" thickBot="1" x14ac:dyDescent="0.35">
      <c r="B2721" s="96" t="s">
        <v>4386</v>
      </c>
      <c r="C2721" s="96" t="s">
        <v>388</v>
      </c>
      <c r="D2721" s="96" t="s">
        <v>4387</v>
      </c>
      <c r="E2721" s="96" t="s">
        <v>479</v>
      </c>
    </row>
    <row r="2722" spans="2:5" ht="15" customHeight="1" thickBot="1" x14ac:dyDescent="0.35">
      <c r="B2722" s="96" t="s">
        <v>4388</v>
      </c>
      <c r="C2722" s="97">
        <v>512024</v>
      </c>
      <c r="D2722" s="96" t="s">
        <v>388</v>
      </c>
      <c r="E2722" s="96" t="s">
        <v>462</v>
      </c>
    </row>
    <row r="2723" spans="2:5" ht="15" customHeight="1" thickBot="1" x14ac:dyDescent="0.35">
      <c r="B2723" s="96" t="s">
        <v>4389</v>
      </c>
      <c r="C2723" s="97">
        <v>530897</v>
      </c>
      <c r="D2723" s="96" t="s">
        <v>388</v>
      </c>
      <c r="E2723" s="96" t="s">
        <v>577</v>
      </c>
    </row>
    <row r="2724" spans="2:5" ht="15" customHeight="1" thickBot="1" x14ac:dyDescent="0.35">
      <c r="B2724" s="96" t="s">
        <v>4390</v>
      </c>
      <c r="C2724" s="97">
        <v>516082</v>
      </c>
      <c r="D2724" s="96" t="s">
        <v>4391</v>
      </c>
      <c r="E2724" s="96" t="s">
        <v>382</v>
      </c>
    </row>
    <row r="2725" spans="2:5" ht="15" customHeight="1" thickBot="1" x14ac:dyDescent="0.35">
      <c r="B2725" s="96" t="s">
        <v>4392</v>
      </c>
      <c r="C2725" s="97">
        <v>532623</v>
      </c>
      <c r="D2725" s="96" t="s">
        <v>388</v>
      </c>
      <c r="E2725" s="96" t="s">
        <v>410</v>
      </c>
    </row>
    <row r="2726" spans="2:5" ht="15" customHeight="1" thickBot="1" x14ac:dyDescent="0.35">
      <c r="B2726" s="96" t="s">
        <v>4393</v>
      </c>
      <c r="C2726" s="97">
        <v>512279</v>
      </c>
      <c r="D2726" s="96" t="s">
        <v>388</v>
      </c>
      <c r="E2726" s="96" t="s">
        <v>809</v>
      </c>
    </row>
    <row r="2727" spans="2:5" ht="15" customHeight="1" thickBot="1" x14ac:dyDescent="0.35">
      <c r="B2727" s="96" t="s">
        <v>4394</v>
      </c>
      <c r="C2727" s="97">
        <v>524709</v>
      </c>
      <c r="D2727" s="96" t="s">
        <v>4395</v>
      </c>
      <c r="E2727" s="96" t="s">
        <v>532</v>
      </c>
    </row>
    <row r="2728" spans="2:5" ht="15" customHeight="1" thickBot="1" x14ac:dyDescent="0.35">
      <c r="B2728" s="96" t="s">
        <v>4396</v>
      </c>
      <c r="C2728" s="96" t="s">
        <v>388</v>
      </c>
      <c r="D2728" s="96" t="s">
        <v>4397</v>
      </c>
      <c r="E2728" s="96" t="s">
        <v>479</v>
      </c>
    </row>
    <row r="2729" spans="2:5" ht="15" customHeight="1" thickBot="1" x14ac:dyDescent="0.35">
      <c r="B2729" s="96" t="s">
        <v>4398</v>
      </c>
      <c r="C2729" s="97">
        <v>531832</v>
      </c>
      <c r="D2729" s="96" t="s">
        <v>388</v>
      </c>
      <c r="E2729" s="96" t="s">
        <v>586</v>
      </c>
    </row>
    <row r="2730" spans="2:5" ht="15" customHeight="1" thickBot="1" x14ac:dyDescent="0.35">
      <c r="B2730" s="96" t="s">
        <v>4399</v>
      </c>
      <c r="C2730" s="97">
        <v>539917</v>
      </c>
      <c r="D2730" s="96" t="s">
        <v>4400</v>
      </c>
      <c r="E2730" s="96" t="s">
        <v>896</v>
      </c>
    </row>
    <row r="2731" spans="2:5" ht="15" customHeight="1" thickBot="1" x14ac:dyDescent="0.35">
      <c r="B2731" s="96" t="s">
        <v>4401</v>
      </c>
      <c r="C2731" s="97">
        <v>534184</v>
      </c>
      <c r="D2731" s="96" t="s">
        <v>4402</v>
      </c>
      <c r="E2731" s="96" t="s">
        <v>451</v>
      </c>
    </row>
    <row r="2732" spans="2:5" ht="15" customHeight="1" thickBot="1" x14ac:dyDescent="0.35">
      <c r="B2732" s="96" t="s">
        <v>4403</v>
      </c>
      <c r="C2732" s="97">
        <v>532362</v>
      </c>
      <c r="D2732" s="96" t="s">
        <v>388</v>
      </c>
      <c r="E2732" s="96" t="s">
        <v>420</v>
      </c>
    </row>
    <row r="2733" spans="2:5" ht="15" customHeight="1" thickBot="1" x14ac:dyDescent="0.35">
      <c r="B2733" s="96" t="s">
        <v>4404</v>
      </c>
      <c r="C2733" s="97">
        <v>532895</v>
      </c>
      <c r="D2733" s="96" t="s">
        <v>4405</v>
      </c>
      <c r="E2733" s="96" t="s">
        <v>408</v>
      </c>
    </row>
    <row r="2734" spans="2:5" ht="15" customHeight="1" thickBot="1" x14ac:dyDescent="0.35">
      <c r="B2734" s="96" t="s">
        <v>4406</v>
      </c>
      <c r="C2734" s="97">
        <v>521109</v>
      </c>
      <c r="D2734" s="96" t="s">
        <v>4407</v>
      </c>
      <c r="E2734" s="96" t="s">
        <v>403</v>
      </c>
    </row>
    <row r="2735" spans="2:5" ht="15" customHeight="1" thickBot="1" x14ac:dyDescent="0.35">
      <c r="B2735" s="96" t="s">
        <v>4408</v>
      </c>
      <c r="C2735" s="97">
        <v>532952</v>
      </c>
      <c r="D2735" s="96" t="s">
        <v>4409</v>
      </c>
      <c r="E2735" s="96" t="s">
        <v>408</v>
      </c>
    </row>
    <row r="2736" spans="2:5" ht="15" customHeight="1" thickBot="1" x14ac:dyDescent="0.35">
      <c r="B2736" s="96" t="s">
        <v>4410</v>
      </c>
      <c r="C2736" s="97">
        <v>519136</v>
      </c>
      <c r="D2736" s="96" t="s">
        <v>4411</v>
      </c>
      <c r="E2736" s="96" t="s">
        <v>403</v>
      </c>
    </row>
    <row r="2737" spans="2:5" ht="15" customHeight="1" thickBot="1" x14ac:dyDescent="0.35">
      <c r="B2737" s="96" t="s">
        <v>4412</v>
      </c>
      <c r="C2737" s="97">
        <v>523391</v>
      </c>
      <c r="D2737" s="96" t="s">
        <v>4413</v>
      </c>
      <c r="E2737" s="96" t="s">
        <v>403</v>
      </c>
    </row>
    <row r="2738" spans="2:5" ht="15" customHeight="1" thickBot="1" x14ac:dyDescent="0.35">
      <c r="B2738" s="96" t="s">
        <v>4414</v>
      </c>
      <c r="C2738" s="97">
        <v>500296</v>
      </c>
      <c r="D2738" s="96" t="s">
        <v>4415</v>
      </c>
      <c r="E2738" s="96" t="s">
        <v>403</v>
      </c>
    </row>
    <row r="2739" spans="2:5" ht="15" customHeight="1" thickBot="1" x14ac:dyDescent="0.35">
      <c r="B2739" s="96" t="s">
        <v>4416</v>
      </c>
      <c r="C2739" s="97">
        <v>541418</v>
      </c>
      <c r="D2739" s="96" t="s">
        <v>388</v>
      </c>
      <c r="E2739" s="96" t="s">
        <v>448</v>
      </c>
    </row>
    <row r="2740" spans="2:5" ht="15" customHeight="1" thickBot="1" x14ac:dyDescent="0.35">
      <c r="B2740" s="96" t="s">
        <v>4417</v>
      </c>
      <c r="C2740" s="97">
        <v>531212</v>
      </c>
      <c r="D2740" s="96" t="s">
        <v>388</v>
      </c>
      <c r="E2740" s="96" t="s">
        <v>405</v>
      </c>
    </row>
    <row r="2741" spans="2:5" ht="15" customHeight="1" thickBot="1" x14ac:dyDescent="0.35">
      <c r="B2741" s="96" t="s">
        <v>4418</v>
      </c>
      <c r="C2741" s="97">
        <v>532256</v>
      </c>
      <c r="D2741" s="96" t="s">
        <v>4419</v>
      </c>
      <c r="E2741" s="96" t="s">
        <v>405</v>
      </c>
    </row>
    <row r="2742" spans="2:5" ht="15" customHeight="1" thickBot="1" x14ac:dyDescent="0.35">
      <c r="B2742" s="96" t="s">
        <v>4420</v>
      </c>
      <c r="C2742" s="97">
        <v>538395</v>
      </c>
      <c r="D2742" s="96" t="s">
        <v>388</v>
      </c>
      <c r="E2742" s="96" t="s">
        <v>371</v>
      </c>
    </row>
    <row r="2743" spans="2:5" ht="15" customHeight="1" thickBot="1" x14ac:dyDescent="0.35">
      <c r="B2743" s="96" t="s">
        <v>4421</v>
      </c>
      <c r="C2743" s="97">
        <v>532641</v>
      </c>
      <c r="D2743" s="96" t="s">
        <v>4422</v>
      </c>
      <c r="E2743" s="96" t="s">
        <v>403</v>
      </c>
    </row>
    <row r="2744" spans="2:5" ht="15" customHeight="1" thickBot="1" x14ac:dyDescent="0.35">
      <c r="B2744" s="96" t="s">
        <v>4423</v>
      </c>
      <c r="C2744" s="96" t="s">
        <v>388</v>
      </c>
      <c r="D2744" s="96" t="s">
        <v>4424</v>
      </c>
      <c r="E2744" s="96" t="s">
        <v>399</v>
      </c>
    </row>
    <row r="2745" spans="2:5" ht="15" customHeight="1" thickBot="1" x14ac:dyDescent="0.35">
      <c r="B2745" s="96" t="s">
        <v>4425</v>
      </c>
      <c r="C2745" s="97">
        <v>539551</v>
      </c>
      <c r="D2745" s="96" t="s">
        <v>4426</v>
      </c>
      <c r="E2745" s="96" t="s">
        <v>858</v>
      </c>
    </row>
    <row r="2746" spans="2:5" ht="15" customHeight="1" thickBot="1" x14ac:dyDescent="0.35">
      <c r="B2746" s="96" t="s">
        <v>4427</v>
      </c>
      <c r="C2746" s="97">
        <v>540080</v>
      </c>
      <c r="D2746" s="96" t="s">
        <v>388</v>
      </c>
      <c r="E2746" s="96" t="s">
        <v>420</v>
      </c>
    </row>
    <row r="2747" spans="2:5" ht="15" customHeight="1" thickBot="1" x14ac:dyDescent="0.35">
      <c r="B2747" s="96" t="s">
        <v>4428</v>
      </c>
      <c r="C2747" s="97">
        <v>519455</v>
      </c>
      <c r="D2747" s="96" t="s">
        <v>388</v>
      </c>
      <c r="E2747" s="96" t="s">
        <v>502</v>
      </c>
    </row>
    <row r="2748" spans="2:5" ht="15" customHeight="1" thickBot="1" x14ac:dyDescent="0.35">
      <c r="B2748" s="96" t="s">
        <v>4429</v>
      </c>
      <c r="C2748" s="97">
        <v>540204</v>
      </c>
      <c r="D2748" s="96" t="s">
        <v>4430</v>
      </c>
      <c r="E2748" s="96" t="s">
        <v>472</v>
      </c>
    </row>
    <row r="2749" spans="2:5" ht="15" customHeight="1" thickBot="1" x14ac:dyDescent="0.35">
      <c r="B2749" s="96" t="s">
        <v>4431</v>
      </c>
      <c r="C2749" s="97">
        <v>531416</v>
      </c>
      <c r="D2749" s="96" t="s">
        <v>388</v>
      </c>
      <c r="E2749" s="96" t="s">
        <v>474</v>
      </c>
    </row>
    <row r="2750" spans="2:5" ht="15" customHeight="1" thickBot="1" x14ac:dyDescent="0.35">
      <c r="B2750" s="96" t="s">
        <v>4432</v>
      </c>
      <c r="C2750" s="96" t="s">
        <v>388</v>
      </c>
      <c r="D2750" s="96" t="s">
        <v>4433</v>
      </c>
      <c r="E2750" s="96" t="s">
        <v>399</v>
      </c>
    </row>
    <row r="2751" spans="2:5" ht="15" customHeight="1" thickBot="1" x14ac:dyDescent="0.35">
      <c r="B2751" s="96" t="s">
        <v>4434</v>
      </c>
      <c r="C2751" s="97">
        <v>526739</v>
      </c>
      <c r="D2751" s="96" t="s">
        <v>388</v>
      </c>
      <c r="E2751" s="96" t="s">
        <v>548</v>
      </c>
    </row>
    <row r="2752" spans="2:5" ht="15" customHeight="1" thickBot="1" x14ac:dyDescent="0.35">
      <c r="B2752" s="96" t="s">
        <v>4435</v>
      </c>
      <c r="C2752" s="97">
        <v>517431</v>
      </c>
      <c r="D2752" s="96" t="s">
        <v>4436</v>
      </c>
      <c r="E2752" s="96" t="s">
        <v>508</v>
      </c>
    </row>
    <row r="2753" spans="2:5" ht="15" customHeight="1" thickBot="1" x14ac:dyDescent="0.35">
      <c r="B2753" s="96" t="s">
        <v>4437</v>
      </c>
      <c r="C2753" s="97">
        <v>539595</v>
      </c>
      <c r="D2753" s="96" t="s">
        <v>388</v>
      </c>
      <c r="E2753" s="96" t="s">
        <v>371</v>
      </c>
    </row>
    <row r="2754" spans="2:5" ht="15" customHeight="1" thickBot="1" x14ac:dyDescent="0.35">
      <c r="B2754" s="96" t="s">
        <v>4438</v>
      </c>
      <c r="C2754" s="97">
        <v>524816</v>
      </c>
      <c r="D2754" s="96" t="s">
        <v>4439</v>
      </c>
      <c r="E2754" s="96" t="s">
        <v>426</v>
      </c>
    </row>
    <row r="2755" spans="2:5" ht="15" customHeight="1" thickBot="1" x14ac:dyDescent="0.35">
      <c r="B2755" s="96" t="s">
        <v>4440</v>
      </c>
      <c r="C2755" s="97">
        <v>537291</v>
      </c>
      <c r="D2755" s="96" t="s">
        <v>4441</v>
      </c>
      <c r="E2755" s="96" t="s">
        <v>586</v>
      </c>
    </row>
    <row r="2756" spans="2:5" ht="15" customHeight="1" thickBot="1" x14ac:dyDescent="0.35">
      <c r="B2756" s="96" t="s">
        <v>4442</v>
      </c>
      <c r="C2756" s="97">
        <v>537291</v>
      </c>
      <c r="D2756" s="96" t="s">
        <v>4441</v>
      </c>
      <c r="E2756" s="96" t="s">
        <v>586</v>
      </c>
    </row>
    <row r="2757" spans="2:5" ht="15" customHeight="1" thickBot="1" x14ac:dyDescent="0.35">
      <c r="B2757" s="96" t="s">
        <v>4443</v>
      </c>
      <c r="C2757" s="97">
        <v>502407</v>
      </c>
      <c r="D2757" s="96" t="s">
        <v>388</v>
      </c>
      <c r="E2757" s="96" t="s">
        <v>382</v>
      </c>
    </row>
    <row r="2758" spans="2:5" ht="15" customHeight="1" thickBot="1" x14ac:dyDescent="0.35">
      <c r="B2758" s="96" t="s">
        <v>4444</v>
      </c>
      <c r="C2758" s="97">
        <v>532234</v>
      </c>
      <c r="D2758" s="96" t="s">
        <v>4445</v>
      </c>
      <c r="E2758" s="96" t="s">
        <v>693</v>
      </c>
    </row>
    <row r="2759" spans="2:5" ht="15" customHeight="1" thickBot="1" x14ac:dyDescent="0.35">
      <c r="B2759" s="96" t="s">
        <v>4446</v>
      </c>
      <c r="C2759" s="97">
        <v>523630</v>
      </c>
      <c r="D2759" s="96" t="s">
        <v>4447</v>
      </c>
      <c r="E2759" s="96" t="s">
        <v>896</v>
      </c>
    </row>
    <row r="2760" spans="2:5" ht="15" customHeight="1" thickBot="1" x14ac:dyDescent="0.35">
      <c r="B2760" s="96" t="s">
        <v>4448</v>
      </c>
      <c r="C2760" s="97">
        <v>531289</v>
      </c>
      <c r="D2760" s="96" t="s">
        <v>388</v>
      </c>
      <c r="E2760" s="96" t="s">
        <v>711</v>
      </c>
    </row>
    <row r="2761" spans="2:5" ht="15" customHeight="1" thickBot="1" x14ac:dyDescent="0.35">
      <c r="B2761" s="96" t="s">
        <v>4449</v>
      </c>
      <c r="C2761" s="97">
        <v>531651</v>
      </c>
      <c r="D2761" s="96" t="s">
        <v>388</v>
      </c>
      <c r="E2761" s="96" t="s">
        <v>420</v>
      </c>
    </row>
    <row r="2762" spans="2:5" ht="15" customHeight="1" thickBot="1" x14ac:dyDescent="0.35">
      <c r="B2762" s="96" t="s">
        <v>4450</v>
      </c>
      <c r="C2762" s="97">
        <v>507813</v>
      </c>
      <c r="D2762" s="96" t="s">
        <v>388</v>
      </c>
      <c r="E2762" s="96" t="s">
        <v>1423</v>
      </c>
    </row>
    <row r="2763" spans="2:5" ht="15" customHeight="1" thickBot="1" x14ac:dyDescent="0.35">
      <c r="B2763" s="96" t="s">
        <v>4451</v>
      </c>
      <c r="C2763" s="97">
        <v>500298</v>
      </c>
      <c r="D2763" s="96" t="s">
        <v>388</v>
      </c>
      <c r="E2763" s="96" t="s">
        <v>436</v>
      </c>
    </row>
    <row r="2764" spans="2:5" ht="15" customHeight="1" thickBot="1" x14ac:dyDescent="0.35">
      <c r="B2764" s="96" t="s">
        <v>4452</v>
      </c>
      <c r="C2764" s="97">
        <v>526616</v>
      </c>
      <c r="D2764" s="96" t="s">
        <v>388</v>
      </c>
      <c r="E2764" s="96" t="s">
        <v>508</v>
      </c>
    </row>
    <row r="2765" spans="2:5" ht="15" customHeight="1" thickBot="1" x14ac:dyDescent="0.35">
      <c r="B2765" s="96" t="s">
        <v>4453</v>
      </c>
      <c r="C2765" s="97">
        <v>531287</v>
      </c>
      <c r="D2765" s="96" t="s">
        <v>388</v>
      </c>
      <c r="E2765" s="96" t="s">
        <v>508</v>
      </c>
    </row>
    <row r="2766" spans="2:5" ht="15" customHeight="1" thickBot="1" x14ac:dyDescent="0.35">
      <c r="B2766" s="96" t="s">
        <v>4454</v>
      </c>
      <c r="C2766" s="97">
        <v>516062</v>
      </c>
      <c r="D2766" s="96" t="s">
        <v>388</v>
      </c>
      <c r="E2766" s="96" t="s">
        <v>883</v>
      </c>
    </row>
    <row r="2767" spans="2:5" ht="15" customHeight="1" thickBot="1" x14ac:dyDescent="0.35">
      <c r="B2767" s="96" t="s">
        <v>4455</v>
      </c>
      <c r="C2767" s="97">
        <v>504882</v>
      </c>
      <c r="D2767" s="96" t="s">
        <v>388</v>
      </c>
      <c r="E2767" s="96" t="s">
        <v>474</v>
      </c>
    </row>
    <row r="2768" spans="2:5" ht="15" customHeight="1" thickBot="1" x14ac:dyDescent="0.35">
      <c r="B2768" s="96" t="s">
        <v>4456</v>
      </c>
      <c r="C2768" s="97">
        <v>504882</v>
      </c>
      <c r="D2768" s="96" t="s">
        <v>388</v>
      </c>
      <c r="E2768" s="96" t="s">
        <v>474</v>
      </c>
    </row>
    <row r="2769" spans="2:5" ht="15" customHeight="1" thickBot="1" x14ac:dyDescent="0.35">
      <c r="B2769" s="96" t="s">
        <v>4457</v>
      </c>
      <c r="C2769" s="97">
        <v>513179</v>
      </c>
      <c r="D2769" s="96" t="s">
        <v>4458</v>
      </c>
      <c r="E2769" s="96" t="s">
        <v>420</v>
      </c>
    </row>
    <row r="2770" spans="2:5" ht="15" customHeight="1" thickBot="1" x14ac:dyDescent="0.35">
      <c r="B2770" s="96" t="s">
        <v>4459</v>
      </c>
      <c r="C2770" s="97">
        <v>530119</v>
      </c>
      <c r="D2770" s="96" t="s">
        <v>388</v>
      </c>
      <c r="E2770" s="96" t="s">
        <v>637</v>
      </c>
    </row>
    <row r="2771" spans="2:5" ht="15" customHeight="1" thickBot="1" x14ac:dyDescent="0.35">
      <c r="B2771" s="96" t="s">
        <v>4460</v>
      </c>
      <c r="C2771" s="97">
        <v>531834</v>
      </c>
      <c r="D2771" s="96" t="s">
        <v>388</v>
      </c>
      <c r="E2771" s="96" t="s">
        <v>586</v>
      </c>
    </row>
    <row r="2772" spans="2:5" ht="15" customHeight="1" thickBot="1" x14ac:dyDescent="0.35">
      <c r="B2772" s="96" t="s">
        <v>4461</v>
      </c>
      <c r="C2772" s="97">
        <v>524654</v>
      </c>
      <c r="D2772" s="96" t="s">
        <v>388</v>
      </c>
      <c r="E2772" s="96" t="s">
        <v>426</v>
      </c>
    </row>
    <row r="2773" spans="2:5" ht="15" customHeight="1" thickBot="1" x14ac:dyDescent="0.35">
      <c r="B2773" s="96" t="s">
        <v>4462</v>
      </c>
      <c r="C2773" s="97">
        <v>538926</v>
      </c>
      <c r="D2773" s="96" t="s">
        <v>388</v>
      </c>
      <c r="E2773" s="96" t="s">
        <v>586</v>
      </c>
    </row>
    <row r="2774" spans="2:5" ht="15" customHeight="1" thickBot="1" x14ac:dyDescent="0.35">
      <c r="B2774" s="96" t="s">
        <v>4463</v>
      </c>
      <c r="C2774" s="97">
        <v>513023</v>
      </c>
      <c r="D2774" s="96" t="s">
        <v>4464</v>
      </c>
      <c r="E2774" s="96" t="s">
        <v>527</v>
      </c>
    </row>
    <row r="2775" spans="2:5" ht="15" customHeight="1" thickBot="1" x14ac:dyDescent="0.35">
      <c r="B2775" s="96" t="s">
        <v>4465</v>
      </c>
      <c r="C2775" s="97">
        <v>539521</v>
      </c>
      <c r="D2775" s="96" t="s">
        <v>388</v>
      </c>
      <c r="E2775" s="96" t="s">
        <v>371</v>
      </c>
    </row>
    <row r="2776" spans="2:5" ht="15" customHeight="1" thickBot="1" x14ac:dyDescent="0.35">
      <c r="B2776" s="96" t="s">
        <v>4466</v>
      </c>
      <c r="C2776" s="97">
        <v>532504</v>
      </c>
      <c r="D2776" s="96" t="s">
        <v>4467</v>
      </c>
      <c r="E2776" s="96" t="s">
        <v>436</v>
      </c>
    </row>
    <row r="2777" spans="2:5" ht="15" customHeight="1" thickBot="1" x14ac:dyDescent="0.35">
      <c r="B2777" s="96" t="s">
        <v>4468</v>
      </c>
      <c r="C2777" s="97">
        <v>531494</v>
      </c>
      <c r="D2777" s="96" t="s">
        <v>388</v>
      </c>
      <c r="E2777" s="96" t="s">
        <v>474</v>
      </c>
    </row>
    <row r="2778" spans="2:5" ht="15" customHeight="1" thickBot="1" x14ac:dyDescent="0.35">
      <c r="B2778" s="96" t="s">
        <v>4469</v>
      </c>
      <c r="C2778" s="97">
        <v>539332</v>
      </c>
      <c r="D2778" s="96" t="s">
        <v>4470</v>
      </c>
      <c r="E2778" s="96" t="s">
        <v>511</v>
      </c>
    </row>
    <row r="2779" spans="2:5" ht="15" customHeight="1" thickBot="1" x14ac:dyDescent="0.35">
      <c r="B2779" s="96" t="s">
        <v>4471</v>
      </c>
      <c r="C2779" s="97">
        <v>539525</v>
      </c>
      <c r="D2779" s="96" t="s">
        <v>388</v>
      </c>
      <c r="E2779" s="96" t="s">
        <v>422</v>
      </c>
    </row>
    <row r="2780" spans="2:5" ht="15" customHeight="1" thickBot="1" x14ac:dyDescent="0.35">
      <c r="B2780" s="96" t="s">
        <v>4472</v>
      </c>
      <c r="C2780" s="97">
        <v>508989</v>
      </c>
      <c r="D2780" s="96" t="s">
        <v>4473</v>
      </c>
      <c r="E2780" s="96" t="s">
        <v>912</v>
      </c>
    </row>
    <row r="2781" spans="2:5" ht="15" customHeight="1" thickBot="1" x14ac:dyDescent="0.35">
      <c r="B2781" s="96" t="s">
        <v>4474</v>
      </c>
      <c r="C2781" s="97">
        <v>538668</v>
      </c>
      <c r="D2781" s="96" t="s">
        <v>388</v>
      </c>
      <c r="E2781" s="96" t="s">
        <v>405</v>
      </c>
    </row>
    <row r="2782" spans="2:5" ht="15" customHeight="1" thickBot="1" x14ac:dyDescent="0.35">
      <c r="B2782" s="96" t="s">
        <v>4475</v>
      </c>
      <c r="C2782" s="97">
        <v>523242</v>
      </c>
      <c r="D2782" s="96" t="s">
        <v>388</v>
      </c>
      <c r="E2782" s="96" t="s">
        <v>814</v>
      </c>
    </row>
    <row r="2783" spans="2:5" ht="15" customHeight="1" thickBot="1" x14ac:dyDescent="0.35">
      <c r="B2783" s="96" t="s">
        <v>4476</v>
      </c>
      <c r="C2783" s="97">
        <v>534309</v>
      </c>
      <c r="D2783" s="96" t="s">
        <v>4477</v>
      </c>
      <c r="E2783" s="96" t="s">
        <v>786</v>
      </c>
    </row>
    <row r="2784" spans="2:5" ht="15" customHeight="1" thickBot="1" x14ac:dyDescent="0.35">
      <c r="B2784" s="96" t="s">
        <v>4478</v>
      </c>
      <c r="C2784" s="97">
        <v>534309</v>
      </c>
      <c r="D2784" s="96" t="s">
        <v>4477</v>
      </c>
      <c r="E2784" s="96" t="s">
        <v>786</v>
      </c>
    </row>
    <row r="2785" spans="2:5" ht="15" customHeight="1" thickBot="1" x14ac:dyDescent="0.35">
      <c r="B2785" s="96" t="s">
        <v>4479</v>
      </c>
      <c r="C2785" s="97">
        <v>519506</v>
      </c>
      <c r="D2785" s="96" t="s">
        <v>388</v>
      </c>
      <c r="E2785" s="96" t="s">
        <v>448</v>
      </c>
    </row>
    <row r="2786" spans="2:5" ht="15" customHeight="1" thickBot="1" x14ac:dyDescent="0.35">
      <c r="B2786" s="96" t="s">
        <v>4480</v>
      </c>
      <c r="C2786" s="97">
        <v>531452</v>
      </c>
      <c r="D2786" s="96" t="s">
        <v>388</v>
      </c>
      <c r="E2786" s="96" t="s">
        <v>405</v>
      </c>
    </row>
    <row r="2787" spans="2:5" ht="15" customHeight="1" thickBot="1" x14ac:dyDescent="0.35">
      <c r="B2787" s="96" t="s">
        <v>4481</v>
      </c>
      <c r="C2787" s="97">
        <v>500294</v>
      </c>
      <c r="D2787" s="96" t="s">
        <v>4482</v>
      </c>
      <c r="E2787" s="96" t="s">
        <v>786</v>
      </c>
    </row>
    <row r="2788" spans="2:5" ht="15" customHeight="1" thickBot="1" x14ac:dyDescent="0.35">
      <c r="B2788" s="96" t="s">
        <v>4483</v>
      </c>
      <c r="C2788" s="97">
        <v>502168</v>
      </c>
      <c r="D2788" s="96" t="s">
        <v>4484</v>
      </c>
      <c r="E2788" s="96" t="s">
        <v>401</v>
      </c>
    </row>
    <row r="2789" spans="2:5" ht="15" customHeight="1" thickBot="1" x14ac:dyDescent="0.35">
      <c r="B2789" s="96" t="s">
        <v>4485</v>
      </c>
      <c r="C2789" s="97">
        <v>530557</v>
      </c>
      <c r="D2789" s="96" t="s">
        <v>388</v>
      </c>
      <c r="E2789" s="96" t="s">
        <v>371</v>
      </c>
    </row>
    <row r="2790" spans="2:5" ht="15" customHeight="1" thickBot="1" x14ac:dyDescent="0.35">
      <c r="B2790" s="96" t="s">
        <v>4486</v>
      </c>
      <c r="C2790" s="97">
        <v>511535</v>
      </c>
      <c r="D2790" s="96" t="s">
        <v>388</v>
      </c>
      <c r="E2790" s="96" t="s">
        <v>371</v>
      </c>
    </row>
    <row r="2791" spans="2:5" ht="15" customHeight="1" thickBot="1" x14ac:dyDescent="0.35">
      <c r="B2791" s="96" t="s">
        <v>4487</v>
      </c>
      <c r="C2791" s="97">
        <v>532649</v>
      </c>
      <c r="D2791" s="96" t="s">
        <v>4488</v>
      </c>
      <c r="E2791" s="96" t="s">
        <v>426</v>
      </c>
    </row>
    <row r="2792" spans="2:5" ht="15" customHeight="1" thickBot="1" x14ac:dyDescent="0.35">
      <c r="B2792" s="96" t="s">
        <v>4489</v>
      </c>
      <c r="C2792" s="97">
        <v>508670</v>
      </c>
      <c r="D2792" s="96" t="s">
        <v>388</v>
      </c>
      <c r="E2792" s="96" t="s">
        <v>795</v>
      </c>
    </row>
    <row r="2793" spans="2:5" ht="15" customHeight="1" thickBot="1" x14ac:dyDescent="0.35">
      <c r="B2793" s="96" t="s">
        <v>4490</v>
      </c>
      <c r="C2793" s="97">
        <v>531049</v>
      </c>
      <c r="D2793" s="96" t="s">
        <v>388</v>
      </c>
      <c r="E2793" s="96" t="s">
        <v>916</v>
      </c>
    </row>
    <row r="2794" spans="2:5" ht="15" customHeight="1" thickBot="1" x14ac:dyDescent="0.35">
      <c r="B2794" s="96" t="s">
        <v>4491</v>
      </c>
      <c r="C2794" s="97">
        <v>539409</v>
      </c>
      <c r="D2794" s="96" t="s">
        <v>388</v>
      </c>
      <c r="E2794" s="96" t="s">
        <v>410</v>
      </c>
    </row>
    <row r="2795" spans="2:5" ht="15" customHeight="1" thickBot="1" x14ac:dyDescent="0.35">
      <c r="B2795" s="96" t="s">
        <v>4492</v>
      </c>
      <c r="C2795" s="97">
        <v>537838</v>
      </c>
      <c r="D2795" s="96" t="s">
        <v>388</v>
      </c>
      <c r="E2795" s="96" t="s">
        <v>410</v>
      </c>
    </row>
    <row r="2796" spans="2:5" ht="15" customHeight="1" thickBot="1" x14ac:dyDescent="0.35">
      <c r="B2796" s="96" t="s">
        <v>4493</v>
      </c>
      <c r="C2796" s="97">
        <v>519560</v>
      </c>
      <c r="D2796" s="96" t="s">
        <v>388</v>
      </c>
      <c r="E2796" s="96" t="s">
        <v>586</v>
      </c>
    </row>
    <row r="2797" spans="2:5" ht="15" customHeight="1" thickBot="1" x14ac:dyDescent="0.35">
      <c r="B2797" s="96" t="s">
        <v>4494</v>
      </c>
      <c r="C2797" s="97">
        <v>539016</v>
      </c>
      <c r="D2797" s="96" t="s">
        <v>388</v>
      </c>
      <c r="E2797" s="96" t="s">
        <v>405</v>
      </c>
    </row>
    <row r="2798" spans="2:5" ht="15" customHeight="1" thickBot="1" x14ac:dyDescent="0.35">
      <c r="B2798" s="96" t="s">
        <v>4495</v>
      </c>
      <c r="C2798" s="97">
        <v>532864</v>
      </c>
      <c r="D2798" s="96" t="s">
        <v>4496</v>
      </c>
      <c r="E2798" s="96" t="s">
        <v>1307</v>
      </c>
    </row>
    <row r="2799" spans="2:5" ht="15" customHeight="1" thickBot="1" x14ac:dyDescent="0.35">
      <c r="B2799" s="96" t="s">
        <v>4497</v>
      </c>
      <c r="C2799" s="97">
        <v>504112</v>
      </c>
      <c r="D2799" s="96" t="s">
        <v>4498</v>
      </c>
      <c r="E2799" s="96" t="s">
        <v>2014</v>
      </c>
    </row>
    <row r="2800" spans="2:5" ht="15" customHeight="1" thickBot="1" x14ac:dyDescent="0.35">
      <c r="B2800" s="96" t="s">
        <v>4499</v>
      </c>
      <c r="C2800" s="97">
        <v>514332</v>
      </c>
      <c r="D2800" s="96" t="s">
        <v>388</v>
      </c>
      <c r="E2800" s="96" t="s">
        <v>474</v>
      </c>
    </row>
    <row r="2801" spans="2:5" ht="15" customHeight="1" thickBot="1" x14ac:dyDescent="0.35">
      <c r="B2801" s="96" t="s">
        <v>4500</v>
      </c>
      <c r="C2801" s="97">
        <v>526195</v>
      </c>
      <c r="D2801" s="96" t="s">
        <v>388</v>
      </c>
      <c r="E2801" s="96" t="s">
        <v>502</v>
      </c>
    </row>
    <row r="2802" spans="2:5" ht="15" customHeight="1" thickBot="1" x14ac:dyDescent="0.35">
      <c r="B2802" s="96" t="s">
        <v>4501</v>
      </c>
      <c r="C2802" s="97">
        <v>526195</v>
      </c>
      <c r="D2802" s="96" t="s">
        <v>388</v>
      </c>
      <c r="E2802" s="96" t="s">
        <v>502</v>
      </c>
    </row>
    <row r="2803" spans="2:5" ht="15" customHeight="1" thickBot="1" x14ac:dyDescent="0.35">
      <c r="B2803" s="96" t="s">
        <v>4502</v>
      </c>
      <c r="C2803" s="97">
        <v>542665</v>
      </c>
      <c r="D2803" s="96" t="s">
        <v>4503</v>
      </c>
      <c r="E2803" s="96" t="s">
        <v>548</v>
      </c>
    </row>
    <row r="2804" spans="2:5" ht="15" customHeight="1" thickBot="1" x14ac:dyDescent="0.35">
      <c r="B2804" s="96" t="s">
        <v>4504</v>
      </c>
      <c r="C2804" s="97">
        <v>512522</v>
      </c>
      <c r="D2804" s="96" t="s">
        <v>388</v>
      </c>
      <c r="E2804" s="96" t="s">
        <v>410</v>
      </c>
    </row>
    <row r="2805" spans="2:5" ht="15" customHeight="1" thickBot="1" x14ac:dyDescent="0.35">
      <c r="B2805" s="96" t="s">
        <v>4505</v>
      </c>
      <c r="C2805" s="97">
        <v>505355</v>
      </c>
      <c r="D2805" s="96" t="s">
        <v>4506</v>
      </c>
      <c r="E2805" s="96" t="s">
        <v>809</v>
      </c>
    </row>
    <row r="2806" spans="2:5" ht="15" customHeight="1" thickBot="1" x14ac:dyDescent="0.35">
      <c r="B2806" s="96" t="s">
        <v>4507</v>
      </c>
      <c r="C2806" s="97">
        <v>500790</v>
      </c>
      <c r="D2806" s="96" t="s">
        <v>4508</v>
      </c>
      <c r="E2806" s="96" t="s">
        <v>448</v>
      </c>
    </row>
    <row r="2807" spans="2:5" ht="15" customHeight="1" thickBot="1" x14ac:dyDescent="0.35">
      <c r="B2807" s="96" t="s">
        <v>4509</v>
      </c>
      <c r="C2807" s="97">
        <v>500790</v>
      </c>
      <c r="D2807" s="96" t="s">
        <v>4508</v>
      </c>
      <c r="E2807" s="96" t="s">
        <v>448</v>
      </c>
    </row>
    <row r="2808" spans="2:5" ht="15" customHeight="1" thickBot="1" x14ac:dyDescent="0.35">
      <c r="B2808" s="96" t="s">
        <v>4510</v>
      </c>
      <c r="C2808" s="97">
        <v>509040</v>
      </c>
      <c r="D2808" s="96" t="s">
        <v>388</v>
      </c>
      <c r="E2808" s="96" t="s">
        <v>481</v>
      </c>
    </row>
    <row r="2809" spans="2:5" ht="15" customHeight="1" thickBot="1" x14ac:dyDescent="0.35">
      <c r="B2809" s="96" t="s">
        <v>4511</v>
      </c>
      <c r="C2809" s="97">
        <v>509040</v>
      </c>
      <c r="D2809" s="96" t="s">
        <v>388</v>
      </c>
      <c r="E2809" s="96" t="s">
        <v>481</v>
      </c>
    </row>
    <row r="2810" spans="2:5" ht="15" customHeight="1" thickBot="1" x14ac:dyDescent="0.35">
      <c r="B2810" s="96" t="s">
        <v>4512</v>
      </c>
      <c r="C2810" s="97">
        <v>542117</v>
      </c>
      <c r="D2810" s="96" t="s">
        <v>388</v>
      </c>
      <c r="E2810" s="96" t="s">
        <v>479</v>
      </c>
    </row>
    <row r="2811" spans="2:5" ht="15" customHeight="1" thickBot="1" x14ac:dyDescent="0.35">
      <c r="B2811" s="96" t="s">
        <v>4513</v>
      </c>
      <c r="C2811" s="97">
        <v>511658</v>
      </c>
      <c r="D2811" s="96" t="s">
        <v>388</v>
      </c>
      <c r="E2811" s="96" t="s">
        <v>481</v>
      </c>
    </row>
    <row r="2812" spans="2:5" ht="15" customHeight="1" thickBot="1" x14ac:dyDescent="0.35">
      <c r="B2812" s="96" t="s">
        <v>4514</v>
      </c>
      <c r="C2812" s="97">
        <v>523558</v>
      </c>
      <c r="D2812" s="96" t="s">
        <v>388</v>
      </c>
      <c r="E2812" s="96" t="s">
        <v>930</v>
      </c>
    </row>
    <row r="2813" spans="2:5" ht="15" customHeight="1" thickBot="1" x14ac:dyDescent="0.35">
      <c r="B2813" s="96" t="s">
        <v>4515</v>
      </c>
      <c r="C2813" s="97">
        <v>532798</v>
      </c>
      <c r="D2813" s="96" t="s">
        <v>4516</v>
      </c>
      <c r="E2813" s="96" t="s">
        <v>554</v>
      </c>
    </row>
    <row r="2814" spans="2:5" ht="15" customHeight="1" thickBot="1" x14ac:dyDescent="0.35">
      <c r="B2814" s="96" t="s">
        <v>4517</v>
      </c>
      <c r="C2814" s="97">
        <v>532887</v>
      </c>
      <c r="D2814" s="96" t="s">
        <v>4518</v>
      </c>
      <c r="E2814" s="96" t="s">
        <v>431</v>
      </c>
    </row>
    <row r="2815" spans="2:5" ht="15" customHeight="1" thickBot="1" x14ac:dyDescent="0.35">
      <c r="B2815" s="96" t="s">
        <v>4519</v>
      </c>
      <c r="C2815" s="97">
        <v>524558</v>
      </c>
      <c r="D2815" s="96" t="s">
        <v>4520</v>
      </c>
      <c r="E2815" s="96" t="s">
        <v>426</v>
      </c>
    </row>
    <row r="2816" spans="2:5" ht="15" customHeight="1" thickBot="1" x14ac:dyDescent="0.35">
      <c r="B2816" s="96" t="s">
        <v>4521</v>
      </c>
      <c r="C2816" s="97">
        <v>532529</v>
      </c>
      <c r="D2816" s="96" t="s">
        <v>4522</v>
      </c>
      <c r="E2816" s="96" t="s">
        <v>1126</v>
      </c>
    </row>
    <row r="2817" spans="2:5" ht="15" customHeight="1" thickBot="1" x14ac:dyDescent="0.35">
      <c r="B2817" s="96" t="s">
        <v>4523</v>
      </c>
      <c r="C2817" s="97">
        <v>540243</v>
      </c>
      <c r="D2817" s="96" t="s">
        <v>388</v>
      </c>
      <c r="E2817" s="96" t="s">
        <v>410</v>
      </c>
    </row>
    <row r="2818" spans="2:5" ht="15" customHeight="1" thickBot="1" x14ac:dyDescent="0.35">
      <c r="B2818" s="96" t="s">
        <v>4524</v>
      </c>
      <c r="C2818" s="97">
        <v>508867</v>
      </c>
      <c r="D2818" s="96" t="s">
        <v>388</v>
      </c>
      <c r="E2818" s="96" t="s">
        <v>481</v>
      </c>
    </row>
    <row r="2819" spans="2:5" ht="15" customHeight="1" thickBot="1" x14ac:dyDescent="0.35">
      <c r="B2819" s="96" t="s">
        <v>4525</v>
      </c>
      <c r="C2819" s="97">
        <v>501479</v>
      </c>
      <c r="D2819" s="96" t="s">
        <v>388</v>
      </c>
      <c r="E2819" s="96" t="s">
        <v>410</v>
      </c>
    </row>
    <row r="2820" spans="2:5" ht="15" customHeight="1" thickBot="1" x14ac:dyDescent="0.35">
      <c r="B2820" s="96" t="s">
        <v>4526</v>
      </c>
      <c r="C2820" s="97">
        <v>536644</v>
      </c>
      <c r="D2820" s="96" t="s">
        <v>388</v>
      </c>
      <c r="E2820" s="96" t="s">
        <v>410</v>
      </c>
    </row>
    <row r="2821" spans="2:5" ht="15" customHeight="1" thickBot="1" x14ac:dyDescent="0.35">
      <c r="B2821" s="96" t="s">
        <v>4527</v>
      </c>
      <c r="C2821" s="97">
        <v>540900</v>
      </c>
      <c r="D2821" s="96" t="s">
        <v>4528</v>
      </c>
      <c r="E2821" s="96" t="s">
        <v>374</v>
      </c>
    </row>
    <row r="2822" spans="2:5" ht="15" customHeight="1" thickBot="1" x14ac:dyDescent="0.35">
      <c r="B2822" s="96" t="s">
        <v>4529</v>
      </c>
      <c r="C2822" s="97">
        <v>532416</v>
      </c>
      <c r="D2822" s="96" t="s">
        <v>4530</v>
      </c>
      <c r="E2822" s="96" t="s">
        <v>912</v>
      </c>
    </row>
    <row r="2823" spans="2:5" ht="15" customHeight="1" thickBot="1" x14ac:dyDescent="0.35">
      <c r="B2823" s="96" t="s">
        <v>4531</v>
      </c>
      <c r="C2823" s="97">
        <v>538874</v>
      </c>
      <c r="D2823" s="96" t="s">
        <v>388</v>
      </c>
      <c r="E2823" s="96" t="s">
        <v>371</v>
      </c>
    </row>
    <row r="2824" spans="2:5" ht="15" customHeight="1" thickBot="1" x14ac:dyDescent="0.35">
      <c r="B2824" s="96" t="s">
        <v>4532</v>
      </c>
      <c r="C2824" s="97">
        <v>524774</v>
      </c>
      <c r="D2824" s="96" t="s">
        <v>388</v>
      </c>
      <c r="E2824" s="96" t="s">
        <v>426</v>
      </c>
    </row>
    <row r="2825" spans="2:5" ht="15" customHeight="1" thickBot="1" x14ac:dyDescent="0.35">
      <c r="B2825" s="96" t="s">
        <v>4533</v>
      </c>
      <c r="C2825" s="97">
        <v>517554</v>
      </c>
      <c r="D2825" s="96" t="s">
        <v>388</v>
      </c>
      <c r="E2825" s="96" t="s">
        <v>468</v>
      </c>
    </row>
    <row r="2826" spans="2:5" ht="15" customHeight="1" thickBot="1" x14ac:dyDescent="0.35">
      <c r="B2826" s="96" t="s">
        <v>4534</v>
      </c>
      <c r="C2826" s="97">
        <v>533098</v>
      </c>
      <c r="D2826" s="96" t="s">
        <v>4535</v>
      </c>
      <c r="E2826" s="96" t="s">
        <v>527</v>
      </c>
    </row>
    <row r="2827" spans="2:5" ht="15" customHeight="1" thickBot="1" x14ac:dyDescent="0.35">
      <c r="B2827" s="96" t="s">
        <v>4536</v>
      </c>
      <c r="C2827" s="97">
        <v>526721</v>
      </c>
      <c r="D2827" s="96" t="s">
        <v>388</v>
      </c>
      <c r="E2827" s="96" t="s">
        <v>566</v>
      </c>
    </row>
    <row r="2828" spans="2:5" ht="15" customHeight="1" thickBot="1" x14ac:dyDescent="0.35">
      <c r="B2828" s="96" t="s">
        <v>4537</v>
      </c>
      <c r="C2828" s="97">
        <v>523209</v>
      </c>
      <c r="D2828" s="96" t="s">
        <v>388</v>
      </c>
      <c r="E2828" s="96" t="s">
        <v>405</v>
      </c>
    </row>
    <row r="2829" spans="2:5" ht="15" customHeight="1" thickBot="1" x14ac:dyDescent="0.35">
      <c r="B2829" s="96" t="s">
        <v>4538</v>
      </c>
      <c r="C2829" s="97">
        <v>512103</v>
      </c>
      <c r="D2829" s="96" t="s">
        <v>388</v>
      </c>
      <c r="E2829" s="96" t="s">
        <v>916</v>
      </c>
    </row>
    <row r="2830" spans="2:5" ht="15" customHeight="1" thickBot="1" x14ac:dyDescent="0.35">
      <c r="B2830" s="96" t="s">
        <v>4539</v>
      </c>
      <c r="C2830" s="97">
        <v>531083</v>
      </c>
      <c r="D2830" s="96" t="s">
        <v>388</v>
      </c>
      <c r="E2830" s="96" t="s">
        <v>481</v>
      </c>
    </row>
    <row r="2831" spans="2:5" ht="15" customHeight="1" thickBot="1" x14ac:dyDescent="0.35">
      <c r="B2831" s="96" t="s">
        <v>4540</v>
      </c>
      <c r="C2831" s="97">
        <v>500304</v>
      </c>
      <c r="D2831" s="96" t="s">
        <v>4541</v>
      </c>
      <c r="E2831" s="96" t="s">
        <v>873</v>
      </c>
    </row>
    <row r="2832" spans="2:5" ht="15" customHeight="1" thickBot="1" x14ac:dyDescent="0.35">
      <c r="B2832" s="96" t="s">
        <v>4542</v>
      </c>
      <c r="C2832" s="97">
        <v>532541</v>
      </c>
      <c r="D2832" s="96" t="s">
        <v>4543</v>
      </c>
      <c r="E2832" s="96" t="s">
        <v>374</v>
      </c>
    </row>
    <row r="2833" spans="2:5" ht="15" customHeight="1" thickBot="1" x14ac:dyDescent="0.35">
      <c r="B2833" s="96" t="s">
        <v>4544</v>
      </c>
      <c r="C2833" s="97">
        <v>526159</v>
      </c>
      <c r="D2833" s="96" t="s">
        <v>388</v>
      </c>
      <c r="E2833" s="96" t="s">
        <v>410</v>
      </c>
    </row>
    <row r="2834" spans="2:5" ht="15" customHeight="1" thickBot="1" x14ac:dyDescent="0.35">
      <c r="B2834" s="96" t="s">
        <v>4545</v>
      </c>
      <c r="C2834" s="97">
        <v>531272</v>
      </c>
      <c r="D2834" s="96" t="s">
        <v>388</v>
      </c>
      <c r="E2834" s="96" t="s">
        <v>405</v>
      </c>
    </row>
    <row r="2835" spans="2:5" ht="15" customHeight="1" thickBot="1" x14ac:dyDescent="0.35">
      <c r="B2835" s="96" t="s">
        <v>4546</v>
      </c>
      <c r="C2835" s="97">
        <v>530377</v>
      </c>
      <c r="D2835" s="96" t="s">
        <v>4547</v>
      </c>
      <c r="E2835" s="96" t="s">
        <v>474</v>
      </c>
    </row>
    <row r="2836" spans="2:5" ht="15" customHeight="1" thickBot="1" x14ac:dyDescent="0.35">
      <c r="B2836" s="96" t="s">
        <v>4548</v>
      </c>
      <c r="C2836" s="97">
        <v>542231</v>
      </c>
      <c r="D2836" s="96" t="s">
        <v>4549</v>
      </c>
      <c r="E2836" s="96" t="s">
        <v>474</v>
      </c>
    </row>
    <row r="2837" spans="2:5" ht="15" customHeight="1" thickBot="1" x14ac:dyDescent="0.35">
      <c r="B2837" s="96" t="s">
        <v>4550</v>
      </c>
      <c r="C2837" s="97">
        <v>502294</v>
      </c>
      <c r="D2837" s="96" t="s">
        <v>388</v>
      </c>
      <c r="E2837" s="96" t="s">
        <v>916</v>
      </c>
    </row>
    <row r="2838" spans="2:5" ht="15" customHeight="1" thickBot="1" x14ac:dyDescent="0.35">
      <c r="B2838" s="96" t="s">
        <v>4551</v>
      </c>
      <c r="C2838" s="97">
        <v>530129</v>
      </c>
      <c r="D2838" s="96" t="s">
        <v>388</v>
      </c>
      <c r="E2838" s="96" t="s">
        <v>711</v>
      </c>
    </row>
    <row r="2839" spans="2:5" ht="15" customHeight="1" thickBot="1" x14ac:dyDescent="0.35">
      <c r="B2839" s="96" t="s">
        <v>4552</v>
      </c>
      <c r="C2839" s="97">
        <v>523385</v>
      </c>
      <c r="D2839" s="96" t="s">
        <v>4553</v>
      </c>
      <c r="E2839" s="96" t="s">
        <v>508</v>
      </c>
    </row>
    <row r="2840" spans="2:5" ht="15" customHeight="1" thickBot="1" x14ac:dyDescent="0.35">
      <c r="B2840" s="96" t="s">
        <v>4554</v>
      </c>
      <c r="C2840" s="97">
        <v>512004</v>
      </c>
      <c r="D2840" s="96" t="s">
        <v>388</v>
      </c>
      <c r="E2840" s="96" t="s">
        <v>809</v>
      </c>
    </row>
    <row r="2841" spans="2:5" ht="15" customHeight="1" thickBot="1" x14ac:dyDescent="0.35">
      <c r="B2841" s="96" t="s">
        <v>4555</v>
      </c>
      <c r="C2841" s="97">
        <v>531598</v>
      </c>
      <c r="D2841" s="96" t="s">
        <v>388</v>
      </c>
      <c r="E2841" s="96" t="s">
        <v>448</v>
      </c>
    </row>
    <row r="2842" spans="2:5" ht="15" customHeight="1" thickBot="1" x14ac:dyDescent="0.35">
      <c r="B2842" s="96" t="s">
        <v>4556</v>
      </c>
      <c r="C2842" s="97">
        <v>530971</v>
      </c>
      <c r="D2842" s="96" t="s">
        <v>388</v>
      </c>
      <c r="E2842" s="96" t="s">
        <v>410</v>
      </c>
    </row>
    <row r="2843" spans="2:5" ht="15" customHeight="1" thickBot="1" x14ac:dyDescent="0.35">
      <c r="B2843" s="96" t="s">
        <v>4557</v>
      </c>
      <c r="C2843" s="97">
        <v>511714</v>
      </c>
      <c r="D2843" s="96" t="s">
        <v>388</v>
      </c>
      <c r="E2843" s="96" t="s">
        <v>474</v>
      </c>
    </row>
    <row r="2844" spans="2:5" ht="15" customHeight="1" thickBot="1" x14ac:dyDescent="0.35">
      <c r="B2844" s="96" t="s">
        <v>4558</v>
      </c>
      <c r="C2844" s="97">
        <v>539843</v>
      </c>
      <c r="D2844" s="96" t="s">
        <v>388</v>
      </c>
      <c r="E2844" s="96" t="s">
        <v>374</v>
      </c>
    </row>
    <row r="2845" spans="2:5" ht="15" customHeight="1" thickBot="1" x14ac:dyDescent="0.35">
      <c r="B2845" s="96" t="s">
        <v>4559</v>
      </c>
      <c r="C2845" s="97">
        <v>532986</v>
      </c>
      <c r="D2845" s="96" t="s">
        <v>388</v>
      </c>
      <c r="E2845" s="96" t="s">
        <v>786</v>
      </c>
    </row>
    <row r="2846" spans="2:5" ht="15" customHeight="1" thickBot="1" x14ac:dyDescent="0.35">
      <c r="B2846" s="96" t="s">
        <v>4560</v>
      </c>
      <c r="C2846" s="96" t="s">
        <v>388</v>
      </c>
      <c r="D2846" s="96" t="s">
        <v>4561</v>
      </c>
      <c r="E2846" s="96" t="s">
        <v>479</v>
      </c>
    </row>
    <row r="2847" spans="2:5" ht="15" customHeight="1" thickBot="1" x14ac:dyDescent="0.35">
      <c r="B2847" s="96" t="s">
        <v>4562</v>
      </c>
      <c r="C2847" s="97">
        <v>512425</v>
      </c>
      <c r="D2847" s="96" t="s">
        <v>388</v>
      </c>
      <c r="E2847" s="96" t="s">
        <v>410</v>
      </c>
    </row>
    <row r="2848" spans="2:5" ht="15" customHeight="1" thickBot="1" x14ac:dyDescent="0.35">
      <c r="B2848" s="96" t="s">
        <v>4563</v>
      </c>
      <c r="C2848" s="97">
        <v>500307</v>
      </c>
      <c r="D2848" s="96" t="s">
        <v>388</v>
      </c>
      <c r="E2848" s="96" t="s">
        <v>809</v>
      </c>
    </row>
    <row r="2849" spans="2:5" ht="15" customHeight="1" thickBot="1" x14ac:dyDescent="0.35">
      <c r="B2849" s="96" t="s">
        <v>4564</v>
      </c>
      <c r="C2849" s="97">
        <v>539311</v>
      </c>
      <c r="D2849" s="96" t="s">
        <v>388</v>
      </c>
      <c r="E2849" s="96" t="s">
        <v>371</v>
      </c>
    </row>
    <row r="2850" spans="2:5" ht="15" customHeight="1" thickBot="1" x14ac:dyDescent="0.35">
      <c r="B2850" s="96" t="s">
        <v>4565</v>
      </c>
      <c r="C2850" s="97">
        <v>539311</v>
      </c>
      <c r="D2850" s="96" t="s">
        <v>388</v>
      </c>
      <c r="E2850" s="96" t="s">
        <v>371</v>
      </c>
    </row>
    <row r="2851" spans="2:5" ht="15" customHeight="1" thickBot="1" x14ac:dyDescent="0.35">
      <c r="B2851" s="96" t="s">
        <v>4566</v>
      </c>
      <c r="C2851" s="97">
        <v>532722</v>
      </c>
      <c r="D2851" s="96" t="s">
        <v>4567</v>
      </c>
      <c r="E2851" s="96" t="s">
        <v>665</v>
      </c>
    </row>
    <row r="2852" spans="2:5" ht="15" customHeight="1" thickBot="1" x14ac:dyDescent="0.35">
      <c r="B2852" s="96" t="s">
        <v>4568</v>
      </c>
      <c r="C2852" s="97">
        <v>533202</v>
      </c>
      <c r="D2852" s="96" t="s">
        <v>4569</v>
      </c>
      <c r="E2852" s="96" t="s">
        <v>474</v>
      </c>
    </row>
    <row r="2853" spans="2:5" ht="15" customHeight="1" thickBot="1" x14ac:dyDescent="0.35">
      <c r="B2853" s="96" t="s">
        <v>4570</v>
      </c>
      <c r="C2853" s="97">
        <v>508875</v>
      </c>
      <c r="D2853" s="96" t="s">
        <v>388</v>
      </c>
      <c r="E2853" s="96" t="s">
        <v>809</v>
      </c>
    </row>
    <row r="2854" spans="2:5" ht="15" customHeight="1" thickBot="1" x14ac:dyDescent="0.35">
      <c r="B2854" s="96" t="s">
        <v>4571</v>
      </c>
      <c r="C2854" s="97">
        <v>532854</v>
      </c>
      <c r="D2854" s="96" t="s">
        <v>4572</v>
      </c>
      <c r="E2854" s="96" t="s">
        <v>396</v>
      </c>
    </row>
    <row r="2855" spans="2:5" ht="15" customHeight="1" thickBot="1" x14ac:dyDescent="0.35">
      <c r="B2855" s="96" t="s">
        <v>4573</v>
      </c>
      <c r="C2855" s="97">
        <v>532698</v>
      </c>
      <c r="D2855" s="96" t="s">
        <v>4574</v>
      </c>
      <c r="E2855" s="96" t="s">
        <v>403</v>
      </c>
    </row>
    <row r="2856" spans="2:5" ht="15" customHeight="1" thickBot="1" x14ac:dyDescent="0.35">
      <c r="B2856" s="96" t="s">
        <v>4575</v>
      </c>
      <c r="C2856" s="96" t="s">
        <v>388</v>
      </c>
      <c r="D2856" s="96" t="s">
        <v>4576</v>
      </c>
      <c r="E2856" s="96" t="s">
        <v>399</v>
      </c>
    </row>
    <row r="2857" spans="2:5" ht="15" customHeight="1" thickBot="1" x14ac:dyDescent="0.35">
      <c r="B2857" s="96" t="s">
        <v>4577</v>
      </c>
      <c r="C2857" s="97">
        <v>506532</v>
      </c>
      <c r="D2857" s="96" t="s">
        <v>388</v>
      </c>
      <c r="E2857" s="96" t="s">
        <v>548</v>
      </c>
    </row>
    <row r="2858" spans="2:5" ht="15" customHeight="1" thickBot="1" x14ac:dyDescent="0.35">
      <c r="B2858" s="96" t="s">
        <v>4578</v>
      </c>
      <c r="C2858" s="97">
        <v>506532</v>
      </c>
      <c r="D2858" s="96" t="s">
        <v>388</v>
      </c>
      <c r="E2858" s="96" t="s">
        <v>548</v>
      </c>
    </row>
    <row r="2859" spans="2:5" ht="15" customHeight="1" thickBot="1" x14ac:dyDescent="0.35">
      <c r="B2859" s="96" t="s">
        <v>4579</v>
      </c>
      <c r="C2859" s="97">
        <v>512381</v>
      </c>
      <c r="D2859" s="96" t="s">
        <v>388</v>
      </c>
      <c r="E2859" s="96" t="s">
        <v>410</v>
      </c>
    </row>
    <row r="2860" spans="2:5" ht="15" customHeight="1" thickBot="1" x14ac:dyDescent="0.35">
      <c r="B2860" s="96" t="s">
        <v>4580</v>
      </c>
      <c r="C2860" s="97">
        <v>512245</v>
      </c>
      <c r="D2860" s="96" t="s">
        <v>388</v>
      </c>
      <c r="E2860" s="96" t="s">
        <v>809</v>
      </c>
    </row>
    <row r="2861" spans="2:5" ht="15" customHeight="1" thickBot="1" x14ac:dyDescent="0.35">
      <c r="B2861" s="96" t="s">
        <v>4581</v>
      </c>
      <c r="C2861" s="97">
        <v>538772</v>
      </c>
      <c r="D2861" s="96" t="s">
        <v>388</v>
      </c>
      <c r="E2861" s="96" t="s">
        <v>405</v>
      </c>
    </row>
    <row r="2862" spans="2:5" ht="15" customHeight="1" thickBot="1" x14ac:dyDescent="0.35">
      <c r="B2862" s="96" t="s">
        <v>4582</v>
      </c>
      <c r="C2862" s="97">
        <v>519494</v>
      </c>
      <c r="D2862" s="96" t="s">
        <v>4583</v>
      </c>
      <c r="E2862" s="96" t="s">
        <v>637</v>
      </c>
    </row>
    <row r="2863" spans="2:5" ht="15" customHeight="1" thickBot="1" x14ac:dyDescent="0.35">
      <c r="B2863" s="96" t="s">
        <v>4584</v>
      </c>
      <c r="C2863" s="97">
        <v>513683</v>
      </c>
      <c r="D2863" s="96" t="s">
        <v>4585</v>
      </c>
      <c r="E2863" s="96" t="s">
        <v>527</v>
      </c>
    </row>
    <row r="2864" spans="2:5" ht="15" customHeight="1" thickBot="1" x14ac:dyDescent="0.35">
      <c r="B2864" s="96" t="s">
        <v>4586</v>
      </c>
      <c r="C2864" s="97">
        <v>513683</v>
      </c>
      <c r="D2864" s="96" t="s">
        <v>4587</v>
      </c>
      <c r="E2864" s="96" t="s">
        <v>527</v>
      </c>
    </row>
    <row r="2865" spans="2:5" ht="15" customHeight="1" thickBot="1" x14ac:dyDescent="0.35">
      <c r="B2865" s="96" t="s">
        <v>4588</v>
      </c>
      <c r="C2865" s="97">
        <v>526371</v>
      </c>
      <c r="D2865" s="96" t="s">
        <v>4589</v>
      </c>
      <c r="E2865" s="96" t="s">
        <v>368</v>
      </c>
    </row>
    <row r="2866" spans="2:5" ht="15" customHeight="1" thickBot="1" x14ac:dyDescent="0.35">
      <c r="B2866" s="96" t="s">
        <v>4590</v>
      </c>
      <c r="C2866" s="97">
        <v>500730</v>
      </c>
      <c r="D2866" s="96" t="s">
        <v>4591</v>
      </c>
      <c r="E2866" s="96" t="s">
        <v>548</v>
      </c>
    </row>
    <row r="2867" spans="2:5" ht="15" customHeight="1" thickBot="1" x14ac:dyDescent="0.35">
      <c r="B2867" s="96" t="s">
        <v>4592</v>
      </c>
      <c r="C2867" s="97">
        <v>532481</v>
      </c>
      <c r="D2867" s="96" t="s">
        <v>4593</v>
      </c>
      <c r="E2867" s="96" t="s">
        <v>983</v>
      </c>
    </row>
    <row r="2868" spans="2:5" ht="15" customHeight="1" thickBot="1" x14ac:dyDescent="0.35">
      <c r="B2868" s="96" t="s">
        <v>4594</v>
      </c>
      <c r="C2868" s="96" t="s">
        <v>388</v>
      </c>
      <c r="D2868" s="96" t="s">
        <v>4595</v>
      </c>
      <c r="E2868" s="96" t="s">
        <v>479</v>
      </c>
    </row>
    <row r="2869" spans="2:5" ht="15" customHeight="1" thickBot="1" x14ac:dyDescent="0.35">
      <c r="B2869" s="96" t="s">
        <v>4596</v>
      </c>
      <c r="C2869" s="97">
        <v>524414</v>
      </c>
      <c r="D2869" s="96" t="s">
        <v>388</v>
      </c>
      <c r="E2869" s="96" t="s">
        <v>410</v>
      </c>
    </row>
    <row r="2870" spans="2:5" ht="15" customHeight="1" thickBot="1" x14ac:dyDescent="0.35">
      <c r="B2870" s="96" t="s">
        <v>4597</v>
      </c>
      <c r="C2870" s="97">
        <v>534615</v>
      </c>
      <c r="D2870" s="96" t="s">
        <v>4598</v>
      </c>
      <c r="E2870" s="96" t="s">
        <v>709</v>
      </c>
    </row>
    <row r="2871" spans="2:5" ht="15" customHeight="1" thickBot="1" x14ac:dyDescent="0.35">
      <c r="B2871" s="96" t="s">
        <v>4599</v>
      </c>
      <c r="C2871" s="97">
        <v>542628</v>
      </c>
      <c r="D2871" s="96" t="s">
        <v>4600</v>
      </c>
      <c r="E2871" s="96" t="s">
        <v>754</v>
      </c>
    </row>
    <row r="2872" spans="2:5" ht="15" customHeight="1" thickBot="1" x14ac:dyDescent="0.35">
      <c r="B2872" s="96" t="s">
        <v>4601</v>
      </c>
      <c r="C2872" s="97">
        <v>539110</v>
      </c>
      <c r="D2872" s="96" t="s">
        <v>388</v>
      </c>
      <c r="E2872" s="96" t="s">
        <v>405</v>
      </c>
    </row>
    <row r="2873" spans="2:5" ht="15" customHeight="1" thickBot="1" x14ac:dyDescent="0.35">
      <c r="B2873" s="96" t="s">
        <v>4602</v>
      </c>
      <c r="C2873" s="97">
        <v>540698</v>
      </c>
      <c r="D2873" s="96" t="s">
        <v>388</v>
      </c>
      <c r="E2873" s="96" t="s">
        <v>410</v>
      </c>
    </row>
    <row r="2874" spans="2:5" ht="15" customHeight="1" thickBot="1" x14ac:dyDescent="0.35">
      <c r="B2874" s="96" t="s">
        <v>4603</v>
      </c>
      <c r="C2874" s="97">
        <v>531465</v>
      </c>
      <c r="D2874" s="96" t="s">
        <v>388</v>
      </c>
      <c r="E2874" s="96" t="s">
        <v>410</v>
      </c>
    </row>
    <row r="2875" spans="2:5" ht="15" customHeight="1" thickBot="1" x14ac:dyDescent="0.35">
      <c r="B2875" s="96" t="s">
        <v>4604</v>
      </c>
      <c r="C2875" s="97">
        <v>513566</v>
      </c>
      <c r="D2875" s="96" t="s">
        <v>388</v>
      </c>
      <c r="E2875" s="96" t="s">
        <v>420</v>
      </c>
    </row>
    <row r="2876" spans="2:5" ht="15" customHeight="1" thickBot="1" x14ac:dyDescent="0.35">
      <c r="B2876" s="96" t="s">
        <v>4605</v>
      </c>
      <c r="C2876" s="97">
        <v>530733</v>
      </c>
      <c r="D2876" s="96" t="s">
        <v>388</v>
      </c>
      <c r="E2876" s="96" t="s">
        <v>912</v>
      </c>
    </row>
    <row r="2877" spans="2:5" ht="15" customHeight="1" thickBot="1" x14ac:dyDescent="0.35">
      <c r="B2877" s="96" t="s">
        <v>4606</v>
      </c>
      <c r="C2877" s="97">
        <v>530733</v>
      </c>
      <c r="D2877" s="96" t="s">
        <v>388</v>
      </c>
      <c r="E2877" s="96" t="s">
        <v>912</v>
      </c>
    </row>
    <row r="2878" spans="2:5" ht="15" customHeight="1" thickBot="1" x14ac:dyDescent="0.35">
      <c r="B2878" s="96" t="s">
        <v>4607</v>
      </c>
      <c r="C2878" s="97">
        <v>500672</v>
      </c>
      <c r="D2878" s="96" t="s">
        <v>388</v>
      </c>
      <c r="E2878" s="96" t="s">
        <v>426</v>
      </c>
    </row>
    <row r="2879" spans="2:5" ht="15" customHeight="1" thickBot="1" x14ac:dyDescent="0.35">
      <c r="B2879" s="96" t="s">
        <v>4608</v>
      </c>
      <c r="C2879" s="97">
        <v>500672</v>
      </c>
      <c r="D2879" s="96" t="s">
        <v>388</v>
      </c>
      <c r="E2879" s="96" t="s">
        <v>426</v>
      </c>
    </row>
    <row r="2880" spans="2:5" ht="15" customHeight="1" thickBot="1" x14ac:dyDescent="0.35">
      <c r="B2880" s="96" t="s">
        <v>4609</v>
      </c>
      <c r="C2880" s="97">
        <v>530127</v>
      </c>
      <c r="D2880" s="96" t="s">
        <v>388</v>
      </c>
      <c r="E2880" s="96" t="s">
        <v>371</v>
      </c>
    </row>
    <row r="2881" spans="2:5" ht="15" customHeight="1" thickBot="1" x14ac:dyDescent="0.35">
      <c r="B2881" s="96" t="s">
        <v>4610</v>
      </c>
      <c r="C2881" s="97">
        <v>530367</v>
      </c>
      <c r="D2881" s="96" t="s">
        <v>4611</v>
      </c>
      <c r="E2881" s="96" t="s">
        <v>396</v>
      </c>
    </row>
    <row r="2882" spans="2:5" ht="15" customHeight="1" thickBot="1" x14ac:dyDescent="0.35">
      <c r="B2882" s="96" t="s">
        <v>4612</v>
      </c>
      <c r="C2882" s="97">
        <v>535458</v>
      </c>
      <c r="D2882" s="96" t="s">
        <v>4613</v>
      </c>
      <c r="E2882" s="96" t="s">
        <v>573</v>
      </c>
    </row>
    <row r="2883" spans="2:5" ht="15" customHeight="1" thickBot="1" x14ac:dyDescent="0.35">
      <c r="B2883" s="96" t="s">
        <v>4614</v>
      </c>
      <c r="C2883" s="97">
        <v>526723</v>
      </c>
      <c r="D2883" s="96" t="s">
        <v>388</v>
      </c>
      <c r="E2883" s="96" t="s">
        <v>2558</v>
      </c>
    </row>
    <row r="2884" spans="2:5" ht="15" customHeight="1" thickBot="1" x14ac:dyDescent="0.35">
      <c r="B2884" s="96" t="s">
        <v>4615</v>
      </c>
      <c r="C2884" s="97">
        <v>532555</v>
      </c>
      <c r="D2884" s="96" t="s">
        <v>4616</v>
      </c>
      <c r="E2884" s="96" t="s">
        <v>527</v>
      </c>
    </row>
    <row r="2885" spans="2:5" ht="15" customHeight="1" thickBot="1" x14ac:dyDescent="0.35">
      <c r="B2885" s="96" t="s">
        <v>4617</v>
      </c>
      <c r="C2885" s="97">
        <v>533015</v>
      </c>
      <c r="D2885" s="96" t="s">
        <v>4618</v>
      </c>
      <c r="E2885" s="96" t="s">
        <v>1334</v>
      </c>
    </row>
    <row r="2886" spans="2:5" ht="15" customHeight="1" thickBot="1" x14ac:dyDescent="0.35">
      <c r="B2886" s="96" t="s">
        <v>4619</v>
      </c>
      <c r="C2886" s="97">
        <v>533015</v>
      </c>
      <c r="D2886" s="96" t="s">
        <v>4618</v>
      </c>
      <c r="E2886" s="96" t="s">
        <v>1334</v>
      </c>
    </row>
    <row r="2887" spans="2:5" ht="15" customHeight="1" thickBot="1" x14ac:dyDescent="0.35">
      <c r="B2887" s="96" t="s">
        <v>4620</v>
      </c>
      <c r="C2887" s="97">
        <v>531209</v>
      </c>
      <c r="D2887" s="96" t="s">
        <v>4621</v>
      </c>
      <c r="E2887" s="96" t="s">
        <v>481</v>
      </c>
    </row>
    <row r="2888" spans="2:5" ht="15" customHeight="1" thickBot="1" x14ac:dyDescent="0.35">
      <c r="B2888" s="96" t="s">
        <v>4622</v>
      </c>
      <c r="C2888" s="97">
        <v>531304</v>
      </c>
      <c r="D2888" s="96" t="s">
        <v>388</v>
      </c>
      <c r="E2888" s="96" t="s">
        <v>403</v>
      </c>
    </row>
    <row r="2889" spans="2:5" ht="15" customHeight="1" thickBot="1" x14ac:dyDescent="0.35">
      <c r="B2889" s="96" t="s">
        <v>4623</v>
      </c>
      <c r="C2889" s="97">
        <v>524764</v>
      </c>
      <c r="D2889" s="96" t="s">
        <v>388</v>
      </c>
      <c r="E2889" s="96" t="s">
        <v>436</v>
      </c>
    </row>
    <row r="2890" spans="2:5" ht="15" customHeight="1" thickBot="1" x14ac:dyDescent="0.35">
      <c r="B2890" s="96" t="s">
        <v>4624</v>
      </c>
      <c r="C2890" s="97">
        <v>524764</v>
      </c>
      <c r="D2890" s="96" t="s">
        <v>388</v>
      </c>
      <c r="E2890" s="96" t="s">
        <v>436</v>
      </c>
    </row>
    <row r="2891" spans="2:5" ht="15" customHeight="1" thickBot="1" x14ac:dyDescent="0.35">
      <c r="B2891" s="96" t="s">
        <v>4625</v>
      </c>
      <c r="C2891" s="97">
        <v>530219</v>
      </c>
      <c r="D2891" s="96" t="s">
        <v>388</v>
      </c>
      <c r="E2891" s="96" t="s">
        <v>502</v>
      </c>
    </row>
    <row r="2892" spans="2:5" ht="15" customHeight="1" thickBot="1" x14ac:dyDescent="0.35">
      <c r="B2892" s="96" t="s">
        <v>4626</v>
      </c>
      <c r="C2892" s="97">
        <v>531819</v>
      </c>
      <c r="D2892" s="96" t="s">
        <v>388</v>
      </c>
      <c r="E2892" s="96" t="s">
        <v>410</v>
      </c>
    </row>
    <row r="2893" spans="2:5" ht="15" customHeight="1" thickBot="1" x14ac:dyDescent="0.35">
      <c r="B2893" s="96" t="s">
        <v>4627</v>
      </c>
      <c r="C2893" s="97">
        <v>531819</v>
      </c>
      <c r="D2893" s="96" t="s">
        <v>388</v>
      </c>
      <c r="E2893" s="96" t="s">
        <v>410</v>
      </c>
    </row>
    <row r="2894" spans="2:5" ht="15" customHeight="1" thickBot="1" x14ac:dyDescent="0.35">
      <c r="B2894" s="96" t="s">
        <v>4628</v>
      </c>
      <c r="C2894" s="97">
        <v>504378</v>
      </c>
      <c r="D2894" s="96" t="s">
        <v>388</v>
      </c>
      <c r="E2894" s="96" t="s">
        <v>410</v>
      </c>
    </row>
    <row r="2895" spans="2:5" ht="15" customHeight="1" thickBot="1" x14ac:dyDescent="0.35">
      <c r="B2895" s="96" t="s">
        <v>4629</v>
      </c>
      <c r="C2895" s="97">
        <v>539116</v>
      </c>
      <c r="D2895" s="96" t="s">
        <v>388</v>
      </c>
      <c r="E2895" s="96" t="s">
        <v>410</v>
      </c>
    </row>
    <row r="2896" spans="2:5" ht="15" customHeight="1" thickBot="1" x14ac:dyDescent="0.35">
      <c r="B2896" s="96" t="s">
        <v>4630</v>
      </c>
      <c r="C2896" s="97">
        <v>512489</v>
      </c>
      <c r="D2896" s="96" t="s">
        <v>388</v>
      </c>
      <c r="E2896" s="96" t="s">
        <v>405</v>
      </c>
    </row>
    <row r="2897" spans="2:5" ht="15" customHeight="1" thickBot="1" x14ac:dyDescent="0.35">
      <c r="B2897" s="96" t="s">
        <v>4631</v>
      </c>
      <c r="C2897" s="97">
        <v>538547</v>
      </c>
      <c r="D2897" s="96" t="s">
        <v>388</v>
      </c>
      <c r="E2897" s="96" t="s">
        <v>637</v>
      </c>
    </row>
    <row r="2898" spans="2:5" ht="15" customHeight="1" thickBot="1" x14ac:dyDescent="0.35">
      <c r="B2898" s="96" t="s">
        <v>4632</v>
      </c>
      <c r="C2898" s="97">
        <v>533273</v>
      </c>
      <c r="D2898" s="96" t="s">
        <v>4633</v>
      </c>
      <c r="E2898" s="96" t="s">
        <v>474</v>
      </c>
    </row>
    <row r="2899" spans="2:5" ht="15" customHeight="1" thickBot="1" x14ac:dyDescent="0.35">
      <c r="B2899" s="96" t="s">
        <v>4634</v>
      </c>
      <c r="C2899" s="97">
        <v>535657</v>
      </c>
      <c r="D2899" s="96" t="s">
        <v>388</v>
      </c>
      <c r="E2899" s="96" t="s">
        <v>374</v>
      </c>
    </row>
    <row r="2900" spans="2:5" ht="15" customHeight="1" thickBot="1" x14ac:dyDescent="0.35">
      <c r="B2900" s="96" t="s">
        <v>4635</v>
      </c>
      <c r="C2900" s="97">
        <v>519491</v>
      </c>
      <c r="D2900" s="96" t="s">
        <v>388</v>
      </c>
      <c r="E2900" s="96" t="s">
        <v>583</v>
      </c>
    </row>
    <row r="2901" spans="2:5" ht="15" customHeight="1" thickBot="1" x14ac:dyDescent="0.35">
      <c r="B2901" s="96" t="s">
        <v>4636</v>
      </c>
      <c r="C2901" s="97">
        <v>519491</v>
      </c>
      <c r="D2901" s="96" t="s">
        <v>388</v>
      </c>
      <c r="E2901" s="96" t="s">
        <v>583</v>
      </c>
    </row>
    <row r="2902" spans="2:5" ht="15" customHeight="1" thickBot="1" x14ac:dyDescent="0.35">
      <c r="B2902" s="96" t="s">
        <v>4637</v>
      </c>
      <c r="C2902" s="97">
        <v>538019</v>
      </c>
      <c r="D2902" s="96" t="s">
        <v>388</v>
      </c>
      <c r="E2902" s="96" t="s">
        <v>468</v>
      </c>
    </row>
    <row r="2903" spans="2:5" ht="15" customHeight="1" thickBot="1" x14ac:dyDescent="0.35">
      <c r="B2903" s="96" t="s">
        <v>4638</v>
      </c>
      <c r="C2903" s="97">
        <v>540405</v>
      </c>
      <c r="D2903" s="96" t="s">
        <v>388</v>
      </c>
      <c r="E2903" s="96" t="s">
        <v>468</v>
      </c>
    </row>
    <row r="2904" spans="2:5" ht="15" customHeight="1" thickBot="1" x14ac:dyDescent="0.35">
      <c r="B2904" s="96" t="s">
        <v>4639</v>
      </c>
      <c r="C2904" s="97">
        <v>533008</v>
      </c>
      <c r="D2904" s="96" t="s">
        <v>4640</v>
      </c>
      <c r="E2904" s="96" t="s">
        <v>420</v>
      </c>
    </row>
    <row r="2905" spans="2:5" ht="15" customHeight="1" thickBot="1" x14ac:dyDescent="0.35">
      <c r="B2905" s="96" t="s">
        <v>4641</v>
      </c>
      <c r="C2905" s="97">
        <v>538894</v>
      </c>
      <c r="D2905" s="96" t="s">
        <v>388</v>
      </c>
      <c r="E2905" s="96" t="s">
        <v>371</v>
      </c>
    </row>
    <row r="2906" spans="2:5" ht="15" customHeight="1" thickBot="1" x14ac:dyDescent="0.35">
      <c r="B2906" s="96" t="s">
        <v>4642</v>
      </c>
      <c r="C2906" s="97">
        <v>540416</v>
      </c>
      <c r="D2906" s="96" t="s">
        <v>388</v>
      </c>
      <c r="E2906" s="96" t="s">
        <v>394</v>
      </c>
    </row>
    <row r="2907" spans="2:5" ht="15" customHeight="1" thickBot="1" x14ac:dyDescent="0.35">
      <c r="B2907" s="96" t="s">
        <v>4643</v>
      </c>
      <c r="C2907" s="97">
        <v>531996</v>
      </c>
      <c r="D2907" s="96" t="s">
        <v>388</v>
      </c>
      <c r="E2907" s="96" t="s">
        <v>405</v>
      </c>
    </row>
    <row r="2908" spans="2:5" ht="15" customHeight="1" thickBot="1" x14ac:dyDescent="0.35">
      <c r="B2908" s="96" t="s">
        <v>4644</v>
      </c>
      <c r="C2908" s="97">
        <v>530175</v>
      </c>
      <c r="D2908" s="96" t="s">
        <v>388</v>
      </c>
      <c r="E2908" s="96" t="s">
        <v>481</v>
      </c>
    </row>
    <row r="2909" spans="2:5" ht="15" customHeight="1" thickBot="1" x14ac:dyDescent="0.35">
      <c r="B2909" s="96" t="s">
        <v>4645</v>
      </c>
      <c r="C2909" s="97">
        <v>539570</v>
      </c>
      <c r="D2909" s="96" t="s">
        <v>388</v>
      </c>
      <c r="E2909" s="96" t="s">
        <v>374</v>
      </c>
    </row>
    <row r="2910" spans="2:5" ht="15" customHeight="1" thickBot="1" x14ac:dyDescent="0.35">
      <c r="B2910" s="96" t="s">
        <v>4646</v>
      </c>
      <c r="C2910" s="97">
        <v>500312</v>
      </c>
      <c r="D2910" s="96" t="s">
        <v>4647</v>
      </c>
      <c r="E2910" s="96" t="s">
        <v>451</v>
      </c>
    </row>
    <row r="2911" spans="2:5" ht="15" customHeight="1" thickBot="1" x14ac:dyDescent="0.35">
      <c r="B2911" s="96" t="s">
        <v>4648</v>
      </c>
      <c r="C2911" s="97">
        <v>533106</v>
      </c>
      <c r="D2911" s="96" t="s">
        <v>4649</v>
      </c>
      <c r="E2911" s="96" t="s">
        <v>451</v>
      </c>
    </row>
    <row r="2912" spans="2:5" ht="15" customHeight="1" thickBot="1" x14ac:dyDescent="0.35">
      <c r="B2912" s="96" t="s">
        <v>4650</v>
      </c>
      <c r="C2912" s="97">
        <v>500313</v>
      </c>
      <c r="D2912" s="96" t="s">
        <v>4651</v>
      </c>
      <c r="E2912" s="96" t="s">
        <v>729</v>
      </c>
    </row>
    <row r="2913" spans="2:5" ht="15" customHeight="1" thickBot="1" x14ac:dyDescent="0.35">
      <c r="B2913" s="96" t="s">
        <v>4652</v>
      </c>
      <c r="C2913" s="97">
        <v>533106</v>
      </c>
      <c r="D2913" s="96" t="s">
        <v>4649</v>
      </c>
      <c r="E2913" s="96" t="s">
        <v>451</v>
      </c>
    </row>
    <row r="2914" spans="2:5" ht="15" customHeight="1" thickBot="1" x14ac:dyDescent="0.35">
      <c r="B2914" s="96" t="s">
        <v>4653</v>
      </c>
      <c r="C2914" s="97">
        <v>526415</v>
      </c>
      <c r="D2914" s="96" t="s">
        <v>388</v>
      </c>
      <c r="E2914" s="96" t="s">
        <v>886</v>
      </c>
    </row>
    <row r="2915" spans="2:5" ht="15" customHeight="1" thickBot="1" x14ac:dyDescent="0.35">
      <c r="B2915" s="96" t="s">
        <v>4654</v>
      </c>
      <c r="C2915" s="97">
        <v>526415</v>
      </c>
      <c r="D2915" s="96" t="s">
        <v>388</v>
      </c>
      <c r="E2915" s="96" t="s">
        <v>886</v>
      </c>
    </row>
    <row r="2916" spans="2:5" ht="15" customHeight="1" thickBot="1" x14ac:dyDescent="0.35">
      <c r="B2916" s="96" t="s">
        <v>4655</v>
      </c>
      <c r="C2916" s="97">
        <v>532439</v>
      </c>
      <c r="D2916" s="96" t="s">
        <v>4656</v>
      </c>
      <c r="E2916" s="96" t="s">
        <v>396</v>
      </c>
    </row>
    <row r="2917" spans="2:5" ht="15" customHeight="1" thickBot="1" x14ac:dyDescent="0.35">
      <c r="B2917" s="96" t="s">
        <v>4657</v>
      </c>
      <c r="C2917" s="97">
        <v>521105</v>
      </c>
      <c r="D2917" s="96" t="s">
        <v>388</v>
      </c>
      <c r="E2917" s="96" t="s">
        <v>3146</v>
      </c>
    </row>
    <row r="2918" spans="2:5" ht="15" customHeight="1" thickBot="1" x14ac:dyDescent="0.35">
      <c r="B2918" s="96" t="s">
        <v>4658</v>
      </c>
      <c r="C2918" s="97">
        <v>534190</v>
      </c>
      <c r="D2918" s="96" t="s">
        <v>388</v>
      </c>
      <c r="E2918" s="96" t="s">
        <v>886</v>
      </c>
    </row>
    <row r="2919" spans="2:5" ht="15" customHeight="1" thickBot="1" x14ac:dyDescent="0.35">
      <c r="B2919" s="96" t="s">
        <v>4659</v>
      </c>
      <c r="C2919" s="97">
        <v>507609</v>
      </c>
      <c r="D2919" s="96" t="s">
        <v>388</v>
      </c>
      <c r="E2919" s="96" t="s">
        <v>586</v>
      </c>
    </row>
    <row r="2920" spans="2:5" ht="15" customHeight="1" thickBot="1" x14ac:dyDescent="0.35">
      <c r="B2920" s="96" t="s">
        <v>4660</v>
      </c>
      <c r="C2920" s="97">
        <v>531092</v>
      </c>
      <c r="D2920" s="96" t="s">
        <v>4661</v>
      </c>
      <c r="E2920" s="96" t="s">
        <v>786</v>
      </c>
    </row>
    <row r="2921" spans="2:5" ht="15" customHeight="1" thickBot="1" x14ac:dyDescent="0.35">
      <c r="B2921" s="96" t="s">
        <v>4662</v>
      </c>
      <c r="C2921" s="97">
        <v>538537</v>
      </c>
      <c r="D2921" s="96" t="s">
        <v>388</v>
      </c>
      <c r="E2921" s="96" t="s">
        <v>410</v>
      </c>
    </row>
    <row r="2922" spans="2:5" ht="15" customHeight="1" thickBot="1" x14ac:dyDescent="0.35">
      <c r="B2922" s="96" t="s">
        <v>4663</v>
      </c>
      <c r="C2922" s="97">
        <v>520021</v>
      </c>
      <c r="D2922" s="96" t="s">
        <v>4664</v>
      </c>
      <c r="E2922" s="96" t="s">
        <v>743</v>
      </c>
    </row>
    <row r="2923" spans="2:5" ht="15" customHeight="1" thickBot="1" x14ac:dyDescent="0.35">
      <c r="B2923" s="96" t="s">
        <v>4665</v>
      </c>
      <c r="C2923" s="97">
        <v>532880</v>
      </c>
      <c r="D2923" s="96" t="s">
        <v>4666</v>
      </c>
      <c r="E2923" s="96" t="s">
        <v>474</v>
      </c>
    </row>
    <row r="2924" spans="2:5" ht="15" customHeight="1" thickBot="1" x14ac:dyDescent="0.35">
      <c r="B2924" s="96" t="s">
        <v>4667</v>
      </c>
      <c r="C2924" s="96" t="s">
        <v>388</v>
      </c>
      <c r="D2924" s="96" t="s">
        <v>4668</v>
      </c>
      <c r="E2924" s="96" t="s">
        <v>399</v>
      </c>
    </row>
    <row r="2925" spans="2:5" ht="15" customHeight="1" thickBot="1" x14ac:dyDescent="0.35">
      <c r="B2925" s="96" t="s">
        <v>4669</v>
      </c>
      <c r="C2925" s="96" t="s">
        <v>388</v>
      </c>
      <c r="D2925" s="96" t="s">
        <v>4668</v>
      </c>
      <c r="E2925" s="96" t="s">
        <v>399</v>
      </c>
    </row>
    <row r="2926" spans="2:5" ht="15" customHeight="1" thickBot="1" x14ac:dyDescent="0.35">
      <c r="B2926" s="96" t="s">
        <v>4670</v>
      </c>
      <c r="C2926" s="97">
        <v>531496</v>
      </c>
      <c r="D2926" s="96" t="s">
        <v>388</v>
      </c>
      <c r="E2926" s="96" t="s">
        <v>403</v>
      </c>
    </row>
    <row r="2927" spans="2:5" ht="15" customHeight="1" thickBot="1" x14ac:dyDescent="0.35">
      <c r="B2927" s="96" t="s">
        <v>4671</v>
      </c>
      <c r="C2927" s="97">
        <v>532167</v>
      </c>
      <c r="D2927" s="96" t="s">
        <v>388</v>
      </c>
      <c r="E2927" s="96" t="s">
        <v>436</v>
      </c>
    </row>
    <row r="2928" spans="2:5" ht="15" customHeight="1" thickBot="1" x14ac:dyDescent="0.35">
      <c r="B2928" s="96" t="s">
        <v>4672</v>
      </c>
      <c r="C2928" s="97">
        <v>533317</v>
      </c>
      <c r="D2928" s="96" t="s">
        <v>4673</v>
      </c>
      <c r="E2928" s="96" t="s">
        <v>548</v>
      </c>
    </row>
    <row r="2929" spans="2:5" ht="15" customHeight="1" thickBot="1" x14ac:dyDescent="0.35">
      <c r="B2929" s="96" t="s">
        <v>4674</v>
      </c>
      <c r="C2929" s="97">
        <v>532340</v>
      </c>
      <c r="D2929" s="96" t="s">
        <v>388</v>
      </c>
      <c r="E2929" s="96" t="s">
        <v>481</v>
      </c>
    </row>
    <row r="2930" spans="2:5" ht="15" customHeight="1" thickBot="1" x14ac:dyDescent="0.35">
      <c r="B2930" s="96" t="s">
        <v>4675</v>
      </c>
      <c r="C2930" s="97">
        <v>514324</v>
      </c>
      <c r="D2930" s="96" t="s">
        <v>388</v>
      </c>
      <c r="E2930" s="96" t="s">
        <v>403</v>
      </c>
    </row>
    <row r="2931" spans="2:5" ht="15" customHeight="1" thickBot="1" x14ac:dyDescent="0.35">
      <c r="B2931" s="96" t="s">
        <v>4676</v>
      </c>
      <c r="C2931" s="97">
        <v>514324</v>
      </c>
      <c r="D2931" s="96" t="s">
        <v>388</v>
      </c>
      <c r="E2931" s="96" t="s">
        <v>403</v>
      </c>
    </row>
    <row r="2932" spans="2:5" ht="15" customHeight="1" thickBot="1" x14ac:dyDescent="0.35">
      <c r="B2932" s="96" t="s">
        <v>4677</v>
      </c>
      <c r="C2932" s="96" t="s">
        <v>388</v>
      </c>
      <c r="D2932" s="96" t="s">
        <v>4678</v>
      </c>
      <c r="E2932" s="96" t="s">
        <v>399</v>
      </c>
    </row>
    <row r="2933" spans="2:5" ht="15" customHeight="1" thickBot="1" x14ac:dyDescent="0.35">
      <c r="B2933" s="96" t="s">
        <v>4679</v>
      </c>
      <c r="C2933" s="97">
        <v>533632</v>
      </c>
      <c r="D2933" s="96" t="s">
        <v>4680</v>
      </c>
      <c r="E2933" s="96" t="s">
        <v>408</v>
      </c>
    </row>
    <row r="2934" spans="2:5" ht="15" customHeight="1" thickBot="1" x14ac:dyDescent="0.35">
      <c r="B2934" s="96" t="s">
        <v>4681</v>
      </c>
      <c r="C2934" s="97">
        <v>530805</v>
      </c>
      <c r="D2934" s="96" t="s">
        <v>388</v>
      </c>
      <c r="E2934" s="96" t="s">
        <v>472</v>
      </c>
    </row>
    <row r="2935" spans="2:5" ht="15" customHeight="1" thickBot="1" x14ac:dyDescent="0.35">
      <c r="B2935" s="96" t="s">
        <v>4682</v>
      </c>
      <c r="C2935" s="97">
        <v>535647</v>
      </c>
      <c r="D2935" s="96" t="s">
        <v>388</v>
      </c>
      <c r="E2935" s="96" t="s">
        <v>391</v>
      </c>
    </row>
    <row r="2936" spans="2:5" ht="15" customHeight="1" thickBot="1" x14ac:dyDescent="0.35">
      <c r="B2936" s="96" t="s">
        <v>4683</v>
      </c>
      <c r="C2936" s="97">
        <v>532944</v>
      </c>
      <c r="D2936" s="96" t="s">
        <v>4684</v>
      </c>
      <c r="E2936" s="96" t="s">
        <v>1334</v>
      </c>
    </row>
    <row r="2937" spans="2:5" ht="15" customHeight="1" thickBot="1" x14ac:dyDescent="0.35">
      <c r="B2937" s="96" t="s">
        <v>4685</v>
      </c>
      <c r="C2937" s="97">
        <v>540386</v>
      </c>
      <c r="D2937" s="96" t="s">
        <v>388</v>
      </c>
      <c r="E2937" s="96" t="s">
        <v>371</v>
      </c>
    </row>
    <row r="2938" spans="2:5" ht="15" customHeight="1" thickBot="1" x14ac:dyDescent="0.35">
      <c r="B2938" s="96" t="s">
        <v>4686</v>
      </c>
      <c r="C2938" s="97">
        <v>517536</v>
      </c>
      <c r="D2938" s="96" t="s">
        <v>4687</v>
      </c>
      <c r="E2938" s="96" t="s">
        <v>374</v>
      </c>
    </row>
    <row r="2939" spans="2:5" ht="15" customHeight="1" thickBot="1" x14ac:dyDescent="0.35">
      <c r="B2939" s="96" t="s">
        <v>4688</v>
      </c>
      <c r="C2939" s="96" t="s">
        <v>388</v>
      </c>
      <c r="D2939" s="96" t="s">
        <v>4689</v>
      </c>
      <c r="E2939" s="96" t="s">
        <v>399</v>
      </c>
    </row>
    <row r="2940" spans="2:5" ht="15" customHeight="1" thickBot="1" x14ac:dyDescent="0.35">
      <c r="B2940" s="96" t="s">
        <v>4690</v>
      </c>
      <c r="C2940" s="97">
        <v>530135</v>
      </c>
      <c r="D2940" s="96" t="s">
        <v>4691</v>
      </c>
      <c r="E2940" s="96" t="s">
        <v>422</v>
      </c>
    </row>
    <row r="2941" spans="2:5" ht="15" customHeight="1" thickBot="1" x14ac:dyDescent="0.35">
      <c r="B2941" s="96" t="s">
        <v>4692</v>
      </c>
      <c r="C2941" s="97">
        <v>531254</v>
      </c>
      <c r="D2941" s="96" t="s">
        <v>388</v>
      </c>
      <c r="E2941" s="96" t="s">
        <v>405</v>
      </c>
    </row>
    <row r="2942" spans="2:5" ht="15" customHeight="1" thickBot="1" x14ac:dyDescent="0.35">
      <c r="B2942" s="96" t="s">
        <v>4693</v>
      </c>
      <c r="C2942" s="97">
        <v>532391</v>
      </c>
      <c r="D2942" s="96" t="s">
        <v>4694</v>
      </c>
      <c r="E2942" s="96" t="s">
        <v>1554</v>
      </c>
    </row>
    <row r="2943" spans="2:5" ht="15" customHeight="1" thickBot="1" x14ac:dyDescent="0.35">
      <c r="B2943" s="96" t="s">
        <v>4695</v>
      </c>
      <c r="C2943" s="97">
        <v>532391</v>
      </c>
      <c r="D2943" s="96" t="s">
        <v>4694</v>
      </c>
      <c r="E2943" s="96" t="s">
        <v>1554</v>
      </c>
    </row>
    <row r="2944" spans="2:5" ht="15" customHeight="1" thickBot="1" x14ac:dyDescent="0.35">
      <c r="B2944" s="96" t="s">
        <v>4696</v>
      </c>
      <c r="C2944" s="97">
        <v>539598</v>
      </c>
      <c r="D2944" s="96" t="s">
        <v>388</v>
      </c>
      <c r="E2944" s="96" t="s">
        <v>405</v>
      </c>
    </row>
    <row r="2945" spans="2:5" ht="15" customHeight="1" thickBot="1" x14ac:dyDescent="0.35">
      <c r="B2945" s="96" t="s">
        <v>4697</v>
      </c>
      <c r="C2945" s="97">
        <v>532466</v>
      </c>
      <c r="D2945" s="96" t="s">
        <v>4698</v>
      </c>
      <c r="E2945" s="96" t="s">
        <v>374</v>
      </c>
    </row>
    <row r="2946" spans="2:5" ht="15" customHeight="1" thickBot="1" x14ac:dyDescent="0.35">
      <c r="B2946" s="96" t="s">
        <v>4699</v>
      </c>
      <c r="C2946" s="97">
        <v>512626</v>
      </c>
      <c r="D2946" s="96" t="s">
        <v>4700</v>
      </c>
      <c r="E2946" s="96" t="s">
        <v>403</v>
      </c>
    </row>
    <row r="2947" spans="2:5" ht="15" customHeight="1" thickBot="1" x14ac:dyDescent="0.35">
      <c r="B2947" s="96" t="s">
        <v>4701</v>
      </c>
      <c r="C2947" s="97">
        <v>524372</v>
      </c>
      <c r="D2947" s="96" t="s">
        <v>4702</v>
      </c>
      <c r="E2947" s="96" t="s">
        <v>426</v>
      </c>
    </row>
    <row r="2948" spans="2:5" ht="15" customHeight="1" thickBot="1" x14ac:dyDescent="0.35">
      <c r="B2948" s="96" t="s">
        <v>4703</v>
      </c>
      <c r="C2948" s="97">
        <v>531157</v>
      </c>
      <c r="D2948" s="96" t="s">
        <v>388</v>
      </c>
      <c r="E2948" s="96" t="s">
        <v>548</v>
      </c>
    </row>
    <row r="2949" spans="2:5" ht="15" customHeight="1" thickBot="1" x14ac:dyDescent="0.35">
      <c r="B2949" s="96" t="s">
        <v>4704</v>
      </c>
      <c r="C2949" s="97">
        <v>513121</v>
      </c>
      <c r="D2949" s="96" t="s">
        <v>4705</v>
      </c>
      <c r="E2949" s="96" t="s">
        <v>548</v>
      </c>
    </row>
    <row r="2950" spans="2:5" ht="15" customHeight="1" thickBot="1" x14ac:dyDescent="0.35">
      <c r="B2950" s="96" t="s">
        <v>4706</v>
      </c>
      <c r="C2950" s="97">
        <v>504879</v>
      </c>
      <c r="D2950" s="96" t="s">
        <v>4707</v>
      </c>
      <c r="E2950" s="96" t="s">
        <v>1307</v>
      </c>
    </row>
    <row r="2951" spans="2:5" ht="15" customHeight="1" thickBot="1" x14ac:dyDescent="0.35">
      <c r="B2951" s="96" t="s">
        <v>4708</v>
      </c>
      <c r="C2951" s="97">
        <v>530365</v>
      </c>
      <c r="D2951" s="96" t="s">
        <v>4709</v>
      </c>
      <c r="E2951" s="96" t="s">
        <v>665</v>
      </c>
    </row>
    <row r="2952" spans="2:5" ht="15" customHeight="1" thickBot="1" x14ac:dyDescent="0.35">
      <c r="B2952" s="96" t="s">
        <v>4710</v>
      </c>
      <c r="C2952" s="97">
        <v>507690</v>
      </c>
      <c r="D2952" s="96" t="s">
        <v>388</v>
      </c>
      <c r="E2952" s="96" t="s">
        <v>823</v>
      </c>
    </row>
    <row r="2953" spans="2:5" ht="15" customHeight="1" thickBot="1" x14ac:dyDescent="0.35">
      <c r="B2953" s="96" t="s">
        <v>4711</v>
      </c>
      <c r="C2953" s="97">
        <v>535754</v>
      </c>
      <c r="D2953" s="96" t="s">
        <v>4712</v>
      </c>
      <c r="E2953" s="96" t="s">
        <v>401</v>
      </c>
    </row>
    <row r="2954" spans="2:5" ht="15" customHeight="1" thickBot="1" x14ac:dyDescent="0.35">
      <c r="B2954" s="96" t="s">
        <v>4713</v>
      </c>
      <c r="C2954" s="97">
        <v>541301</v>
      </c>
      <c r="D2954" s="96" t="s">
        <v>4714</v>
      </c>
      <c r="E2954" s="96" t="s">
        <v>757</v>
      </c>
    </row>
    <row r="2955" spans="2:5" ht="15" customHeight="1" thickBot="1" x14ac:dyDescent="0.35">
      <c r="B2955" s="96" t="s">
        <v>4715</v>
      </c>
      <c r="C2955" s="97">
        <v>533263</v>
      </c>
      <c r="D2955" s="96" t="s">
        <v>4716</v>
      </c>
      <c r="E2955" s="96" t="s">
        <v>527</v>
      </c>
    </row>
    <row r="2956" spans="2:5" ht="15" customHeight="1" thickBot="1" x14ac:dyDescent="0.35">
      <c r="B2956" s="96" t="s">
        <v>4717</v>
      </c>
      <c r="C2956" s="97">
        <v>502420</v>
      </c>
      <c r="D2956" s="96" t="s">
        <v>4718</v>
      </c>
      <c r="E2956" s="96" t="s">
        <v>382</v>
      </c>
    </row>
    <row r="2957" spans="2:5" ht="15" customHeight="1" thickBot="1" x14ac:dyDescent="0.35">
      <c r="B2957" s="96" t="s">
        <v>4719</v>
      </c>
      <c r="C2957" s="97">
        <v>526325</v>
      </c>
      <c r="D2957" s="96" t="s">
        <v>4720</v>
      </c>
      <c r="E2957" s="96" t="s">
        <v>583</v>
      </c>
    </row>
    <row r="2958" spans="2:5" ht="15" customHeight="1" thickBot="1" x14ac:dyDescent="0.35">
      <c r="B2958" s="96" t="s">
        <v>4721</v>
      </c>
      <c r="C2958" s="97">
        <v>534076</v>
      </c>
      <c r="D2958" s="96" t="s">
        <v>4722</v>
      </c>
      <c r="E2958" s="96" t="s">
        <v>573</v>
      </c>
    </row>
    <row r="2959" spans="2:5" ht="15" customHeight="1" thickBot="1" x14ac:dyDescent="0.35">
      <c r="B2959" s="96" t="s">
        <v>4723</v>
      </c>
      <c r="C2959" s="97">
        <v>531512</v>
      </c>
      <c r="D2959" s="96" t="s">
        <v>388</v>
      </c>
      <c r="E2959" s="96" t="s">
        <v>391</v>
      </c>
    </row>
    <row r="2960" spans="2:5" ht="15" customHeight="1" thickBot="1" x14ac:dyDescent="0.35">
      <c r="B2960" s="96" t="s">
        <v>4724</v>
      </c>
      <c r="C2960" s="97">
        <v>500078</v>
      </c>
      <c r="D2960" s="96" t="s">
        <v>388</v>
      </c>
      <c r="E2960" s="96" t="s">
        <v>436</v>
      </c>
    </row>
    <row r="2961" spans="2:5" ht="15" customHeight="1" thickBot="1" x14ac:dyDescent="0.35">
      <c r="B2961" s="96" t="s">
        <v>4725</v>
      </c>
      <c r="C2961" s="97">
        <v>500315</v>
      </c>
      <c r="D2961" s="96" t="s">
        <v>4726</v>
      </c>
      <c r="E2961" s="96" t="s">
        <v>706</v>
      </c>
    </row>
    <row r="2962" spans="2:5" ht="15" customHeight="1" thickBot="1" x14ac:dyDescent="0.35">
      <c r="B2962" s="96" t="s">
        <v>4727</v>
      </c>
      <c r="C2962" s="97">
        <v>506579</v>
      </c>
      <c r="D2962" s="96" t="s">
        <v>4728</v>
      </c>
      <c r="E2962" s="96" t="s">
        <v>436</v>
      </c>
    </row>
    <row r="2963" spans="2:5" ht="15" customHeight="1" thickBot="1" x14ac:dyDescent="0.35">
      <c r="B2963" s="96" t="s">
        <v>4729</v>
      </c>
      <c r="C2963" s="97">
        <v>500314</v>
      </c>
      <c r="D2963" s="96" t="s">
        <v>4730</v>
      </c>
      <c r="E2963" s="96" t="s">
        <v>589</v>
      </c>
    </row>
    <row r="2964" spans="2:5" ht="15" customHeight="1" thickBot="1" x14ac:dyDescent="0.35">
      <c r="B2964" s="96" t="s">
        <v>4731</v>
      </c>
      <c r="C2964" s="97">
        <v>532817</v>
      </c>
      <c r="D2964" s="96" t="s">
        <v>4732</v>
      </c>
      <c r="E2964" s="96" t="s">
        <v>916</v>
      </c>
    </row>
    <row r="2965" spans="2:5" ht="15" customHeight="1" thickBot="1" x14ac:dyDescent="0.35">
      <c r="B2965" s="96" t="s">
        <v>4733</v>
      </c>
      <c r="C2965" s="97">
        <v>531859</v>
      </c>
      <c r="D2965" s="96" t="s">
        <v>388</v>
      </c>
      <c r="E2965" s="96" t="s">
        <v>1307</v>
      </c>
    </row>
    <row r="2966" spans="2:5" ht="15" customHeight="1" thickBot="1" x14ac:dyDescent="0.35">
      <c r="B2966" s="96" t="s">
        <v>4734</v>
      </c>
      <c r="C2966" s="97">
        <v>541206</v>
      </c>
      <c r="D2966" s="96" t="s">
        <v>388</v>
      </c>
      <c r="E2966" s="96" t="s">
        <v>709</v>
      </c>
    </row>
    <row r="2967" spans="2:5" ht="15" customHeight="1" thickBot="1" x14ac:dyDescent="0.35">
      <c r="B2967" s="96" t="s">
        <v>4735</v>
      </c>
      <c r="C2967" s="97">
        <v>531626</v>
      </c>
      <c r="D2967" s="96" t="s">
        <v>388</v>
      </c>
      <c r="E2967" s="96" t="s">
        <v>502</v>
      </c>
    </row>
    <row r="2968" spans="2:5" ht="15" customHeight="1" thickBot="1" x14ac:dyDescent="0.35">
      <c r="B2968" s="96" t="s">
        <v>4736</v>
      </c>
      <c r="C2968" s="97">
        <v>531626</v>
      </c>
      <c r="D2968" s="96" t="s">
        <v>388</v>
      </c>
      <c r="E2968" s="96" t="s">
        <v>502</v>
      </c>
    </row>
    <row r="2969" spans="2:5" ht="15" customHeight="1" thickBot="1" x14ac:dyDescent="0.35">
      <c r="B2969" s="96" t="s">
        <v>4737</v>
      </c>
      <c r="C2969" s="97">
        <v>539015</v>
      </c>
      <c r="D2969" s="96" t="s">
        <v>4738</v>
      </c>
      <c r="E2969" s="96" t="s">
        <v>1126</v>
      </c>
    </row>
    <row r="2970" spans="2:5" ht="15" customHeight="1" thickBot="1" x14ac:dyDescent="0.35">
      <c r="B2970" s="96" t="s">
        <v>4739</v>
      </c>
      <c r="C2970" s="97">
        <v>539287</v>
      </c>
      <c r="D2970" s="96" t="s">
        <v>4740</v>
      </c>
      <c r="E2970" s="96" t="s">
        <v>426</v>
      </c>
    </row>
    <row r="2971" spans="2:5" ht="15" customHeight="1" thickBot="1" x14ac:dyDescent="0.35">
      <c r="B2971" s="96" t="s">
        <v>4741</v>
      </c>
      <c r="C2971" s="97">
        <v>530173</v>
      </c>
      <c r="D2971" s="96" t="s">
        <v>388</v>
      </c>
      <c r="E2971" s="96" t="s">
        <v>502</v>
      </c>
    </row>
    <row r="2972" spans="2:5" ht="15" customHeight="1" thickBot="1" x14ac:dyDescent="0.35">
      <c r="B2972" s="96" t="s">
        <v>4742</v>
      </c>
      <c r="C2972" s="97">
        <v>501179</v>
      </c>
      <c r="D2972" s="96" t="s">
        <v>388</v>
      </c>
      <c r="E2972" s="96" t="s">
        <v>408</v>
      </c>
    </row>
    <row r="2973" spans="2:5" ht="15" customHeight="1" thickBot="1" x14ac:dyDescent="0.35">
      <c r="B2973" s="96" t="s">
        <v>4743</v>
      </c>
      <c r="C2973" s="97">
        <v>509782</v>
      </c>
      <c r="D2973" s="96" t="s">
        <v>388</v>
      </c>
      <c r="E2973" s="96" t="s">
        <v>809</v>
      </c>
    </row>
    <row r="2974" spans="2:5" ht="15" customHeight="1" thickBot="1" x14ac:dyDescent="0.35">
      <c r="B2974" s="96" t="s">
        <v>4744</v>
      </c>
      <c r="C2974" s="97">
        <v>540198</v>
      </c>
      <c r="D2974" s="96" t="s">
        <v>388</v>
      </c>
      <c r="E2974" s="96" t="s">
        <v>403</v>
      </c>
    </row>
    <row r="2975" spans="2:5" ht="15" customHeight="1" thickBot="1" x14ac:dyDescent="0.35">
      <c r="B2975" s="96" t="s">
        <v>4745</v>
      </c>
      <c r="C2975" s="97">
        <v>500317</v>
      </c>
      <c r="D2975" s="96" t="s">
        <v>4746</v>
      </c>
      <c r="E2975" s="96" t="s">
        <v>408</v>
      </c>
    </row>
    <row r="2976" spans="2:5" ht="15" customHeight="1" thickBot="1" x14ac:dyDescent="0.35">
      <c r="B2976" s="96" t="s">
        <v>4747</v>
      </c>
      <c r="C2976" s="97">
        <v>539290</v>
      </c>
      <c r="D2976" s="96" t="s">
        <v>4748</v>
      </c>
      <c r="E2976" s="96" t="s">
        <v>408</v>
      </c>
    </row>
    <row r="2977" spans="2:5" ht="15" customHeight="1" thickBot="1" x14ac:dyDescent="0.35">
      <c r="B2977" s="96" t="s">
        <v>4749</v>
      </c>
      <c r="C2977" s="97">
        <v>509099</v>
      </c>
      <c r="D2977" s="96" t="s">
        <v>388</v>
      </c>
      <c r="E2977" s="96" t="s">
        <v>809</v>
      </c>
    </row>
    <row r="2978" spans="2:5" ht="15" customHeight="1" thickBot="1" x14ac:dyDescent="0.35">
      <c r="B2978" s="96" t="s">
        <v>4750</v>
      </c>
      <c r="C2978" s="97">
        <v>531065</v>
      </c>
      <c r="D2978" s="96" t="s">
        <v>388</v>
      </c>
      <c r="E2978" s="96" t="s">
        <v>1087</v>
      </c>
    </row>
    <row r="2979" spans="2:5" ht="15" customHeight="1" thickBot="1" x14ac:dyDescent="0.35">
      <c r="B2979" s="96" t="s">
        <v>4751</v>
      </c>
      <c r="C2979" s="97">
        <v>514460</v>
      </c>
      <c r="D2979" s="96" t="s">
        <v>388</v>
      </c>
      <c r="E2979" s="96" t="s">
        <v>410</v>
      </c>
    </row>
    <row r="2980" spans="2:5" ht="15" customHeight="1" thickBot="1" x14ac:dyDescent="0.35">
      <c r="B2980" s="96" t="s">
        <v>4752</v>
      </c>
      <c r="C2980" s="97">
        <v>523151</v>
      </c>
      <c r="D2980" s="96" t="s">
        <v>388</v>
      </c>
      <c r="E2980" s="96" t="s">
        <v>472</v>
      </c>
    </row>
    <row r="2981" spans="2:5" ht="15" customHeight="1" thickBot="1" x14ac:dyDescent="0.35">
      <c r="B2981" s="96" t="s">
        <v>4753</v>
      </c>
      <c r="C2981" s="97">
        <v>514330</v>
      </c>
      <c r="D2981" s="96" t="s">
        <v>388</v>
      </c>
      <c r="E2981" s="96" t="s">
        <v>403</v>
      </c>
    </row>
    <row r="2982" spans="2:5" ht="15" customHeight="1" thickBot="1" x14ac:dyDescent="0.35">
      <c r="B2982" s="96" t="s">
        <v>4754</v>
      </c>
      <c r="C2982" s="97">
        <v>530741</v>
      </c>
      <c r="D2982" s="96" t="s">
        <v>388</v>
      </c>
      <c r="E2982" s="96" t="s">
        <v>468</v>
      </c>
    </row>
    <row r="2983" spans="2:5" ht="15" customHeight="1" thickBot="1" x14ac:dyDescent="0.35">
      <c r="B2983" s="96" t="s">
        <v>4755</v>
      </c>
      <c r="C2983" s="97">
        <v>539291</v>
      </c>
      <c r="D2983" s="96" t="s">
        <v>388</v>
      </c>
      <c r="E2983" s="96" t="s">
        <v>586</v>
      </c>
    </row>
    <row r="2984" spans="2:5" ht="15" customHeight="1" thickBot="1" x14ac:dyDescent="0.35">
      <c r="B2984" s="96" t="s">
        <v>4756</v>
      </c>
      <c r="C2984" s="97">
        <v>539352</v>
      </c>
      <c r="D2984" s="96" t="s">
        <v>388</v>
      </c>
      <c r="E2984" s="96" t="s">
        <v>391</v>
      </c>
    </row>
    <row r="2985" spans="2:5" ht="15" customHeight="1" thickBot="1" x14ac:dyDescent="0.35">
      <c r="B2985" s="96" t="s">
        <v>4757</v>
      </c>
      <c r="C2985" s="97">
        <v>513403</v>
      </c>
      <c r="D2985" s="96" t="s">
        <v>388</v>
      </c>
      <c r="E2985" s="96" t="s">
        <v>420</v>
      </c>
    </row>
    <row r="2986" spans="2:5" ht="15" customHeight="1" thickBot="1" x14ac:dyDescent="0.35">
      <c r="B2986" s="96" t="s">
        <v>4758</v>
      </c>
      <c r="C2986" s="97">
        <v>523862</v>
      </c>
      <c r="D2986" s="96" t="s">
        <v>388</v>
      </c>
      <c r="E2986" s="96" t="s">
        <v>405</v>
      </c>
    </row>
    <row r="2987" spans="2:5" ht="15" customHeight="1" thickBot="1" x14ac:dyDescent="0.35">
      <c r="B2987" s="96" t="s">
        <v>4759</v>
      </c>
      <c r="C2987" s="97">
        <v>523483</v>
      </c>
      <c r="D2987" s="96" t="s">
        <v>388</v>
      </c>
      <c r="E2987" s="96" t="s">
        <v>916</v>
      </c>
    </row>
    <row r="2988" spans="2:5" ht="15" customHeight="1" thickBot="1" x14ac:dyDescent="0.35">
      <c r="B2988" s="96" t="s">
        <v>4760</v>
      </c>
      <c r="C2988" s="97">
        <v>538963</v>
      </c>
      <c r="D2988" s="96" t="s">
        <v>388</v>
      </c>
      <c r="E2988" s="96" t="s">
        <v>711</v>
      </c>
    </row>
    <row r="2989" spans="2:5" ht="15" customHeight="1" thickBot="1" x14ac:dyDescent="0.35">
      <c r="B2989" s="96" t="s">
        <v>4761</v>
      </c>
      <c r="C2989" s="97">
        <v>531395</v>
      </c>
      <c r="D2989" s="96" t="s">
        <v>388</v>
      </c>
      <c r="E2989" s="96" t="s">
        <v>403</v>
      </c>
    </row>
    <row r="2990" spans="2:5" ht="15" customHeight="1" thickBot="1" x14ac:dyDescent="0.35">
      <c r="B2990" s="96" t="s">
        <v>4762</v>
      </c>
      <c r="C2990" s="97">
        <v>532350</v>
      </c>
      <c r="D2990" s="96" t="s">
        <v>388</v>
      </c>
      <c r="E2990" s="96" t="s">
        <v>391</v>
      </c>
    </row>
    <row r="2991" spans="2:5" ht="15" customHeight="1" thickBot="1" x14ac:dyDescent="0.35">
      <c r="B2991" s="96" t="s">
        <v>4763</v>
      </c>
      <c r="C2991" s="97">
        <v>526905</v>
      </c>
      <c r="D2991" s="96" t="s">
        <v>388</v>
      </c>
      <c r="E2991" s="96" t="s">
        <v>436</v>
      </c>
    </row>
    <row r="2992" spans="2:5" ht="15" customHeight="1" thickBot="1" x14ac:dyDescent="0.35">
      <c r="B2992" s="96" t="s">
        <v>4764</v>
      </c>
      <c r="C2992" s="97">
        <v>517230</v>
      </c>
      <c r="D2992" s="96" t="s">
        <v>4765</v>
      </c>
      <c r="E2992" s="96" t="s">
        <v>410</v>
      </c>
    </row>
    <row r="2993" spans="2:5" ht="15" customHeight="1" thickBot="1" x14ac:dyDescent="0.35">
      <c r="B2993" s="96" t="s">
        <v>4766</v>
      </c>
      <c r="C2993" s="97">
        <v>532827</v>
      </c>
      <c r="D2993" s="96" t="s">
        <v>4767</v>
      </c>
      <c r="E2993" s="96" t="s">
        <v>502</v>
      </c>
    </row>
    <row r="2994" spans="2:5" ht="15" customHeight="1" thickBot="1" x14ac:dyDescent="0.35">
      <c r="B2994" s="96" t="s">
        <v>4768</v>
      </c>
      <c r="C2994" s="97">
        <v>532900</v>
      </c>
      <c r="D2994" s="96" t="s">
        <v>4769</v>
      </c>
      <c r="E2994" s="96" t="s">
        <v>405</v>
      </c>
    </row>
    <row r="2995" spans="2:5" ht="15" customHeight="1" thickBot="1" x14ac:dyDescent="0.35">
      <c r="B2995" s="96" t="s">
        <v>4770</v>
      </c>
      <c r="C2995" s="97">
        <v>540648</v>
      </c>
      <c r="D2995" s="96" t="s">
        <v>4771</v>
      </c>
      <c r="E2995" s="96" t="s">
        <v>408</v>
      </c>
    </row>
    <row r="2996" spans="2:5" ht="15" customHeight="1" thickBot="1" x14ac:dyDescent="0.35">
      <c r="B2996" s="96" t="s">
        <v>4772</v>
      </c>
      <c r="C2996" s="97">
        <v>539121</v>
      </c>
      <c r="D2996" s="96" t="s">
        <v>388</v>
      </c>
      <c r="E2996" s="96" t="s">
        <v>693</v>
      </c>
    </row>
    <row r="2997" spans="2:5" ht="15" customHeight="1" thickBot="1" x14ac:dyDescent="0.35">
      <c r="B2997" s="96" t="s">
        <v>4773</v>
      </c>
      <c r="C2997" s="97">
        <v>541444</v>
      </c>
      <c r="D2997" s="96" t="s">
        <v>388</v>
      </c>
      <c r="E2997" s="96" t="s">
        <v>502</v>
      </c>
    </row>
    <row r="2998" spans="2:5" ht="15" customHeight="1" thickBot="1" x14ac:dyDescent="0.35">
      <c r="B2998" s="96" t="s">
        <v>4774</v>
      </c>
      <c r="C2998" s="97">
        <v>532521</v>
      </c>
      <c r="D2998" s="96" t="s">
        <v>4775</v>
      </c>
      <c r="E2998" s="96" t="s">
        <v>481</v>
      </c>
    </row>
    <row r="2999" spans="2:5" ht="15" customHeight="1" thickBot="1" x14ac:dyDescent="0.35">
      <c r="B2999" s="96" t="s">
        <v>4776</v>
      </c>
      <c r="C2999" s="97">
        <v>511597</v>
      </c>
      <c r="D2999" s="96" t="s">
        <v>388</v>
      </c>
      <c r="E2999" s="96" t="s">
        <v>405</v>
      </c>
    </row>
    <row r="3000" spans="2:5" ht="15" customHeight="1" thickBot="1" x14ac:dyDescent="0.35">
      <c r="B3000" s="96" t="s">
        <v>4777</v>
      </c>
      <c r="C3000" s="97">
        <v>517397</v>
      </c>
      <c r="D3000" s="96" t="s">
        <v>388</v>
      </c>
      <c r="E3000" s="96" t="s">
        <v>930</v>
      </c>
    </row>
    <row r="3001" spans="2:5" ht="15" customHeight="1" thickBot="1" x14ac:dyDescent="0.35">
      <c r="B3001" s="96" t="s">
        <v>4778</v>
      </c>
      <c r="C3001" s="97">
        <v>517397</v>
      </c>
      <c r="D3001" s="96" t="s">
        <v>388</v>
      </c>
      <c r="E3001" s="96" t="s">
        <v>930</v>
      </c>
    </row>
    <row r="3002" spans="2:5" ht="15" customHeight="1" thickBot="1" x14ac:dyDescent="0.35">
      <c r="B3002" s="96" t="s">
        <v>4779</v>
      </c>
      <c r="C3002" s="97">
        <v>511525</v>
      </c>
      <c r="D3002" s="96" t="s">
        <v>388</v>
      </c>
      <c r="E3002" s="96" t="s">
        <v>481</v>
      </c>
    </row>
    <row r="3003" spans="2:5" ht="15" customHeight="1" thickBot="1" x14ac:dyDescent="0.35">
      <c r="B3003" s="96" t="s">
        <v>4780</v>
      </c>
      <c r="C3003" s="97">
        <v>531349</v>
      </c>
      <c r="D3003" s="96" t="s">
        <v>4781</v>
      </c>
      <c r="E3003" s="96" t="s">
        <v>726</v>
      </c>
    </row>
    <row r="3004" spans="2:5" ht="15" customHeight="1" thickBot="1" x14ac:dyDescent="0.35">
      <c r="B3004" s="96" t="s">
        <v>4782</v>
      </c>
      <c r="C3004" s="96" t="s">
        <v>388</v>
      </c>
      <c r="D3004" s="96" t="s">
        <v>4783</v>
      </c>
      <c r="E3004" s="96" t="s">
        <v>399</v>
      </c>
    </row>
    <row r="3005" spans="2:5" ht="15" customHeight="1" thickBot="1" x14ac:dyDescent="0.35">
      <c r="B3005" s="96" t="s">
        <v>4784</v>
      </c>
      <c r="C3005" s="97">
        <v>538742</v>
      </c>
      <c r="D3005" s="96" t="s">
        <v>388</v>
      </c>
      <c r="E3005" s="96" t="s">
        <v>410</v>
      </c>
    </row>
    <row r="3006" spans="2:5" ht="15" customHeight="1" thickBot="1" x14ac:dyDescent="0.35">
      <c r="B3006" s="96" t="s">
        <v>4785</v>
      </c>
      <c r="C3006" s="97">
        <v>538860</v>
      </c>
      <c r="D3006" s="96" t="s">
        <v>388</v>
      </c>
      <c r="E3006" s="96" t="s">
        <v>405</v>
      </c>
    </row>
    <row r="3007" spans="2:5" ht="15" customHeight="1" thickBot="1" x14ac:dyDescent="0.35">
      <c r="B3007" s="96" t="s">
        <v>4786</v>
      </c>
      <c r="C3007" s="97">
        <v>524820</v>
      </c>
      <c r="D3007" s="96" t="s">
        <v>4787</v>
      </c>
      <c r="E3007" s="96" t="s">
        <v>598</v>
      </c>
    </row>
    <row r="3008" spans="2:5" ht="15" customHeight="1" thickBot="1" x14ac:dyDescent="0.35">
      <c r="B3008" s="96" t="s">
        <v>4788</v>
      </c>
      <c r="C3008" s="97">
        <v>508941</v>
      </c>
      <c r="D3008" s="96" t="s">
        <v>388</v>
      </c>
      <c r="E3008" s="96" t="s">
        <v>573</v>
      </c>
    </row>
    <row r="3009" spans="2:5" ht="15" customHeight="1" thickBot="1" x14ac:dyDescent="0.35">
      <c r="B3009" s="96" t="s">
        <v>4789</v>
      </c>
      <c r="C3009" s="97">
        <v>504093</v>
      </c>
      <c r="D3009" s="96" t="s">
        <v>388</v>
      </c>
      <c r="E3009" s="96" t="s">
        <v>934</v>
      </c>
    </row>
    <row r="3010" spans="2:5" ht="15" customHeight="1" thickBot="1" x14ac:dyDescent="0.35">
      <c r="B3010" s="96" t="s">
        <v>4790</v>
      </c>
      <c r="C3010" s="97">
        <v>513511</v>
      </c>
      <c r="D3010" s="96" t="s">
        <v>388</v>
      </c>
      <c r="E3010" s="96" t="s">
        <v>420</v>
      </c>
    </row>
    <row r="3011" spans="2:5" ht="15" customHeight="1" thickBot="1" x14ac:dyDescent="0.35">
      <c r="B3011" s="96" t="s">
        <v>4791</v>
      </c>
      <c r="C3011" s="97">
        <v>531726</v>
      </c>
      <c r="D3011" s="96" t="s">
        <v>388</v>
      </c>
      <c r="E3011" s="96" t="s">
        <v>426</v>
      </c>
    </row>
    <row r="3012" spans="2:5" ht="15" customHeight="1" thickBot="1" x14ac:dyDescent="0.35">
      <c r="B3012" s="96" t="s">
        <v>4792</v>
      </c>
      <c r="C3012" s="97">
        <v>506122</v>
      </c>
      <c r="D3012" s="96" t="s">
        <v>388</v>
      </c>
      <c r="E3012" s="96" t="s">
        <v>743</v>
      </c>
    </row>
    <row r="3013" spans="2:5" ht="15" customHeight="1" thickBot="1" x14ac:dyDescent="0.35">
      <c r="B3013" s="96" t="s">
        <v>4793</v>
      </c>
      <c r="C3013" s="97">
        <v>531280</v>
      </c>
      <c r="D3013" s="96" t="s">
        <v>388</v>
      </c>
      <c r="E3013" s="96" t="s">
        <v>583</v>
      </c>
    </row>
    <row r="3014" spans="2:5" ht="15" customHeight="1" thickBot="1" x14ac:dyDescent="0.35">
      <c r="B3014" s="96" t="s">
        <v>4794</v>
      </c>
      <c r="C3014" s="97">
        <v>534796</v>
      </c>
      <c r="D3014" s="96" t="s">
        <v>388</v>
      </c>
      <c r="E3014" s="96" t="s">
        <v>508</v>
      </c>
    </row>
    <row r="3015" spans="2:5" ht="15" customHeight="1" thickBot="1" x14ac:dyDescent="0.35">
      <c r="B3015" s="96" t="s">
        <v>4795</v>
      </c>
      <c r="C3015" s="96" t="s">
        <v>388</v>
      </c>
      <c r="D3015" s="96" t="s">
        <v>4796</v>
      </c>
      <c r="E3015" s="96" t="s">
        <v>399</v>
      </c>
    </row>
    <row r="3016" spans="2:5" ht="15" customHeight="1" thickBot="1" x14ac:dyDescent="0.35">
      <c r="B3016" s="96" t="s">
        <v>4797</v>
      </c>
      <c r="C3016" s="97">
        <v>539143</v>
      </c>
      <c r="D3016" s="96" t="s">
        <v>388</v>
      </c>
      <c r="E3016" s="96" t="s">
        <v>377</v>
      </c>
    </row>
    <row r="3017" spans="2:5" ht="15" customHeight="1" thickBot="1" x14ac:dyDescent="0.35">
      <c r="B3017" s="96" t="s">
        <v>4798</v>
      </c>
      <c r="C3017" s="97">
        <v>500322</v>
      </c>
      <c r="D3017" s="96" t="s">
        <v>388</v>
      </c>
      <c r="E3017" s="96" t="s">
        <v>401</v>
      </c>
    </row>
    <row r="3018" spans="2:5" ht="15" customHeight="1" thickBot="1" x14ac:dyDescent="0.35">
      <c r="B3018" s="96" t="s">
        <v>4799</v>
      </c>
      <c r="C3018" s="97">
        <v>513359</v>
      </c>
      <c r="D3018" s="96" t="s">
        <v>4800</v>
      </c>
      <c r="E3018" s="96" t="s">
        <v>665</v>
      </c>
    </row>
    <row r="3019" spans="2:5" ht="15" customHeight="1" thickBot="1" x14ac:dyDescent="0.35">
      <c r="B3019" s="96" t="s">
        <v>4801</v>
      </c>
      <c r="C3019" s="97">
        <v>533211</v>
      </c>
      <c r="D3019" s="96" t="s">
        <v>4802</v>
      </c>
      <c r="E3019" s="96" t="s">
        <v>426</v>
      </c>
    </row>
    <row r="3020" spans="2:5" ht="15" customHeight="1" thickBot="1" x14ac:dyDescent="0.35">
      <c r="B3020" s="96" t="s">
        <v>4803</v>
      </c>
      <c r="C3020" s="97">
        <v>539889</v>
      </c>
      <c r="D3020" s="96" t="s">
        <v>4804</v>
      </c>
      <c r="E3020" s="96" t="s">
        <v>448</v>
      </c>
    </row>
    <row r="3021" spans="2:5" ht="15" customHeight="1" thickBot="1" x14ac:dyDescent="0.35">
      <c r="B3021" s="96" t="s">
        <v>4805</v>
      </c>
      <c r="C3021" s="97">
        <v>531255</v>
      </c>
      <c r="D3021" s="96" t="s">
        <v>388</v>
      </c>
      <c r="E3021" s="96" t="s">
        <v>405</v>
      </c>
    </row>
    <row r="3022" spans="2:5" ht="15" customHeight="1" thickBot="1" x14ac:dyDescent="0.35">
      <c r="B3022" s="96" t="s">
        <v>4806</v>
      </c>
      <c r="C3022" s="97">
        <v>530555</v>
      </c>
      <c r="D3022" s="96" t="s">
        <v>4807</v>
      </c>
      <c r="E3022" s="96" t="s">
        <v>686</v>
      </c>
    </row>
    <row r="3023" spans="2:5" ht="15" customHeight="1" thickBot="1" x14ac:dyDescent="0.35">
      <c r="B3023" s="96" t="s">
        <v>4808</v>
      </c>
      <c r="C3023" s="97">
        <v>507970</v>
      </c>
      <c r="D3023" s="96" t="s">
        <v>388</v>
      </c>
      <c r="E3023" s="96" t="s">
        <v>570</v>
      </c>
    </row>
    <row r="3024" spans="2:5" ht="15" customHeight="1" thickBot="1" x14ac:dyDescent="0.35">
      <c r="B3024" s="96" t="s">
        <v>4809</v>
      </c>
      <c r="C3024" s="97">
        <v>507970</v>
      </c>
      <c r="D3024" s="96" t="s">
        <v>388</v>
      </c>
      <c r="E3024" s="96" t="s">
        <v>570</v>
      </c>
    </row>
    <row r="3025" spans="2:5" ht="15" customHeight="1" thickBot="1" x14ac:dyDescent="0.35">
      <c r="B3025" s="96" t="s">
        <v>4810</v>
      </c>
      <c r="C3025" s="97">
        <v>524689</v>
      </c>
      <c r="D3025" s="96" t="s">
        <v>4811</v>
      </c>
      <c r="E3025" s="96" t="s">
        <v>426</v>
      </c>
    </row>
    <row r="3026" spans="2:5" ht="15" customHeight="1" thickBot="1" x14ac:dyDescent="0.35">
      <c r="B3026" s="96" t="s">
        <v>4812</v>
      </c>
      <c r="C3026" s="97">
        <v>524689</v>
      </c>
      <c r="D3026" s="96" t="s">
        <v>4811</v>
      </c>
      <c r="E3026" s="96" t="s">
        <v>426</v>
      </c>
    </row>
    <row r="3027" spans="2:5" ht="15" customHeight="1" thickBot="1" x14ac:dyDescent="0.35">
      <c r="B3027" s="96" t="s">
        <v>4813</v>
      </c>
      <c r="C3027" s="97">
        <v>539481</v>
      </c>
      <c r="D3027" s="96" t="s">
        <v>388</v>
      </c>
      <c r="E3027" s="96" t="s">
        <v>405</v>
      </c>
    </row>
    <row r="3028" spans="2:5" ht="15" customHeight="1" thickBot="1" x14ac:dyDescent="0.35">
      <c r="B3028" s="96" t="s">
        <v>4814</v>
      </c>
      <c r="C3028" s="96" t="s">
        <v>388</v>
      </c>
      <c r="D3028" s="96" t="s">
        <v>4815</v>
      </c>
      <c r="E3028" s="96" t="s">
        <v>399</v>
      </c>
    </row>
    <row r="3029" spans="2:5" ht="15" customHeight="1" thickBot="1" x14ac:dyDescent="0.35">
      <c r="B3029" s="96" t="s">
        <v>4816</v>
      </c>
      <c r="C3029" s="97">
        <v>524628</v>
      </c>
      <c r="D3029" s="96" t="s">
        <v>388</v>
      </c>
      <c r="E3029" s="96" t="s">
        <v>410</v>
      </c>
    </row>
    <row r="3030" spans="2:5" ht="15" customHeight="1" thickBot="1" x14ac:dyDescent="0.35">
      <c r="B3030" s="96" t="s">
        <v>4817</v>
      </c>
      <c r="C3030" s="97">
        <v>532911</v>
      </c>
      <c r="D3030" s="96" t="s">
        <v>388</v>
      </c>
      <c r="E3030" s="96" t="s">
        <v>474</v>
      </c>
    </row>
    <row r="3031" spans="2:5" ht="15" customHeight="1" thickBot="1" x14ac:dyDescent="0.35">
      <c r="B3031" s="96" t="s">
        <v>4818</v>
      </c>
      <c r="C3031" s="97">
        <v>540359</v>
      </c>
      <c r="D3031" s="96" t="s">
        <v>388</v>
      </c>
      <c r="E3031" s="96" t="s">
        <v>426</v>
      </c>
    </row>
    <row r="3032" spans="2:5" ht="15" customHeight="1" thickBot="1" x14ac:dyDescent="0.35">
      <c r="B3032" s="96" t="s">
        <v>4819</v>
      </c>
      <c r="C3032" s="97">
        <v>540467</v>
      </c>
      <c r="D3032" s="96" t="s">
        <v>388</v>
      </c>
      <c r="E3032" s="96" t="s">
        <v>502</v>
      </c>
    </row>
    <row r="3033" spans="2:5" ht="15" customHeight="1" thickBot="1" x14ac:dyDescent="0.35">
      <c r="B3033" s="96" t="s">
        <v>4820</v>
      </c>
      <c r="C3033" s="97">
        <v>780017</v>
      </c>
      <c r="D3033" s="96" t="s">
        <v>388</v>
      </c>
      <c r="E3033" s="96" t="s">
        <v>479</v>
      </c>
    </row>
    <row r="3034" spans="2:5" ht="15" customHeight="1" thickBot="1" x14ac:dyDescent="0.35">
      <c r="B3034" s="96" t="s">
        <v>4821</v>
      </c>
      <c r="C3034" s="97">
        <v>506128</v>
      </c>
      <c r="D3034" s="96" t="s">
        <v>388</v>
      </c>
      <c r="E3034" s="96" t="s">
        <v>426</v>
      </c>
    </row>
    <row r="3035" spans="2:5" ht="15" customHeight="1" thickBot="1" x14ac:dyDescent="0.35">
      <c r="B3035" s="96" t="s">
        <v>4822</v>
      </c>
      <c r="C3035" s="97">
        <v>511702</v>
      </c>
      <c r="D3035" s="96" t="s">
        <v>388</v>
      </c>
      <c r="E3035" s="96" t="s">
        <v>405</v>
      </c>
    </row>
    <row r="3036" spans="2:5" ht="15" customHeight="1" thickBot="1" x14ac:dyDescent="0.35">
      <c r="B3036" s="96" t="s">
        <v>4823</v>
      </c>
      <c r="C3036" s="97">
        <v>511176</v>
      </c>
      <c r="D3036" s="96" t="s">
        <v>388</v>
      </c>
      <c r="E3036" s="96" t="s">
        <v>474</v>
      </c>
    </row>
    <row r="3037" spans="2:5" ht="15" customHeight="1" thickBot="1" x14ac:dyDescent="0.35">
      <c r="B3037" s="96" t="s">
        <v>4824</v>
      </c>
      <c r="C3037" s="97">
        <v>532780</v>
      </c>
      <c r="D3037" s="96" t="s">
        <v>4825</v>
      </c>
      <c r="E3037" s="96" t="s">
        <v>474</v>
      </c>
    </row>
    <row r="3038" spans="2:5" ht="15" customHeight="1" thickBot="1" x14ac:dyDescent="0.35">
      <c r="B3038" s="96" t="s">
        <v>4826</v>
      </c>
      <c r="C3038" s="97">
        <v>526349</v>
      </c>
      <c r="D3038" s="96" t="s">
        <v>388</v>
      </c>
      <c r="E3038" s="96" t="s">
        <v>743</v>
      </c>
    </row>
    <row r="3039" spans="2:5" ht="15" customHeight="1" thickBot="1" x14ac:dyDescent="0.35">
      <c r="B3039" s="96" t="s">
        <v>4827</v>
      </c>
      <c r="C3039" s="97">
        <v>541347</v>
      </c>
      <c r="D3039" s="96" t="s">
        <v>388</v>
      </c>
      <c r="E3039" s="96" t="s">
        <v>1087</v>
      </c>
    </row>
    <row r="3040" spans="2:5" ht="15" customHeight="1" thickBot="1" x14ac:dyDescent="0.35">
      <c r="B3040" s="96" t="s">
        <v>4828</v>
      </c>
      <c r="C3040" s="97">
        <v>521080</v>
      </c>
      <c r="D3040" s="96" t="s">
        <v>388</v>
      </c>
      <c r="E3040" s="96" t="s">
        <v>403</v>
      </c>
    </row>
    <row r="3041" spans="2:5" ht="15" customHeight="1" thickBot="1" x14ac:dyDescent="0.35">
      <c r="B3041" s="96" t="s">
        <v>4829</v>
      </c>
      <c r="C3041" s="96" t="s">
        <v>388</v>
      </c>
      <c r="D3041" s="96" t="s">
        <v>4830</v>
      </c>
      <c r="E3041" s="96" t="s">
        <v>399</v>
      </c>
    </row>
    <row r="3042" spans="2:5" ht="15" customHeight="1" thickBot="1" x14ac:dyDescent="0.35">
      <c r="B3042" s="96" t="s">
        <v>4831</v>
      </c>
      <c r="C3042" s="97">
        <v>500456</v>
      </c>
      <c r="D3042" s="96" t="s">
        <v>388</v>
      </c>
      <c r="E3042" s="96" t="s">
        <v>765</v>
      </c>
    </row>
    <row r="3043" spans="2:5" ht="15" customHeight="1" thickBot="1" x14ac:dyDescent="0.35">
      <c r="B3043" s="96" t="s">
        <v>4832</v>
      </c>
      <c r="C3043" s="97">
        <v>511734</v>
      </c>
      <c r="D3043" s="96" t="s">
        <v>388</v>
      </c>
      <c r="E3043" s="96" t="s">
        <v>405</v>
      </c>
    </row>
    <row r="3044" spans="2:5" ht="15" customHeight="1" thickBot="1" x14ac:dyDescent="0.35">
      <c r="B3044" s="96" t="s">
        <v>4833</v>
      </c>
      <c r="C3044" s="97">
        <v>503092</v>
      </c>
      <c r="D3044" s="96" t="s">
        <v>388</v>
      </c>
      <c r="E3044" s="96" t="s">
        <v>403</v>
      </c>
    </row>
    <row r="3045" spans="2:5" ht="15" customHeight="1" thickBot="1" x14ac:dyDescent="0.35">
      <c r="B3045" s="96" t="s">
        <v>4834</v>
      </c>
      <c r="C3045" s="97">
        <v>539401</v>
      </c>
      <c r="D3045" s="96" t="s">
        <v>388</v>
      </c>
      <c r="E3045" s="96" t="s">
        <v>502</v>
      </c>
    </row>
    <row r="3046" spans="2:5" ht="15" customHeight="1" thickBot="1" x14ac:dyDescent="0.35">
      <c r="B3046" s="96" t="s">
        <v>4835</v>
      </c>
      <c r="C3046" s="97">
        <v>531120</v>
      </c>
      <c r="D3046" s="96" t="s">
        <v>4836</v>
      </c>
      <c r="E3046" s="96" t="s">
        <v>786</v>
      </c>
    </row>
    <row r="3047" spans="2:5" ht="15" customHeight="1" thickBot="1" x14ac:dyDescent="0.35">
      <c r="B3047" s="96" t="s">
        <v>4837</v>
      </c>
      <c r="C3047" s="97">
        <v>526381</v>
      </c>
      <c r="D3047" s="96" t="s">
        <v>4838</v>
      </c>
      <c r="E3047" s="96" t="s">
        <v>460</v>
      </c>
    </row>
    <row r="3048" spans="2:5" ht="15" customHeight="1" thickBot="1" x14ac:dyDescent="0.35">
      <c r="B3048" s="96" t="s">
        <v>4839</v>
      </c>
      <c r="C3048" s="97">
        <v>517417</v>
      </c>
      <c r="D3048" s="96" t="s">
        <v>388</v>
      </c>
      <c r="E3048" s="96" t="s">
        <v>396</v>
      </c>
    </row>
    <row r="3049" spans="2:5" ht="15" customHeight="1" thickBot="1" x14ac:dyDescent="0.35">
      <c r="B3049" s="96" t="s">
        <v>4840</v>
      </c>
      <c r="C3049" s="97">
        <v>517417</v>
      </c>
      <c r="D3049" s="96" t="s">
        <v>388</v>
      </c>
      <c r="E3049" s="96" t="s">
        <v>396</v>
      </c>
    </row>
    <row r="3050" spans="2:5" ht="15" customHeight="1" thickBot="1" x14ac:dyDescent="0.35">
      <c r="B3050" s="96" t="s">
        <v>4841</v>
      </c>
      <c r="C3050" s="97">
        <v>524031</v>
      </c>
      <c r="D3050" s="96" t="s">
        <v>388</v>
      </c>
      <c r="E3050" s="96" t="s">
        <v>474</v>
      </c>
    </row>
    <row r="3051" spans="2:5" ht="15" customHeight="1" thickBot="1" x14ac:dyDescent="0.35">
      <c r="B3051" s="96" t="s">
        <v>4842</v>
      </c>
      <c r="C3051" s="97">
        <v>514326</v>
      </c>
      <c r="D3051" s="96" t="s">
        <v>4843</v>
      </c>
      <c r="E3051" s="96" t="s">
        <v>403</v>
      </c>
    </row>
    <row r="3052" spans="2:5" ht="15" customHeight="1" thickBot="1" x14ac:dyDescent="0.35">
      <c r="B3052" s="96" t="s">
        <v>4844</v>
      </c>
      <c r="C3052" s="97">
        <v>514326</v>
      </c>
      <c r="D3052" s="96" t="s">
        <v>4843</v>
      </c>
      <c r="E3052" s="96" t="s">
        <v>403</v>
      </c>
    </row>
    <row r="3053" spans="2:5" ht="15" customHeight="1" thickBot="1" x14ac:dyDescent="0.35">
      <c r="B3053" s="96" t="s">
        <v>4845</v>
      </c>
      <c r="C3053" s="97">
        <v>539113</v>
      </c>
      <c r="D3053" s="96" t="s">
        <v>388</v>
      </c>
      <c r="E3053" s="96" t="s">
        <v>405</v>
      </c>
    </row>
    <row r="3054" spans="2:5" ht="15" customHeight="1" thickBot="1" x14ac:dyDescent="0.35">
      <c r="B3054" s="96" t="s">
        <v>4846</v>
      </c>
      <c r="C3054" s="97">
        <v>532742</v>
      </c>
      <c r="D3054" s="96" t="s">
        <v>388</v>
      </c>
      <c r="E3054" s="96" t="s">
        <v>548</v>
      </c>
    </row>
    <row r="3055" spans="2:5" ht="15" customHeight="1" thickBot="1" x14ac:dyDescent="0.35">
      <c r="B3055" s="96" t="s">
        <v>4847</v>
      </c>
      <c r="C3055" s="97">
        <v>535658</v>
      </c>
      <c r="D3055" s="96" t="s">
        <v>388</v>
      </c>
      <c r="E3055" s="96" t="s">
        <v>405</v>
      </c>
    </row>
    <row r="3056" spans="2:5" ht="15" customHeight="1" thickBot="1" x14ac:dyDescent="0.35">
      <c r="B3056" s="96" t="s">
        <v>4848</v>
      </c>
      <c r="C3056" s="97">
        <v>532676</v>
      </c>
      <c r="D3056" s="96" t="s">
        <v>4849</v>
      </c>
      <c r="E3056" s="96" t="s">
        <v>786</v>
      </c>
    </row>
    <row r="3057" spans="2:5" ht="15" customHeight="1" thickBot="1" x14ac:dyDescent="0.35">
      <c r="B3057" s="96" t="s">
        <v>4850</v>
      </c>
      <c r="C3057" s="97">
        <v>514087</v>
      </c>
      <c r="D3057" s="96" t="s">
        <v>388</v>
      </c>
      <c r="E3057" s="96" t="s">
        <v>403</v>
      </c>
    </row>
    <row r="3058" spans="2:5" ht="15" customHeight="1" thickBot="1" x14ac:dyDescent="0.35">
      <c r="B3058" s="96" t="s">
        <v>4851</v>
      </c>
      <c r="C3058" s="97">
        <v>534809</v>
      </c>
      <c r="D3058" s="96" t="s">
        <v>4852</v>
      </c>
      <c r="E3058" s="96" t="s">
        <v>502</v>
      </c>
    </row>
    <row r="3059" spans="2:5" ht="15" customHeight="1" thickBot="1" x14ac:dyDescent="0.35">
      <c r="B3059" s="96" t="s">
        <v>4853</v>
      </c>
      <c r="C3059" s="97">
        <v>517119</v>
      </c>
      <c r="D3059" s="96" t="s">
        <v>388</v>
      </c>
      <c r="E3059" s="96" t="s">
        <v>713</v>
      </c>
    </row>
    <row r="3060" spans="2:5" ht="15" customHeight="1" thickBot="1" x14ac:dyDescent="0.35">
      <c r="B3060" s="96" t="s">
        <v>4854</v>
      </c>
      <c r="C3060" s="97">
        <v>538730</v>
      </c>
      <c r="D3060" s="96" t="s">
        <v>4855</v>
      </c>
      <c r="E3060" s="96" t="s">
        <v>410</v>
      </c>
    </row>
    <row r="3061" spans="2:5" ht="15" customHeight="1" thickBot="1" x14ac:dyDescent="0.35">
      <c r="B3061" s="96" t="s">
        <v>4856</v>
      </c>
      <c r="C3061" s="97">
        <v>532808</v>
      </c>
      <c r="D3061" s="96" t="s">
        <v>4857</v>
      </c>
      <c r="E3061" s="96" t="s">
        <v>502</v>
      </c>
    </row>
    <row r="3062" spans="2:5" ht="15" customHeight="1" thickBot="1" x14ac:dyDescent="0.35">
      <c r="B3062" s="96" t="s">
        <v>4858</v>
      </c>
      <c r="C3062" s="97">
        <v>523260</v>
      </c>
      <c r="D3062" s="96" t="s">
        <v>4859</v>
      </c>
      <c r="E3062" s="96" t="s">
        <v>583</v>
      </c>
    </row>
    <row r="3063" spans="2:5" ht="15" customHeight="1" thickBot="1" x14ac:dyDescent="0.35">
      <c r="B3063" s="96" t="s">
        <v>4860</v>
      </c>
      <c r="C3063" s="97">
        <v>539273</v>
      </c>
      <c r="D3063" s="96" t="s">
        <v>388</v>
      </c>
      <c r="E3063" s="96" t="s">
        <v>877</v>
      </c>
    </row>
    <row r="3064" spans="2:5" ht="15" customHeight="1" thickBot="1" x14ac:dyDescent="0.35">
      <c r="B3064" s="96" t="s">
        <v>4861</v>
      </c>
      <c r="C3064" s="97">
        <v>524136</v>
      </c>
      <c r="D3064" s="96" t="s">
        <v>388</v>
      </c>
      <c r="E3064" s="96" t="s">
        <v>2206</v>
      </c>
    </row>
    <row r="3065" spans="2:5" ht="15" customHeight="1" thickBot="1" x14ac:dyDescent="0.35">
      <c r="B3065" s="96" t="s">
        <v>4862</v>
      </c>
      <c r="C3065" s="97">
        <v>531352</v>
      </c>
      <c r="D3065" s="96" t="s">
        <v>388</v>
      </c>
      <c r="E3065" s="96" t="s">
        <v>403</v>
      </c>
    </row>
    <row r="3066" spans="2:5" ht="15" customHeight="1" thickBot="1" x14ac:dyDescent="0.35">
      <c r="B3066" s="96" t="s">
        <v>4863</v>
      </c>
      <c r="C3066" s="97">
        <v>503031</v>
      </c>
      <c r="D3066" s="96" t="s">
        <v>4864</v>
      </c>
      <c r="E3066" s="96" t="s">
        <v>474</v>
      </c>
    </row>
    <row r="3067" spans="2:5" ht="15" customHeight="1" thickBot="1" x14ac:dyDescent="0.35">
      <c r="B3067" s="96" t="s">
        <v>4865</v>
      </c>
      <c r="C3067" s="97">
        <v>539333</v>
      </c>
      <c r="D3067" s="96" t="s">
        <v>4866</v>
      </c>
      <c r="E3067" s="96" t="s">
        <v>474</v>
      </c>
    </row>
    <row r="3068" spans="2:5" ht="15" customHeight="1" thickBot="1" x14ac:dyDescent="0.35">
      <c r="B3068" s="96" t="s">
        <v>4867</v>
      </c>
      <c r="C3068" s="97">
        <v>513228</v>
      </c>
      <c r="D3068" s="96" t="s">
        <v>4868</v>
      </c>
      <c r="E3068" s="96" t="s">
        <v>420</v>
      </c>
    </row>
    <row r="3069" spans="2:5" ht="15" customHeight="1" thickBot="1" x14ac:dyDescent="0.35">
      <c r="B3069" s="96" t="s">
        <v>4869</v>
      </c>
      <c r="C3069" s="96" t="s">
        <v>388</v>
      </c>
      <c r="D3069" s="96" t="s">
        <v>4870</v>
      </c>
      <c r="E3069" s="96" t="s">
        <v>399</v>
      </c>
    </row>
    <row r="3070" spans="2:5" ht="15" customHeight="1" thickBot="1" x14ac:dyDescent="0.35">
      <c r="B3070" s="96" t="s">
        <v>4871</v>
      </c>
      <c r="C3070" s="97">
        <v>500329</v>
      </c>
      <c r="D3070" s="96" t="s">
        <v>388</v>
      </c>
      <c r="E3070" s="96" t="s">
        <v>391</v>
      </c>
    </row>
    <row r="3071" spans="2:5" ht="15" customHeight="1" thickBot="1" x14ac:dyDescent="0.35">
      <c r="B3071" s="96" t="s">
        <v>4872</v>
      </c>
      <c r="C3071" s="97">
        <v>524210</v>
      </c>
      <c r="D3071" s="96" t="s">
        <v>388</v>
      </c>
      <c r="E3071" s="96" t="s">
        <v>436</v>
      </c>
    </row>
    <row r="3072" spans="2:5" ht="15" customHeight="1" thickBot="1" x14ac:dyDescent="0.35">
      <c r="B3072" s="96" t="s">
        <v>4873</v>
      </c>
      <c r="C3072" s="97">
        <v>524210</v>
      </c>
      <c r="D3072" s="96" t="s">
        <v>388</v>
      </c>
      <c r="E3072" s="96" t="s">
        <v>436</v>
      </c>
    </row>
    <row r="3073" spans="2:5" ht="15" customHeight="1" thickBot="1" x14ac:dyDescent="0.35">
      <c r="B3073" s="96" t="s">
        <v>4874</v>
      </c>
      <c r="C3073" s="97">
        <v>501144</v>
      </c>
      <c r="D3073" s="96" t="s">
        <v>388</v>
      </c>
      <c r="E3073" s="96" t="s">
        <v>809</v>
      </c>
    </row>
    <row r="3074" spans="2:5" ht="15" customHeight="1" thickBot="1" x14ac:dyDescent="0.35">
      <c r="B3074" s="96" t="s">
        <v>4875</v>
      </c>
      <c r="C3074" s="96" t="s">
        <v>388</v>
      </c>
      <c r="D3074" s="96" t="s">
        <v>4876</v>
      </c>
      <c r="E3074" s="96" t="s">
        <v>399</v>
      </c>
    </row>
    <row r="3075" spans="2:5" ht="15" customHeight="1" thickBot="1" x14ac:dyDescent="0.35">
      <c r="B3075" s="96" t="s">
        <v>4877</v>
      </c>
      <c r="C3075" s="97">
        <v>521062</v>
      </c>
      <c r="D3075" s="96" t="s">
        <v>388</v>
      </c>
      <c r="E3075" s="96" t="s">
        <v>1126</v>
      </c>
    </row>
    <row r="3076" spans="2:5" ht="15" customHeight="1" thickBot="1" x14ac:dyDescent="0.35">
      <c r="B3076" s="96" t="s">
        <v>4878</v>
      </c>
      <c r="C3076" s="97">
        <v>526435</v>
      </c>
      <c r="D3076" s="96" t="s">
        <v>388</v>
      </c>
      <c r="E3076" s="96" t="s">
        <v>382</v>
      </c>
    </row>
    <row r="3077" spans="2:5" ht="15" customHeight="1" thickBot="1" x14ac:dyDescent="0.35">
      <c r="B3077" s="96" t="s">
        <v>4879</v>
      </c>
      <c r="C3077" s="97">
        <v>504132</v>
      </c>
      <c r="D3077" s="96" t="s">
        <v>388</v>
      </c>
      <c r="E3077" s="96" t="s">
        <v>573</v>
      </c>
    </row>
    <row r="3078" spans="2:5" ht="15" customHeight="1" thickBot="1" x14ac:dyDescent="0.35">
      <c r="B3078" s="96" t="s">
        <v>4880</v>
      </c>
      <c r="C3078" s="97">
        <v>533179</v>
      </c>
      <c r="D3078" s="96" t="s">
        <v>4881</v>
      </c>
      <c r="E3078" s="96" t="s">
        <v>374</v>
      </c>
    </row>
    <row r="3079" spans="2:5" ht="15" customHeight="1" thickBot="1" x14ac:dyDescent="0.35">
      <c r="B3079" s="96" t="s">
        <v>4882</v>
      </c>
      <c r="C3079" s="97">
        <v>517172</v>
      </c>
      <c r="D3079" s="96" t="s">
        <v>388</v>
      </c>
      <c r="E3079" s="96" t="s">
        <v>930</v>
      </c>
    </row>
    <row r="3080" spans="2:5" ht="15" customHeight="1" thickBot="1" x14ac:dyDescent="0.35">
      <c r="B3080" s="96" t="s">
        <v>4883</v>
      </c>
      <c r="C3080" s="97">
        <v>530381</v>
      </c>
      <c r="D3080" s="96" t="s">
        <v>4884</v>
      </c>
      <c r="E3080" s="96" t="s">
        <v>786</v>
      </c>
    </row>
    <row r="3081" spans="2:5" ht="15" customHeight="1" thickBot="1" x14ac:dyDescent="0.35">
      <c r="B3081" s="96" t="s">
        <v>4885</v>
      </c>
      <c r="C3081" s="97">
        <v>532522</v>
      </c>
      <c r="D3081" s="96" t="s">
        <v>4886</v>
      </c>
      <c r="E3081" s="96" t="s">
        <v>598</v>
      </c>
    </row>
    <row r="3082" spans="2:5" ht="15" customHeight="1" thickBot="1" x14ac:dyDescent="0.35">
      <c r="B3082" s="96" t="s">
        <v>4887</v>
      </c>
      <c r="C3082" s="97">
        <v>500680</v>
      </c>
      <c r="D3082" s="96" t="s">
        <v>4888</v>
      </c>
      <c r="E3082" s="96" t="s">
        <v>426</v>
      </c>
    </row>
    <row r="3083" spans="2:5" ht="15" customHeight="1" thickBot="1" x14ac:dyDescent="0.35">
      <c r="B3083" s="96" t="s">
        <v>4889</v>
      </c>
      <c r="C3083" s="97">
        <v>531769</v>
      </c>
      <c r="D3083" s="96" t="s">
        <v>388</v>
      </c>
      <c r="E3083" s="96" t="s">
        <v>481</v>
      </c>
    </row>
    <row r="3084" spans="2:5" ht="15" customHeight="1" thickBot="1" x14ac:dyDescent="0.35">
      <c r="B3084" s="96" t="s">
        <v>4890</v>
      </c>
      <c r="C3084" s="97">
        <v>533581</v>
      </c>
      <c r="D3084" s="96" t="s">
        <v>4891</v>
      </c>
      <c r="E3084" s="96" t="s">
        <v>757</v>
      </c>
    </row>
    <row r="3085" spans="2:5" ht="15" customHeight="1" thickBot="1" x14ac:dyDescent="0.35">
      <c r="B3085" s="96" t="s">
        <v>4892</v>
      </c>
      <c r="C3085" s="97">
        <v>526747</v>
      </c>
      <c r="D3085" s="96" t="s">
        <v>388</v>
      </c>
      <c r="E3085" s="96" t="s">
        <v>693</v>
      </c>
    </row>
    <row r="3086" spans="2:5" ht="15" customHeight="1" thickBot="1" x14ac:dyDescent="0.35">
      <c r="B3086" s="96" t="s">
        <v>4893</v>
      </c>
      <c r="C3086" s="97">
        <v>531281</v>
      </c>
      <c r="D3086" s="96" t="s">
        <v>388</v>
      </c>
      <c r="E3086" s="96" t="s">
        <v>916</v>
      </c>
    </row>
    <row r="3087" spans="2:5" ht="15" customHeight="1" thickBot="1" x14ac:dyDescent="0.35">
      <c r="B3087" s="96" t="s">
        <v>4894</v>
      </c>
      <c r="C3087" s="97">
        <v>500143</v>
      </c>
      <c r="D3087" s="96" t="s">
        <v>388</v>
      </c>
      <c r="E3087" s="96" t="s">
        <v>410</v>
      </c>
    </row>
    <row r="3088" spans="2:5" ht="15" customHeight="1" thickBot="1" x14ac:dyDescent="0.35">
      <c r="B3088" s="96" t="s">
        <v>4895</v>
      </c>
      <c r="C3088" s="97">
        <v>512026</v>
      </c>
      <c r="D3088" s="96" t="s">
        <v>388</v>
      </c>
      <c r="E3088" s="96" t="s">
        <v>410</v>
      </c>
    </row>
    <row r="3089" spans="2:5" ht="15" customHeight="1" thickBot="1" x14ac:dyDescent="0.35">
      <c r="B3089" s="96" t="s">
        <v>4896</v>
      </c>
      <c r="C3089" s="97">
        <v>523620</v>
      </c>
      <c r="D3089" s="96" t="s">
        <v>388</v>
      </c>
      <c r="E3089" s="96" t="s">
        <v>426</v>
      </c>
    </row>
    <row r="3090" spans="2:5" ht="15" customHeight="1" thickBot="1" x14ac:dyDescent="0.35">
      <c r="B3090" s="96" t="s">
        <v>4897</v>
      </c>
      <c r="C3090" s="97">
        <v>506590</v>
      </c>
      <c r="D3090" s="96" t="s">
        <v>4898</v>
      </c>
      <c r="E3090" s="96" t="s">
        <v>4899</v>
      </c>
    </row>
    <row r="3091" spans="2:5" ht="15" customHeight="1" thickBot="1" x14ac:dyDescent="0.35">
      <c r="B3091" s="96" t="s">
        <v>4900</v>
      </c>
      <c r="C3091" s="97">
        <v>526481</v>
      </c>
      <c r="D3091" s="96" t="s">
        <v>388</v>
      </c>
      <c r="E3091" s="96" t="s">
        <v>502</v>
      </c>
    </row>
    <row r="3092" spans="2:5" ht="15" customHeight="1" thickBot="1" x14ac:dyDescent="0.35">
      <c r="B3092" s="96" t="s">
        <v>4901</v>
      </c>
      <c r="C3092" s="97">
        <v>537839</v>
      </c>
      <c r="D3092" s="96" t="s">
        <v>388</v>
      </c>
      <c r="E3092" s="96" t="s">
        <v>589</v>
      </c>
    </row>
    <row r="3093" spans="2:5" ht="15" customHeight="1" thickBot="1" x14ac:dyDescent="0.35">
      <c r="B3093" s="96" t="s">
        <v>4902</v>
      </c>
      <c r="C3093" s="97">
        <v>509084</v>
      </c>
      <c r="D3093" s="96" t="s">
        <v>388</v>
      </c>
      <c r="E3093" s="96" t="s">
        <v>809</v>
      </c>
    </row>
    <row r="3094" spans="2:5" ht="15" customHeight="1" thickBot="1" x14ac:dyDescent="0.35">
      <c r="B3094" s="96" t="s">
        <v>4903</v>
      </c>
      <c r="C3094" s="97">
        <v>526588</v>
      </c>
      <c r="D3094" s="96" t="s">
        <v>388</v>
      </c>
      <c r="E3094" s="96" t="s">
        <v>1626</v>
      </c>
    </row>
    <row r="3095" spans="2:5" ht="15" customHeight="1" thickBot="1" x14ac:dyDescent="0.35">
      <c r="B3095" s="96" t="s">
        <v>4904</v>
      </c>
      <c r="C3095" s="97">
        <v>526588</v>
      </c>
      <c r="D3095" s="96" t="s">
        <v>388</v>
      </c>
      <c r="E3095" s="96" t="s">
        <v>1626</v>
      </c>
    </row>
    <row r="3096" spans="2:5" ht="15" customHeight="1" thickBot="1" x14ac:dyDescent="0.35">
      <c r="B3096" s="96" t="s">
        <v>4905</v>
      </c>
      <c r="C3096" s="97">
        <v>524808</v>
      </c>
      <c r="D3096" s="96" t="s">
        <v>388</v>
      </c>
      <c r="E3096" s="96" t="s">
        <v>532</v>
      </c>
    </row>
    <row r="3097" spans="2:5" ht="15" customHeight="1" thickBot="1" x14ac:dyDescent="0.35">
      <c r="B3097" s="96" t="s">
        <v>4906</v>
      </c>
      <c r="C3097" s="97">
        <v>524808</v>
      </c>
      <c r="D3097" s="96" t="s">
        <v>388</v>
      </c>
      <c r="E3097" s="96" t="s">
        <v>532</v>
      </c>
    </row>
    <row r="3098" spans="2:5" ht="15" customHeight="1" thickBot="1" x14ac:dyDescent="0.35">
      <c r="B3098" s="96" t="s">
        <v>4907</v>
      </c>
      <c r="C3098" s="97">
        <v>523642</v>
      </c>
      <c r="D3098" s="96" t="s">
        <v>4908</v>
      </c>
      <c r="E3098" s="96" t="s">
        <v>532</v>
      </c>
    </row>
    <row r="3099" spans="2:5" ht="15" customHeight="1" thickBot="1" x14ac:dyDescent="0.35">
      <c r="B3099" s="96" t="s">
        <v>4909</v>
      </c>
      <c r="C3099" s="97">
        <v>530305</v>
      </c>
      <c r="D3099" s="96" t="s">
        <v>388</v>
      </c>
      <c r="E3099" s="96" t="s">
        <v>1087</v>
      </c>
    </row>
    <row r="3100" spans="2:5" ht="15" customHeight="1" thickBot="1" x14ac:dyDescent="0.35">
      <c r="B3100" s="96" t="s">
        <v>4910</v>
      </c>
      <c r="C3100" s="97">
        <v>507498</v>
      </c>
      <c r="D3100" s="96" t="s">
        <v>388</v>
      </c>
      <c r="E3100" s="96" t="s">
        <v>1087</v>
      </c>
    </row>
    <row r="3101" spans="2:5" ht="15" customHeight="1" thickBot="1" x14ac:dyDescent="0.35">
      <c r="B3101" s="96" t="s">
        <v>4911</v>
      </c>
      <c r="C3101" s="97">
        <v>532355</v>
      </c>
      <c r="D3101" s="96" t="s">
        <v>388</v>
      </c>
      <c r="E3101" s="96" t="s">
        <v>391</v>
      </c>
    </row>
    <row r="3102" spans="2:5" ht="15" customHeight="1" thickBot="1" x14ac:dyDescent="0.35">
      <c r="B3102" s="96" t="s">
        <v>4912</v>
      </c>
      <c r="C3102" s="97">
        <v>500331</v>
      </c>
      <c r="D3102" s="96" t="s">
        <v>4913</v>
      </c>
      <c r="E3102" s="96" t="s">
        <v>548</v>
      </c>
    </row>
    <row r="3103" spans="2:5" ht="15" customHeight="1" thickBot="1" x14ac:dyDescent="0.35">
      <c r="B3103" s="96" t="s">
        <v>4914</v>
      </c>
      <c r="C3103" s="97">
        <v>500327</v>
      </c>
      <c r="D3103" s="96" t="s">
        <v>4915</v>
      </c>
      <c r="E3103" s="96" t="s">
        <v>508</v>
      </c>
    </row>
    <row r="3104" spans="2:5" ht="15" customHeight="1" thickBot="1" x14ac:dyDescent="0.35">
      <c r="B3104" s="96" t="s">
        <v>4916</v>
      </c>
      <c r="C3104" s="97">
        <v>539883</v>
      </c>
      <c r="D3104" s="96" t="s">
        <v>4917</v>
      </c>
      <c r="E3104" s="96" t="s">
        <v>554</v>
      </c>
    </row>
    <row r="3105" spans="2:5" ht="15" customHeight="1" thickBot="1" x14ac:dyDescent="0.35">
      <c r="B3105" s="96" t="s">
        <v>4918</v>
      </c>
      <c r="C3105" s="97">
        <v>519439</v>
      </c>
      <c r="D3105" s="96" t="s">
        <v>388</v>
      </c>
      <c r="E3105" s="96" t="s">
        <v>637</v>
      </c>
    </row>
    <row r="3106" spans="2:5" ht="15" customHeight="1" thickBot="1" x14ac:dyDescent="0.35">
      <c r="B3106" s="96" t="s">
        <v>4919</v>
      </c>
      <c r="C3106" s="97">
        <v>531879</v>
      </c>
      <c r="D3106" s="96" t="s">
        <v>4920</v>
      </c>
      <c r="E3106" s="96" t="s">
        <v>1020</v>
      </c>
    </row>
    <row r="3107" spans="2:5" ht="15" customHeight="1" thickBot="1" x14ac:dyDescent="0.35">
      <c r="B3107" s="96" t="s">
        <v>4921</v>
      </c>
      <c r="C3107" s="97">
        <v>514300</v>
      </c>
      <c r="D3107" s="96" t="s">
        <v>4922</v>
      </c>
      <c r="E3107" s="96" t="s">
        <v>403</v>
      </c>
    </row>
    <row r="3108" spans="2:5" ht="15" customHeight="1" thickBot="1" x14ac:dyDescent="0.35">
      <c r="B3108" s="96" t="s">
        <v>4923</v>
      </c>
      <c r="C3108" s="97">
        <v>507864</v>
      </c>
      <c r="D3108" s="96" t="s">
        <v>388</v>
      </c>
      <c r="E3108" s="96" t="s">
        <v>371</v>
      </c>
    </row>
    <row r="3109" spans="2:5" ht="15" customHeight="1" thickBot="1" x14ac:dyDescent="0.35">
      <c r="B3109" s="96" t="s">
        <v>4924</v>
      </c>
      <c r="C3109" s="97">
        <v>500302</v>
      </c>
      <c r="D3109" s="96" t="s">
        <v>4925</v>
      </c>
      <c r="E3109" s="96" t="s">
        <v>426</v>
      </c>
    </row>
    <row r="3110" spans="2:5" ht="15" customHeight="1" thickBot="1" x14ac:dyDescent="0.35">
      <c r="B3110" s="96" t="s">
        <v>4926</v>
      </c>
      <c r="C3110" s="97">
        <v>532979</v>
      </c>
      <c r="D3110" s="96" t="s">
        <v>4927</v>
      </c>
      <c r="E3110" s="96" t="s">
        <v>426</v>
      </c>
    </row>
    <row r="3111" spans="2:5" ht="15" customHeight="1" thickBot="1" x14ac:dyDescent="0.35">
      <c r="B3111" s="96" t="s">
        <v>4928</v>
      </c>
      <c r="C3111" s="97">
        <v>530683</v>
      </c>
      <c r="D3111" s="96" t="s">
        <v>388</v>
      </c>
      <c r="E3111" s="96" t="s">
        <v>583</v>
      </c>
    </row>
    <row r="3112" spans="2:5" ht="15" customHeight="1" thickBot="1" x14ac:dyDescent="0.35">
      <c r="B3112" s="96" t="s">
        <v>4929</v>
      </c>
      <c r="C3112" s="97">
        <v>513519</v>
      </c>
      <c r="D3112" s="96" t="s">
        <v>4930</v>
      </c>
      <c r="E3112" s="96" t="s">
        <v>686</v>
      </c>
    </row>
    <row r="3113" spans="2:5" ht="15" customHeight="1" thickBot="1" x14ac:dyDescent="0.35">
      <c r="B3113" s="96" t="s">
        <v>4931</v>
      </c>
      <c r="C3113" s="97">
        <v>500333</v>
      </c>
      <c r="D3113" s="96" t="s">
        <v>388</v>
      </c>
      <c r="E3113" s="96" t="s">
        <v>868</v>
      </c>
    </row>
    <row r="3114" spans="2:5" ht="15" customHeight="1" thickBot="1" x14ac:dyDescent="0.35">
      <c r="B3114" s="96" t="s">
        <v>4932</v>
      </c>
      <c r="C3114" s="97">
        <v>523105</v>
      </c>
      <c r="D3114" s="96" t="s">
        <v>388</v>
      </c>
      <c r="E3114" s="96" t="s">
        <v>583</v>
      </c>
    </row>
    <row r="3115" spans="2:5" ht="15" customHeight="1" thickBot="1" x14ac:dyDescent="0.35">
      <c r="B3115" s="96" t="s">
        <v>4933</v>
      </c>
      <c r="C3115" s="97">
        <v>523648</v>
      </c>
      <c r="D3115" s="96" t="s">
        <v>4934</v>
      </c>
      <c r="E3115" s="96" t="s">
        <v>548</v>
      </c>
    </row>
    <row r="3116" spans="2:5" ht="15" customHeight="1" thickBot="1" x14ac:dyDescent="0.35">
      <c r="B3116" s="96" t="s">
        <v>4935</v>
      </c>
      <c r="C3116" s="97">
        <v>523648</v>
      </c>
      <c r="D3116" s="96" t="s">
        <v>4934</v>
      </c>
      <c r="E3116" s="96" t="s">
        <v>548</v>
      </c>
    </row>
    <row r="3117" spans="2:5" ht="15" customHeight="1" thickBot="1" x14ac:dyDescent="0.35">
      <c r="B3117" s="96" t="s">
        <v>4936</v>
      </c>
      <c r="C3117" s="97">
        <v>534060</v>
      </c>
      <c r="D3117" s="96" t="s">
        <v>388</v>
      </c>
      <c r="E3117" s="96" t="s">
        <v>405</v>
      </c>
    </row>
    <row r="3118" spans="2:5" ht="15" customHeight="1" thickBot="1" x14ac:dyDescent="0.35">
      <c r="B3118" s="96" t="s">
        <v>4937</v>
      </c>
      <c r="C3118" s="97">
        <v>532366</v>
      </c>
      <c r="D3118" s="96" t="s">
        <v>4938</v>
      </c>
      <c r="E3118" s="96" t="s">
        <v>405</v>
      </c>
    </row>
    <row r="3119" spans="2:5" ht="15" customHeight="1" thickBot="1" x14ac:dyDescent="0.35">
      <c r="B3119" s="96" t="s">
        <v>4939</v>
      </c>
      <c r="C3119" s="97">
        <v>540173</v>
      </c>
      <c r="D3119" s="96" t="s">
        <v>4940</v>
      </c>
      <c r="E3119" s="96" t="s">
        <v>446</v>
      </c>
    </row>
    <row r="3120" spans="2:5" ht="15" customHeight="1" thickBot="1" x14ac:dyDescent="0.35">
      <c r="B3120" s="96" t="s">
        <v>4941</v>
      </c>
      <c r="C3120" s="97">
        <v>539150</v>
      </c>
      <c r="D3120" s="96" t="s">
        <v>4942</v>
      </c>
      <c r="E3120" s="96" t="s">
        <v>983</v>
      </c>
    </row>
    <row r="3121" spans="2:5" ht="15" customHeight="1" thickBot="1" x14ac:dyDescent="0.35">
      <c r="B3121" s="96" t="s">
        <v>4943</v>
      </c>
      <c r="C3121" s="97">
        <v>532803</v>
      </c>
      <c r="D3121" s="96" t="s">
        <v>4944</v>
      </c>
      <c r="E3121" s="96" t="s">
        <v>586</v>
      </c>
    </row>
    <row r="3122" spans="2:5" ht="15" customHeight="1" thickBot="1" x14ac:dyDescent="0.35">
      <c r="B3122" s="96" t="s">
        <v>4945</v>
      </c>
      <c r="C3122" s="97">
        <v>539195</v>
      </c>
      <c r="D3122" s="96" t="s">
        <v>388</v>
      </c>
      <c r="E3122" s="96" t="s">
        <v>436</v>
      </c>
    </row>
    <row r="3123" spans="2:5" ht="15" customHeight="1" thickBot="1" x14ac:dyDescent="0.35">
      <c r="B3123" s="96" t="s">
        <v>4946</v>
      </c>
      <c r="C3123" s="97">
        <v>523628</v>
      </c>
      <c r="D3123" s="96" t="s">
        <v>4947</v>
      </c>
      <c r="E3123" s="96" t="s">
        <v>474</v>
      </c>
    </row>
    <row r="3124" spans="2:5" ht="15" customHeight="1" thickBot="1" x14ac:dyDescent="0.35">
      <c r="B3124" s="96" t="s">
        <v>4948</v>
      </c>
      <c r="C3124" s="97">
        <v>524570</v>
      </c>
      <c r="D3124" s="96" t="s">
        <v>4949</v>
      </c>
      <c r="E3124" s="96" t="s">
        <v>548</v>
      </c>
    </row>
    <row r="3125" spans="2:5" ht="15" customHeight="1" thickBot="1" x14ac:dyDescent="0.35">
      <c r="B3125" s="96" t="s">
        <v>4950</v>
      </c>
      <c r="C3125" s="97">
        <v>532486</v>
      </c>
      <c r="D3125" s="96" t="s">
        <v>4951</v>
      </c>
      <c r="E3125" s="96" t="s">
        <v>916</v>
      </c>
    </row>
    <row r="3126" spans="2:5" ht="15" customHeight="1" thickBot="1" x14ac:dyDescent="0.35">
      <c r="B3126" s="96" t="s">
        <v>4952</v>
      </c>
      <c r="C3126" s="97">
        <v>526687</v>
      </c>
      <c r="D3126" s="96" t="s">
        <v>388</v>
      </c>
      <c r="E3126" s="96" t="s">
        <v>589</v>
      </c>
    </row>
    <row r="3127" spans="2:5" ht="15" customHeight="1" thickBot="1" x14ac:dyDescent="0.35">
      <c r="B3127" s="96" t="s">
        <v>4953</v>
      </c>
      <c r="C3127" s="97">
        <v>540717</v>
      </c>
      <c r="D3127" s="96" t="s">
        <v>388</v>
      </c>
      <c r="E3127" s="96" t="s">
        <v>410</v>
      </c>
    </row>
    <row r="3128" spans="2:5" ht="15" customHeight="1" thickBot="1" x14ac:dyDescent="0.35">
      <c r="B3128" s="96" t="s">
        <v>4954</v>
      </c>
      <c r="C3128" s="97">
        <v>507645</v>
      </c>
      <c r="D3128" s="96" t="s">
        <v>388</v>
      </c>
      <c r="E3128" s="96" t="s">
        <v>548</v>
      </c>
    </row>
    <row r="3129" spans="2:5" ht="15" customHeight="1" thickBot="1" x14ac:dyDescent="0.35">
      <c r="B3129" s="96" t="s">
        <v>4955</v>
      </c>
      <c r="C3129" s="97">
        <v>531768</v>
      </c>
      <c r="D3129" s="96" t="s">
        <v>4956</v>
      </c>
      <c r="E3129" s="96" t="s">
        <v>1554</v>
      </c>
    </row>
    <row r="3130" spans="2:5" ht="15" customHeight="1" thickBot="1" x14ac:dyDescent="0.35">
      <c r="B3130" s="96" t="s">
        <v>4957</v>
      </c>
      <c r="C3130" s="97">
        <v>542652</v>
      </c>
      <c r="D3130" s="96" t="s">
        <v>4958</v>
      </c>
      <c r="E3130" s="96" t="s">
        <v>686</v>
      </c>
    </row>
    <row r="3131" spans="2:5" ht="15" customHeight="1" thickBot="1" x14ac:dyDescent="0.35">
      <c r="B3131" s="96" t="s">
        <v>4959</v>
      </c>
      <c r="C3131" s="97">
        <v>506605</v>
      </c>
      <c r="D3131" s="96" t="s">
        <v>388</v>
      </c>
      <c r="E3131" s="96" t="s">
        <v>436</v>
      </c>
    </row>
    <row r="3132" spans="2:5" ht="15" customHeight="1" thickBot="1" x14ac:dyDescent="0.35">
      <c r="B3132" s="96" t="s">
        <v>4960</v>
      </c>
      <c r="C3132" s="97">
        <v>531397</v>
      </c>
      <c r="D3132" s="96" t="s">
        <v>388</v>
      </c>
      <c r="E3132" s="96" t="s">
        <v>583</v>
      </c>
    </row>
    <row r="3133" spans="2:5" ht="15" customHeight="1" thickBot="1" x14ac:dyDescent="0.35">
      <c r="B3133" s="96" t="s">
        <v>4961</v>
      </c>
      <c r="C3133" s="97">
        <v>514486</v>
      </c>
      <c r="D3133" s="96" t="s">
        <v>388</v>
      </c>
      <c r="E3133" s="96" t="s">
        <v>403</v>
      </c>
    </row>
    <row r="3134" spans="2:5" ht="15" customHeight="1" thickBot="1" x14ac:dyDescent="0.35">
      <c r="B3134" s="96" t="s">
        <v>4962</v>
      </c>
      <c r="C3134" s="97">
        <v>531454</v>
      </c>
      <c r="D3134" s="96" t="s">
        <v>388</v>
      </c>
      <c r="E3134" s="96" t="s">
        <v>765</v>
      </c>
    </row>
    <row r="3135" spans="2:5" ht="15" customHeight="1" thickBot="1" x14ac:dyDescent="0.35">
      <c r="B3135" s="96" t="s">
        <v>4963</v>
      </c>
      <c r="C3135" s="97">
        <v>531454</v>
      </c>
      <c r="D3135" s="96" t="s">
        <v>388</v>
      </c>
      <c r="E3135" s="96" t="s">
        <v>765</v>
      </c>
    </row>
    <row r="3136" spans="2:5" ht="15" customHeight="1" thickBot="1" x14ac:dyDescent="0.35">
      <c r="B3136" s="96" t="s">
        <v>4964</v>
      </c>
      <c r="C3136" s="97">
        <v>537573</v>
      </c>
      <c r="D3136" s="96" t="s">
        <v>388</v>
      </c>
      <c r="E3136" s="96" t="s">
        <v>508</v>
      </c>
    </row>
    <row r="3137" spans="2:5" ht="15" customHeight="1" thickBot="1" x14ac:dyDescent="0.35">
      <c r="B3137" s="96" t="s">
        <v>4965</v>
      </c>
      <c r="C3137" s="97">
        <v>526043</v>
      </c>
      <c r="D3137" s="96" t="s">
        <v>388</v>
      </c>
      <c r="E3137" s="96" t="s">
        <v>396</v>
      </c>
    </row>
    <row r="3138" spans="2:5" ht="15" customHeight="1" thickBot="1" x14ac:dyDescent="0.35">
      <c r="B3138" s="96" t="s">
        <v>4966</v>
      </c>
      <c r="C3138" s="97">
        <v>524051</v>
      </c>
      <c r="D3138" s="96" t="s">
        <v>4967</v>
      </c>
      <c r="E3138" s="96" t="s">
        <v>436</v>
      </c>
    </row>
    <row r="3139" spans="2:5" ht="15" customHeight="1" thickBot="1" x14ac:dyDescent="0.35">
      <c r="B3139" s="96" t="s">
        <v>4968</v>
      </c>
      <c r="C3139" s="97">
        <v>539354</v>
      </c>
      <c r="D3139" s="96" t="s">
        <v>388</v>
      </c>
      <c r="E3139" s="96" t="s">
        <v>583</v>
      </c>
    </row>
    <row r="3140" spans="2:5" ht="15" customHeight="1" thickBot="1" x14ac:dyDescent="0.35">
      <c r="B3140" s="96" t="s">
        <v>4969</v>
      </c>
      <c r="C3140" s="97">
        <v>512481</v>
      </c>
      <c r="D3140" s="96" t="s">
        <v>388</v>
      </c>
      <c r="E3140" s="96" t="s">
        <v>405</v>
      </c>
    </row>
    <row r="3141" spans="2:5" ht="15" customHeight="1" thickBot="1" x14ac:dyDescent="0.35">
      <c r="B3141" s="96" t="s">
        <v>4970</v>
      </c>
      <c r="C3141" s="97">
        <v>512481</v>
      </c>
      <c r="D3141" s="96" t="s">
        <v>388</v>
      </c>
      <c r="E3141" s="96" t="s">
        <v>405</v>
      </c>
    </row>
    <row r="3142" spans="2:5" ht="15" customHeight="1" thickBot="1" x14ac:dyDescent="0.35">
      <c r="B3142" s="96" t="s">
        <v>4971</v>
      </c>
      <c r="C3142" s="97">
        <v>532626</v>
      </c>
      <c r="D3142" s="96" t="s">
        <v>388</v>
      </c>
      <c r="E3142" s="96" t="s">
        <v>2635</v>
      </c>
    </row>
    <row r="3143" spans="2:5" ht="15" customHeight="1" thickBot="1" x14ac:dyDescent="0.35">
      <c r="B3143" s="96" t="s">
        <v>4972</v>
      </c>
      <c r="C3143" s="97">
        <v>532460</v>
      </c>
      <c r="D3143" s="96" t="s">
        <v>4973</v>
      </c>
      <c r="E3143" s="96" t="s">
        <v>1087</v>
      </c>
    </row>
    <row r="3144" spans="2:5" ht="15" customHeight="1" thickBot="1" x14ac:dyDescent="0.35">
      <c r="B3144" s="96" t="s">
        <v>4974</v>
      </c>
      <c r="C3144" s="97">
        <v>532011</v>
      </c>
      <c r="D3144" s="96" t="s">
        <v>388</v>
      </c>
      <c r="E3144" s="96" t="s">
        <v>391</v>
      </c>
    </row>
    <row r="3145" spans="2:5" ht="15" customHeight="1" thickBot="1" x14ac:dyDescent="0.35">
      <c r="B3145" s="96" t="s">
        <v>4975</v>
      </c>
      <c r="C3145" s="97">
        <v>540727</v>
      </c>
      <c r="D3145" s="96" t="s">
        <v>388</v>
      </c>
      <c r="E3145" s="96" t="s">
        <v>1307</v>
      </c>
    </row>
    <row r="3146" spans="2:5" ht="15" customHeight="1" thickBot="1" x14ac:dyDescent="0.35">
      <c r="B3146" s="96" t="s">
        <v>4976</v>
      </c>
      <c r="C3146" s="97">
        <v>519359</v>
      </c>
      <c r="D3146" s="96" t="s">
        <v>388</v>
      </c>
      <c r="E3146" s="96" t="s">
        <v>637</v>
      </c>
    </row>
    <row r="3147" spans="2:5" ht="15" customHeight="1" thickBot="1" x14ac:dyDescent="0.35">
      <c r="B3147" s="96" t="s">
        <v>4977</v>
      </c>
      <c r="C3147" s="97">
        <v>531870</v>
      </c>
      <c r="D3147" s="96" t="s">
        <v>388</v>
      </c>
      <c r="E3147" s="96" t="s">
        <v>786</v>
      </c>
    </row>
    <row r="3148" spans="2:5" ht="15" customHeight="1" thickBot="1" x14ac:dyDescent="0.35">
      <c r="B3148" s="96" t="s">
        <v>4978</v>
      </c>
      <c r="C3148" s="97">
        <v>532933</v>
      </c>
      <c r="D3148" s="96" t="s">
        <v>388</v>
      </c>
      <c r="E3148" s="96" t="s">
        <v>743</v>
      </c>
    </row>
    <row r="3149" spans="2:5" ht="15" customHeight="1" thickBot="1" x14ac:dyDescent="0.35">
      <c r="B3149" s="96" t="s">
        <v>4979</v>
      </c>
      <c r="C3149" s="96" t="s">
        <v>388</v>
      </c>
      <c r="D3149" s="96" t="s">
        <v>4980</v>
      </c>
      <c r="E3149" s="96" t="s">
        <v>399</v>
      </c>
    </row>
    <row r="3150" spans="2:5" ht="15" customHeight="1" thickBot="1" x14ac:dyDescent="0.35">
      <c r="B3150" s="96" t="s">
        <v>4981</v>
      </c>
      <c r="C3150" s="97">
        <v>532810</v>
      </c>
      <c r="D3150" s="96" t="s">
        <v>4982</v>
      </c>
      <c r="E3150" s="96" t="s">
        <v>405</v>
      </c>
    </row>
    <row r="3151" spans="2:5" ht="15" customHeight="1" thickBot="1" x14ac:dyDescent="0.35">
      <c r="B3151" s="96" t="s">
        <v>4983</v>
      </c>
      <c r="C3151" s="97">
        <v>532898</v>
      </c>
      <c r="D3151" s="96" t="s">
        <v>4984</v>
      </c>
      <c r="E3151" s="96" t="s">
        <v>527</v>
      </c>
    </row>
    <row r="3152" spans="2:5" ht="15" customHeight="1" thickBot="1" x14ac:dyDescent="0.35">
      <c r="B3152" s="96" t="s">
        <v>4985</v>
      </c>
      <c r="C3152" s="97">
        <v>532898</v>
      </c>
      <c r="D3152" s="96" t="s">
        <v>4984</v>
      </c>
      <c r="E3152" s="96" t="s">
        <v>527</v>
      </c>
    </row>
    <row r="3153" spans="2:5" ht="15" customHeight="1" thickBot="1" x14ac:dyDescent="0.35">
      <c r="B3153" s="96" t="s">
        <v>4986</v>
      </c>
      <c r="C3153" s="97">
        <v>539302</v>
      </c>
      <c r="D3153" s="96" t="s">
        <v>4987</v>
      </c>
      <c r="E3153" s="96" t="s">
        <v>786</v>
      </c>
    </row>
    <row r="3154" spans="2:5" ht="15" customHeight="1" thickBot="1" x14ac:dyDescent="0.35">
      <c r="B3154" s="96" t="s">
        <v>4988</v>
      </c>
      <c r="C3154" s="96" t="s">
        <v>388</v>
      </c>
      <c r="D3154" s="96" t="s">
        <v>4989</v>
      </c>
      <c r="E3154" s="96" t="s">
        <v>399</v>
      </c>
    </row>
    <row r="3155" spans="2:5" ht="15" customHeight="1" thickBot="1" x14ac:dyDescent="0.35">
      <c r="B3155" s="96" t="s">
        <v>4990</v>
      </c>
      <c r="C3155" s="97">
        <v>538731</v>
      </c>
      <c r="D3155" s="96" t="s">
        <v>388</v>
      </c>
      <c r="E3155" s="96" t="s">
        <v>566</v>
      </c>
    </row>
    <row r="3156" spans="2:5" ht="15" customHeight="1" thickBot="1" x14ac:dyDescent="0.35">
      <c r="B3156" s="96" t="s">
        <v>4991</v>
      </c>
      <c r="C3156" s="97">
        <v>532934</v>
      </c>
      <c r="D3156" s="96" t="s">
        <v>4992</v>
      </c>
      <c r="E3156" s="96" t="s">
        <v>743</v>
      </c>
    </row>
    <row r="3157" spans="2:5" ht="15" customHeight="1" thickBot="1" x14ac:dyDescent="0.35">
      <c r="B3157" s="96" t="s">
        <v>4993</v>
      </c>
      <c r="C3157" s="97">
        <v>539351</v>
      </c>
      <c r="D3157" s="96" t="s">
        <v>4994</v>
      </c>
      <c r="E3157" s="96" t="s">
        <v>448</v>
      </c>
    </row>
    <row r="3158" spans="2:5" ht="15" customHeight="1" thickBot="1" x14ac:dyDescent="0.35">
      <c r="B3158" s="96" t="s">
        <v>4995</v>
      </c>
      <c r="C3158" s="97">
        <v>540027</v>
      </c>
      <c r="D3158" s="96" t="s">
        <v>388</v>
      </c>
      <c r="E3158" s="96" t="s">
        <v>389</v>
      </c>
    </row>
    <row r="3159" spans="2:5" ht="15" customHeight="1" thickBot="1" x14ac:dyDescent="0.35">
      <c r="B3159" s="96" t="s">
        <v>4996</v>
      </c>
      <c r="C3159" s="97">
        <v>540027</v>
      </c>
      <c r="D3159" s="96" t="s">
        <v>388</v>
      </c>
      <c r="E3159" s="96" t="s">
        <v>389</v>
      </c>
    </row>
    <row r="3160" spans="2:5" ht="15" customHeight="1" thickBot="1" x14ac:dyDescent="0.35">
      <c r="B3160" s="96" t="s">
        <v>4997</v>
      </c>
      <c r="C3160" s="97">
        <v>531855</v>
      </c>
      <c r="D3160" s="96" t="s">
        <v>388</v>
      </c>
      <c r="E3160" s="96" t="s">
        <v>420</v>
      </c>
    </row>
    <row r="3161" spans="2:5" ht="15" customHeight="1" thickBot="1" x14ac:dyDescent="0.35">
      <c r="B3161" s="96" t="s">
        <v>4998</v>
      </c>
      <c r="C3161" s="97">
        <v>506042</v>
      </c>
      <c r="D3161" s="96" t="s">
        <v>388</v>
      </c>
      <c r="E3161" s="96" t="s">
        <v>420</v>
      </c>
    </row>
    <row r="3162" spans="2:5" ht="15" customHeight="1" thickBot="1" x14ac:dyDescent="0.35">
      <c r="B3162" s="96" t="s">
        <v>4999</v>
      </c>
      <c r="C3162" s="97">
        <v>513532</v>
      </c>
      <c r="D3162" s="96" t="s">
        <v>388</v>
      </c>
      <c r="E3162" s="96" t="s">
        <v>743</v>
      </c>
    </row>
    <row r="3163" spans="2:5" ht="15" customHeight="1" thickBot="1" x14ac:dyDescent="0.35">
      <c r="B3163" s="96" t="s">
        <v>5000</v>
      </c>
      <c r="C3163" s="97">
        <v>530095</v>
      </c>
      <c r="D3163" s="96" t="s">
        <v>388</v>
      </c>
      <c r="E3163" s="96" t="s">
        <v>420</v>
      </c>
    </row>
    <row r="3164" spans="2:5" ht="15" customHeight="1" thickBot="1" x14ac:dyDescent="0.35">
      <c r="B3164" s="96" t="s">
        <v>5001</v>
      </c>
      <c r="C3164" s="97">
        <v>533178</v>
      </c>
      <c r="D3164" s="96" t="s">
        <v>5002</v>
      </c>
      <c r="E3164" s="96" t="s">
        <v>403</v>
      </c>
    </row>
    <row r="3165" spans="2:5" ht="15" customHeight="1" thickBot="1" x14ac:dyDescent="0.35">
      <c r="B3165" s="96" t="s">
        <v>5003</v>
      </c>
      <c r="C3165" s="97">
        <v>500192</v>
      </c>
      <c r="D3165" s="96" t="s">
        <v>388</v>
      </c>
      <c r="E3165" s="96" t="s">
        <v>403</v>
      </c>
    </row>
    <row r="3166" spans="2:5" ht="15" customHeight="1" thickBot="1" x14ac:dyDescent="0.35">
      <c r="B3166" s="96" t="s">
        <v>5004</v>
      </c>
      <c r="C3166" s="97">
        <v>522205</v>
      </c>
      <c r="D3166" s="96" t="s">
        <v>5005</v>
      </c>
      <c r="E3166" s="96" t="s">
        <v>786</v>
      </c>
    </row>
    <row r="3167" spans="2:5" ht="15" customHeight="1" thickBot="1" x14ac:dyDescent="0.35">
      <c r="B3167" s="96" t="s">
        <v>5006</v>
      </c>
      <c r="C3167" s="97">
        <v>531746</v>
      </c>
      <c r="D3167" s="96" t="s">
        <v>5007</v>
      </c>
      <c r="E3167" s="96" t="s">
        <v>474</v>
      </c>
    </row>
    <row r="3168" spans="2:5" ht="15" customHeight="1" thickBot="1" x14ac:dyDescent="0.35">
      <c r="B3168" s="96" t="s">
        <v>5008</v>
      </c>
      <c r="C3168" s="97">
        <v>533605</v>
      </c>
      <c r="D3168" s="96" t="s">
        <v>5009</v>
      </c>
      <c r="E3168" s="96" t="s">
        <v>786</v>
      </c>
    </row>
    <row r="3169" spans="2:5" ht="15" customHeight="1" thickBot="1" x14ac:dyDescent="0.35">
      <c r="B3169" s="96" t="s">
        <v>5010</v>
      </c>
      <c r="C3169" s="97">
        <v>506022</v>
      </c>
      <c r="D3169" s="96" t="s">
        <v>5011</v>
      </c>
      <c r="E3169" s="96" t="s">
        <v>420</v>
      </c>
    </row>
    <row r="3170" spans="2:5" ht="15" customHeight="1" thickBot="1" x14ac:dyDescent="0.35">
      <c r="B3170" s="96" t="s">
        <v>5012</v>
      </c>
      <c r="C3170" s="97">
        <v>542684</v>
      </c>
      <c r="D3170" s="96" t="s">
        <v>5013</v>
      </c>
      <c r="E3170" s="96" t="s">
        <v>508</v>
      </c>
    </row>
    <row r="3171" spans="2:5" ht="15" customHeight="1" thickBot="1" x14ac:dyDescent="0.35">
      <c r="B3171" s="96" t="s">
        <v>5014</v>
      </c>
      <c r="C3171" s="97">
        <v>533239</v>
      </c>
      <c r="D3171" s="96" t="s">
        <v>5015</v>
      </c>
      <c r="E3171" s="96" t="s">
        <v>786</v>
      </c>
    </row>
    <row r="3172" spans="2:5" ht="15" customHeight="1" thickBot="1" x14ac:dyDescent="0.35">
      <c r="B3172" s="96" t="s">
        <v>5016</v>
      </c>
      <c r="C3172" s="97">
        <v>531437</v>
      </c>
      <c r="D3172" s="96" t="s">
        <v>388</v>
      </c>
      <c r="E3172" s="96" t="s">
        <v>403</v>
      </c>
    </row>
    <row r="3173" spans="2:5" ht="15" customHeight="1" thickBot="1" x14ac:dyDescent="0.35">
      <c r="B3173" s="96" t="s">
        <v>5017</v>
      </c>
      <c r="C3173" s="97">
        <v>531172</v>
      </c>
      <c r="D3173" s="96" t="s">
        <v>388</v>
      </c>
      <c r="E3173" s="96" t="s">
        <v>403</v>
      </c>
    </row>
    <row r="3174" spans="2:5" ht="15" customHeight="1" thickBot="1" x14ac:dyDescent="0.35">
      <c r="B3174" s="96" t="s">
        <v>5018</v>
      </c>
      <c r="C3174" s="97">
        <v>519014</v>
      </c>
      <c r="D3174" s="96" t="s">
        <v>388</v>
      </c>
      <c r="E3174" s="96" t="s">
        <v>403</v>
      </c>
    </row>
    <row r="3175" spans="2:5" ht="15" customHeight="1" thickBot="1" x14ac:dyDescent="0.35">
      <c r="B3175" s="96" t="s">
        <v>5019</v>
      </c>
      <c r="C3175" s="97">
        <v>519014</v>
      </c>
      <c r="D3175" s="96" t="s">
        <v>388</v>
      </c>
      <c r="E3175" s="96" t="s">
        <v>403</v>
      </c>
    </row>
    <row r="3176" spans="2:5" ht="15" customHeight="1" thickBot="1" x14ac:dyDescent="0.35">
      <c r="B3176" s="96" t="s">
        <v>5020</v>
      </c>
      <c r="C3176" s="97">
        <v>540724</v>
      </c>
      <c r="D3176" s="96" t="s">
        <v>5021</v>
      </c>
      <c r="E3176" s="96" t="s">
        <v>448</v>
      </c>
    </row>
    <row r="3177" spans="2:5" ht="15" customHeight="1" thickBot="1" x14ac:dyDescent="0.35">
      <c r="B3177" s="96" t="s">
        <v>5022</v>
      </c>
      <c r="C3177" s="97">
        <v>526490</v>
      </c>
      <c r="D3177" s="96" t="s">
        <v>388</v>
      </c>
      <c r="E3177" s="96" t="s">
        <v>883</v>
      </c>
    </row>
    <row r="3178" spans="2:5" ht="15" customHeight="1" thickBot="1" x14ac:dyDescent="0.35">
      <c r="B3178" s="96" t="s">
        <v>5023</v>
      </c>
      <c r="C3178" s="97">
        <v>531257</v>
      </c>
      <c r="D3178" s="96" t="s">
        <v>388</v>
      </c>
      <c r="E3178" s="96" t="s">
        <v>548</v>
      </c>
    </row>
    <row r="3179" spans="2:5" ht="15" customHeight="1" thickBot="1" x14ac:dyDescent="0.35">
      <c r="B3179" s="96" t="s">
        <v>5024</v>
      </c>
      <c r="C3179" s="97">
        <v>540901</v>
      </c>
      <c r="D3179" s="96" t="s">
        <v>5025</v>
      </c>
      <c r="E3179" s="96" t="s">
        <v>389</v>
      </c>
    </row>
    <row r="3180" spans="2:5" ht="15" customHeight="1" thickBot="1" x14ac:dyDescent="0.35">
      <c r="B3180" s="96" t="s">
        <v>5026</v>
      </c>
      <c r="C3180" s="97">
        <v>506107</v>
      </c>
      <c r="D3180" s="96" t="s">
        <v>388</v>
      </c>
      <c r="E3180" s="96" t="s">
        <v>809</v>
      </c>
    </row>
    <row r="3181" spans="2:5" ht="15" customHeight="1" thickBot="1" x14ac:dyDescent="0.35">
      <c r="B3181" s="96" t="s">
        <v>5027</v>
      </c>
      <c r="C3181" s="97">
        <v>539636</v>
      </c>
      <c r="D3181" s="96" t="s">
        <v>5028</v>
      </c>
      <c r="E3181" s="96" t="s">
        <v>743</v>
      </c>
    </row>
    <row r="3182" spans="2:5" ht="15" customHeight="1" thickBot="1" x14ac:dyDescent="0.35">
      <c r="B3182" s="96" t="s">
        <v>5029</v>
      </c>
      <c r="C3182" s="97">
        <v>523874</v>
      </c>
      <c r="D3182" s="96" t="s">
        <v>388</v>
      </c>
      <c r="E3182" s="96" t="s">
        <v>410</v>
      </c>
    </row>
    <row r="3183" spans="2:5" ht="15" customHeight="1" thickBot="1" x14ac:dyDescent="0.35">
      <c r="B3183" s="96" t="s">
        <v>5030</v>
      </c>
      <c r="C3183" s="97">
        <v>517258</v>
      </c>
      <c r="D3183" s="96" t="s">
        <v>388</v>
      </c>
      <c r="E3183" s="96" t="s">
        <v>930</v>
      </c>
    </row>
    <row r="3184" spans="2:5" ht="15" customHeight="1" thickBot="1" x14ac:dyDescent="0.35">
      <c r="B3184" s="96" t="s">
        <v>5031</v>
      </c>
      <c r="C3184" s="97">
        <v>523539</v>
      </c>
      <c r="D3184" s="96" t="s">
        <v>5032</v>
      </c>
      <c r="E3184" s="96" t="s">
        <v>1307</v>
      </c>
    </row>
    <row r="3185" spans="2:5" ht="15" customHeight="1" thickBot="1" x14ac:dyDescent="0.35">
      <c r="B3185" s="96" t="s">
        <v>5033</v>
      </c>
      <c r="C3185" s="97">
        <v>523539</v>
      </c>
      <c r="D3185" s="96" t="s">
        <v>5032</v>
      </c>
      <c r="E3185" s="96" t="s">
        <v>1307</v>
      </c>
    </row>
    <row r="3186" spans="2:5" ht="15" customHeight="1" thickBot="1" x14ac:dyDescent="0.35">
      <c r="B3186" s="96" t="s">
        <v>5034</v>
      </c>
      <c r="C3186" s="96" t="s">
        <v>388</v>
      </c>
      <c r="D3186" s="96" t="s">
        <v>5035</v>
      </c>
      <c r="E3186" s="96" t="s">
        <v>479</v>
      </c>
    </row>
    <row r="3187" spans="2:5" ht="15" customHeight="1" thickBot="1" x14ac:dyDescent="0.35">
      <c r="B3187" s="96" t="s">
        <v>5036</v>
      </c>
      <c r="C3187" s="97">
        <v>530669</v>
      </c>
      <c r="D3187" s="96" t="s">
        <v>388</v>
      </c>
      <c r="E3187" s="96" t="s">
        <v>371</v>
      </c>
    </row>
    <row r="3188" spans="2:5" ht="15" customHeight="1" thickBot="1" x14ac:dyDescent="0.35">
      <c r="B3188" s="96" t="s">
        <v>5037</v>
      </c>
      <c r="C3188" s="97">
        <v>530331</v>
      </c>
      <c r="D3188" s="96" t="s">
        <v>388</v>
      </c>
      <c r="E3188" s="96" t="s">
        <v>403</v>
      </c>
    </row>
    <row r="3189" spans="2:5" ht="15" customHeight="1" thickBot="1" x14ac:dyDescent="0.35">
      <c r="B3189" s="96" t="s">
        <v>5038</v>
      </c>
      <c r="C3189" s="97">
        <v>780007</v>
      </c>
      <c r="D3189" s="96" t="s">
        <v>388</v>
      </c>
      <c r="E3189" s="96" t="s">
        <v>479</v>
      </c>
    </row>
    <row r="3190" spans="2:5" ht="15" customHeight="1" thickBot="1" x14ac:dyDescent="0.35">
      <c r="B3190" s="96" t="s">
        <v>5039</v>
      </c>
      <c r="C3190" s="97">
        <v>526247</v>
      </c>
      <c r="D3190" s="96" t="s">
        <v>5040</v>
      </c>
      <c r="E3190" s="96" t="s">
        <v>548</v>
      </c>
    </row>
    <row r="3191" spans="2:5" ht="15" customHeight="1" thickBot="1" x14ac:dyDescent="0.35">
      <c r="B3191" s="96" t="s">
        <v>5041</v>
      </c>
      <c r="C3191" s="97">
        <v>500540</v>
      </c>
      <c r="D3191" s="96" t="s">
        <v>5042</v>
      </c>
      <c r="E3191" s="96" t="s">
        <v>396</v>
      </c>
    </row>
    <row r="3192" spans="2:5" ht="15" customHeight="1" thickBot="1" x14ac:dyDescent="0.35">
      <c r="B3192" s="96" t="s">
        <v>5043</v>
      </c>
      <c r="C3192" s="97">
        <v>513291</v>
      </c>
      <c r="D3192" s="96" t="s">
        <v>388</v>
      </c>
      <c r="E3192" s="96" t="s">
        <v>711</v>
      </c>
    </row>
    <row r="3193" spans="2:5" ht="15" customHeight="1" thickBot="1" x14ac:dyDescent="0.35">
      <c r="B3193" s="96" t="s">
        <v>5044</v>
      </c>
      <c r="C3193" s="97">
        <v>514354</v>
      </c>
      <c r="D3193" s="96" t="s">
        <v>5045</v>
      </c>
      <c r="E3193" s="96" t="s">
        <v>436</v>
      </c>
    </row>
    <row r="3194" spans="2:5" ht="15" customHeight="1" thickBot="1" x14ac:dyDescent="0.35">
      <c r="B3194" s="96" t="s">
        <v>5046</v>
      </c>
      <c r="C3194" s="97">
        <v>509835</v>
      </c>
      <c r="D3194" s="96" t="s">
        <v>388</v>
      </c>
      <c r="E3194" s="96" t="s">
        <v>403</v>
      </c>
    </row>
    <row r="3195" spans="2:5" ht="15" customHeight="1" thickBot="1" x14ac:dyDescent="0.35">
      <c r="B3195" s="96" t="s">
        <v>5047</v>
      </c>
      <c r="C3195" s="97">
        <v>531802</v>
      </c>
      <c r="D3195" s="96" t="s">
        <v>388</v>
      </c>
      <c r="E3195" s="96" t="s">
        <v>474</v>
      </c>
    </row>
    <row r="3196" spans="2:5" ht="15" customHeight="1" thickBot="1" x14ac:dyDescent="0.35">
      <c r="B3196" s="96" t="s">
        <v>5048</v>
      </c>
      <c r="C3196" s="97">
        <v>509077</v>
      </c>
      <c r="D3196" s="96" t="s">
        <v>5049</v>
      </c>
      <c r="E3196" s="96" t="s">
        <v>1990</v>
      </c>
    </row>
    <row r="3197" spans="2:5" ht="15" customHeight="1" thickBot="1" x14ac:dyDescent="0.35">
      <c r="B3197" s="96" t="s">
        <v>5050</v>
      </c>
      <c r="C3197" s="97">
        <v>533274</v>
      </c>
      <c r="D3197" s="96" t="s">
        <v>5051</v>
      </c>
      <c r="E3197" s="96" t="s">
        <v>474</v>
      </c>
    </row>
    <row r="3198" spans="2:5" ht="15" customHeight="1" thickBot="1" x14ac:dyDescent="0.35">
      <c r="B3198" s="96" t="s">
        <v>5052</v>
      </c>
      <c r="C3198" s="97">
        <v>540293</v>
      </c>
      <c r="D3198" s="96" t="s">
        <v>5053</v>
      </c>
      <c r="E3198" s="96" t="s">
        <v>743</v>
      </c>
    </row>
    <row r="3199" spans="2:5" ht="15" customHeight="1" thickBot="1" x14ac:dyDescent="0.35">
      <c r="B3199" s="96" t="s">
        <v>5054</v>
      </c>
      <c r="C3199" s="97">
        <v>519262</v>
      </c>
      <c r="D3199" s="96" t="s">
        <v>388</v>
      </c>
      <c r="E3199" s="96" t="s">
        <v>586</v>
      </c>
    </row>
    <row r="3200" spans="2:5" ht="15" customHeight="1" thickBot="1" x14ac:dyDescent="0.35">
      <c r="B3200" s="96" t="s">
        <v>5055</v>
      </c>
      <c r="C3200" s="97">
        <v>531246</v>
      </c>
      <c r="D3200" s="96" t="s">
        <v>388</v>
      </c>
      <c r="E3200" s="96" t="s">
        <v>637</v>
      </c>
    </row>
    <row r="3201" spans="2:5" ht="15" customHeight="1" thickBot="1" x14ac:dyDescent="0.35">
      <c r="B3201" s="96" t="s">
        <v>5056</v>
      </c>
      <c r="C3201" s="97">
        <v>530589</v>
      </c>
      <c r="D3201" s="96" t="s">
        <v>388</v>
      </c>
      <c r="E3201" s="96" t="s">
        <v>508</v>
      </c>
    </row>
    <row r="3202" spans="2:5" ht="15" customHeight="1" thickBot="1" x14ac:dyDescent="0.35">
      <c r="B3202" s="96" t="s">
        <v>5057</v>
      </c>
      <c r="C3202" s="97">
        <v>535514</v>
      </c>
      <c r="D3202" s="96" t="s">
        <v>388</v>
      </c>
      <c r="E3202" s="96" t="s">
        <v>405</v>
      </c>
    </row>
    <row r="3203" spans="2:5" ht="15" customHeight="1" thickBot="1" x14ac:dyDescent="0.35">
      <c r="B3203" s="96" t="s">
        <v>5058</v>
      </c>
      <c r="C3203" s="97">
        <v>540404</v>
      </c>
      <c r="D3203" s="96" t="s">
        <v>388</v>
      </c>
      <c r="E3203" s="96" t="s">
        <v>586</v>
      </c>
    </row>
    <row r="3204" spans="2:5" ht="15" customHeight="1" thickBot="1" x14ac:dyDescent="0.35">
      <c r="B3204" s="96" t="s">
        <v>5059</v>
      </c>
      <c r="C3204" s="97">
        <v>532748</v>
      </c>
      <c r="D3204" s="96" t="s">
        <v>5060</v>
      </c>
      <c r="E3204" s="96" t="s">
        <v>391</v>
      </c>
    </row>
    <row r="3205" spans="2:5" ht="15" customHeight="1" thickBot="1" x14ac:dyDescent="0.35">
      <c r="B3205" s="96" t="s">
        <v>5061</v>
      </c>
      <c r="C3205" s="97">
        <v>519299</v>
      </c>
      <c r="D3205" s="96" t="s">
        <v>388</v>
      </c>
      <c r="E3205" s="96" t="s">
        <v>637</v>
      </c>
    </row>
    <row r="3206" spans="2:5" ht="15" customHeight="1" thickBot="1" x14ac:dyDescent="0.35">
      <c r="B3206" s="96" t="s">
        <v>5062</v>
      </c>
      <c r="C3206" s="97">
        <v>530695</v>
      </c>
      <c r="D3206" s="96" t="s">
        <v>388</v>
      </c>
      <c r="E3206" s="96" t="s">
        <v>474</v>
      </c>
    </row>
    <row r="3207" spans="2:5" ht="15" customHeight="1" thickBot="1" x14ac:dyDescent="0.35">
      <c r="B3207" s="96" t="s">
        <v>5063</v>
      </c>
      <c r="C3207" s="97">
        <v>500337</v>
      </c>
      <c r="D3207" s="96" t="s">
        <v>5064</v>
      </c>
      <c r="E3207" s="96" t="s">
        <v>371</v>
      </c>
    </row>
    <row r="3208" spans="2:5" ht="15" customHeight="1" thickBot="1" x14ac:dyDescent="0.35">
      <c r="B3208" s="96" t="s">
        <v>5065</v>
      </c>
      <c r="C3208" s="97">
        <v>521149</v>
      </c>
      <c r="D3208" s="96" t="s">
        <v>388</v>
      </c>
      <c r="E3208" s="96" t="s">
        <v>474</v>
      </c>
    </row>
    <row r="3209" spans="2:5" ht="15" customHeight="1" thickBot="1" x14ac:dyDescent="0.35">
      <c r="B3209" s="96" t="s">
        <v>5066</v>
      </c>
      <c r="C3209" s="97">
        <v>521149</v>
      </c>
      <c r="D3209" s="96" t="s">
        <v>388</v>
      </c>
      <c r="E3209" s="96" t="s">
        <v>474</v>
      </c>
    </row>
    <row r="3210" spans="2:5" ht="15" customHeight="1" thickBot="1" x14ac:dyDescent="0.35">
      <c r="B3210" s="96" t="s">
        <v>5067</v>
      </c>
      <c r="C3210" s="97">
        <v>531735</v>
      </c>
      <c r="D3210" s="96" t="s">
        <v>388</v>
      </c>
      <c r="E3210" s="96" t="s">
        <v>405</v>
      </c>
    </row>
    <row r="3211" spans="2:5" ht="15" customHeight="1" thickBot="1" x14ac:dyDescent="0.35">
      <c r="B3211" s="96" t="s">
        <v>5068</v>
      </c>
      <c r="C3211" s="97">
        <v>500338</v>
      </c>
      <c r="D3211" s="96" t="s">
        <v>5069</v>
      </c>
      <c r="E3211" s="96" t="s">
        <v>401</v>
      </c>
    </row>
    <row r="3212" spans="2:5" ht="15" customHeight="1" thickBot="1" x14ac:dyDescent="0.35">
      <c r="B3212" s="96" t="s">
        <v>5070</v>
      </c>
      <c r="C3212" s="97">
        <v>512217</v>
      </c>
      <c r="D3212" s="96" t="s">
        <v>388</v>
      </c>
      <c r="E3212" s="96" t="s">
        <v>405</v>
      </c>
    </row>
    <row r="3213" spans="2:5" ht="15" customHeight="1" thickBot="1" x14ac:dyDescent="0.35">
      <c r="B3213" s="96" t="s">
        <v>5071</v>
      </c>
      <c r="C3213" s="97">
        <v>531688</v>
      </c>
      <c r="D3213" s="96" t="s">
        <v>388</v>
      </c>
      <c r="E3213" s="96" t="s">
        <v>481</v>
      </c>
    </row>
    <row r="3214" spans="2:5" ht="15" customHeight="1" thickBot="1" x14ac:dyDescent="0.35">
      <c r="B3214" s="96" t="s">
        <v>5072</v>
      </c>
      <c r="C3214" s="97">
        <v>531688</v>
      </c>
      <c r="D3214" s="96" t="s">
        <v>388</v>
      </c>
      <c r="E3214" s="96" t="s">
        <v>481</v>
      </c>
    </row>
    <row r="3215" spans="2:5" ht="15" customHeight="1" thickBot="1" x14ac:dyDescent="0.35">
      <c r="B3215" s="96" t="s">
        <v>5073</v>
      </c>
      <c r="C3215" s="96" t="s">
        <v>388</v>
      </c>
      <c r="D3215" s="96" t="s">
        <v>5074</v>
      </c>
      <c r="E3215" s="96" t="s">
        <v>399</v>
      </c>
    </row>
    <row r="3216" spans="2:5" ht="15" customHeight="1" thickBot="1" x14ac:dyDescent="0.35">
      <c r="B3216" s="96" t="s">
        <v>5075</v>
      </c>
      <c r="C3216" s="97">
        <v>539359</v>
      </c>
      <c r="D3216" s="96" t="s">
        <v>388</v>
      </c>
      <c r="E3216" s="96" t="s">
        <v>1307</v>
      </c>
    </row>
    <row r="3217" spans="2:5" ht="15" customHeight="1" thickBot="1" x14ac:dyDescent="0.35">
      <c r="B3217" s="96" t="s">
        <v>5076</v>
      </c>
      <c r="C3217" s="97">
        <v>532387</v>
      </c>
      <c r="D3217" s="96" t="s">
        <v>5077</v>
      </c>
      <c r="E3217" s="96" t="s">
        <v>391</v>
      </c>
    </row>
    <row r="3218" spans="2:5" ht="15" customHeight="1" thickBot="1" x14ac:dyDescent="0.35">
      <c r="B3218" s="96" t="s">
        <v>5078</v>
      </c>
      <c r="C3218" s="97">
        <v>524580</v>
      </c>
      <c r="D3218" s="96" t="s">
        <v>388</v>
      </c>
      <c r="E3218" s="96" t="s">
        <v>410</v>
      </c>
    </row>
    <row r="3219" spans="2:5" ht="15" customHeight="1" thickBot="1" x14ac:dyDescent="0.35">
      <c r="B3219" s="96" t="s">
        <v>5079</v>
      </c>
      <c r="C3219" s="97">
        <v>511557</v>
      </c>
      <c r="D3219" s="96" t="s">
        <v>388</v>
      </c>
      <c r="E3219" s="96" t="s">
        <v>809</v>
      </c>
    </row>
    <row r="3220" spans="2:5" ht="15" customHeight="1" thickBot="1" x14ac:dyDescent="0.35">
      <c r="B3220" s="96" t="s">
        <v>5080</v>
      </c>
      <c r="C3220" s="97">
        <v>512105</v>
      </c>
      <c r="D3220" s="96" t="s">
        <v>388</v>
      </c>
      <c r="E3220" s="96" t="s">
        <v>809</v>
      </c>
    </row>
    <row r="3221" spans="2:5" ht="15" customHeight="1" thickBot="1" x14ac:dyDescent="0.35">
      <c r="B3221" s="96" t="s">
        <v>5081</v>
      </c>
      <c r="C3221" s="97">
        <v>526009</v>
      </c>
      <c r="D3221" s="96" t="s">
        <v>388</v>
      </c>
      <c r="E3221" s="96" t="s">
        <v>410</v>
      </c>
    </row>
    <row r="3222" spans="2:5" ht="15" customHeight="1" thickBot="1" x14ac:dyDescent="0.35">
      <c r="B3222" s="96" t="s">
        <v>5082</v>
      </c>
      <c r="C3222" s="97">
        <v>526009</v>
      </c>
      <c r="D3222" s="96" t="s">
        <v>388</v>
      </c>
      <c r="E3222" s="96" t="s">
        <v>410</v>
      </c>
    </row>
    <row r="3223" spans="2:5" ht="15" customHeight="1" thickBot="1" x14ac:dyDescent="0.35">
      <c r="B3223" s="96" t="s">
        <v>5083</v>
      </c>
      <c r="C3223" s="96" t="s">
        <v>388</v>
      </c>
      <c r="D3223" s="96" t="s">
        <v>5084</v>
      </c>
      <c r="E3223" s="96" t="s">
        <v>410</v>
      </c>
    </row>
    <row r="3224" spans="2:5" ht="15" customHeight="1" thickBot="1" x14ac:dyDescent="0.35">
      <c r="B3224" s="96" t="s">
        <v>5085</v>
      </c>
      <c r="C3224" s="97">
        <v>500459</v>
      </c>
      <c r="D3224" s="96" t="s">
        <v>5086</v>
      </c>
      <c r="E3224" s="96" t="s">
        <v>570</v>
      </c>
    </row>
    <row r="3225" spans="2:5" ht="15" customHeight="1" thickBot="1" x14ac:dyDescent="0.35">
      <c r="B3225" s="96" t="s">
        <v>5087</v>
      </c>
      <c r="C3225" s="97">
        <v>531265</v>
      </c>
      <c r="D3225" s="96" t="s">
        <v>388</v>
      </c>
      <c r="E3225" s="96" t="s">
        <v>468</v>
      </c>
    </row>
    <row r="3226" spans="2:5" ht="15" customHeight="1" thickBot="1" x14ac:dyDescent="0.35">
      <c r="B3226" s="96" t="s">
        <v>5088</v>
      </c>
      <c r="C3226" s="96" t="s">
        <v>388</v>
      </c>
      <c r="D3226" s="96" t="s">
        <v>5089</v>
      </c>
      <c r="E3226" s="96" t="s">
        <v>399</v>
      </c>
    </row>
    <row r="3227" spans="2:5" ht="15" customHeight="1" thickBot="1" x14ac:dyDescent="0.35">
      <c r="B3227" s="96" t="s">
        <v>5090</v>
      </c>
      <c r="C3227" s="97">
        <v>526494</v>
      </c>
      <c r="D3227" s="96" t="s">
        <v>388</v>
      </c>
      <c r="E3227" s="96" t="s">
        <v>583</v>
      </c>
    </row>
    <row r="3228" spans="2:5" ht="15" customHeight="1" thickBot="1" x14ac:dyDescent="0.35">
      <c r="B3228" s="96" t="s">
        <v>5091</v>
      </c>
      <c r="C3228" s="97">
        <v>590057</v>
      </c>
      <c r="D3228" s="96" t="s">
        <v>5092</v>
      </c>
      <c r="E3228" s="96" t="s">
        <v>481</v>
      </c>
    </row>
    <row r="3229" spans="2:5" ht="15" customHeight="1" thickBot="1" x14ac:dyDescent="0.35">
      <c r="B3229" s="96" t="s">
        <v>5093</v>
      </c>
      <c r="C3229" s="97">
        <v>590057</v>
      </c>
      <c r="D3229" s="96" t="s">
        <v>5092</v>
      </c>
      <c r="E3229" s="96" t="s">
        <v>481</v>
      </c>
    </row>
    <row r="3230" spans="2:5" ht="15" customHeight="1" thickBot="1" x14ac:dyDescent="0.35">
      <c r="B3230" s="96" t="s">
        <v>5094</v>
      </c>
      <c r="C3230" s="97">
        <v>540703</v>
      </c>
      <c r="D3230" s="96" t="s">
        <v>388</v>
      </c>
      <c r="E3230" s="96" t="s">
        <v>472</v>
      </c>
    </row>
    <row r="3231" spans="2:5" ht="15" customHeight="1" thickBot="1" x14ac:dyDescent="0.35">
      <c r="B3231" s="96" t="s">
        <v>5095</v>
      </c>
      <c r="C3231" s="97">
        <v>532647</v>
      </c>
      <c r="D3231" s="96" t="s">
        <v>5096</v>
      </c>
      <c r="E3231" s="96" t="s">
        <v>502</v>
      </c>
    </row>
    <row r="3232" spans="2:5" ht="15" customHeight="1" thickBot="1" x14ac:dyDescent="0.35">
      <c r="B3232" s="96" t="s">
        <v>5097</v>
      </c>
      <c r="C3232" s="97">
        <v>532647</v>
      </c>
      <c r="D3232" s="96" t="s">
        <v>5096</v>
      </c>
      <c r="E3232" s="96" t="s">
        <v>502</v>
      </c>
    </row>
    <row r="3233" spans="2:5" ht="15" customHeight="1" thickBot="1" x14ac:dyDescent="0.35">
      <c r="B3233" s="96" t="s">
        <v>5098</v>
      </c>
      <c r="C3233" s="97">
        <v>534675</v>
      </c>
      <c r="D3233" s="96" t="s">
        <v>5099</v>
      </c>
      <c r="E3233" s="96" t="s">
        <v>474</v>
      </c>
    </row>
    <row r="3234" spans="2:5" ht="15" customHeight="1" thickBot="1" x14ac:dyDescent="0.35">
      <c r="B3234" s="96" t="s">
        <v>5100</v>
      </c>
      <c r="C3234" s="97">
        <v>505502</v>
      </c>
      <c r="D3234" s="96" t="s">
        <v>388</v>
      </c>
      <c r="E3234" s="96" t="s">
        <v>371</v>
      </c>
    </row>
    <row r="3235" spans="2:5" ht="15" customHeight="1" thickBot="1" x14ac:dyDescent="0.35">
      <c r="B3235" s="96" t="s">
        <v>5101</v>
      </c>
      <c r="C3235" s="97">
        <v>526801</v>
      </c>
      <c r="D3235" s="96" t="s">
        <v>5102</v>
      </c>
      <c r="E3235" s="96" t="s">
        <v>786</v>
      </c>
    </row>
    <row r="3236" spans="2:5" ht="15" customHeight="1" thickBot="1" x14ac:dyDescent="0.35">
      <c r="B3236" s="96" t="s">
        <v>5103</v>
      </c>
      <c r="C3236" s="97">
        <v>540544</v>
      </c>
      <c r="D3236" s="96" t="s">
        <v>5104</v>
      </c>
      <c r="E3236" s="96" t="s">
        <v>786</v>
      </c>
    </row>
    <row r="3237" spans="2:5" ht="15" customHeight="1" thickBot="1" x14ac:dyDescent="0.35">
      <c r="B3237" s="96" t="s">
        <v>5105</v>
      </c>
      <c r="C3237" s="97">
        <v>532524</v>
      </c>
      <c r="D3237" s="96" t="s">
        <v>5106</v>
      </c>
      <c r="E3237" s="96" t="s">
        <v>527</v>
      </c>
    </row>
    <row r="3238" spans="2:5" ht="15" customHeight="1" thickBot="1" x14ac:dyDescent="0.35">
      <c r="B3238" s="96" t="s">
        <v>5107</v>
      </c>
      <c r="C3238" s="97">
        <v>533344</v>
      </c>
      <c r="D3238" s="96" t="s">
        <v>5108</v>
      </c>
      <c r="E3238" s="96" t="s">
        <v>405</v>
      </c>
    </row>
    <row r="3239" spans="2:5" ht="15" customHeight="1" thickBot="1" x14ac:dyDescent="0.35">
      <c r="B3239" s="96" t="s">
        <v>5109</v>
      </c>
      <c r="C3239" s="97">
        <v>532524</v>
      </c>
      <c r="D3239" s="96" t="s">
        <v>5106</v>
      </c>
      <c r="E3239" s="96" t="s">
        <v>527</v>
      </c>
    </row>
    <row r="3240" spans="2:5" ht="15" customHeight="1" thickBot="1" x14ac:dyDescent="0.35">
      <c r="B3240" s="96" t="s">
        <v>5110</v>
      </c>
      <c r="C3240" s="97">
        <v>539006</v>
      </c>
      <c r="D3240" s="96" t="s">
        <v>388</v>
      </c>
      <c r="E3240" s="96" t="s">
        <v>1307</v>
      </c>
    </row>
    <row r="3241" spans="2:5" ht="15" customHeight="1" thickBot="1" x14ac:dyDescent="0.35">
      <c r="B3241" s="96" t="s">
        <v>5111</v>
      </c>
      <c r="C3241" s="97">
        <v>509220</v>
      </c>
      <c r="D3241" s="96" t="s">
        <v>5112</v>
      </c>
      <c r="E3241" s="96" t="s">
        <v>410</v>
      </c>
    </row>
    <row r="3242" spans="2:5" ht="15" customHeight="1" thickBot="1" x14ac:dyDescent="0.35">
      <c r="B3242" s="96" t="s">
        <v>5113</v>
      </c>
      <c r="C3242" s="97">
        <v>539785</v>
      </c>
      <c r="D3242" s="96" t="s">
        <v>5114</v>
      </c>
      <c r="E3242" s="96" t="s">
        <v>382</v>
      </c>
    </row>
    <row r="3243" spans="2:5" ht="15" customHeight="1" thickBot="1" x14ac:dyDescent="0.35">
      <c r="B3243" s="96" t="s">
        <v>5115</v>
      </c>
      <c r="C3243" s="97">
        <v>512591</v>
      </c>
      <c r="D3243" s="96" t="s">
        <v>388</v>
      </c>
      <c r="E3243" s="96" t="s">
        <v>410</v>
      </c>
    </row>
    <row r="3244" spans="2:5" ht="15" customHeight="1" thickBot="1" x14ac:dyDescent="0.35">
      <c r="B3244" s="96" t="s">
        <v>5116</v>
      </c>
      <c r="C3244" s="96" t="s">
        <v>388</v>
      </c>
      <c r="D3244" s="96" t="s">
        <v>5117</v>
      </c>
      <c r="E3244" s="96" t="s">
        <v>399</v>
      </c>
    </row>
    <row r="3245" spans="2:5" ht="15" customHeight="1" thickBot="1" x14ac:dyDescent="0.35">
      <c r="B3245" s="96" t="s">
        <v>5118</v>
      </c>
      <c r="C3245" s="97">
        <v>512461</v>
      </c>
      <c r="D3245" s="96" t="s">
        <v>388</v>
      </c>
      <c r="E3245" s="96" t="s">
        <v>410</v>
      </c>
    </row>
    <row r="3246" spans="2:5" ht="15" customHeight="1" thickBot="1" x14ac:dyDescent="0.35">
      <c r="B3246" s="96" t="s">
        <v>5119</v>
      </c>
      <c r="C3246" s="97">
        <v>512099</v>
      </c>
      <c r="D3246" s="96" t="s">
        <v>388</v>
      </c>
      <c r="E3246" s="96" t="s">
        <v>502</v>
      </c>
    </row>
    <row r="3247" spans="2:5" ht="15" customHeight="1" thickBot="1" x14ac:dyDescent="0.35">
      <c r="B3247" s="96" t="s">
        <v>5120</v>
      </c>
      <c r="C3247" s="97">
        <v>532693</v>
      </c>
      <c r="D3247" s="96" t="s">
        <v>5121</v>
      </c>
      <c r="E3247" s="96" t="s">
        <v>786</v>
      </c>
    </row>
    <row r="3248" spans="2:5" ht="15" customHeight="1" thickBot="1" x14ac:dyDescent="0.35">
      <c r="B3248" s="96" t="s">
        <v>5122</v>
      </c>
      <c r="C3248" s="97">
        <v>533295</v>
      </c>
      <c r="D3248" s="96" t="s">
        <v>5123</v>
      </c>
      <c r="E3248" s="96" t="s">
        <v>706</v>
      </c>
    </row>
    <row r="3249" spans="2:5" ht="15" customHeight="1" thickBot="1" x14ac:dyDescent="0.35">
      <c r="B3249" s="96" t="s">
        <v>5124</v>
      </c>
      <c r="C3249" s="97">
        <v>506852</v>
      </c>
      <c r="D3249" s="96" t="s">
        <v>388</v>
      </c>
      <c r="E3249" s="96" t="s">
        <v>436</v>
      </c>
    </row>
    <row r="3250" spans="2:5" ht="15" customHeight="1" thickBot="1" x14ac:dyDescent="0.35">
      <c r="B3250" s="96" t="s">
        <v>5125</v>
      </c>
      <c r="C3250" s="97">
        <v>506618</v>
      </c>
      <c r="D3250" s="96" t="s">
        <v>5126</v>
      </c>
      <c r="E3250" s="96" t="s">
        <v>532</v>
      </c>
    </row>
    <row r="3251" spans="2:5" ht="15" customHeight="1" thickBot="1" x14ac:dyDescent="0.35">
      <c r="B3251" s="96" t="s">
        <v>5127</v>
      </c>
      <c r="C3251" s="97">
        <v>500346</v>
      </c>
      <c r="D3251" s="96" t="s">
        <v>388</v>
      </c>
      <c r="E3251" s="96" t="s">
        <v>534</v>
      </c>
    </row>
    <row r="3252" spans="2:5" ht="15" customHeight="1" thickBot="1" x14ac:dyDescent="0.35">
      <c r="B3252" s="96" t="s">
        <v>5128</v>
      </c>
      <c r="C3252" s="97">
        <v>532461</v>
      </c>
      <c r="D3252" s="96" t="s">
        <v>5129</v>
      </c>
      <c r="E3252" s="96" t="s">
        <v>706</v>
      </c>
    </row>
    <row r="3253" spans="2:5" ht="15" customHeight="1" thickBot="1" x14ac:dyDescent="0.35">
      <c r="B3253" s="96" t="s">
        <v>5130</v>
      </c>
      <c r="C3253" s="97">
        <v>532891</v>
      </c>
      <c r="D3253" s="96" t="s">
        <v>5131</v>
      </c>
      <c r="E3253" s="96" t="s">
        <v>474</v>
      </c>
    </row>
    <row r="3254" spans="2:5" ht="15" customHeight="1" thickBot="1" x14ac:dyDescent="0.35">
      <c r="B3254" s="96" t="s">
        <v>5132</v>
      </c>
      <c r="C3254" s="97">
        <v>540492</v>
      </c>
      <c r="D3254" s="96" t="s">
        <v>388</v>
      </c>
      <c r="E3254" s="96" t="s">
        <v>410</v>
      </c>
    </row>
    <row r="3255" spans="2:5" ht="15" customHeight="1" thickBot="1" x14ac:dyDescent="0.35">
      <c r="B3255" s="96" t="s">
        <v>5133</v>
      </c>
      <c r="C3255" s="97">
        <v>523315</v>
      </c>
      <c r="D3255" s="96" t="s">
        <v>388</v>
      </c>
      <c r="E3255" s="96" t="s">
        <v>382</v>
      </c>
    </row>
    <row r="3256" spans="2:5" ht="15" customHeight="1" thickBot="1" x14ac:dyDescent="0.35">
      <c r="B3256" s="96" t="s">
        <v>5134</v>
      </c>
      <c r="C3256" s="97">
        <v>538993</v>
      </c>
      <c r="D3256" s="96" t="s">
        <v>388</v>
      </c>
      <c r="E3256" s="96" t="s">
        <v>474</v>
      </c>
    </row>
    <row r="3257" spans="2:5" ht="15" customHeight="1" thickBot="1" x14ac:dyDescent="0.35">
      <c r="B3257" s="96" t="s">
        <v>5135</v>
      </c>
      <c r="C3257" s="97">
        <v>540159</v>
      </c>
      <c r="D3257" s="96" t="s">
        <v>388</v>
      </c>
      <c r="E3257" s="96" t="s">
        <v>391</v>
      </c>
    </row>
    <row r="3258" spans="2:5" ht="15" customHeight="1" thickBot="1" x14ac:dyDescent="0.35">
      <c r="B3258" s="96" t="s">
        <v>5136</v>
      </c>
      <c r="C3258" s="97">
        <v>538647</v>
      </c>
      <c r="D3258" s="96" t="s">
        <v>388</v>
      </c>
      <c r="E3258" s="96" t="s">
        <v>405</v>
      </c>
    </row>
    <row r="3259" spans="2:5" ht="15" customHeight="1" thickBot="1" x14ac:dyDescent="0.35">
      <c r="B3259" s="96" t="s">
        <v>5137</v>
      </c>
      <c r="C3259" s="96" t="s">
        <v>388</v>
      </c>
      <c r="D3259" s="96" t="s">
        <v>5138</v>
      </c>
      <c r="E3259" s="96" t="s">
        <v>399</v>
      </c>
    </row>
    <row r="3260" spans="2:5" ht="15" customHeight="1" thickBot="1" x14ac:dyDescent="0.35">
      <c r="B3260" s="96" t="s">
        <v>5139</v>
      </c>
      <c r="C3260" s="97">
        <v>531562</v>
      </c>
      <c r="D3260" s="96" t="s">
        <v>388</v>
      </c>
      <c r="E3260" s="96" t="s">
        <v>403</v>
      </c>
    </row>
    <row r="3261" spans="2:5" ht="15" customHeight="1" thickBot="1" x14ac:dyDescent="0.35">
      <c r="B3261" s="96" t="s">
        <v>5140</v>
      </c>
      <c r="C3261" s="97">
        <v>517556</v>
      </c>
      <c r="D3261" s="96" t="s">
        <v>5141</v>
      </c>
      <c r="E3261" s="96" t="s">
        <v>474</v>
      </c>
    </row>
    <row r="3262" spans="2:5" ht="15" customHeight="1" thickBot="1" x14ac:dyDescent="0.35">
      <c r="B3262" s="96" t="s">
        <v>5142</v>
      </c>
      <c r="C3262" s="97">
        <v>532689</v>
      </c>
      <c r="D3262" s="96" t="s">
        <v>5143</v>
      </c>
      <c r="E3262" s="96" t="s">
        <v>389</v>
      </c>
    </row>
    <row r="3263" spans="2:5" ht="15" customHeight="1" thickBot="1" x14ac:dyDescent="0.35">
      <c r="B3263" s="96" t="s">
        <v>5144</v>
      </c>
      <c r="C3263" s="97">
        <v>536659</v>
      </c>
      <c r="D3263" s="96" t="s">
        <v>388</v>
      </c>
      <c r="E3263" s="96" t="s">
        <v>786</v>
      </c>
    </row>
    <row r="3264" spans="2:5" ht="15" customHeight="1" thickBot="1" x14ac:dyDescent="0.35">
      <c r="B3264" s="96" t="s">
        <v>5145</v>
      </c>
      <c r="C3264" s="97">
        <v>534109</v>
      </c>
      <c r="D3264" s="96" t="s">
        <v>388</v>
      </c>
      <c r="E3264" s="96" t="s">
        <v>405</v>
      </c>
    </row>
    <row r="3265" spans="2:5" ht="15" customHeight="1" thickBot="1" x14ac:dyDescent="0.35">
      <c r="B3265" s="96" t="s">
        <v>5146</v>
      </c>
      <c r="C3265" s="97">
        <v>511116</v>
      </c>
      <c r="D3265" s="96" t="s">
        <v>388</v>
      </c>
      <c r="E3265" s="96" t="s">
        <v>1331</v>
      </c>
    </row>
    <row r="3266" spans="2:5" ht="15" customHeight="1" thickBot="1" x14ac:dyDescent="0.35">
      <c r="B3266" s="96" t="s">
        <v>5147</v>
      </c>
      <c r="C3266" s="97">
        <v>538596</v>
      </c>
      <c r="D3266" s="96" t="s">
        <v>388</v>
      </c>
      <c r="E3266" s="96" t="s">
        <v>474</v>
      </c>
    </row>
    <row r="3267" spans="2:5" ht="15" customHeight="1" thickBot="1" x14ac:dyDescent="0.35">
      <c r="B3267" s="96" t="s">
        <v>5148</v>
      </c>
      <c r="C3267" s="97">
        <v>530281</v>
      </c>
      <c r="D3267" s="96" t="s">
        <v>388</v>
      </c>
      <c r="E3267" s="96" t="s">
        <v>583</v>
      </c>
    </row>
    <row r="3268" spans="2:5" ht="15" customHeight="1" thickBot="1" x14ac:dyDescent="0.35">
      <c r="B3268" s="96" t="s">
        <v>5149</v>
      </c>
      <c r="C3268" s="97">
        <v>530281</v>
      </c>
      <c r="D3268" s="96" t="s">
        <v>388</v>
      </c>
      <c r="E3268" s="96" t="s">
        <v>583</v>
      </c>
    </row>
    <row r="3269" spans="2:5" ht="15" customHeight="1" thickBot="1" x14ac:dyDescent="0.35">
      <c r="B3269" s="96" t="s">
        <v>5150</v>
      </c>
      <c r="C3269" s="97">
        <v>590099</v>
      </c>
      <c r="D3269" s="96" t="s">
        <v>5151</v>
      </c>
      <c r="E3269" s="96" t="s">
        <v>371</v>
      </c>
    </row>
    <row r="3270" spans="2:5" ht="15" customHeight="1" thickBot="1" x14ac:dyDescent="0.35">
      <c r="B3270" s="96" t="s">
        <v>5152</v>
      </c>
      <c r="C3270" s="97">
        <v>590110</v>
      </c>
      <c r="D3270" s="96" t="s">
        <v>5153</v>
      </c>
      <c r="E3270" s="96" t="s">
        <v>371</v>
      </c>
    </row>
    <row r="3271" spans="2:5" ht="15" customHeight="1" thickBot="1" x14ac:dyDescent="0.35">
      <c r="B3271" s="96" t="s">
        <v>5154</v>
      </c>
      <c r="C3271" s="97">
        <v>539978</v>
      </c>
      <c r="D3271" s="96" t="s">
        <v>5155</v>
      </c>
      <c r="E3271" s="96" t="s">
        <v>377</v>
      </c>
    </row>
    <row r="3272" spans="2:5" ht="15" customHeight="1" thickBot="1" x14ac:dyDescent="0.35">
      <c r="B3272" s="96" t="s">
        <v>5156</v>
      </c>
      <c r="C3272" s="97">
        <v>539962</v>
      </c>
      <c r="D3272" s="96" t="s">
        <v>388</v>
      </c>
      <c r="E3272" s="96" t="s">
        <v>405</v>
      </c>
    </row>
    <row r="3273" spans="2:5" ht="15" customHeight="1" thickBot="1" x14ac:dyDescent="0.35">
      <c r="B3273" s="96" t="s">
        <v>5157</v>
      </c>
      <c r="C3273" s="97">
        <v>535719</v>
      </c>
      <c r="D3273" s="96" t="s">
        <v>388</v>
      </c>
      <c r="E3273" s="96" t="s">
        <v>374</v>
      </c>
    </row>
    <row r="3274" spans="2:5" ht="15" customHeight="1" thickBot="1" x14ac:dyDescent="0.35">
      <c r="B3274" s="96" t="s">
        <v>5158</v>
      </c>
      <c r="C3274" s="97">
        <v>535719</v>
      </c>
      <c r="D3274" s="96" t="s">
        <v>388</v>
      </c>
      <c r="E3274" s="96" t="s">
        <v>374</v>
      </c>
    </row>
    <row r="3275" spans="2:5" ht="15" customHeight="1" thickBot="1" x14ac:dyDescent="0.35">
      <c r="B3275" s="96" t="s">
        <v>5159</v>
      </c>
      <c r="C3275" s="97">
        <v>539678</v>
      </c>
      <c r="D3275" s="96" t="s">
        <v>5160</v>
      </c>
      <c r="E3275" s="96" t="s">
        <v>481</v>
      </c>
    </row>
    <row r="3276" spans="2:5" ht="15" customHeight="1" thickBot="1" x14ac:dyDescent="0.35">
      <c r="B3276" s="96" t="s">
        <v>5161</v>
      </c>
      <c r="C3276" s="97">
        <v>532866</v>
      </c>
      <c r="D3276" s="96" t="s">
        <v>5162</v>
      </c>
      <c r="E3276" s="96" t="s">
        <v>374</v>
      </c>
    </row>
    <row r="3277" spans="2:5" ht="15" customHeight="1" thickBot="1" x14ac:dyDescent="0.35">
      <c r="B3277" s="96" t="s">
        <v>5163</v>
      </c>
      <c r="C3277" s="97">
        <v>532024</v>
      </c>
      <c r="D3277" s="96" t="s">
        <v>388</v>
      </c>
      <c r="E3277" s="96" t="s">
        <v>371</v>
      </c>
    </row>
    <row r="3278" spans="2:5" ht="15" customHeight="1" thickBot="1" x14ac:dyDescent="0.35">
      <c r="B3278" s="96" t="s">
        <v>5164</v>
      </c>
      <c r="C3278" s="97">
        <v>536456</v>
      </c>
      <c r="D3278" s="96" t="s">
        <v>388</v>
      </c>
      <c r="E3278" s="96" t="s">
        <v>586</v>
      </c>
    </row>
    <row r="3279" spans="2:5" ht="15" customHeight="1" thickBot="1" x14ac:dyDescent="0.35">
      <c r="B3279" s="96" t="s">
        <v>5165</v>
      </c>
      <c r="C3279" s="97">
        <v>509845</v>
      </c>
      <c r="D3279" s="96" t="s">
        <v>388</v>
      </c>
      <c r="E3279" s="96" t="s">
        <v>474</v>
      </c>
    </row>
    <row r="3280" spans="2:5" ht="15" customHeight="1" thickBot="1" x14ac:dyDescent="0.35">
      <c r="B3280" s="96" t="s">
        <v>5166</v>
      </c>
      <c r="C3280" s="96" t="s">
        <v>388</v>
      </c>
      <c r="D3280" s="96" t="s">
        <v>5167</v>
      </c>
      <c r="E3280" s="96" t="s">
        <v>399</v>
      </c>
    </row>
    <row r="3281" spans="2:5" ht="15" customHeight="1" thickBot="1" x14ac:dyDescent="0.35">
      <c r="B3281" s="96" t="s">
        <v>5168</v>
      </c>
      <c r="C3281" s="97">
        <v>533284</v>
      </c>
      <c r="D3281" s="96" t="s">
        <v>5169</v>
      </c>
      <c r="E3281" s="96" t="s">
        <v>786</v>
      </c>
    </row>
    <row r="3282" spans="2:5" ht="15" customHeight="1" thickBot="1" x14ac:dyDescent="0.35">
      <c r="B3282" s="96" t="s">
        <v>5170</v>
      </c>
      <c r="C3282" s="97">
        <v>530917</v>
      </c>
      <c r="D3282" s="96" t="s">
        <v>388</v>
      </c>
      <c r="E3282" s="96" t="s">
        <v>809</v>
      </c>
    </row>
    <row r="3283" spans="2:5" ht="15" customHeight="1" thickBot="1" x14ac:dyDescent="0.35">
      <c r="B3283" s="96" t="s">
        <v>5171</v>
      </c>
      <c r="C3283" s="97">
        <v>517447</v>
      </c>
      <c r="D3283" s="96" t="s">
        <v>5172</v>
      </c>
      <c r="E3283" s="96" t="s">
        <v>481</v>
      </c>
    </row>
    <row r="3284" spans="2:5" ht="15" customHeight="1" thickBot="1" x14ac:dyDescent="0.35">
      <c r="B3284" s="96" t="s">
        <v>5173</v>
      </c>
      <c r="C3284" s="97">
        <v>517447</v>
      </c>
      <c r="D3284" s="96" t="s">
        <v>5172</v>
      </c>
      <c r="E3284" s="96" t="s">
        <v>481</v>
      </c>
    </row>
    <row r="3285" spans="2:5" ht="15" customHeight="1" thickBot="1" x14ac:dyDescent="0.35">
      <c r="B3285" s="96" t="s">
        <v>5174</v>
      </c>
      <c r="C3285" s="97">
        <v>532735</v>
      </c>
      <c r="D3285" s="96" t="s">
        <v>5175</v>
      </c>
      <c r="E3285" s="96" t="s">
        <v>374</v>
      </c>
    </row>
    <row r="3286" spans="2:5" ht="15" customHeight="1" thickBot="1" x14ac:dyDescent="0.35">
      <c r="B3286" s="96" t="s">
        <v>5176</v>
      </c>
      <c r="C3286" s="97">
        <v>512565</v>
      </c>
      <c r="D3286" s="96" t="s">
        <v>388</v>
      </c>
      <c r="E3286" s="96" t="s">
        <v>586</v>
      </c>
    </row>
    <row r="3287" spans="2:5" ht="15" customHeight="1" thickBot="1" x14ac:dyDescent="0.35">
      <c r="B3287" s="96" t="s">
        <v>5177</v>
      </c>
      <c r="C3287" s="97">
        <v>538119</v>
      </c>
      <c r="D3287" s="96" t="s">
        <v>388</v>
      </c>
      <c r="E3287" s="96" t="s">
        <v>403</v>
      </c>
    </row>
    <row r="3288" spans="2:5" ht="15" customHeight="1" thickBot="1" x14ac:dyDescent="0.35">
      <c r="B3288" s="96" t="s">
        <v>5178</v>
      </c>
      <c r="C3288" s="97">
        <v>524502</v>
      </c>
      <c r="D3288" s="96" t="s">
        <v>388</v>
      </c>
      <c r="E3288" s="96" t="s">
        <v>1554</v>
      </c>
    </row>
    <row r="3289" spans="2:5" ht="15" customHeight="1" thickBot="1" x14ac:dyDescent="0.35">
      <c r="B3289" s="96" t="s">
        <v>5179</v>
      </c>
      <c r="C3289" s="97">
        <v>524502</v>
      </c>
      <c r="D3289" s="96" t="s">
        <v>388</v>
      </c>
      <c r="E3289" s="96" t="s">
        <v>1554</v>
      </c>
    </row>
    <row r="3290" spans="2:5" ht="15" customHeight="1" thickBot="1" x14ac:dyDescent="0.35">
      <c r="B3290" s="96" t="s">
        <v>5180</v>
      </c>
      <c r="C3290" s="97">
        <v>502271</v>
      </c>
      <c r="D3290" s="96" t="s">
        <v>388</v>
      </c>
      <c r="E3290" s="96" t="s">
        <v>573</v>
      </c>
    </row>
    <row r="3291" spans="2:5" ht="15" customHeight="1" thickBot="1" x14ac:dyDescent="0.35">
      <c r="B3291" s="96" t="s">
        <v>5181</v>
      </c>
      <c r="C3291" s="97">
        <v>520073</v>
      </c>
      <c r="D3291" s="96" t="s">
        <v>388</v>
      </c>
      <c r="E3291" s="96" t="s">
        <v>743</v>
      </c>
    </row>
    <row r="3292" spans="2:5" ht="15" customHeight="1" thickBot="1" x14ac:dyDescent="0.35">
      <c r="B3292" s="96" t="s">
        <v>5182</v>
      </c>
      <c r="C3292" s="97">
        <v>590070</v>
      </c>
      <c r="D3292" s="96" t="s">
        <v>5183</v>
      </c>
      <c r="E3292" s="96" t="s">
        <v>391</v>
      </c>
    </row>
    <row r="3293" spans="2:5" ht="15" customHeight="1" thickBot="1" x14ac:dyDescent="0.35">
      <c r="B3293" s="96" t="s">
        <v>5184</v>
      </c>
      <c r="C3293" s="97">
        <v>590070</v>
      </c>
      <c r="D3293" s="96" t="s">
        <v>5183</v>
      </c>
      <c r="E3293" s="96" t="s">
        <v>391</v>
      </c>
    </row>
    <row r="3294" spans="2:5" ht="15" customHeight="1" thickBot="1" x14ac:dyDescent="0.35">
      <c r="B3294" s="96" t="s">
        <v>5185</v>
      </c>
      <c r="C3294" s="97">
        <v>532692</v>
      </c>
      <c r="D3294" s="96" t="s">
        <v>5186</v>
      </c>
      <c r="E3294" s="96" t="s">
        <v>583</v>
      </c>
    </row>
    <row r="3295" spans="2:5" ht="15" customHeight="1" thickBot="1" x14ac:dyDescent="0.35">
      <c r="B3295" s="96" t="s">
        <v>5187</v>
      </c>
      <c r="C3295" s="97">
        <v>539673</v>
      </c>
      <c r="D3295" s="96" t="s">
        <v>388</v>
      </c>
      <c r="E3295" s="96" t="s">
        <v>422</v>
      </c>
    </row>
    <row r="3296" spans="2:5" ht="15" customHeight="1" thickBot="1" x14ac:dyDescent="0.35">
      <c r="B3296" s="96" t="s">
        <v>5188</v>
      </c>
      <c r="C3296" s="97">
        <v>531273</v>
      </c>
      <c r="D3296" s="96" t="s">
        <v>388</v>
      </c>
      <c r="E3296" s="96" t="s">
        <v>474</v>
      </c>
    </row>
    <row r="3297" spans="2:5" ht="15" customHeight="1" thickBot="1" x14ac:dyDescent="0.35">
      <c r="B3297" s="96" t="s">
        <v>5189</v>
      </c>
      <c r="C3297" s="97">
        <v>531273</v>
      </c>
      <c r="D3297" s="96" t="s">
        <v>388</v>
      </c>
      <c r="E3297" s="96" t="s">
        <v>474</v>
      </c>
    </row>
    <row r="3298" spans="2:5" ht="15" customHeight="1" thickBot="1" x14ac:dyDescent="0.35">
      <c r="B3298" s="96" t="s">
        <v>5190</v>
      </c>
      <c r="C3298" s="97">
        <v>539814</v>
      </c>
      <c r="D3298" s="96" t="s">
        <v>388</v>
      </c>
      <c r="E3298" s="96" t="s">
        <v>410</v>
      </c>
    </row>
    <row r="3299" spans="2:5" ht="15" customHeight="1" thickBot="1" x14ac:dyDescent="0.35">
      <c r="B3299" s="96" t="s">
        <v>5191</v>
      </c>
      <c r="C3299" s="97">
        <v>540125</v>
      </c>
      <c r="D3299" s="96" t="s">
        <v>388</v>
      </c>
      <c r="E3299" s="96" t="s">
        <v>502</v>
      </c>
    </row>
    <row r="3300" spans="2:5" ht="15" customHeight="1" thickBot="1" x14ac:dyDescent="0.35">
      <c r="B3300" s="96" t="s">
        <v>5192</v>
      </c>
      <c r="C3300" s="97">
        <v>532497</v>
      </c>
      <c r="D3300" s="96" t="s">
        <v>5193</v>
      </c>
      <c r="E3300" s="96" t="s">
        <v>1020</v>
      </c>
    </row>
    <row r="3301" spans="2:5" ht="15" customHeight="1" thickBot="1" x14ac:dyDescent="0.35">
      <c r="B3301" s="96" t="s">
        <v>5194</v>
      </c>
      <c r="C3301" s="97">
        <v>531412</v>
      </c>
      <c r="D3301" s="96" t="s">
        <v>388</v>
      </c>
      <c r="E3301" s="96" t="s">
        <v>570</v>
      </c>
    </row>
    <row r="3302" spans="2:5" ht="15" customHeight="1" thickBot="1" x14ac:dyDescent="0.35">
      <c r="B3302" s="96" t="s">
        <v>5195</v>
      </c>
      <c r="C3302" s="97">
        <v>531412</v>
      </c>
      <c r="D3302" s="96" t="s">
        <v>388</v>
      </c>
      <c r="E3302" s="96" t="s">
        <v>570</v>
      </c>
    </row>
    <row r="3303" spans="2:5" ht="15" customHeight="1" thickBot="1" x14ac:dyDescent="0.35">
      <c r="B3303" s="96" t="s">
        <v>5196</v>
      </c>
      <c r="C3303" s="97">
        <v>539837</v>
      </c>
      <c r="D3303" s="96" t="s">
        <v>388</v>
      </c>
      <c r="E3303" s="96" t="s">
        <v>573</v>
      </c>
    </row>
    <row r="3304" spans="2:5" ht="15" customHeight="1" thickBot="1" x14ac:dyDescent="0.35">
      <c r="B3304" s="96" t="s">
        <v>5197</v>
      </c>
      <c r="C3304" s="97">
        <v>526813</v>
      </c>
      <c r="D3304" s="96" t="s">
        <v>388</v>
      </c>
      <c r="E3304" s="96" t="s">
        <v>2558</v>
      </c>
    </row>
    <row r="3305" spans="2:5" ht="15" customHeight="1" thickBot="1" x14ac:dyDescent="0.35">
      <c r="B3305" s="96" t="s">
        <v>5198</v>
      </c>
      <c r="C3305" s="97">
        <v>531552</v>
      </c>
      <c r="D3305" s="96" t="s">
        <v>388</v>
      </c>
      <c r="E3305" s="96" t="s">
        <v>474</v>
      </c>
    </row>
    <row r="3306" spans="2:5" ht="15" customHeight="1" thickBot="1" x14ac:dyDescent="0.35">
      <c r="B3306" s="96" t="s">
        <v>5199</v>
      </c>
      <c r="C3306" s="97">
        <v>538921</v>
      </c>
      <c r="D3306" s="96" t="s">
        <v>388</v>
      </c>
      <c r="E3306" s="96" t="s">
        <v>586</v>
      </c>
    </row>
    <row r="3307" spans="2:5" ht="15" customHeight="1" thickBot="1" x14ac:dyDescent="0.35">
      <c r="B3307" s="96" t="s">
        <v>5200</v>
      </c>
      <c r="C3307" s="97">
        <v>514316</v>
      </c>
      <c r="D3307" s="96" t="s">
        <v>388</v>
      </c>
      <c r="E3307" s="96" t="s">
        <v>403</v>
      </c>
    </row>
    <row r="3308" spans="2:5" ht="15" customHeight="1" thickBot="1" x14ac:dyDescent="0.35">
      <c r="B3308" s="96" t="s">
        <v>5201</v>
      </c>
      <c r="C3308" s="97">
        <v>531887</v>
      </c>
      <c r="D3308" s="96" t="s">
        <v>388</v>
      </c>
      <c r="E3308" s="96" t="s">
        <v>502</v>
      </c>
    </row>
    <row r="3309" spans="2:5" ht="15" customHeight="1" thickBot="1" x14ac:dyDescent="0.35">
      <c r="B3309" s="96" t="s">
        <v>5202</v>
      </c>
      <c r="C3309" s="97">
        <v>540270</v>
      </c>
      <c r="D3309" s="96" t="s">
        <v>388</v>
      </c>
      <c r="E3309" s="96" t="s">
        <v>410</v>
      </c>
    </row>
    <row r="3310" spans="2:5" ht="15" customHeight="1" thickBot="1" x14ac:dyDescent="0.35">
      <c r="B3310" s="96" t="s">
        <v>5203</v>
      </c>
      <c r="C3310" s="97">
        <v>542649</v>
      </c>
      <c r="D3310" s="96" t="s">
        <v>5204</v>
      </c>
      <c r="E3310" s="96" t="s">
        <v>5205</v>
      </c>
    </row>
    <row r="3311" spans="2:5" ht="15" customHeight="1" thickBot="1" x14ac:dyDescent="0.35">
      <c r="B3311" s="96" t="s">
        <v>5206</v>
      </c>
      <c r="C3311" s="97">
        <v>500339</v>
      </c>
      <c r="D3311" s="96" t="s">
        <v>5207</v>
      </c>
      <c r="E3311" s="96" t="s">
        <v>602</v>
      </c>
    </row>
    <row r="3312" spans="2:5" ht="15" customHeight="1" thickBot="1" x14ac:dyDescent="0.35">
      <c r="B3312" s="96" t="s">
        <v>5208</v>
      </c>
      <c r="C3312" s="97">
        <v>532441</v>
      </c>
      <c r="D3312" s="96" t="s">
        <v>388</v>
      </c>
      <c r="E3312" s="96" t="s">
        <v>403</v>
      </c>
    </row>
    <row r="3313" spans="2:5" ht="15" customHeight="1" thickBot="1" x14ac:dyDescent="0.35">
      <c r="B3313" s="96" t="s">
        <v>5209</v>
      </c>
      <c r="C3313" s="97">
        <v>531694</v>
      </c>
      <c r="D3313" s="96" t="s">
        <v>388</v>
      </c>
      <c r="E3313" s="96" t="s">
        <v>474</v>
      </c>
    </row>
    <row r="3314" spans="2:5" ht="15" customHeight="1" thickBot="1" x14ac:dyDescent="0.35">
      <c r="B3314" s="96" t="s">
        <v>5210</v>
      </c>
      <c r="C3314" s="97">
        <v>523523</v>
      </c>
      <c r="D3314" s="96" t="s">
        <v>5211</v>
      </c>
      <c r="E3314" s="96" t="s">
        <v>382</v>
      </c>
    </row>
    <row r="3315" spans="2:5" ht="15" customHeight="1" thickBot="1" x14ac:dyDescent="0.35">
      <c r="B3315" s="96" t="s">
        <v>5212</v>
      </c>
      <c r="C3315" s="97">
        <v>530111</v>
      </c>
      <c r="D3315" s="96" t="s">
        <v>388</v>
      </c>
      <c r="E3315" s="96" t="s">
        <v>583</v>
      </c>
    </row>
    <row r="3316" spans="2:5" ht="15" customHeight="1" thickBot="1" x14ac:dyDescent="0.35">
      <c r="B3316" s="96" t="s">
        <v>5213</v>
      </c>
      <c r="C3316" s="97">
        <v>530699</v>
      </c>
      <c r="D3316" s="96" t="s">
        <v>5214</v>
      </c>
      <c r="E3316" s="96" t="s">
        <v>403</v>
      </c>
    </row>
    <row r="3317" spans="2:5" ht="15" customHeight="1" thickBot="1" x14ac:dyDescent="0.35">
      <c r="B3317" s="96" t="s">
        <v>5215</v>
      </c>
      <c r="C3317" s="97">
        <v>532826</v>
      </c>
      <c r="D3317" s="96" t="s">
        <v>5216</v>
      </c>
      <c r="E3317" s="96" t="s">
        <v>1126</v>
      </c>
    </row>
    <row r="3318" spans="2:5" ht="15" customHeight="1" thickBot="1" x14ac:dyDescent="0.35">
      <c r="B3318" s="96" t="s">
        <v>5217</v>
      </c>
      <c r="C3318" s="97">
        <v>503127</v>
      </c>
      <c r="D3318" s="96" t="s">
        <v>388</v>
      </c>
      <c r="E3318" s="96" t="s">
        <v>377</v>
      </c>
    </row>
    <row r="3319" spans="2:5" ht="15" customHeight="1" thickBot="1" x14ac:dyDescent="0.35">
      <c r="B3319" s="96" t="s">
        <v>5218</v>
      </c>
      <c r="C3319" s="97">
        <v>532503</v>
      </c>
      <c r="D3319" s="96" t="s">
        <v>388</v>
      </c>
      <c r="E3319" s="96" t="s">
        <v>403</v>
      </c>
    </row>
    <row r="3320" spans="2:5" ht="15" customHeight="1" thickBot="1" x14ac:dyDescent="0.35">
      <c r="B3320" s="96" t="s">
        <v>5219</v>
      </c>
      <c r="C3320" s="97">
        <v>538707</v>
      </c>
      <c r="D3320" s="96" t="s">
        <v>388</v>
      </c>
      <c r="E3320" s="96" t="s">
        <v>583</v>
      </c>
    </row>
    <row r="3321" spans="2:5" ht="15" customHeight="1" thickBot="1" x14ac:dyDescent="0.35">
      <c r="B3321" s="96" t="s">
        <v>5220</v>
      </c>
      <c r="C3321" s="97">
        <v>526873</v>
      </c>
      <c r="D3321" s="96" t="s">
        <v>388</v>
      </c>
      <c r="E3321" s="96" t="s">
        <v>598</v>
      </c>
    </row>
    <row r="3322" spans="2:5" ht="15" customHeight="1" thickBot="1" x14ac:dyDescent="0.35">
      <c r="B3322" s="96" t="s">
        <v>5221</v>
      </c>
      <c r="C3322" s="97">
        <v>530253</v>
      </c>
      <c r="D3322" s="96" t="s">
        <v>388</v>
      </c>
      <c r="E3322" s="96" t="s">
        <v>711</v>
      </c>
    </row>
    <row r="3323" spans="2:5" ht="15" customHeight="1" thickBot="1" x14ac:dyDescent="0.35">
      <c r="B3323" s="96" t="s">
        <v>5222</v>
      </c>
      <c r="C3323" s="97">
        <v>507962</v>
      </c>
      <c r="D3323" s="96" t="s">
        <v>388</v>
      </c>
      <c r="E3323" s="96" t="s">
        <v>405</v>
      </c>
    </row>
    <row r="3324" spans="2:5" ht="15" customHeight="1" thickBot="1" x14ac:dyDescent="0.35">
      <c r="B3324" s="96" t="s">
        <v>5223</v>
      </c>
      <c r="C3324" s="97">
        <v>526662</v>
      </c>
      <c r="D3324" s="96" t="s">
        <v>5224</v>
      </c>
      <c r="E3324" s="96" t="s">
        <v>786</v>
      </c>
    </row>
    <row r="3325" spans="2:5" ht="15" customHeight="1" thickBot="1" x14ac:dyDescent="0.35">
      <c r="B3325" s="96" t="s">
        <v>5225</v>
      </c>
      <c r="C3325" s="97">
        <v>531500</v>
      </c>
      <c r="D3325" s="96" t="s">
        <v>5226</v>
      </c>
      <c r="E3325" s="96" t="s">
        <v>502</v>
      </c>
    </row>
    <row r="3326" spans="2:5" ht="15" customHeight="1" thickBot="1" x14ac:dyDescent="0.35">
      <c r="B3326" s="96" t="s">
        <v>5227</v>
      </c>
      <c r="C3326" s="97">
        <v>526823</v>
      </c>
      <c r="D3326" s="96" t="s">
        <v>388</v>
      </c>
      <c r="E3326" s="96" t="s">
        <v>474</v>
      </c>
    </row>
    <row r="3327" spans="2:5" ht="15" customHeight="1" thickBot="1" x14ac:dyDescent="0.35">
      <c r="B3327" s="96" t="s">
        <v>5228</v>
      </c>
      <c r="C3327" s="97">
        <v>514028</v>
      </c>
      <c r="D3327" s="96" t="s">
        <v>388</v>
      </c>
      <c r="E3327" s="96" t="s">
        <v>403</v>
      </c>
    </row>
    <row r="3328" spans="2:5" ht="15" customHeight="1" thickBot="1" x14ac:dyDescent="0.35">
      <c r="B3328" s="96" t="s">
        <v>5229</v>
      </c>
      <c r="C3328" s="97">
        <v>539495</v>
      </c>
      <c r="D3328" s="96" t="s">
        <v>388</v>
      </c>
      <c r="E3328" s="96" t="s">
        <v>405</v>
      </c>
    </row>
    <row r="3329" spans="2:5" ht="15" customHeight="1" thickBot="1" x14ac:dyDescent="0.35">
      <c r="B3329" s="96" t="s">
        <v>5230</v>
      </c>
      <c r="C3329" s="97">
        <v>513369</v>
      </c>
      <c r="D3329" s="96" t="s">
        <v>388</v>
      </c>
      <c r="E3329" s="96" t="s">
        <v>1307</v>
      </c>
    </row>
    <row r="3330" spans="2:5" ht="15" customHeight="1" thickBot="1" x14ac:dyDescent="0.35">
      <c r="B3330" s="96" t="s">
        <v>5231</v>
      </c>
      <c r="C3330" s="96" t="s">
        <v>388</v>
      </c>
      <c r="D3330" s="96" t="s">
        <v>5232</v>
      </c>
      <c r="E3330" s="96" t="s">
        <v>399</v>
      </c>
    </row>
    <row r="3331" spans="2:5" ht="15" customHeight="1" thickBot="1" x14ac:dyDescent="0.35">
      <c r="B3331" s="96" t="s">
        <v>5233</v>
      </c>
      <c r="C3331" s="97">
        <v>541601</v>
      </c>
      <c r="D3331" s="96" t="s">
        <v>388</v>
      </c>
      <c r="E3331" s="96" t="s">
        <v>426</v>
      </c>
    </row>
    <row r="3332" spans="2:5" ht="15" customHeight="1" thickBot="1" x14ac:dyDescent="0.35">
      <c r="B3332" s="96" t="s">
        <v>5234</v>
      </c>
      <c r="C3332" s="97">
        <v>522257</v>
      </c>
      <c r="D3332" s="96" t="s">
        <v>388</v>
      </c>
      <c r="E3332" s="96" t="s">
        <v>396</v>
      </c>
    </row>
    <row r="3333" spans="2:5" ht="15" customHeight="1" thickBot="1" x14ac:dyDescent="0.35">
      <c r="B3333" s="96" t="s">
        <v>5235</v>
      </c>
      <c r="C3333" s="97">
        <v>517522</v>
      </c>
      <c r="D3333" s="96" t="s">
        <v>388</v>
      </c>
      <c r="E3333" s="96" t="s">
        <v>743</v>
      </c>
    </row>
    <row r="3334" spans="2:5" ht="15" customHeight="1" thickBot="1" x14ac:dyDescent="0.35">
      <c r="B3334" s="96" t="s">
        <v>5236</v>
      </c>
      <c r="C3334" s="97">
        <v>512409</v>
      </c>
      <c r="D3334" s="96" t="s">
        <v>388</v>
      </c>
      <c r="E3334" s="96" t="s">
        <v>405</v>
      </c>
    </row>
    <row r="3335" spans="2:5" ht="15" customHeight="1" thickBot="1" x14ac:dyDescent="0.35">
      <c r="B3335" s="96" t="s">
        <v>5237</v>
      </c>
      <c r="C3335" s="96" t="s">
        <v>388</v>
      </c>
      <c r="D3335" s="96" t="s">
        <v>5238</v>
      </c>
      <c r="E3335" s="96" t="s">
        <v>399</v>
      </c>
    </row>
    <row r="3336" spans="2:5" ht="15" customHeight="1" thickBot="1" x14ac:dyDescent="0.35">
      <c r="B3336" s="96" t="s">
        <v>5239</v>
      </c>
      <c r="C3336" s="97">
        <v>500354</v>
      </c>
      <c r="D3336" s="96" t="s">
        <v>5240</v>
      </c>
      <c r="E3336" s="96" t="s">
        <v>1087</v>
      </c>
    </row>
    <row r="3337" spans="2:5" ht="15" customHeight="1" thickBot="1" x14ac:dyDescent="0.35">
      <c r="B3337" s="96" t="s">
        <v>5241</v>
      </c>
      <c r="C3337" s="97">
        <v>532665</v>
      </c>
      <c r="D3337" s="96" t="s">
        <v>5242</v>
      </c>
      <c r="E3337" s="96" t="s">
        <v>403</v>
      </c>
    </row>
    <row r="3338" spans="2:5" ht="15" customHeight="1" thickBot="1" x14ac:dyDescent="0.35">
      <c r="B3338" s="96" t="s">
        <v>5243</v>
      </c>
      <c r="C3338" s="97">
        <v>500355</v>
      </c>
      <c r="D3338" s="96" t="s">
        <v>5244</v>
      </c>
      <c r="E3338" s="96" t="s">
        <v>532</v>
      </c>
    </row>
    <row r="3339" spans="2:5" ht="15" customHeight="1" thickBot="1" x14ac:dyDescent="0.35">
      <c r="B3339" s="96" t="s">
        <v>5245</v>
      </c>
      <c r="C3339" s="97">
        <v>500355</v>
      </c>
      <c r="D3339" s="96" t="s">
        <v>5244</v>
      </c>
      <c r="E3339" s="96" t="s">
        <v>532</v>
      </c>
    </row>
    <row r="3340" spans="2:5" ht="15" customHeight="1" thickBot="1" x14ac:dyDescent="0.35">
      <c r="B3340" s="96" t="s">
        <v>5246</v>
      </c>
      <c r="C3340" s="97">
        <v>534734</v>
      </c>
      <c r="D3340" s="96" t="s">
        <v>388</v>
      </c>
      <c r="E3340" s="96" t="s">
        <v>548</v>
      </c>
    </row>
    <row r="3341" spans="2:5" ht="15" customHeight="1" thickBot="1" x14ac:dyDescent="0.35">
      <c r="B3341" s="96" t="s">
        <v>5247</v>
      </c>
      <c r="C3341" s="97">
        <v>522281</v>
      </c>
      <c r="D3341" s="96" t="s">
        <v>388</v>
      </c>
      <c r="E3341" s="96" t="s">
        <v>686</v>
      </c>
    </row>
    <row r="3342" spans="2:5" ht="15" customHeight="1" thickBot="1" x14ac:dyDescent="0.35">
      <c r="B3342" s="96" t="s">
        <v>5248</v>
      </c>
      <c r="C3342" s="97">
        <v>500357</v>
      </c>
      <c r="D3342" s="96" t="s">
        <v>388</v>
      </c>
      <c r="E3342" s="96" t="s">
        <v>382</v>
      </c>
    </row>
    <row r="3343" spans="2:5" ht="15" customHeight="1" thickBot="1" x14ac:dyDescent="0.35">
      <c r="B3343" s="96" t="s">
        <v>5249</v>
      </c>
      <c r="C3343" s="97">
        <v>500358</v>
      </c>
      <c r="D3343" s="96" t="s">
        <v>388</v>
      </c>
      <c r="E3343" s="96" t="s">
        <v>405</v>
      </c>
    </row>
    <row r="3344" spans="2:5" ht="15" customHeight="1" thickBot="1" x14ac:dyDescent="0.35">
      <c r="B3344" s="96" t="s">
        <v>5250</v>
      </c>
      <c r="C3344" s="97">
        <v>524037</v>
      </c>
      <c r="D3344" s="96" t="s">
        <v>388</v>
      </c>
      <c r="E3344" s="96" t="s">
        <v>896</v>
      </c>
    </row>
    <row r="3345" spans="2:5" ht="15" customHeight="1" thickBot="1" x14ac:dyDescent="0.35">
      <c r="B3345" s="96" t="s">
        <v>5251</v>
      </c>
      <c r="C3345" s="97">
        <v>502587</v>
      </c>
      <c r="D3345" s="96" t="s">
        <v>388</v>
      </c>
      <c r="E3345" s="96" t="s">
        <v>382</v>
      </c>
    </row>
    <row r="3346" spans="2:5" ht="15" customHeight="1" thickBot="1" x14ac:dyDescent="0.35">
      <c r="B3346" s="96" t="s">
        <v>5252</v>
      </c>
      <c r="C3346" s="97">
        <v>539309</v>
      </c>
      <c r="D3346" s="96" t="s">
        <v>5253</v>
      </c>
      <c r="E3346" s="96" t="s">
        <v>711</v>
      </c>
    </row>
    <row r="3347" spans="2:5" ht="15" customHeight="1" thickBot="1" x14ac:dyDescent="0.35">
      <c r="B3347" s="96" t="s">
        <v>5254</v>
      </c>
      <c r="C3347" s="97">
        <v>523289</v>
      </c>
      <c r="D3347" s="96" t="s">
        <v>388</v>
      </c>
      <c r="E3347" s="96" t="s">
        <v>410</v>
      </c>
    </row>
    <row r="3348" spans="2:5" ht="15" customHeight="1" thickBot="1" x14ac:dyDescent="0.35">
      <c r="B3348" s="96" t="s">
        <v>5255</v>
      </c>
      <c r="C3348" s="97">
        <v>515127</v>
      </c>
      <c r="D3348" s="96" t="s">
        <v>388</v>
      </c>
      <c r="E3348" s="96" t="s">
        <v>410</v>
      </c>
    </row>
    <row r="3349" spans="2:5" ht="15" customHeight="1" thickBot="1" x14ac:dyDescent="0.35">
      <c r="B3349" s="96" t="s">
        <v>5256</v>
      </c>
      <c r="C3349" s="97">
        <v>538540</v>
      </c>
      <c r="D3349" s="96" t="s">
        <v>388</v>
      </c>
      <c r="E3349" s="96" t="s">
        <v>405</v>
      </c>
    </row>
    <row r="3350" spans="2:5" ht="15" customHeight="1" thickBot="1" x14ac:dyDescent="0.35">
      <c r="B3350" s="96" t="s">
        <v>5257</v>
      </c>
      <c r="C3350" s="97">
        <v>532369</v>
      </c>
      <c r="D3350" s="96" t="s">
        <v>5258</v>
      </c>
      <c r="E3350" s="96" t="s">
        <v>916</v>
      </c>
    </row>
    <row r="3351" spans="2:5" ht="15" customHeight="1" thickBot="1" x14ac:dyDescent="0.35">
      <c r="B3351" s="96" t="s">
        <v>5259</v>
      </c>
      <c r="C3351" s="97">
        <v>532370</v>
      </c>
      <c r="D3351" s="96" t="s">
        <v>5260</v>
      </c>
      <c r="E3351" s="96" t="s">
        <v>374</v>
      </c>
    </row>
    <row r="3352" spans="2:5" ht="15" customHeight="1" thickBot="1" x14ac:dyDescent="0.35">
      <c r="B3352" s="96" t="s">
        <v>5261</v>
      </c>
      <c r="C3352" s="97">
        <v>514223</v>
      </c>
      <c r="D3352" s="96" t="s">
        <v>5262</v>
      </c>
      <c r="E3352" s="96" t="s">
        <v>410</v>
      </c>
    </row>
    <row r="3353" spans="2:5" ht="15" customHeight="1" thickBot="1" x14ac:dyDescent="0.35">
      <c r="B3353" s="96" t="s">
        <v>5263</v>
      </c>
      <c r="C3353" s="97">
        <v>530951</v>
      </c>
      <c r="D3353" s="96" t="s">
        <v>388</v>
      </c>
      <c r="E3353" s="96" t="s">
        <v>481</v>
      </c>
    </row>
    <row r="3354" spans="2:5" ht="15" customHeight="1" thickBot="1" x14ac:dyDescent="0.35">
      <c r="B3354" s="96" t="s">
        <v>5264</v>
      </c>
      <c r="C3354" s="97">
        <v>532527</v>
      </c>
      <c r="D3354" s="96" t="s">
        <v>5265</v>
      </c>
      <c r="E3354" s="96" t="s">
        <v>1307</v>
      </c>
    </row>
    <row r="3355" spans="2:5" ht="15" customHeight="1" thickBot="1" x14ac:dyDescent="0.35">
      <c r="B3355" s="96" t="s">
        <v>5266</v>
      </c>
      <c r="C3355" s="97">
        <v>533262</v>
      </c>
      <c r="D3355" s="96" t="s">
        <v>5267</v>
      </c>
      <c r="E3355" s="96" t="s">
        <v>786</v>
      </c>
    </row>
    <row r="3356" spans="2:5" ht="15" customHeight="1" thickBot="1" x14ac:dyDescent="0.35">
      <c r="B3356" s="96" t="s">
        <v>5268</v>
      </c>
      <c r="C3356" s="97">
        <v>532690</v>
      </c>
      <c r="D3356" s="96" t="s">
        <v>5269</v>
      </c>
      <c r="E3356" s="96" t="s">
        <v>420</v>
      </c>
    </row>
    <row r="3357" spans="2:5" ht="15" customHeight="1" thickBot="1" x14ac:dyDescent="0.35">
      <c r="B3357" s="96" t="s">
        <v>5270</v>
      </c>
      <c r="C3357" s="97">
        <v>530925</v>
      </c>
      <c r="D3357" s="96" t="s">
        <v>388</v>
      </c>
      <c r="E3357" s="96" t="s">
        <v>405</v>
      </c>
    </row>
    <row r="3358" spans="2:5" ht="15" customHeight="1" thickBot="1" x14ac:dyDescent="0.35">
      <c r="B3358" s="96" t="s">
        <v>5271</v>
      </c>
      <c r="C3358" s="97">
        <v>507490</v>
      </c>
      <c r="D3358" s="96" t="s">
        <v>5272</v>
      </c>
      <c r="E3358" s="96" t="s">
        <v>1087</v>
      </c>
    </row>
    <row r="3359" spans="2:5" ht="15" customHeight="1" thickBot="1" x14ac:dyDescent="0.35">
      <c r="B3359" s="96" t="s">
        <v>5273</v>
      </c>
      <c r="C3359" s="97">
        <v>531228</v>
      </c>
      <c r="D3359" s="96" t="s">
        <v>388</v>
      </c>
      <c r="E3359" s="96" t="s">
        <v>405</v>
      </c>
    </row>
    <row r="3360" spans="2:5" ht="15" customHeight="1" thickBot="1" x14ac:dyDescent="0.35">
      <c r="B3360" s="96" t="s">
        <v>5274</v>
      </c>
      <c r="C3360" s="97">
        <v>532987</v>
      </c>
      <c r="D3360" s="96" t="s">
        <v>5275</v>
      </c>
      <c r="E3360" s="96" t="s">
        <v>743</v>
      </c>
    </row>
    <row r="3361" spans="2:5" ht="15" customHeight="1" thickBot="1" x14ac:dyDescent="0.35">
      <c r="B3361" s="96" t="s">
        <v>5276</v>
      </c>
      <c r="C3361" s="97">
        <v>532988</v>
      </c>
      <c r="D3361" s="96" t="s">
        <v>5277</v>
      </c>
      <c r="E3361" s="96" t="s">
        <v>743</v>
      </c>
    </row>
    <row r="3362" spans="2:5" ht="15" customHeight="1" thickBot="1" x14ac:dyDescent="0.35">
      <c r="B3362" s="96" t="s">
        <v>5278</v>
      </c>
      <c r="C3362" s="97">
        <v>505800</v>
      </c>
      <c r="D3362" s="96" t="s">
        <v>5279</v>
      </c>
      <c r="E3362" s="96" t="s">
        <v>743</v>
      </c>
    </row>
    <row r="3363" spans="2:5" ht="15" customHeight="1" thickBot="1" x14ac:dyDescent="0.35">
      <c r="B3363" s="96" t="s">
        <v>5280</v>
      </c>
      <c r="C3363" s="97">
        <v>532661</v>
      </c>
      <c r="D3363" s="96" t="s">
        <v>5281</v>
      </c>
      <c r="E3363" s="96" t="s">
        <v>743</v>
      </c>
    </row>
    <row r="3364" spans="2:5" ht="15" customHeight="1" thickBot="1" x14ac:dyDescent="0.35">
      <c r="B3364" s="96" t="s">
        <v>5282</v>
      </c>
      <c r="C3364" s="97">
        <v>541945</v>
      </c>
      <c r="D3364" s="96" t="s">
        <v>388</v>
      </c>
      <c r="E3364" s="96" t="s">
        <v>786</v>
      </c>
    </row>
    <row r="3365" spans="2:5" ht="15" customHeight="1" thickBot="1" x14ac:dyDescent="0.35">
      <c r="B3365" s="96" t="s">
        <v>5283</v>
      </c>
      <c r="C3365" s="97">
        <v>531583</v>
      </c>
      <c r="D3365" s="96" t="s">
        <v>388</v>
      </c>
      <c r="E3365" s="96" t="s">
        <v>405</v>
      </c>
    </row>
    <row r="3366" spans="2:5" ht="15" customHeight="1" thickBot="1" x14ac:dyDescent="0.35">
      <c r="B3366" s="96" t="s">
        <v>5284</v>
      </c>
      <c r="C3366" s="97">
        <v>500360</v>
      </c>
      <c r="D3366" s="96" t="s">
        <v>388</v>
      </c>
      <c r="E3366" s="96" t="s">
        <v>396</v>
      </c>
    </row>
    <row r="3367" spans="2:5" ht="15" customHeight="1" thickBot="1" x14ac:dyDescent="0.35">
      <c r="B3367" s="96" t="s">
        <v>5285</v>
      </c>
      <c r="C3367" s="97">
        <v>501351</v>
      </c>
      <c r="D3367" s="96" t="s">
        <v>388</v>
      </c>
      <c r="E3367" s="96" t="s">
        <v>809</v>
      </c>
    </row>
    <row r="3368" spans="2:5" ht="15" customHeight="1" thickBot="1" x14ac:dyDescent="0.35">
      <c r="B3368" s="96" t="s">
        <v>5286</v>
      </c>
      <c r="C3368" s="97">
        <v>507966</v>
      </c>
      <c r="D3368" s="96" t="s">
        <v>388</v>
      </c>
      <c r="E3368" s="96" t="s">
        <v>589</v>
      </c>
    </row>
    <row r="3369" spans="2:5" ht="15" customHeight="1" thickBot="1" x14ac:dyDescent="0.35">
      <c r="B3369" s="96" t="s">
        <v>5287</v>
      </c>
      <c r="C3369" s="97">
        <v>522207</v>
      </c>
      <c r="D3369" s="96" t="s">
        <v>388</v>
      </c>
      <c r="E3369" s="96" t="s">
        <v>743</v>
      </c>
    </row>
    <row r="3370" spans="2:5" ht="15" customHeight="1" thickBot="1" x14ac:dyDescent="0.35">
      <c r="B3370" s="96" t="s">
        <v>5288</v>
      </c>
      <c r="C3370" s="97">
        <v>522207</v>
      </c>
      <c r="D3370" s="96" t="s">
        <v>388</v>
      </c>
      <c r="E3370" s="96" t="s">
        <v>743</v>
      </c>
    </row>
    <row r="3371" spans="2:5" ht="15" customHeight="1" thickBot="1" x14ac:dyDescent="0.35">
      <c r="B3371" s="96" t="s">
        <v>5289</v>
      </c>
      <c r="C3371" s="97">
        <v>524230</v>
      </c>
      <c r="D3371" s="96" t="s">
        <v>5290</v>
      </c>
      <c r="E3371" s="96" t="s">
        <v>896</v>
      </c>
    </row>
    <row r="3372" spans="2:5" ht="15" customHeight="1" thickBot="1" x14ac:dyDescent="0.35">
      <c r="B3372" s="96" t="s">
        <v>5291</v>
      </c>
      <c r="C3372" s="97">
        <v>531233</v>
      </c>
      <c r="D3372" s="96" t="s">
        <v>388</v>
      </c>
      <c r="E3372" s="96" t="s">
        <v>573</v>
      </c>
    </row>
    <row r="3373" spans="2:5" ht="15" customHeight="1" thickBot="1" x14ac:dyDescent="0.35">
      <c r="B3373" s="96" t="s">
        <v>5292</v>
      </c>
      <c r="C3373" s="97">
        <v>507649</v>
      </c>
      <c r="D3373" s="96" t="s">
        <v>388</v>
      </c>
      <c r="E3373" s="96" t="s">
        <v>637</v>
      </c>
    </row>
    <row r="3374" spans="2:5" ht="15" customHeight="1" thickBot="1" x14ac:dyDescent="0.35">
      <c r="B3374" s="96" t="s">
        <v>5293</v>
      </c>
      <c r="C3374" s="97">
        <v>532918</v>
      </c>
      <c r="D3374" s="96" t="s">
        <v>388</v>
      </c>
      <c r="E3374" s="96" t="s">
        <v>711</v>
      </c>
    </row>
    <row r="3375" spans="2:5" ht="15" customHeight="1" thickBot="1" x14ac:dyDescent="0.35">
      <c r="B3375" s="96" t="s">
        <v>5294</v>
      </c>
      <c r="C3375" s="97">
        <v>524610</v>
      </c>
      <c r="D3375" s="96" t="s">
        <v>388</v>
      </c>
      <c r="E3375" s="96" t="s">
        <v>548</v>
      </c>
    </row>
    <row r="3376" spans="2:5" ht="15" customHeight="1" thickBot="1" x14ac:dyDescent="0.35">
      <c r="B3376" s="96" t="s">
        <v>5295</v>
      </c>
      <c r="C3376" s="97">
        <v>540796</v>
      </c>
      <c r="D3376" s="96" t="s">
        <v>388</v>
      </c>
      <c r="E3376" s="96" t="s">
        <v>474</v>
      </c>
    </row>
    <row r="3377" spans="2:5" ht="15" customHeight="1" thickBot="1" x14ac:dyDescent="0.35">
      <c r="B3377" s="96" t="s">
        <v>5296</v>
      </c>
      <c r="C3377" s="97">
        <v>520111</v>
      </c>
      <c r="D3377" s="96" t="s">
        <v>5297</v>
      </c>
      <c r="E3377" s="96" t="s">
        <v>786</v>
      </c>
    </row>
    <row r="3378" spans="2:5" ht="15" customHeight="1" thickBot="1" x14ac:dyDescent="0.35">
      <c r="B3378" s="96" t="s">
        <v>5298</v>
      </c>
      <c r="C3378" s="97">
        <v>534597</v>
      </c>
      <c r="D3378" s="96" t="s">
        <v>5299</v>
      </c>
      <c r="E3378" s="96" t="s">
        <v>527</v>
      </c>
    </row>
    <row r="3379" spans="2:5" ht="15" customHeight="1" thickBot="1" x14ac:dyDescent="0.35">
      <c r="B3379" s="96" t="s">
        <v>5300</v>
      </c>
      <c r="C3379" s="97">
        <v>533122</v>
      </c>
      <c r="D3379" s="96" t="s">
        <v>5301</v>
      </c>
      <c r="E3379" s="96" t="s">
        <v>527</v>
      </c>
    </row>
    <row r="3380" spans="2:5" ht="15" customHeight="1" thickBot="1" x14ac:dyDescent="0.35">
      <c r="B3380" s="96" t="s">
        <v>5302</v>
      </c>
      <c r="C3380" s="97">
        <v>537840</v>
      </c>
      <c r="D3380" s="96" t="s">
        <v>388</v>
      </c>
      <c r="E3380" s="96" t="s">
        <v>786</v>
      </c>
    </row>
    <row r="3381" spans="2:5" ht="15" customHeight="1" thickBot="1" x14ac:dyDescent="0.35">
      <c r="B3381" s="96" t="s">
        <v>5303</v>
      </c>
      <c r="C3381" s="97">
        <v>507300</v>
      </c>
      <c r="D3381" s="96" t="s">
        <v>388</v>
      </c>
      <c r="E3381" s="96" t="s">
        <v>1087</v>
      </c>
    </row>
    <row r="3382" spans="2:5" ht="15" customHeight="1" thickBot="1" x14ac:dyDescent="0.35">
      <c r="B3382" s="96" t="s">
        <v>5304</v>
      </c>
      <c r="C3382" s="97">
        <v>533294</v>
      </c>
      <c r="D3382" s="96" t="s">
        <v>5305</v>
      </c>
      <c r="E3382" s="96" t="s">
        <v>1020</v>
      </c>
    </row>
    <row r="3383" spans="2:5" ht="15" customHeight="1" thickBot="1" x14ac:dyDescent="0.35">
      <c r="B3383" s="96" t="s">
        <v>5306</v>
      </c>
      <c r="C3383" s="97">
        <v>526095</v>
      </c>
      <c r="D3383" s="96" t="s">
        <v>388</v>
      </c>
      <c r="E3383" s="96" t="s">
        <v>916</v>
      </c>
    </row>
    <row r="3384" spans="2:5" ht="15" customHeight="1" thickBot="1" x14ac:dyDescent="0.35">
      <c r="B3384" s="96" t="s">
        <v>5307</v>
      </c>
      <c r="C3384" s="97">
        <v>504341</v>
      </c>
      <c r="D3384" s="96" t="s">
        <v>388</v>
      </c>
      <c r="E3384" s="96" t="s">
        <v>371</v>
      </c>
    </row>
    <row r="3385" spans="2:5" ht="15" customHeight="1" thickBot="1" x14ac:dyDescent="0.35">
      <c r="B3385" s="96" t="s">
        <v>5308</v>
      </c>
      <c r="C3385" s="97">
        <v>541634</v>
      </c>
      <c r="D3385" s="96" t="s">
        <v>388</v>
      </c>
      <c r="E3385" s="96" t="s">
        <v>916</v>
      </c>
    </row>
    <row r="3386" spans="2:5" ht="15" customHeight="1" thickBot="1" x14ac:dyDescent="0.35">
      <c r="B3386" s="96" t="s">
        <v>5309</v>
      </c>
      <c r="C3386" s="97">
        <v>531207</v>
      </c>
      <c r="D3386" s="96" t="s">
        <v>388</v>
      </c>
      <c r="E3386" s="96" t="s">
        <v>426</v>
      </c>
    </row>
    <row r="3387" spans="2:5" ht="15" customHeight="1" thickBot="1" x14ac:dyDescent="0.35">
      <c r="B3387" s="96" t="s">
        <v>5310</v>
      </c>
      <c r="C3387" s="97">
        <v>500330</v>
      </c>
      <c r="D3387" s="96" t="s">
        <v>5311</v>
      </c>
      <c r="E3387" s="96" t="s">
        <v>403</v>
      </c>
    </row>
    <row r="3388" spans="2:5" ht="15" customHeight="1" thickBot="1" x14ac:dyDescent="0.35">
      <c r="B3388" s="96" t="s">
        <v>5312</v>
      </c>
      <c r="C3388" s="97">
        <v>540065</v>
      </c>
      <c r="D3388" s="96" t="s">
        <v>5313</v>
      </c>
      <c r="E3388" s="96" t="s">
        <v>706</v>
      </c>
    </row>
    <row r="3389" spans="2:5" ht="15" customHeight="1" thickBot="1" x14ac:dyDescent="0.35">
      <c r="B3389" s="96" t="s">
        <v>5314</v>
      </c>
      <c r="C3389" s="97">
        <v>531825</v>
      </c>
      <c r="D3389" s="96" t="s">
        <v>388</v>
      </c>
      <c r="E3389" s="96" t="s">
        <v>374</v>
      </c>
    </row>
    <row r="3390" spans="2:5" ht="15" customHeight="1" thickBot="1" x14ac:dyDescent="0.35">
      <c r="B3390" s="96" t="s">
        <v>5315</v>
      </c>
      <c r="C3390" s="97">
        <v>537254</v>
      </c>
      <c r="D3390" s="96" t="s">
        <v>388</v>
      </c>
      <c r="E3390" s="96" t="s">
        <v>410</v>
      </c>
    </row>
    <row r="3391" spans="2:5" ht="15" customHeight="1" thickBot="1" x14ac:dyDescent="0.35">
      <c r="B3391" s="96" t="s">
        <v>5316</v>
      </c>
      <c r="C3391" s="97">
        <v>534708</v>
      </c>
      <c r="D3391" s="96" t="s">
        <v>388</v>
      </c>
      <c r="E3391" s="96" t="s">
        <v>557</v>
      </c>
    </row>
    <row r="3392" spans="2:5" ht="15" customHeight="1" thickBot="1" x14ac:dyDescent="0.35">
      <c r="B3392" s="96" t="s">
        <v>5317</v>
      </c>
      <c r="C3392" s="97">
        <v>533608</v>
      </c>
      <c r="D3392" s="96" t="s">
        <v>388</v>
      </c>
      <c r="E3392" s="96" t="s">
        <v>508</v>
      </c>
    </row>
    <row r="3393" spans="2:5" ht="15" customHeight="1" thickBot="1" x14ac:dyDescent="0.35">
      <c r="B3393" s="96" t="s">
        <v>5318</v>
      </c>
      <c r="C3393" s="97">
        <v>533285</v>
      </c>
      <c r="D3393" s="96" t="s">
        <v>388</v>
      </c>
      <c r="E3393" s="96" t="s">
        <v>474</v>
      </c>
    </row>
    <row r="3394" spans="2:5" ht="15" customHeight="1" thickBot="1" x14ac:dyDescent="0.35">
      <c r="B3394" s="96" t="s">
        <v>5319</v>
      </c>
      <c r="C3394" s="97">
        <v>539691</v>
      </c>
      <c r="D3394" s="96" t="s">
        <v>388</v>
      </c>
      <c r="E3394" s="96" t="s">
        <v>410</v>
      </c>
    </row>
    <row r="3395" spans="2:5" ht="15" customHeight="1" thickBot="1" x14ac:dyDescent="0.35">
      <c r="B3395" s="96" t="s">
        <v>5320</v>
      </c>
      <c r="C3395" s="97">
        <v>530053</v>
      </c>
      <c r="D3395" s="96" t="s">
        <v>388</v>
      </c>
      <c r="E3395" s="96" t="s">
        <v>474</v>
      </c>
    </row>
    <row r="3396" spans="2:5" ht="15" customHeight="1" thickBot="1" x14ac:dyDescent="0.35">
      <c r="B3396" s="96" t="s">
        <v>5321</v>
      </c>
      <c r="C3396" s="97">
        <v>513558</v>
      </c>
      <c r="D3396" s="96" t="s">
        <v>388</v>
      </c>
      <c r="E3396" s="96" t="s">
        <v>420</v>
      </c>
    </row>
    <row r="3397" spans="2:5" ht="15" customHeight="1" thickBot="1" x14ac:dyDescent="0.35">
      <c r="B3397" s="96" t="s">
        <v>5322</v>
      </c>
      <c r="C3397" s="97">
        <v>538611</v>
      </c>
      <c r="D3397" s="96" t="s">
        <v>388</v>
      </c>
      <c r="E3397" s="96" t="s">
        <v>371</v>
      </c>
    </row>
    <row r="3398" spans="2:5" ht="15" customHeight="1" thickBot="1" x14ac:dyDescent="0.35">
      <c r="B3398" s="96" t="s">
        <v>5323</v>
      </c>
      <c r="C3398" s="97">
        <v>532955</v>
      </c>
      <c r="D3398" s="96" t="s">
        <v>5324</v>
      </c>
      <c r="E3398" s="96" t="s">
        <v>405</v>
      </c>
    </row>
    <row r="3399" spans="2:5" ht="15" customHeight="1" thickBot="1" x14ac:dyDescent="0.35">
      <c r="B3399" s="96" t="s">
        <v>5325</v>
      </c>
      <c r="C3399" s="97">
        <v>523650</v>
      </c>
      <c r="D3399" s="96" t="s">
        <v>388</v>
      </c>
      <c r="E3399" s="96" t="s">
        <v>396</v>
      </c>
    </row>
    <row r="3400" spans="2:5" ht="15" customHeight="1" thickBot="1" x14ac:dyDescent="0.35">
      <c r="B3400" s="96" t="s">
        <v>5326</v>
      </c>
      <c r="C3400" s="97">
        <v>532805</v>
      </c>
      <c r="D3400" s="96" t="s">
        <v>5327</v>
      </c>
      <c r="E3400" s="96" t="s">
        <v>410</v>
      </c>
    </row>
    <row r="3401" spans="2:5" ht="15" customHeight="1" thickBot="1" x14ac:dyDescent="0.35">
      <c r="B3401" s="96" t="s">
        <v>5328</v>
      </c>
      <c r="C3401" s="97">
        <v>532805</v>
      </c>
      <c r="D3401" s="96" t="s">
        <v>5327</v>
      </c>
      <c r="E3401" s="96" t="s">
        <v>410</v>
      </c>
    </row>
    <row r="3402" spans="2:5" ht="15" customHeight="1" thickBot="1" x14ac:dyDescent="0.35">
      <c r="B3402" s="96" t="s">
        <v>5329</v>
      </c>
      <c r="C3402" s="97">
        <v>532884</v>
      </c>
      <c r="D3402" s="96" t="s">
        <v>5330</v>
      </c>
      <c r="E3402" s="96" t="s">
        <v>1423</v>
      </c>
    </row>
    <row r="3403" spans="2:5" ht="15" customHeight="1" thickBot="1" x14ac:dyDescent="0.35">
      <c r="B3403" s="96" t="s">
        <v>5331</v>
      </c>
      <c r="C3403" s="97">
        <v>530815</v>
      </c>
      <c r="D3403" s="96" t="s">
        <v>388</v>
      </c>
      <c r="E3403" s="96" t="s">
        <v>436</v>
      </c>
    </row>
    <row r="3404" spans="2:5" ht="15" customHeight="1" thickBot="1" x14ac:dyDescent="0.35">
      <c r="B3404" s="96" t="s">
        <v>5332</v>
      </c>
      <c r="C3404" s="97">
        <v>531033</v>
      </c>
      <c r="D3404" s="96" t="s">
        <v>388</v>
      </c>
      <c r="E3404" s="96" t="s">
        <v>405</v>
      </c>
    </row>
    <row r="3405" spans="2:5" ht="15" customHeight="1" thickBot="1" x14ac:dyDescent="0.35">
      <c r="B3405" s="96" t="s">
        <v>5333</v>
      </c>
      <c r="C3405" s="97">
        <v>530807</v>
      </c>
      <c r="D3405" s="96" t="s">
        <v>388</v>
      </c>
      <c r="E3405" s="96" t="s">
        <v>474</v>
      </c>
    </row>
    <row r="3406" spans="2:5" ht="15" customHeight="1" thickBot="1" x14ac:dyDescent="0.35">
      <c r="B3406" s="96" t="s">
        <v>5334</v>
      </c>
      <c r="C3406" s="97">
        <v>515018</v>
      </c>
      <c r="D3406" s="96" t="s">
        <v>5335</v>
      </c>
      <c r="E3406" s="96" t="s">
        <v>665</v>
      </c>
    </row>
    <row r="3407" spans="2:5" ht="15" customHeight="1" thickBot="1" x14ac:dyDescent="0.35">
      <c r="B3407" s="96" t="s">
        <v>5336</v>
      </c>
      <c r="C3407" s="97">
        <v>540175</v>
      </c>
      <c r="D3407" s="96" t="s">
        <v>388</v>
      </c>
      <c r="E3407" s="96" t="s">
        <v>371</v>
      </c>
    </row>
    <row r="3408" spans="2:5" ht="15" customHeight="1" thickBot="1" x14ac:dyDescent="0.35">
      <c r="B3408" s="96" t="s">
        <v>5337</v>
      </c>
      <c r="C3408" s="97">
        <v>511585</v>
      </c>
      <c r="D3408" s="96" t="s">
        <v>388</v>
      </c>
      <c r="E3408" s="96" t="s">
        <v>405</v>
      </c>
    </row>
    <row r="3409" spans="2:5" ht="15" customHeight="1" thickBot="1" x14ac:dyDescent="0.35">
      <c r="B3409" s="96" t="s">
        <v>5338</v>
      </c>
      <c r="C3409" s="97">
        <v>512624</v>
      </c>
      <c r="D3409" s="96" t="s">
        <v>388</v>
      </c>
      <c r="E3409" s="96" t="s">
        <v>410</v>
      </c>
    </row>
    <row r="3410" spans="2:5" ht="15" customHeight="1" thickBot="1" x14ac:dyDescent="0.35">
      <c r="B3410" s="96" t="s">
        <v>5339</v>
      </c>
      <c r="C3410" s="97">
        <v>505817</v>
      </c>
      <c r="D3410" s="96" t="s">
        <v>388</v>
      </c>
      <c r="E3410" s="96" t="s">
        <v>743</v>
      </c>
    </row>
    <row r="3411" spans="2:5" ht="15" customHeight="1" thickBot="1" x14ac:dyDescent="0.35">
      <c r="B3411" s="96" t="s">
        <v>5340</v>
      </c>
      <c r="C3411" s="97">
        <v>505817</v>
      </c>
      <c r="D3411" s="96" t="s">
        <v>388</v>
      </c>
      <c r="E3411" s="96" t="s">
        <v>743</v>
      </c>
    </row>
    <row r="3412" spans="2:5" ht="15" customHeight="1" thickBot="1" x14ac:dyDescent="0.35">
      <c r="B3412" s="96" t="s">
        <v>5341</v>
      </c>
      <c r="C3412" s="97">
        <v>526075</v>
      </c>
      <c r="D3412" s="96" t="s">
        <v>388</v>
      </c>
      <c r="E3412" s="96" t="s">
        <v>426</v>
      </c>
    </row>
    <row r="3413" spans="2:5" ht="15" customHeight="1" thickBot="1" x14ac:dyDescent="0.35">
      <c r="B3413" s="96" t="s">
        <v>5342</v>
      </c>
      <c r="C3413" s="97">
        <v>530517</v>
      </c>
      <c r="D3413" s="96" t="s">
        <v>5343</v>
      </c>
      <c r="E3413" s="96" t="s">
        <v>814</v>
      </c>
    </row>
    <row r="3414" spans="2:5" ht="15" customHeight="1" thickBot="1" x14ac:dyDescent="0.35">
      <c r="B3414" s="96" t="s">
        <v>5344</v>
      </c>
      <c r="C3414" s="96" t="s">
        <v>388</v>
      </c>
      <c r="D3414" s="96" t="s">
        <v>5345</v>
      </c>
      <c r="E3414" s="96" t="s">
        <v>399</v>
      </c>
    </row>
    <row r="3415" spans="2:5" ht="15" customHeight="1" thickBot="1" x14ac:dyDescent="0.35">
      <c r="B3415" s="96" t="s">
        <v>5346</v>
      </c>
      <c r="C3415" s="97">
        <v>532124</v>
      </c>
      <c r="D3415" s="96" t="s">
        <v>388</v>
      </c>
      <c r="E3415" s="96" t="s">
        <v>589</v>
      </c>
    </row>
    <row r="3416" spans="2:5" ht="15" customHeight="1" thickBot="1" x14ac:dyDescent="0.35">
      <c r="B3416" s="96" t="s">
        <v>5347</v>
      </c>
      <c r="C3416" s="97">
        <v>532124</v>
      </c>
      <c r="D3416" s="96" t="s">
        <v>388</v>
      </c>
      <c r="E3416" s="96" t="s">
        <v>589</v>
      </c>
    </row>
    <row r="3417" spans="2:5" ht="15" customHeight="1" thickBot="1" x14ac:dyDescent="0.35">
      <c r="B3417" s="96" t="s">
        <v>5348</v>
      </c>
      <c r="C3417" s="97">
        <v>500111</v>
      </c>
      <c r="D3417" s="96" t="s">
        <v>5349</v>
      </c>
      <c r="E3417" s="96" t="s">
        <v>405</v>
      </c>
    </row>
    <row r="3418" spans="2:5" ht="15" customHeight="1" thickBot="1" x14ac:dyDescent="0.35">
      <c r="B3418" s="96" t="s">
        <v>5350</v>
      </c>
      <c r="C3418" s="97">
        <v>503162</v>
      </c>
      <c r="D3418" s="96" t="s">
        <v>388</v>
      </c>
      <c r="E3418" s="96" t="s">
        <v>403</v>
      </c>
    </row>
    <row r="3419" spans="2:5" ht="15" customHeight="1" thickBot="1" x14ac:dyDescent="0.35">
      <c r="B3419" s="96" t="s">
        <v>5351</v>
      </c>
      <c r="C3419" s="97">
        <v>532712</v>
      </c>
      <c r="D3419" s="96" t="s">
        <v>5352</v>
      </c>
      <c r="E3419" s="96" t="s">
        <v>1331</v>
      </c>
    </row>
    <row r="3420" spans="2:5" ht="15" customHeight="1" thickBot="1" x14ac:dyDescent="0.35">
      <c r="B3420" s="96" t="s">
        <v>5353</v>
      </c>
      <c r="C3420" s="97">
        <v>590106</v>
      </c>
      <c r="D3420" s="96" t="s">
        <v>5354</v>
      </c>
      <c r="E3420" s="96" t="s">
        <v>371</v>
      </c>
    </row>
    <row r="3421" spans="2:5" ht="15" customHeight="1" thickBot="1" x14ac:dyDescent="0.35">
      <c r="B3421" s="96" t="s">
        <v>5355</v>
      </c>
      <c r="C3421" s="97">
        <v>590095</v>
      </c>
      <c r="D3421" s="96" t="s">
        <v>5356</v>
      </c>
      <c r="E3421" s="96" t="s">
        <v>371</v>
      </c>
    </row>
    <row r="3422" spans="2:5" ht="15" customHeight="1" thickBot="1" x14ac:dyDescent="0.35">
      <c r="B3422" s="96" t="s">
        <v>5357</v>
      </c>
      <c r="C3422" s="97">
        <v>590113</v>
      </c>
      <c r="D3422" s="96" t="s">
        <v>5358</v>
      </c>
      <c r="E3422" s="96" t="s">
        <v>371</v>
      </c>
    </row>
    <row r="3423" spans="2:5" ht="15" customHeight="1" thickBot="1" x14ac:dyDescent="0.35">
      <c r="B3423" s="96" t="s">
        <v>5359</v>
      </c>
      <c r="C3423" s="97">
        <v>590104</v>
      </c>
      <c r="D3423" s="96" t="s">
        <v>5360</v>
      </c>
      <c r="E3423" s="96" t="s">
        <v>371</v>
      </c>
    </row>
    <row r="3424" spans="2:5" ht="15" customHeight="1" thickBot="1" x14ac:dyDescent="0.35">
      <c r="B3424" s="96" t="s">
        <v>5361</v>
      </c>
      <c r="C3424" s="97">
        <v>590103</v>
      </c>
      <c r="D3424" s="96" t="s">
        <v>5362</v>
      </c>
      <c r="E3424" s="96" t="s">
        <v>371</v>
      </c>
    </row>
    <row r="3425" spans="2:5" ht="15" customHeight="1" thickBot="1" x14ac:dyDescent="0.35">
      <c r="B3425" s="96" t="s">
        <v>5363</v>
      </c>
      <c r="C3425" s="97">
        <v>590108</v>
      </c>
      <c r="D3425" s="96" t="s">
        <v>5364</v>
      </c>
      <c r="E3425" s="96" t="s">
        <v>371</v>
      </c>
    </row>
    <row r="3426" spans="2:5" ht="15" customHeight="1" thickBot="1" x14ac:dyDescent="0.35">
      <c r="B3426" s="96" t="s">
        <v>5365</v>
      </c>
      <c r="C3426" s="97">
        <v>590109</v>
      </c>
      <c r="D3426" s="96" t="s">
        <v>5366</v>
      </c>
      <c r="E3426" s="96" t="s">
        <v>371</v>
      </c>
    </row>
    <row r="3427" spans="2:5" ht="15" customHeight="1" thickBot="1" x14ac:dyDescent="0.35">
      <c r="B3427" s="96" t="s">
        <v>5367</v>
      </c>
      <c r="C3427" s="97">
        <v>540709</v>
      </c>
      <c r="D3427" s="96" t="s">
        <v>5368</v>
      </c>
      <c r="E3427" s="96" t="s">
        <v>446</v>
      </c>
    </row>
    <row r="3428" spans="2:5" ht="15" customHeight="1" thickBot="1" x14ac:dyDescent="0.35">
      <c r="B3428" s="96" t="s">
        <v>5369</v>
      </c>
      <c r="C3428" s="97">
        <v>523445</v>
      </c>
      <c r="D3428" s="96" t="s">
        <v>5370</v>
      </c>
      <c r="E3428" s="96" t="s">
        <v>786</v>
      </c>
    </row>
    <row r="3429" spans="2:5" ht="15" customHeight="1" thickBot="1" x14ac:dyDescent="0.35">
      <c r="B3429" s="96" t="s">
        <v>5371</v>
      </c>
      <c r="C3429" s="97">
        <v>500325</v>
      </c>
      <c r="D3429" s="96" t="s">
        <v>5372</v>
      </c>
      <c r="E3429" s="96" t="s">
        <v>519</v>
      </c>
    </row>
    <row r="3430" spans="2:5" ht="15" customHeight="1" thickBot="1" x14ac:dyDescent="0.35">
      <c r="B3430" s="96" t="s">
        <v>5373</v>
      </c>
      <c r="C3430" s="97">
        <v>500390</v>
      </c>
      <c r="D3430" s="96" t="s">
        <v>5374</v>
      </c>
      <c r="E3430" s="96" t="s">
        <v>527</v>
      </c>
    </row>
    <row r="3431" spans="2:5" ht="15" customHeight="1" thickBot="1" x14ac:dyDescent="0.35">
      <c r="B3431" s="96" t="s">
        <v>5375</v>
      </c>
      <c r="C3431" s="97">
        <v>533107</v>
      </c>
      <c r="D3431" s="96" t="s">
        <v>5376</v>
      </c>
      <c r="E3431" s="96" t="s">
        <v>861</v>
      </c>
    </row>
    <row r="3432" spans="2:5" ht="15" customHeight="1" thickBot="1" x14ac:dyDescent="0.35">
      <c r="B3432" s="96" t="s">
        <v>5377</v>
      </c>
      <c r="C3432" s="97">
        <v>540767</v>
      </c>
      <c r="D3432" s="96" t="s">
        <v>5378</v>
      </c>
      <c r="E3432" s="96" t="s">
        <v>2793</v>
      </c>
    </row>
    <row r="3433" spans="2:5" ht="15" customHeight="1" thickBot="1" x14ac:dyDescent="0.35">
      <c r="B3433" s="96" t="s">
        <v>5379</v>
      </c>
      <c r="C3433" s="97">
        <v>532939</v>
      </c>
      <c r="D3433" s="96" t="s">
        <v>5380</v>
      </c>
      <c r="E3433" s="96" t="s">
        <v>527</v>
      </c>
    </row>
    <row r="3434" spans="2:5" ht="15" customHeight="1" thickBot="1" x14ac:dyDescent="0.35">
      <c r="B3434" s="96" t="s">
        <v>5381</v>
      </c>
      <c r="C3434" s="97">
        <v>511712</v>
      </c>
      <c r="D3434" s="96" t="s">
        <v>388</v>
      </c>
      <c r="E3434" s="96" t="s">
        <v>371</v>
      </c>
    </row>
    <row r="3435" spans="2:5" ht="15" customHeight="1" thickBot="1" x14ac:dyDescent="0.35">
      <c r="B3435" s="96" t="s">
        <v>5382</v>
      </c>
      <c r="C3435" s="97">
        <v>539760</v>
      </c>
      <c r="D3435" s="96" t="s">
        <v>388</v>
      </c>
      <c r="E3435" s="96" t="s">
        <v>686</v>
      </c>
    </row>
    <row r="3436" spans="2:5" ht="15" customHeight="1" thickBot="1" x14ac:dyDescent="0.35">
      <c r="B3436" s="96" t="s">
        <v>5383</v>
      </c>
      <c r="C3436" s="97">
        <v>532915</v>
      </c>
      <c r="D3436" s="96" t="s">
        <v>5384</v>
      </c>
      <c r="E3436" s="96" t="s">
        <v>371</v>
      </c>
    </row>
    <row r="3437" spans="2:5" ht="15" customHeight="1" thickBot="1" x14ac:dyDescent="0.35">
      <c r="B3437" s="96" t="s">
        <v>5385</v>
      </c>
      <c r="C3437" s="97">
        <v>540426</v>
      </c>
      <c r="D3437" s="96" t="s">
        <v>388</v>
      </c>
      <c r="E3437" s="96" t="s">
        <v>474</v>
      </c>
    </row>
    <row r="3438" spans="2:5" ht="15" customHeight="1" thickBot="1" x14ac:dyDescent="0.35">
      <c r="B3438" s="96" t="s">
        <v>5386</v>
      </c>
      <c r="C3438" s="97">
        <v>513043</v>
      </c>
      <c r="D3438" s="96" t="s">
        <v>388</v>
      </c>
      <c r="E3438" s="96" t="s">
        <v>711</v>
      </c>
    </row>
    <row r="3439" spans="2:5" ht="15" customHeight="1" thickBot="1" x14ac:dyDescent="0.35">
      <c r="B3439" s="96" t="s">
        <v>5387</v>
      </c>
      <c r="C3439" s="97">
        <v>512487</v>
      </c>
      <c r="D3439" s="96" t="s">
        <v>388</v>
      </c>
      <c r="E3439" s="96" t="s">
        <v>410</v>
      </c>
    </row>
    <row r="3440" spans="2:5" ht="15" customHeight="1" thickBot="1" x14ac:dyDescent="0.35">
      <c r="B3440" s="96" t="s">
        <v>5388</v>
      </c>
      <c r="C3440" s="97">
        <v>505658</v>
      </c>
      <c r="D3440" s="96" t="s">
        <v>388</v>
      </c>
      <c r="E3440" s="96" t="s">
        <v>396</v>
      </c>
    </row>
    <row r="3441" spans="2:5" ht="15" customHeight="1" thickBot="1" x14ac:dyDescent="0.35">
      <c r="B3441" s="96" t="s">
        <v>5389</v>
      </c>
      <c r="C3441" s="97">
        <v>504360</v>
      </c>
      <c r="D3441" s="96" t="s">
        <v>388</v>
      </c>
      <c r="E3441" s="96" t="s">
        <v>410</v>
      </c>
    </row>
    <row r="3442" spans="2:5" ht="15" customHeight="1" thickBot="1" x14ac:dyDescent="0.35">
      <c r="B3442" s="96" t="s">
        <v>5390</v>
      </c>
      <c r="C3442" s="97">
        <v>511149</v>
      </c>
      <c r="D3442" s="96" t="s">
        <v>388</v>
      </c>
      <c r="E3442" s="96" t="s">
        <v>809</v>
      </c>
    </row>
    <row r="3443" spans="2:5" ht="15" customHeight="1" thickBot="1" x14ac:dyDescent="0.35">
      <c r="B3443" s="96" t="s">
        <v>5391</v>
      </c>
      <c r="C3443" s="97">
        <v>530919</v>
      </c>
      <c r="D3443" s="96" t="s">
        <v>5392</v>
      </c>
      <c r="E3443" s="96" t="s">
        <v>3726</v>
      </c>
    </row>
    <row r="3444" spans="2:5" ht="15" customHeight="1" thickBot="1" x14ac:dyDescent="0.35">
      <c r="B3444" s="96" t="s">
        <v>5393</v>
      </c>
      <c r="C3444" s="96" t="s">
        <v>388</v>
      </c>
      <c r="D3444" s="96" t="s">
        <v>5394</v>
      </c>
      <c r="E3444" s="96" t="s">
        <v>3726</v>
      </c>
    </row>
    <row r="3445" spans="2:5" ht="15" customHeight="1" thickBot="1" x14ac:dyDescent="0.35">
      <c r="B3445" s="96" t="s">
        <v>5395</v>
      </c>
      <c r="C3445" s="97">
        <v>532923</v>
      </c>
      <c r="D3445" s="96" t="s">
        <v>5396</v>
      </c>
      <c r="E3445" s="96" t="s">
        <v>502</v>
      </c>
    </row>
    <row r="3446" spans="2:5" ht="15" customHeight="1" thickBot="1" x14ac:dyDescent="0.35">
      <c r="B3446" s="96" t="s">
        <v>5397</v>
      </c>
      <c r="C3446" s="97">
        <v>535322</v>
      </c>
      <c r="D3446" s="96" t="s">
        <v>5398</v>
      </c>
      <c r="E3446" s="96" t="s">
        <v>446</v>
      </c>
    </row>
    <row r="3447" spans="2:5" ht="15" customHeight="1" thickBot="1" x14ac:dyDescent="0.35">
      <c r="B3447" s="96" t="s">
        <v>5399</v>
      </c>
      <c r="C3447" s="97">
        <v>532687</v>
      </c>
      <c r="D3447" s="96" t="s">
        <v>5400</v>
      </c>
      <c r="E3447" s="96" t="s">
        <v>2380</v>
      </c>
    </row>
    <row r="3448" spans="2:5" ht="15" customHeight="1" thickBot="1" x14ac:dyDescent="0.35">
      <c r="B3448" s="96" t="s">
        <v>5401</v>
      </c>
      <c r="C3448" s="97">
        <v>532687</v>
      </c>
      <c r="D3448" s="96" t="s">
        <v>5400</v>
      </c>
      <c r="E3448" s="96" t="s">
        <v>2380</v>
      </c>
    </row>
    <row r="3449" spans="2:5" ht="15" customHeight="1" thickBot="1" x14ac:dyDescent="0.35">
      <c r="B3449" s="96" t="s">
        <v>5402</v>
      </c>
      <c r="C3449" s="97">
        <v>524218</v>
      </c>
      <c r="D3449" s="96" t="s">
        <v>388</v>
      </c>
      <c r="E3449" s="96" t="s">
        <v>426</v>
      </c>
    </row>
    <row r="3450" spans="2:5" ht="15" customHeight="1" thickBot="1" x14ac:dyDescent="0.35">
      <c r="B3450" s="96" t="s">
        <v>5403</v>
      </c>
      <c r="C3450" s="97">
        <v>505509</v>
      </c>
      <c r="D3450" s="96" t="s">
        <v>5404</v>
      </c>
      <c r="E3450" s="96" t="s">
        <v>508</v>
      </c>
    </row>
    <row r="3451" spans="2:5" ht="15" customHeight="1" thickBot="1" x14ac:dyDescent="0.35">
      <c r="B3451" s="96" t="s">
        <v>5405</v>
      </c>
      <c r="C3451" s="97">
        <v>515085</v>
      </c>
      <c r="D3451" s="96" t="s">
        <v>388</v>
      </c>
      <c r="E3451" s="96" t="s">
        <v>665</v>
      </c>
    </row>
    <row r="3452" spans="2:5" ht="15" customHeight="1" thickBot="1" x14ac:dyDescent="0.35">
      <c r="B3452" s="96" t="s">
        <v>5406</v>
      </c>
      <c r="C3452" s="97">
        <v>519191</v>
      </c>
      <c r="D3452" s="96" t="s">
        <v>5407</v>
      </c>
      <c r="E3452" s="96" t="s">
        <v>5408</v>
      </c>
    </row>
    <row r="3453" spans="2:5" ht="15" customHeight="1" thickBot="1" x14ac:dyDescent="0.35">
      <c r="B3453" s="96" t="s">
        <v>5409</v>
      </c>
      <c r="C3453" s="97">
        <v>505368</v>
      </c>
      <c r="D3453" s="96" t="s">
        <v>5410</v>
      </c>
      <c r="E3453" s="96" t="s">
        <v>396</v>
      </c>
    </row>
    <row r="3454" spans="2:5" ht="15" customHeight="1" thickBot="1" x14ac:dyDescent="0.35">
      <c r="B3454" s="96" t="s">
        <v>5411</v>
      </c>
      <c r="C3454" s="97">
        <v>531888</v>
      </c>
      <c r="D3454" s="96" t="s">
        <v>388</v>
      </c>
      <c r="E3454" s="96" t="s">
        <v>396</v>
      </c>
    </row>
    <row r="3455" spans="2:5" ht="15" customHeight="1" thickBot="1" x14ac:dyDescent="0.35">
      <c r="B3455" s="96" t="s">
        <v>5412</v>
      </c>
      <c r="C3455" s="97">
        <v>539669</v>
      </c>
      <c r="D3455" s="96" t="s">
        <v>388</v>
      </c>
      <c r="E3455" s="96" t="s">
        <v>405</v>
      </c>
    </row>
    <row r="3456" spans="2:5" ht="15" customHeight="1" thickBot="1" x14ac:dyDescent="0.35">
      <c r="B3456" s="96" t="s">
        <v>5413</v>
      </c>
      <c r="C3456" s="97">
        <v>531952</v>
      </c>
      <c r="D3456" s="96" t="s">
        <v>388</v>
      </c>
      <c r="E3456" s="96" t="s">
        <v>403</v>
      </c>
    </row>
    <row r="3457" spans="2:5" ht="15" customHeight="1" thickBot="1" x14ac:dyDescent="0.35">
      <c r="B3457" s="96" t="s">
        <v>5414</v>
      </c>
      <c r="C3457" s="97">
        <v>530271</v>
      </c>
      <c r="D3457" s="96" t="s">
        <v>388</v>
      </c>
      <c r="E3457" s="96" t="s">
        <v>405</v>
      </c>
    </row>
    <row r="3458" spans="2:5" ht="15" customHeight="1" thickBot="1" x14ac:dyDescent="0.35">
      <c r="B3458" s="96" t="s">
        <v>5415</v>
      </c>
      <c r="C3458" s="97">
        <v>532766</v>
      </c>
      <c r="D3458" s="96" t="s">
        <v>388</v>
      </c>
      <c r="E3458" s="96" t="s">
        <v>786</v>
      </c>
    </row>
    <row r="3459" spans="2:5" ht="15" customHeight="1" thickBot="1" x14ac:dyDescent="0.35">
      <c r="B3459" s="96" t="s">
        <v>5416</v>
      </c>
      <c r="C3459" s="97">
        <v>539435</v>
      </c>
      <c r="D3459" s="96" t="s">
        <v>388</v>
      </c>
      <c r="E3459" s="96" t="s">
        <v>371</v>
      </c>
    </row>
    <row r="3460" spans="2:5" ht="15" customHeight="1" thickBot="1" x14ac:dyDescent="0.35">
      <c r="B3460" s="96" t="s">
        <v>5417</v>
      </c>
      <c r="C3460" s="97">
        <v>519230</v>
      </c>
      <c r="D3460" s="96" t="s">
        <v>388</v>
      </c>
      <c r="E3460" s="96" t="s">
        <v>410</v>
      </c>
    </row>
    <row r="3461" spans="2:5" ht="15" customHeight="1" thickBot="1" x14ac:dyDescent="0.35">
      <c r="B3461" s="96" t="s">
        <v>5418</v>
      </c>
      <c r="C3461" s="97">
        <v>520008</v>
      </c>
      <c r="D3461" s="96" t="s">
        <v>5419</v>
      </c>
      <c r="E3461" s="96" t="s">
        <v>743</v>
      </c>
    </row>
    <row r="3462" spans="2:5" ht="15" customHeight="1" thickBot="1" x14ac:dyDescent="0.35">
      <c r="B3462" s="96" t="s">
        <v>5420</v>
      </c>
      <c r="C3462" s="97">
        <v>540590</v>
      </c>
      <c r="D3462" s="96" t="s">
        <v>388</v>
      </c>
      <c r="E3462" s="96" t="s">
        <v>718</v>
      </c>
    </row>
    <row r="3463" spans="2:5" ht="15" customHeight="1" thickBot="1" x14ac:dyDescent="0.35">
      <c r="B3463" s="96" t="s">
        <v>5421</v>
      </c>
      <c r="C3463" s="97">
        <v>524480</v>
      </c>
      <c r="D3463" s="96" t="s">
        <v>388</v>
      </c>
      <c r="E3463" s="96" t="s">
        <v>436</v>
      </c>
    </row>
    <row r="3464" spans="2:5" ht="15" customHeight="1" thickBot="1" x14ac:dyDescent="0.35">
      <c r="B3464" s="96" t="s">
        <v>5422</v>
      </c>
      <c r="C3464" s="97">
        <v>540082</v>
      </c>
      <c r="D3464" s="96" t="s">
        <v>388</v>
      </c>
      <c r="E3464" s="96" t="s">
        <v>711</v>
      </c>
    </row>
    <row r="3465" spans="2:5" ht="15" customHeight="1" thickBot="1" x14ac:dyDescent="0.35">
      <c r="B3465" s="96" t="s">
        <v>5423</v>
      </c>
      <c r="C3465" s="97">
        <v>504365</v>
      </c>
      <c r="D3465" s="96" t="s">
        <v>388</v>
      </c>
      <c r="E3465" s="96" t="s">
        <v>371</v>
      </c>
    </row>
    <row r="3466" spans="2:5" ht="15" customHeight="1" thickBot="1" x14ac:dyDescent="0.35">
      <c r="B3466" s="96" t="s">
        <v>5424</v>
      </c>
      <c r="C3466" s="97">
        <v>541151</v>
      </c>
      <c r="D3466" s="96" t="s">
        <v>388</v>
      </c>
      <c r="E3466" s="96" t="s">
        <v>472</v>
      </c>
    </row>
    <row r="3467" spans="2:5" ht="15" customHeight="1" thickBot="1" x14ac:dyDescent="0.35">
      <c r="B3467" s="96" t="s">
        <v>5425</v>
      </c>
      <c r="C3467" s="97">
        <v>541151</v>
      </c>
      <c r="D3467" s="96" t="s">
        <v>388</v>
      </c>
      <c r="E3467" s="96" t="s">
        <v>472</v>
      </c>
    </row>
    <row r="3468" spans="2:5" ht="15" customHeight="1" thickBot="1" x14ac:dyDescent="0.35">
      <c r="B3468" s="96" t="s">
        <v>5426</v>
      </c>
      <c r="C3468" s="97">
        <v>507508</v>
      </c>
      <c r="D3468" s="96" t="s">
        <v>388</v>
      </c>
      <c r="E3468" s="96" t="s">
        <v>1087</v>
      </c>
    </row>
    <row r="3469" spans="2:5" ht="15" customHeight="1" thickBot="1" x14ac:dyDescent="0.35">
      <c r="B3469" s="96" t="s">
        <v>5427</v>
      </c>
      <c r="C3469" s="97">
        <v>530251</v>
      </c>
      <c r="D3469" s="96" t="s">
        <v>388</v>
      </c>
      <c r="E3469" s="96" t="s">
        <v>410</v>
      </c>
    </row>
    <row r="3470" spans="2:5" ht="15" customHeight="1" thickBot="1" x14ac:dyDescent="0.35">
      <c r="B3470" s="96" t="s">
        <v>5428</v>
      </c>
      <c r="C3470" s="97">
        <v>514177</v>
      </c>
      <c r="D3470" s="96" t="s">
        <v>388</v>
      </c>
      <c r="E3470" s="96" t="s">
        <v>403</v>
      </c>
    </row>
    <row r="3471" spans="2:5" ht="15" customHeight="1" thickBot="1" x14ac:dyDescent="0.35">
      <c r="B3471" s="96" t="s">
        <v>5429</v>
      </c>
      <c r="C3471" s="97">
        <v>531539</v>
      </c>
      <c r="D3471" s="96" t="s">
        <v>388</v>
      </c>
      <c r="E3471" s="96" t="s">
        <v>420</v>
      </c>
    </row>
    <row r="3472" spans="2:5" ht="15" customHeight="1" thickBot="1" x14ac:dyDescent="0.35">
      <c r="B3472" s="96" t="s">
        <v>5430</v>
      </c>
      <c r="C3472" s="97">
        <v>526861</v>
      </c>
      <c r="D3472" s="96" t="s">
        <v>388</v>
      </c>
      <c r="E3472" s="96" t="s">
        <v>396</v>
      </c>
    </row>
    <row r="3473" spans="2:5" ht="15" customHeight="1" thickBot="1" x14ac:dyDescent="0.35">
      <c r="B3473" s="96" t="s">
        <v>5431</v>
      </c>
      <c r="C3473" s="97">
        <v>523021</v>
      </c>
      <c r="D3473" s="96" t="s">
        <v>388</v>
      </c>
      <c r="E3473" s="96" t="s">
        <v>583</v>
      </c>
    </row>
    <row r="3474" spans="2:5" ht="15" customHeight="1" thickBot="1" x14ac:dyDescent="0.35">
      <c r="B3474" s="96" t="s">
        <v>5432</v>
      </c>
      <c r="C3474" s="97">
        <v>526492</v>
      </c>
      <c r="D3474" s="96" t="s">
        <v>388</v>
      </c>
      <c r="E3474" s="96" t="s">
        <v>1307</v>
      </c>
    </row>
    <row r="3475" spans="2:5" ht="15" customHeight="1" thickBot="1" x14ac:dyDescent="0.35">
      <c r="B3475" s="96" t="s">
        <v>5433</v>
      </c>
      <c r="C3475" s="97">
        <v>542383</v>
      </c>
      <c r="D3475" s="96" t="s">
        <v>5434</v>
      </c>
      <c r="E3475" s="96" t="s">
        <v>709</v>
      </c>
    </row>
    <row r="3476" spans="2:5" ht="15" customHeight="1" thickBot="1" x14ac:dyDescent="0.35">
      <c r="B3476" s="96" t="s">
        <v>5435</v>
      </c>
      <c r="C3476" s="97">
        <v>541556</v>
      </c>
      <c r="D3476" s="96" t="s">
        <v>5436</v>
      </c>
      <c r="E3476" s="96" t="s">
        <v>786</v>
      </c>
    </row>
    <row r="3477" spans="2:5" ht="15" customHeight="1" thickBot="1" x14ac:dyDescent="0.35">
      <c r="B3477" s="96" t="s">
        <v>5437</v>
      </c>
      <c r="C3477" s="97">
        <v>519097</v>
      </c>
      <c r="D3477" s="96" t="s">
        <v>388</v>
      </c>
      <c r="E3477" s="96" t="s">
        <v>436</v>
      </c>
    </row>
    <row r="3478" spans="2:5" ht="15" customHeight="1" thickBot="1" x14ac:dyDescent="0.35">
      <c r="B3478" s="96" t="s">
        <v>5438</v>
      </c>
      <c r="C3478" s="97">
        <v>526407</v>
      </c>
      <c r="D3478" s="96" t="s">
        <v>388</v>
      </c>
      <c r="E3478" s="96" t="s">
        <v>502</v>
      </c>
    </row>
    <row r="3479" spans="2:5" ht="15" customHeight="1" thickBot="1" x14ac:dyDescent="0.35">
      <c r="B3479" s="96" t="s">
        <v>5439</v>
      </c>
      <c r="C3479" s="97">
        <v>540843</v>
      </c>
      <c r="D3479" s="96" t="s">
        <v>388</v>
      </c>
      <c r="E3479" s="96" t="s">
        <v>3167</v>
      </c>
    </row>
    <row r="3480" spans="2:5" ht="15" customHeight="1" thickBot="1" x14ac:dyDescent="0.35">
      <c r="B3480" s="96" t="s">
        <v>5440</v>
      </c>
      <c r="C3480" s="96" t="s">
        <v>388</v>
      </c>
      <c r="D3480" s="96" t="s">
        <v>5441</v>
      </c>
      <c r="E3480" s="96" t="s">
        <v>399</v>
      </c>
    </row>
    <row r="3481" spans="2:5" ht="15" customHeight="1" thickBot="1" x14ac:dyDescent="0.35">
      <c r="B3481" s="96" t="s">
        <v>5442</v>
      </c>
      <c r="C3481" s="97">
        <v>512618</v>
      </c>
      <c r="D3481" s="96" t="s">
        <v>388</v>
      </c>
      <c r="E3481" s="96" t="s">
        <v>403</v>
      </c>
    </row>
    <row r="3482" spans="2:5" ht="15" customHeight="1" thickBot="1" x14ac:dyDescent="0.35">
      <c r="B3482" s="96" t="s">
        <v>5443</v>
      </c>
      <c r="C3482" s="97">
        <v>540358</v>
      </c>
      <c r="D3482" s="96" t="s">
        <v>388</v>
      </c>
      <c r="E3482" s="96" t="s">
        <v>686</v>
      </c>
    </row>
    <row r="3483" spans="2:5" ht="15" customHeight="1" thickBot="1" x14ac:dyDescent="0.35">
      <c r="B3483" s="96" t="s">
        <v>5444</v>
      </c>
      <c r="C3483" s="97">
        <v>500365</v>
      </c>
      <c r="D3483" s="96" t="s">
        <v>388</v>
      </c>
      <c r="E3483" s="96" t="s">
        <v>420</v>
      </c>
    </row>
    <row r="3484" spans="2:5" ht="15" customHeight="1" thickBot="1" x14ac:dyDescent="0.35">
      <c r="B3484" s="96" t="s">
        <v>5445</v>
      </c>
      <c r="C3484" s="97">
        <v>531447</v>
      </c>
      <c r="D3484" s="96" t="s">
        <v>388</v>
      </c>
      <c r="E3484" s="96" t="s">
        <v>410</v>
      </c>
    </row>
    <row r="3485" spans="2:5" ht="15" customHeight="1" thickBot="1" x14ac:dyDescent="0.35">
      <c r="B3485" s="96" t="s">
        <v>5446</v>
      </c>
      <c r="C3485" s="97">
        <v>531822</v>
      </c>
      <c r="D3485" s="96" t="s">
        <v>388</v>
      </c>
      <c r="E3485" s="96" t="s">
        <v>474</v>
      </c>
    </row>
    <row r="3486" spans="2:5" ht="15" customHeight="1" thickBot="1" x14ac:dyDescent="0.35">
      <c r="B3486" s="96" t="s">
        <v>5447</v>
      </c>
      <c r="C3486" s="97">
        <v>532731</v>
      </c>
      <c r="D3486" s="96" t="s">
        <v>5448</v>
      </c>
      <c r="E3486" s="96" t="s">
        <v>420</v>
      </c>
    </row>
    <row r="3487" spans="2:5" ht="15" customHeight="1" thickBot="1" x14ac:dyDescent="0.35">
      <c r="B3487" s="96" t="s">
        <v>5449</v>
      </c>
      <c r="C3487" s="97">
        <v>505807</v>
      </c>
      <c r="D3487" s="96" t="s">
        <v>388</v>
      </c>
      <c r="E3487" s="96" t="s">
        <v>1307</v>
      </c>
    </row>
    <row r="3488" spans="2:5" ht="15" customHeight="1" thickBot="1" x14ac:dyDescent="0.35">
      <c r="B3488" s="96" t="s">
        <v>5450</v>
      </c>
      <c r="C3488" s="97">
        <v>502448</v>
      </c>
      <c r="D3488" s="96" t="s">
        <v>5451</v>
      </c>
      <c r="E3488" s="96" t="s">
        <v>583</v>
      </c>
    </row>
    <row r="3489" spans="2:5" ht="15" customHeight="1" thickBot="1" x14ac:dyDescent="0.35">
      <c r="B3489" s="96" t="s">
        <v>5452</v>
      </c>
      <c r="C3489" s="97">
        <v>500366</v>
      </c>
      <c r="D3489" s="96" t="s">
        <v>5453</v>
      </c>
      <c r="E3489" s="96" t="s">
        <v>394</v>
      </c>
    </row>
    <row r="3490" spans="2:5" ht="15" customHeight="1" thickBot="1" x14ac:dyDescent="0.35">
      <c r="B3490" s="96" t="s">
        <v>5454</v>
      </c>
      <c r="C3490" s="97">
        <v>500366</v>
      </c>
      <c r="D3490" s="96" t="s">
        <v>5453</v>
      </c>
      <c r="E3490" s="96" t="s">
        <v>394</v>
      </c>
    </row>
    <row r="3491" spans="2:5" ht="15" customHeight="1" thickBot="1" x14ac:dyDescent="0.35">
      <c r="B3491" s="96" t="s">
        <v>5455</v>
      </c>
      <c r="C3491" s="97">
        <v>542145</v>
      </c>
      <c r="D3491" s="96" t="s">
        <v>388</v>
      </c>
      <c r="E3491" s="96" t="s">
        <v>410</v>
      </c>
    </row>
    <row r="3492" spans="2:5" ht="15" customHeight="1" thickBot="1" x14ac:dyDescent="0.35">
      <c r="B3492" s="96" t="s">
        <v>5456</v>
      </c>
      <c r="C3492" s="97">
        <v>530991</v>
      </c>
      <c r="D3492" s="96" t="s">
        <v>388</v>
      </c>
      <c r="E3492" s="96" t="s">
        <v>426</v>
      </c>
    </row>
    <row r="3493" spans="2:5" ht="15" customHeight="1" thickBot="1" x14ac:dyDescent="0.35">
      <c r="B3493" s="96" t="s">
        <v>5457</v>
      </c>
      <c r="C3493" s="97">
        <v>542599</v>
      </c>
      <c r="D3493" s="96" t="s">
        <v>5458</v>
      </c>
      <c r="E3493" s="96" t="s">
        <v>589</v>
      </c>
    </row>
    <row r="3494" spans="2:5" ht="15" customHeight="1" thickBot="1" x14ac:dyDescent="0.35">
      <c r="B3494" s="96" t="s">
        <v>5459</v>
      </c>
      <c r="C3494" s="97">
        <v>531324</v>
      </c>
      <c r="D3494" s="96" t="s">
        <v>388</v>
      </c>
      <c r="E3494" s="96" t="s">
        <v>371</v>
      </c>
    </row>
    <row r="3495" spans="2:5" ht="15" customHeight="1" thickBot="1" x14ac:dyDescent="0.35">
      <c r="B3495" s="96" t="s">
        <v>5460</v>
      </c>
      <c r="C3495" s="97">
        <v>533168</v>
      </c>
      <c r="D3495" s="96" t="s">
        <v>5461</v>
      </c>
      <c r="E3495" s="96" t="s">
        <v>795</v>
      </c>
    </row>
    <row r="3496" spans="2:5" ht="15" customHeight="1" thickBot="1" x14ac:dyDescent="0.35">
      <c r="B3496" s="96" t="s">
        <v>5462</v>
      </c>
      <c r="C3496" s="97">
        <v>533168</v>
      </c>
      <c r="D3496" s="96" t="s">
        <v>5461</v>
      </c>
      <c r="E3496" s="96" t="s">
        <v>795</v>
      </c>
    </row>
    <row r="3497" spans="2:5" ht="15" customHeight="1" thickBot="1" x14ac:dyDescent="0.35">
      <c r="B3497" s="96" t="s">
        <v>5463</v>
      </c>
      <c r="C3497" s="97">
        <v>517500</v>
      </c>
      <c r="D3497" s="96" t="s">
        <v>388</v>
      </c>
      <c r="E3497" s="96" t="s">
        <v>396</v>
      </c>
    </row>
    <row r="3498" spans="2:5" ht="15" customHeight="1" thickBot="1" x14ac:dyDescent="0.35">
      <c r="B3498" s="96" t="s">
        <v>5464</v>
      </c>
      <c r="C3498" s="97">
        <v>539922</v>
      </c>
      <c r="D3498" s="96" t="s">
        <v>388</v>
      </c>
      <c r="E3498" s="96" t="s">
        <v>410</v>
      </c>
    </row>
    <row r="3499" spans="2:5" ht="15" customHeight="1" thickBot="1" x14ac:dyDescent="0.35">
      <c r="B3499" s="96" t="s">
        <v>5465</v>
      </c>
      <c r="C3499" s="97">
        <v>539922</v>
      </c>
      <c r="D3499" s="96" t="s">
        <v>388</v>
      </c>
      <c r="E3499" s="96" t="s">
        <v>410</v>
      </c>
    </row>
    <row r="3500" spans="2:5" ht="15" customHeight="1" thickBot="1" x14ac:dyDescent="0.35">
      <c r="B3500" s="96" t="s">
        <v>5466</v>
      </c>
      <c r="C3500" s="97">
        <v>526193</v>
      </c>
      <c r="D3500" s="96" t="s">
        <v>388</v>
      </c>
      <c r="E3500" s="96" t="s">
        <v>665</v>
      </c>
    </row>
    <row r="3501" spans="2:5" ht="15" customHeight="1" thickBot="1" x14ac:dyDescent="0.35">
      <c r="B3501" s="96" t="s">
        <v>5467</v>
      </c>
      <c r="C3501" s="97">
        <v>512047</v>
      </c>
      <c r="D3501" s="96" t="s">
        <v>388</v>
      </c>
      <c r="E3501" s="96" t="s">
        <v>502</v>
      </c>
    </row>
    <row r="3502" spans="2:5" ht="15" customHeight="1" thickBot="1" x14ac:dyDescent="0.35">
      <c r="B3502" s="96" t="s">
        <v>5468</v>
      </c>
      <c r="C3502" s="97">
        <v>532699</v>
      </c>
      <c r="D3502" s="96" t="s">
        <v>5469</v>
      </c>
      <c r="E3502" s="96" t="s">
        <v>589</v>
      </c>
    </row>
    <row r="3503" spans="2:5" ht="15" customHeight="1" thickBot="1" x14ac:dyDescent="0.35">
      <c r="B3503" s="96" t="s">
        <v>5470</v>
      </c>
      <c r="C3503" s="97">
        <v>526640</v>
      </c>
      <c r="D3503" s="96" t="s">
        <v>388</v>
      </c>
      <c r="E3503" s="96" t="s">
        <v>589</v>
      </c>
    </row>
    <row r="3504" spans="2:5" ht="15" customHeight="1" thickBot="1" x14ac:dyDescent="0.35">
      <c r="B3504" s="96" t="s">
        <v>5471</v>
      </c>
      <c r="C3504" s="97">
        <v>532983</v>
      </c>
      <c r="D3504" s="96" t="s">
        <v>5472</v>
      </c>
      <c r="E3504" s="96" t="s">
        <v>426</v>
      </c>
    </row>
    <row r="3505" spans="2:5" ht="15" customHeight="1" thickBot="1" x14ac:dyDescent="0.35">
      <c r="B3505" s="96" t="s">
        <v>5473</v>
      </c>
      <c r="C3505" s="97">
        <v>511626</v>
      </c>
      <c r="D3505" s="96" t="s">
        <v>388</v>
      </c>
      <c r="E3505" s="96" t="s">
        <v>405</v>
      </c>
    </row>
    <row r="3506" spans="2:5" ht="15" customHeight="1" thickBot="1" x14ac:dyDescent="0.35">
      <c r="B3506" s="96" t="s">
        <v>5474</v>
      </c>
      <c r="C3506" s="97">
        <v>530179</v>
      </c>
      <c r="D3506" s="96" t="s">
        <v>388</v>
      </c>
      <c r="E3506" s="96" t="s">
        <v>403</v>
      </c>
    </row>
    <row r="3507" spans="2:5" ht="15" customHeight="1" thickBot="1" x14ac:dyDescent="0.35">
      <c r="B3507" s="96" t="s">
        <v>5475</v>
      </c>
      <c r="C3507" s="97">
        <v>539875</v>
      </c>
      <c r="D3507" s="96" t="s">
        <v>388</v>
      </c>
      <c r="E3507" s="96" t="s">
        <v>408</v>
      </c>
    </row>
    <row r="3508" spans="2:5" ht="15" customHeight="1" thickBot="1" x14ac:dyDescent="0.35">
      <c r="B3508" s="96" t="s">
        <v>5476</v>
      </c>
      <c r="C3508" s="97">
        <v>500350</v>
      </c>
      <c r="D3508" s="96" t="s">
        <v>5477</v>
      </c>
      <c r="E3508" s="96" t="s">
        <v>403</v>
      </c>
    </row>
    <row r="3509" spans="2:5" ht="15" customHeight="1" thickBot="1" x14ac:dyDescent="0.35">
      <c r="B3509" s="96" t="s">
        <v>5478</v>
      </c>
      <c r="C3509" s="97">
        <v>531215</v>
      </c>
      <c r="D3509" s="96" t="s">
        <v>388</v>
      </c>
      <c r="E3509" s="96" t="s">
        <v>686</v>
      </c>
    </row>
    <row r="3510" spans="2:5" ht="15" customHeight="1" thickBot="1" x14ac:dyDescent="0.35">
      <c r="B3510" s="96" t="s">
        <v>5479</v>
      </c>
      <c r="C3510" s="97">
        <v>500367</v>
      </c>
      <c r="D3510" s="96" t="s">
        <v>388</v>
      </c>
      <c r="E3510" s="96" t="s">
        <v>868</v>
      </c>
    </row>
    <row r="3511" spans="2:5" ht="15" customHeight="1" thickBot="1" x14ac:dyDescent="0.35">
      <c r="B3511" s="96" t="s">
        <v>5480</v>
      </c>
      <c r="C3511" s="97">
        <v>531099</v>
      </c>
      <c r="D3511" s="96" t="s">
        <v>388</v>
      </c>
      <c r="E3511" s="96" t="s">
        <v>426</v>
      </c>
    </row>
    <row r="3512" spans="2:5" ht="15" customHeight="1" thickBot="1" x14ac:dyDescent="0.35">
      <c r="B3512" s="96" t="s">
        <v>5481</v>
      </c>
      <c r="C3512" s="97">
        <v>509020</v>
      </c>
      <c r="D3512" s="96" t="s">
        <v>5482</v>
      </c>
      <c r="E3512" s="96" t="s">
        <v>637</v>
      </c>
    </row>
    <row r="3513" spans="2:5" ht="15" customHeight="1" thickBot="1" x14ac:dyDescent="0.35">
      <c r="B3513" s="96" t="s">
        <v>5483</v>
      </c>
      <c r="C3513" s="97">
        <v>500368</v>
      </c>
      <c r="D3513" s="96" t="s">
        <v>5484</v>
      </c>
      <c r="E3513" s="96" t="s">
        <v>637</v>
      </c>
    </row>
    <row r="3514" spans="2:5" ht="15" customHeight="1" thickBot="1" x14ac:dyDescent="0.35">
      <c r="B3514" s="96" t="s">
        <v>5485</v>
      </c>
      <c r="C3514" s="97">
        <v>540696</v>
      </c>
      <c r="D3514" s="96" t="s">
        <v>388</v>
      </c>
      <c r="E3514" s="96" t="s">
        <v>410</v>
      </c>
    </row>
    <row r="3515" spans="2:5" ht="15" customHeight="1" thickBot="1" x14ac:dyDescent="0.35">
      <c r="B3515" s="96" t="s">
        <v>5486</v>
      </c>
      <c r="C3515" s="97">
        <v>540696</v>
      </c>
      <c r="D3515" s="96" t="s">
        <v>388</v>
      </c>
      <c r="E3515" s="96" t="s">
        <v>410</v>
      </c>
    </row>
    <row r="3516" spans="2:5" ht="15" customHeight="1" thickBot="1" x14ac:dyDescent="0.35">
      <c r="B3516" s="96" t="s">
        <v>5487</v>
      </c>
      <c r="C3516" s="97">
        <v>532785</v>
      </c>
      <c r="D3516" s="96" t="s">
        <v>5488</v>
      </c>
      <c r="E3516" s="96" t="s">
        <v>382</v>
      </c>
    </row>
    <row r="3517" spans="2:5" ht="15" customHeight="1" thickBot="1" x14ac:dyDescent="0.35">
      <c r="B3517" s="96" t="s">
        <v>5489</v>
      </c>
      <c r="C3517" s="97">
        <v>539226</v>
      </c>
      <c r="D3517" s="96" t="s">
        <v>388</v>
      </c>
      <c r="E3517" s="96" t="s">
        <v>420</v>
      </c>
    </row>
    <row r="3518" spans="2:5" ht="15" customHeight="1" thickBot="1" x14ac:dyDescent="0.35">
      <c r="B3518" s="96" t="s">
        <v>5490</v>
      </c>
      <c r="C3518" s="96" t="s">
        <v>388</v>
      </c>
      <c r="D3518" s="96" t="s">
        <v>5491</v>
      </c>
      <c r="E3518" s="96" t="s">
        <v>399</v>
      </c>
    </row>
    <row r="3519" spans="2:5" ht="15" customHeight="1" thickBot="1" x14ac:dyDescent="0.35">
      <c r="B3519" s="96" t="s">
        <v>5492</v>
      </c>
      <c r="C3519" s="97">
        <v>519413</v>
      </c>
      <c r="D3519" s="96" t="s">
        <v>388</v>
      </c>
      <c r="E3519" s="96" t="s">
        <v>410</v>
      </c>
    </row>
    <row r="3520" spans="2:5" ht="15" customHeight="1" thickBot="1" x14ac:dyDescent="0.35">
      <c r="B3520" s="96" t="s">
        <v>5493</v>
      </c>
      <c r="C3520" s="97">
        <v>530449</v>
      </c>
      <c r="D3520" s="96" t="s">
        <v>388</v>
      </c>
      <c r="E3520" s="96" t="s">
        <v>508</v>
      </c>
    </row>
    <row r="3521" spans="2:5" ht="15" customHeight="1" thickBot="1" x14ac:dyDescent="0.35">
      <c r="B3521" s="96" t="s">
        <v>5494</v>
      </c>
      <c r="C3521" s="97">
        <v>533552</v>
      </c>
      <c r="D3521" s="96" t="s">
        <v>5495</v>
      </c>
      <c r="E3521" s="96" t="s">
        <v>502</v>
      </c>
    </row>
    <row r="3522" spans="2:5" ht="15" customHeight="1" thickBot="1" x14ac:dyDescent="0.35">
      <c r="B3522" s="96" t="s">
        <v>5496</v>
      </c>
      <c r="C3522" s="97">
        <v>533470</v>
      </c>
      <c r="D3522" s="96" t="s">
        <v>5497</v>
      </c>
      <c r="E3522" s="96" t="s">
        <v>883</v>
      </c>
    </row>
    <row r="3523" spans="2:5" ht="15" customHeight="1" thickBot="1" x14ac:dyDescent="0.35">
      <c r="B3523" s="96" t="s">
        <v>5498</v>
      </c>
      <c r="C3523" s="97">
        <v>504335</v>
      </c>
      <c r="D3523" s="96" t="s">
        <v>388</v>
      </c>
      <c r="E3523" s="96" t="s">
        <v>410</v>
      </c>
    </row>
    <row r="3524" spans="2:5" ht="15" customHeight="1" thickBot="1" x14ac:dyDescent="0.35">
      <c r="B3524" s="96" t="s">
        <v>5499</v>
      </c>
      <c r="C3524" s="97">
        <v>517035</v>
      </c>
      <c r="D3524" s="96" t="s">
        <v>388</v>
      </c>
      <c r="E3524" s="96" t="s">
        <v>930</v>
      </c>
    </row>
    <row r="3525" spans="2:5" ht="15" customHeight="1" thickBot="1" x14ac:dyDescent="0.35">
      <c r="B3525" s="96" t="s">
        <v>5500</v>
      </c>
      <c r="C3525" s="97">
        <v>542034</v>
      </c>
      <c r="D3525" s="96" t="s">
        <v>388</v>
      </c>
      <c r="E3525" s="96" t="s">
        <v>502</v>
      </c>
    </row>
    <row r="3526" spans="2:5" ht="15" customHeight="1" thickBot="1" x14ac:dyDescent="0.35">
      <c r="B3526" s="96" t="s">
        <v>5501</v>
      </c>
      <c r="C3526" s="97">
        <v>532604</v>
      </c>
      <c r="D3526" s="96" t="s">
        <v>5502</v>
      </c>
      <c r="E3526" s="96" t="s">
        <v>420</v>
      </c>
    </row>
    <row r="3527" spans="2:5" ht="15" customHeight="1" thickBot="1" x14ac:dyDescent="0.35">
      <c r="B3527" s="96" t="s">
        <v>5503</v>
      </c>
      <c r="C3527" s="97">
        <v>540497</v>
      </c>
      <c r="D3527" s="96" t="s">
        <v>5504</v>
      </c>
      <c r="E3527" s="96" t="s">
        <v>912</v>
      </c>
    </row>
    <row r="3528" spans="2:5" ht="15" customHeight="1" thickBot="1" x14ac:dyDescent="0.35">
      <c r="B3528" s="96" t="s">
        <v>5505</v>
      </c>
      <c r="C3528" s="97">
        <v>534598</v>
      </c>
      <c r="D3528" s="96" t="s">
        <v>5506</v>
      </c>
      <c r="E3528" s="96" t="s">
        <v>527</v>
      </c>
    </row>
    <row r="3529" spans="2:5" ht="15" customHeight="1" thickBot="1" x14ac:dyDescent="0.35">
      <c r="B3529" s="96" t="s">
        <v>5507</v>
      </c>
      <c r="C3529" s="97">
        <v>539450</v>
      </c>
      <c r="D3529" s="96" t="s">
        <v>5508</v>
      </c>
      <c r="E3529" s="96" t="s">
        <v>570</v>
      </c>
    </row>
    <row r="3530" spans="2:5" ht="15" customHeight="1" thickBot="1" x14ac:dyDescent="0.35">
      <c r="B3530" s="96" t="s">
        <v>5509</v>
      </c>
      <c r="C3530" s="97">
        <v>532316</v>
      </c>
      <c r="D3530" s="96" t="s">
        <v>5510</v>
      </c>
      <c r="E3530" s="96" t="s">
        <v>5511</v>
      </c>
    </row>
    <row r="3531" spans="2:5" ht="15" customHeight="1" thickBot="1" x14ac:dyDescent="0.35">
      <c r="B3531" s="96" t="s">
        <v>5512</v>
      </c>
      <c r="C3531" s="97">
        <v>540048</v>
      </c>
      <c r="D3531" s="96" t="s">
        <v>5513</v>
      </c>
      <c r="E3531" s="96" t="s">
        <v>502</v>
      </c>
    </row>
    <row r="3532" spans="2:5" ht="15" customHeight="1" thickBot="1" x14ac:dyDescent="0.35">
      <c r="B3532" s="96" t="s">
        <v>5514</v>
      </c>
      <c r="C3532" s="97">
        <v>536710</v>
      </c>
      <c r="D3532" s="96" t="s">
        <v>388</v>
      </c>
      <c r="E3532" s="96" t="s">
        <v>405</v>
      </c>
    </row>
    <row r="3533" spans="2:5" ht="15" customHeight="1" thickBot="1" x14ac:dyDescent="0.35">
      <c r="B3533" s="96" t="s">
        <v>5515</v>
      </c>
      <c r="C3533" s="97">
        <v>513515</v>
      </c>
      <c r="D3533" s="96" t="s">
        <v>388</v>
      </c>
      <c r="E3533" s="96" t="s">
        <v>403</v>
      </c>
    </row>
    <row r="3534" spans="2:5" ht="15" customHeight="1" thickBot="1" x14ac:dyDescent="0.35">
      <c r="B3534" s="96" t="s">
        <v>5516</v>
      </c>
      <c r="C3534" s="97">
        <v>531307</v>
      </c>
      <c r="D3534" s="96" t="s">
        <v>388</v>
      </c>
      <c r="E3534" s="96" t="s">
        <v>403</v>
      </c>
    </row>
    <row r="3535" spans="2:5" ht="15" customHeight="1" thickBot="1" x14ac:dyDescent="0.35">
      <c r="B3535" s="96" t="s">
        <v>5517</v>
      </c>
      <c r="C3535" s="96" t="s">
        <v>388</v>
      </c>
      <c r="D3535" s="96" t="s">
        <v>5518</v>
      </c>
      <c r="E3535" s="96" t="s">
        <v>399</v>
      </c>
    </row>
    <row r="3536" spans="2:5" ht="15" customHeight="1" thickBot="1" x14ac:dyDescent="0.35">
      <c r="B3536" s="96" t="s">
        <v>5519</v>
      </c>
      <c r="C3536" s="97">
        <v>538876</v>
      </c>
      <c r="D3536" s="96" t="s">
        <v>388</v>
      </c>
      <c r="E3536" s="96" t="s">
        <v>405</v>
      </c>
    </row>
    <row r="3537" spans="2:5" ht="15" customHeight="1" thickBot="1" x14ac:dyDescent="0.35">
      <c r="B3537" s="96" t="s">
        <v>5520</v>
      </c>
      <c r="C3537" s="97">
        <v>535621</v>
      </c>
      <c r="D3537" s="96" t="s">
        <v>388</v>
      </c>
      <c r="E3537" s="96" t="s">
        <v>474</v>
      </c>
    </row>
    <row r="3538" spans="2:5" ht="15" customHeight="1" thickBot="1" x14ac:dyDescent="0.35">
      <c r="B3538" s="96" t="s">
        <v>5521</v>
      </c>
      <c r="C3538" s="97">
        <v>503622</v>
      </c>
      <c r="D3538" s="96" t="s">
        <v>388</v>
      </c>
      <c r="E3538" s="96" t="s">
        <v>371</v>
      </c>
    </row>
    <row r="3539" spans="2:5" ht="15" customHeight="1" thickBot="1" x14ac:dyDescent="0.35">
      <c r="B3539" s="96" t="s">
        <v>5522</v>
      </c>
      <c r="C3539" s="97">
        <v>514197</v>
      </c>
      <c r="D3539" s="96" t="s">
        <v>388</v>
      </c>
      <c r="E3539" s="96" t="s">
        <v>403</v>
      </c>
    </row>
    <row r="3540" spans="2:5" ht="15" customHeight="1" thickBot="1" x14ac:dyDescent="0.35">
      <c r="B3540" s="96" t="s">
        <v>5523</v>
      </c>
      <c r="C3540" s="97">
        <v>540081</v>
      </c>
      <c r="D3540" s="96" t="s">
        <v>5524</v>
      </c>
      <c r="E3540" s="96" t="s">
        <v>912</v>
      </c>
    </row>
    <row r="3541" spans="2:5" ht="15" customHeight="1" thickBot="1" x14ac:dyDescent="0.35">
      <c r="B3541" s="96" t="s">
        <v>5525</v>
      </c>
      <c r="C3541" s="97">
        <v>539112</v>
      </c>
      <c r="D3541" s="96" t="s">
        <v>388</v>
      </c>
      <c r="E3541" s="96" t="s">
        <v>474</v>
      </c>
    </row>
    <row r="3542" spans="2:5" ht="15" customHeight="1" thickBot="1" x14ac:dyDescent="0.35">
      <c r="B3542" s="96" t="s">
        <v>5526</v>
      </c>
      <c r="C3542" s="97">
        <v>530267</v>
      </c>
      <c r="D3542" s="96" t="s">
        <v>388</v>
      </c>
      <c r="E3542" s="96" t="s">
        <v>396</v>
      </c>
    </row>
    <row r="3543" spans="2:5" ht="15" customHeight="1" thickBot="1" x14ac:dyDescent="0.35">
      <c r="B3543" s="96" t="s">
        <v>5527</v>
      </c>
      <c r="C3543" s="97">
        <v>530461</v>
      </c>
      <c r="D3543" s="96" t="s">
        <v>388</v>
      </c>
      <c r="E3543" s="96" t="s">
        <v>468</v>
      </c>
    </row>
    <row r="3544" spans="2:5" ht="15" customHeight="1" thickBot="1" x14ac:dyDescent="0.35">
      <c r="B3544" s="96" t="s">
        <v>5528</v>
      </c>
      <c r="C3544" s="97">
        <v>540132</v>
      </c>
      <c r="D3544" s="96" t="s">
        <v>388</v>
      </c>
      <c r="E3544" s="96" t="s">
        <v>410</v>
      </c>
    </row>
    <row r="3545" spans="2:5" ht="15" customHeight="1" thickBot="1" x14ac:dyDescent="0.35">
      <c r="B3545" s="96" t="s">
        <v>5529</v>
      </c>
      <c r="C3545" s="97">
        <v>540132</v>
      </c>
      <c r="D3545" s="96" t="s">
        <v>388</v>
      </c>
      <c r="E3545" s="96" t="s">
        <v>410</v>
      </c>
    </row>
    <row r="3546" spans="2:5" ht="15" customHeight="1" thickBot="1" x14ac:dyDescent="0.35">
      <c r="B3546" s="96" t="s">
        <v>5530</v>
      </c>
      <c r="C3546" s="97">
        <v>531869</v>
      </c>
      <c r="D3546" s="96" t="s">
        <v>388</v>
      </c>
      <c r="E3546" s="96" t="s">
        <v>693</v>
      </c>
    </row>
    <row r="3547" spans="2:5" ht="15" customHeight="1" thickBot="1" x14ac:dyDescent="0.35">
      <c r="B3547" s="96" t="s">
        <v>5531</v>
      </c>
      <c r="C3547" s="97">
        <v>532710</v>
      </c>
      <c r="D3547" s="96" t="s">
        <v>5532</v>
      </c>
      <c r="E3547" s="96" t="s">
        <v>786</v>
      </c>
    </row>
    <row r="3548" spans="2:5" ht="15" customHeight="1" thickBot="1" x14ac:dyDescent="0.35">
      <c r="B3548" s="96" t="s">
        <v>5533</v>
      </c>
      <c r="C3548" s="97">
        <v>539346</v>
      </c>
      <c r="D3548" s="96" t="s">
        <v>5534</v>
      </c>
      <c r="E3548" s="96" t="s">
        <v>983</v>
      </c>
    </row>
    <row r="3549" spans="2:5" ht="15" customHeight="1" thickBot="1" x14ac:dyDescent="0.35">
      <c r="B3549" s="96" t="s">
        <v>5535</v>
      </c>
      <c r="C3549" s="97">
        <v>506642</v>
      </c>
      <c r="D3549" s="96" t="s">
        <v>388</v>
      </c>
      <c r="E3549" s="96" t="s">
        <v>436</v>
      </c>
    </row>
    <row r="3550" spans="2:5" ht="15" customHeight="1" thickBot="1" x14ac:dyDescent="0.35">
      <c r="B3550" s="96" t="s">
        <v>5536</v>
      </c>
      <c r="C3550" s="97">
        <v>540821</v>
      </c>
      <c r="D3550" s="96" t="s">
        <v>388</v>
      </c>
      <c r="E3550" s="96" t="s">
        <v>1126</v>
      </c>
    </row>
    <row r="3551" spans="2:5" ht="15" customHeight="1" thickBot="1" x14ac:dyDescent="0.35">
      <c r="B3551" s="96" t="s">
        <v>5537</v>
      </c>
      <c r="C3551" s="97">
        <v>532034</v>
      </c>
      <c r="D3551" s="96" t="s">
        <v>388</v>
      </c>
      <c r="E3551" s="96" t="s">
        <v>570</v>
      </c>
    </row>
    <row r="3552" spans="2:5" ht="15" customHeight="1" thickBot="1" x14ac:dyDescent="0.35">
      <c r="B3552" s="96" t="s">
        <v>5538</v>
      </c>
      <c r="C3552" s="97">
        <v>531448</v>
      </c>
      <c r="D3552" s="96" t="s">
        <v>388</v>
      </c>
      <c r="E3552" s="96" t="s">
        <v>809</v>
      </c>
    </row>
    <row r="3553" spans="2:5" ht="15" customHeight="1" thickBot="1" x14ac:dyDescent="0.35">
      <c r="B3553" s="96" t="s">
        <v>5539</v>
      </c>
      <c r="C3553" s="97">
        <v>523025</v>
      </c>
      <c r="D3553" s="96" t="s">
        <v>388</v>
      </c>
      <c r="E3553" s="96" t="s">
        <v>502</v>
      </c>
    </row>
    <row r="3554" spans="2:5" ht="15" customHeight="1" thickBot="1" x14ac:dyDescent="0.35">
      <c r="B3554" s="96" t="s">
        <v>5540</v>
      </c>
      <c r="C3554" s="97">
        <v>523025</v>
      </c>
      <c r="D3554" s="96" t="s">
        <v>388</v>
      </c>
      <c r="E3554" s="96" t="s">
        <v>502</v>
      </c>
    </row>
    <row r="3555" spans="2:5" ht="15" customHeight="1" thickBot="1" x14ac:dyDescent="0.35">
      <c r="B3555" s="96" t="s">
        <v>5541</v>
      </c>
      <c r="C3555" s="97">
        <v>502090</v>
      </c>
      <c r="D3555" s="96" t="s">
        <v>5542</v>
      </c>
      <c r="E3555" s="96" t="s">
        <v>401</v>
      </c>
    </row>
    <row r="3556" spans="2:5" ht="15" customHeight="1" thickBot="1" x14ac:dyDescent="0.35">
      <c r="B3556" s="96" t="s">
        <v>5543</v>
      </c>
      <c r="C3556" s="97">
        <v>540715</v>
      </c>
      <c r="D3556" s="96" t="s">
        <v>388</v>
      </c>
      <c r="E3556" s="96" t="s">
        <v>502</v>
      </c>
    </row>
    <row r="3557" spans="2:5" ht="15" customHeight="1" thickBot="1" x14ac:dyDescent="0.35">
      <c r="B3557" s="96" t="s">
        <v>5544</v>
      </c>
      <c r="C3557" s="97">
        <v>532092</v>
      </c>
      <c r="D3557" s="96" t="s">
        <v>388</v>
      </c>
      <c r="E3557" s="96" t="s">
        <v>405</v>
      </c>
    </row>
    <row r="3558" spans="2:5" ht="15" customHeight="1" thickBot="1" x14ac:dyDescent="0.35">
      <c r="B3558" s="96" t="s">
        <v>5545</v>
      </c>
      <c r="C3558" s="97">
        <v>507663</v>
      </c>
      <c r="D3558" s="96" t="s">
        <v>388</v>
      </c>
      <c r="E3558" s="96" t="s">
        <v>637</v>
      </c>
    </row>
    <row r="3559" spans="2:5" ht="15" customHeight="1" thickBot="1" x14ac:dyDescent="0.35">
      <c r="B3559" s="96" t="s">
        <v>5546</v>
      </c>
      <c r="C3559" s="97">
        <v>511254</v>
      </c>
      <c r="D3559" s="96" t="s">
        <v>388</v>
      </c>
      <c r="E3559" s="96" t="s">
        <v>405</v>
      </c>
    </row>
    <row r="3560" spans="2:5" ht="15" customHeight="1" thickBot="1" x14ac:dyDescent="0.35">
      <c r="B3560" s="96" t="s">
        <v>5547</v>
      </c>
      <c r="C3560" s="97">
        <v>526085</v>
      </c>
      <c r="D3560" s="96" t="s">
        <v>388</v>
      </c>
      <c r="E3560" s="96" t="s">
        <v>589</v>
      </c>
    </row>
    <row r="3561" spans="2:5" ht="15" customHeight="1" thickBot="1" x14ac:dyDescent="0.35">
      <c r="B3561" s="96" t="s">
        <v>5548</v>
      </c>
      <c r="C3561" s="96" t="s">
        <v>388</v>
      </c>
      <c r="D3561" s="96" t="s">
        <v>5549</v>
      </c>
      <c r="E3561" s="96" t="s">
        <v>399</v>
      </c>
    </row>
    <row r="3562" spans="2:5" ht="15" customHeight="1" thickBot="1" x14ac:dyDescent="0.35">
      <c r="B3562" s="96" t="s">
        <v>5550</v>
      </c>
      <c r="C3562" s="97">
        <v>540143</v>
      </c>
      <c r="D3562" s="96" t="s">
        <v>388</v>
      </c>
      <c r="E3562" s="96" t="s">
        <v>374</v>
      </c>
    </row>
    <row r="3563" spans="2:5" ht="15" customHeight="1" thickBot="1" x14ac:dyDescent="0.35">
      <c r="B3563" s="96" t="s">
        <v>5551</v>
      </c>
      <c r="C3563" s="97">
        <v>540143</v>
      </c>
      <c r="D3563" s="96" t="s">
        <v>388</v>
      </c>
      <c r="E3563" s="96" t="s">
        <v>374</v>
      </c>
    </row>
    <row r="3564" spans="2:5" ht="15" customHeight="1" thickBot="1" x14ac:dyDescent="0.35">
      <c r="B3564" s="96" t="s">
        <v>5552</v>
      </c>
      <c r="C3564" s="97">
        <v>511533</v>
      </c>
      <c r="D3564" s="96" t="s">
        <v>388</v>
      </c>
      <c r="E3564" s="96" t="s">
        <v>446</v>
      </c>
    </row>
    <row r="3565" spans="2:5" ht="15" customHeight="1" thickBot="1" x14ac:dyDescent="0.35">
      <c r="B3565" s="96" t="s">
        <v>5553</v>
      </c>
      <c r="C3565" s="97">
        <v>503691</v>
      </c>
      <c r="D3565" s="96" t="s">
        <v>388</v>
      </c>
      <c r="E3565" s="96" t="s">
        <v>1126</v>
      </c>
    </row>
    <row r="3566" spans="2:5" ht="15" customHeight="1" thickBot="1" x14ac:dyDescent="0.35">
      <c r="B3566" s="96" t="s">
        <v>5554</v>
      </c>
      <c r="C3566" s="97">
        <v>532841</v>
      </c>
      <c r="D3566" s="96" t="s">
        <v>388</v>
      </c>
      <c r="E3566" s="96" t="s">
        <v>401</v>
      </c>
    </row>
    <row r="3567" spans="2:5" ht="15" customHeight="1" thickBot="1" x14ac:dyDescent="0.35">
      <c r="B3567" s="96" t="s">
        <v>5555</v>
      </c>
      <c r="C3567" s="97">
        <v>539660</v>
      </c>
      <c r="D3567" s="96" t="s">
        <v>388</v>
      </c>
      <c r="E3567" s="96" t="s">
        <v>371</v>
      </c>
    </row>
    <row r="3568" spans="2:5" ht="15" customHeight="1" thickBot="1" x14ac:dyDescent="0.35">
      <c r="B3568" s="96" t="s">
        <v>5556</v>
      </c>
      <c r="C3568" s="97">
        <v>538557</v>
      </c>
      <c r="D3568" s="96" t="s">
        <v>388</v>
      </c>
      <c r="E3568" s="96" t="s">
        <v>410</v>
      </c>
    </row>
    <row r="3569" spans="2:5" ht="15" customHeight="1" thickBot="1" x14ac:dyDescent="0.35">
      <c r="B3569" s="96" t="s">
        <v>5557</v>
      </c>
      <c r="C3569" s="97">
        <v>531931</v>
      </c>
      <c r="D3569" s="96" t="s">
        <v>388</v>
      </c>
      <c r="E3569" s="96" t="s">
        <v>809</v>
      </c>
    </row>
    <row r="3570" spans="2:5" ht="15" customHeight="1" thickBot="1" x14ac:dyDescent="0.35">
      <c r="B3570" s="96" t="s">
        <v>5558</v>
      </c>
      <c r="C3570" s="97">
        <v>530905</v>
      </c>
      <c r="D3570" s="96" t="s">
        <v>388</v>
      </c>
      <c r="E3570" s="96" t="s">
        <v>405</v>
      </c>
    </row>
    <row r="3571" spans="2:5" ht="15" customHeight="1" thickBot="1" x14ac:dyDescent="0.35">
      <c r="B3571" s="96" t="s">
        <v>5559</v>
      </c>
      <c r="C3571" s="97">
        <v>540066</v>
      </c>
      <c r="D3571" s="96" t="s">
        <v>388</v>
      </c>
      <c r="E3571" s="96" t="s">
        <v>743</v>
      </c>
    </row>
    <row r="3572" spans="2:5" ht="15" customHeight="1" thickBot="1" x14ac:dyDescent="0.35">
      <c r="B3572" s="96" t="s">
        <v>5560</v>
      </c>
      <c r="C3572" s="97">
        <v>530265</v>
      </c>
      <c r="D3572" s="96" t="s">
        <v>388</v>
      </c>
      <c r="E3572" s="96" t="s">
        <v>401</v>
      </c>
    </row>
    <row r="3573" spans="2:5" ht="15" customHeight="1" thickBot="1" x14ac:dyDescent="0.35">
      <c r="B3573" s="96" t="s">
        <v>5561</v>
      </c>
      <c r="C3573" s="97">
        <v>515043</v>
      </c>
      <c r="D3573" s="96" t="s">
        <v>388</v>
      </c>
      <c r="E3573" s="96" t="s">
        <v>665</v>
      </c>
    </row>
    <row r="3574" spans="2:5" ht="15" customHeight="1" thickBot="1" x14ac:dyDescent="0.35">
      <c r="B3574" s="96" t="s">
        <v>5562</v>
      </c>
      <c r="C3574" s="97">
        <v>515043</v>
      </c>
      <c r="D3574" s="96" t="s">
        <v>388</v>
      </c>
      <c r="E3574" s="96" t="s">
        <v>665</v>
      </c>
    </row>
    <row r="3575" spans="2:5" ht="15" customHeight="1" thickBot="1" x14ac:dyDescent="0.35">
      <c r="B3575" s="96" t="s">
        <v>5563</v>
      </c>
      <c r="C3575" s="96" t="s">
        <v>388</v>
      </c>
      <c r="D3575" s="96" t="s">
        <v>5564</v>
      </c>
      <c r="E3575" s="96" t="s">
        <v>399</v>
      </c>
    </row>
    <row r="3576" spans="2:5" ht="15" customHeight="1" thickBot="1" x14ac:dyDescent="0.35">
      <c r="B3576" s="96" t="s">
        <v>5565</v>
      </c>
      <c r="C3576" s="96" t="s">
        <v>388</v>
      </c>
      <c r="D3576" s="96" t="s">
        <v>5566</v>
      </c>
      <c r="E3576" s="96" t="s">
        <v>399</v>
      </c>
    </row>
    <row r="3577" spans="2:5" ht="15" customHeight="1" thickBot="1" x14ac:dyDescent="0.35">
      <c r="B3577" s="96" t="s">
        <v>5567</v>
      </c>
      <c r="C3577" s="97">
        <v>590051</v>
      </c>
      <c r="D3577" s="96" t="s">
        <v>5568</v>
      </c>
      <c r="E3577" s="96" t="s">
        <v>481</v>
      </c>
    </row>
    <row r="3578" spans="2:5" ht="15" customHeight="1" thickBot="1" x14ac:dyDescent="0.35">
      <c r="B3578" s="96" t="s">
        <v>5569</v>
      </c>
      <c r="C3578" s="97">
        <v>511066</v>
      </c>
      <c r="D3578" s="96" t="s">
        <v>388</v>
      </c>
      <c r="E3578" s="96" t="s">
        <v>405</v>
      </c>
    </row>
    <row r="3579" spans="2:5" ht="15" customHeight="1" thickBot="1" x14ac:dyDescent="0.35">
      <c r="B3579" s="96" t="s">
        <v>5570</v>
      </c>
      <c r="C3579" s="97">
        <v>507315</v>
      </c>
      <c r="D3579" s="96" t="s">
        <v>5571</v>
      </c>
      <c r="E3579" s="96" t="s">
        <v>1087</v>
      </c>
    </row>
    <row r="3580" spans="2:5" ht="15" customHeight="1" thickBot="1" x14ac:dyDescent="0.35">
      <c r="B3580" s="96" t="s">
        <v>5572</v>
      </c>
      <c r="C3580" s="97">
        <v>532713</v>
      </c>
      <c r="D3580" s="96" t="s">
        <v>5573</v>
      </c>
      <c r="E3580" s="96" t="s">
        <v>410</v>
      </c>
    </row>
    <row r="3581" spans="2:5" ht="15" customHeight="1" thickBot="1" x14ac:dyDescent="0.35">
      <c r="B3581" s="96" t="s">
        <v>5574</v>
      </c>
      <c r="C3581" s="97">
        <v>540642</v>
      </c>
      <c r="D3581" s="96" t="s">
        <v>5575</v>
      </c>
      <c r="E3581" s="96" t="s">
        <v>786</v>
      </c>
    </row>
    <row r="3582" spans="2:5" ht="15" customHeight="1" thickBot="1" x14ac:dyDescent="0.35">
      <c r="B3582" s="96" t="s">
        <v>5576</v>
      </c>
      <c r="C3582" s="97">
        <v>540181</v>
      </c>
      <c r="D3582" s="96" t="s">
        <v>388</v>
      </c>
      <c r="E3582" s="96" t="s">
        <v>405</v>
      </c>
    </row>
    <row r="3583" spans="2:5" ht="15" customHeight="1" thickBot="1" x14ac:dyDescent="0.35">
      <c r="B3583" s="96" t="s">
        <v>5577</v>
      </c>
      <c r="C3583" s="97">
        <v>526554</v>
      </c>
      <c r="D3583" s="96" t="s">
        <v>388</v>
      </c>
      <c r="E3583" s="96" t="s">
        <v>583</v>
      </c>
    </row>
    <row r="3584" spans="2:5" ht="15" customHeight="1" thickBot="1" x14ac:dyDescent="0.35">
      <c r="B3584" s="96" t="s">
        <v>5578</v>
      </c>
      <c r="C3584" s="97">
        <v>590056</v>
      </c>
      <c r="D3584" s="96" t="s">
        <v>5579</v>
      </c>
      <c r="E3584" s="96" t="s">
        <v>403</v>
      </c>
    </row>
    <row r="3585" spans="2:5" ht="15" customHeight="1" thickBot="1" x14ac:dyDescent="0.35">
      <c r="B3585" s="96" t="s">
        <v>5580</v>
      </c>
      <c r="C3585" s="97">
        <v>500370</v>
      </c>
      <c r="D3585" s="96" t="s">
        <v>5581</v>
      </c>
      <c r="E3585" s="96" t="s">
        <v>410</v>
      </c>
    </row>
    <row r="3586" spans="2:5" ht="15" customHeight="1" thickBot="1" x14ac:dyDescent="0.35">
      <c r="B3586" s="96" t="s">
        <v>5582</v>
      </c>
      <c r="C3586" s="97">
        <v>517059</v>
      </c>
      <c r="D3586" s="96" t="s">
        <v>5583</v>
      </c>
      <c r="E3586" s="96" t="s">
        <v>686</v>
      </c>
    </row>
    <row r="3587" spans="2:5" ht="15" customHeight="1" thickBot="1" x14ac:dyDescent="0.35">
      <c r="B3587" s="96" t="s">
        <v>5584</v>
      </c>
      <c r="C3587" s="97">
        <v>532005</v>
      </c>
      <c r="D3587" s="96" t="s">
        <v>388</v>
      </c>
      <c r="E3587" s="96" t="s">
        <v>573</v>
      </c>
    </row>
    <row r="3588" spans="2:5" ht="15" customHeight="1" thickBot="1" x14ac:dyDescent="0.35">
      <c r="B3588" s="96" t="s">
        <v>5585</v>
      </c>
      <c r="C3588" s="97">
        <v>521240</v>
      </c>
      <c r="D3588" s="96" t="s">
        <v>388</v>
      </c>
      <c r="E3588" s="96" t="s">
        <v>403</v>
      </c>
    </row>
    <row r="3589" spans="2:5" ht="15" customHeight="1" thickBot="1" x14ac:dyDescent="0.35">
      <c r="B3589" s="96" t="s">
        <v>5586</v>
      </c>
      <c r="C3589" s="97">
        <v>511630</v>
      </c>
      <c r="D3589" s="96" t="s">
        <v>5587</v>
      </c>
      <c r="E3589" s="96" t="s">
        <v>912</v>
      </c>
    </row>
    <row r="3590" spans="2:5" ht="15" customHeight="1" thickBot="1" x14ac:dyDescent="0.35">
      <c r="B3590" s="96" t="s">
        <v>5588</v>
      </c>
      <c r="C3590" s="97">
        <v>520075</v>
      </c>
      <c r="D3590" s="96" t="s">
        <v>388</v>
      </c>
      <c r="E3590" s="96" t="s">
        <v>743</v>
      </c>
    </row>
    <row r="3591" spans="2:5" ht="15" customHeight="1" thickBot="1" x14ac:dyDescent="0.35">
      <c r="B3591" s="96" t="s">
        <v>5589</v>
      </c>
      <c r="C3591" s="97">
        <v>530617</v>
      </c>
      <c r="D3591" s="96" t="s">
        <v>388</v>
      </c>
      <c r="E3591" s="96" t="s">
        <v>448</v>
      </c>
    </row>
    <row r="3592" spans="2:5" ht="15" customHeight="1" thickBot="1" x14ac:dyDescent="0.35">
      <c r="B3592" s="96" t="s">
        <v>5590</v>
      </c>
      <c r="C3592" s="97">
        <v>530125</v>
      </c>
      <c r="D3592" s="96" t="s">
        <v>388</v>
      </c>
      <c r="E3592" s="96" t="s">
        <v>426</v>
      </c>
    </row>
    <row r="3593" spans="2:5" ht="15" customHeight="1" thickBot="1" x14ac:dyDescent="0.35">
      <c r="B3593" s="96" t="s">
        <v>5591</v>
      </c>
      <c r="C3593" s="97">
        <v>500371</v>
      </c>
      <c r="D3593" s="96" t="s">
        <v>388</v>
      </c>
      <c r="E3593" s="96" t="s">
        <v>757</v>
      </c>
    </row>
    <row r="3594" spans="2:5" ht="15" customHeight="1" thickBot="1" x14ac:dyDescent="0.35">
      <c r="B3594" s="96" t="s">
        <v>5592</v>
      </c>
      <c r="C3594" s="97">
        <v>500371</v>
      </c>
      <c r="D3594" s="96" t="s">
        <v>388</v>
      </c>
      <c r="E3594" s="96" t="s">
        <v>757</v>
      </c>
    </row>
    <row r="3595" spans="2:5" ht="15" customHeight="1" thickBot="1" x14ac:dyDescent="0.35">
      <c r="B3595" s="96" t="s">
        <v>5593</v>
      </c>
      <c r="C3595" s="97">
        <v>521206</v>
      </c>
      <c r="D3595" s="96" t="s">
        <v>388</v>
      </c>
      <c r="E3595" s="96" t="s">
        <v>502</v>
      </c>
    </row>
    <row r="3596" spans="2:5" ht="15" customHeight="1" thickBot="1" x14ac:dyDescent="0.35">
      <c r="B3596" s="96" t="s">
        <v>5594</v>
      </c>
      <c r="C3596" s="97">
        <v>530025</v>
      </c>
      <c r="D3596" s="96" t="s">
        <v>388</v>
      </c>
      <c r="E3596" s="96" t="s">
        <v>809</v>
      </c>
    </row>
    <row r="3597" spans="2:5" ht="15" customHeight="1" thickBot="1" x14ac:dyDescent="0.35">
      <c r="B3597" s="96" t="s">
        <v>5595</v>
      </c>
      <c r="C3597" s="97">
        <v>780015</v>
      </c>
      <c r="D3597" s="96" t="s">
        <v>388</v>
      </c>
      <c r="E3597" s="96" t="s">
        <v>479</v>
      </c>
    </row>
    <row r="3598" spans="2:5" ht="15" customHeight="1" thickBot="1" x14ac:dyDescent="0.35">
      <c r="B3598" s="96" t="s">
        <v>5596</v>
      </c>
      <c r="C3598" s="97">
        <v>509423</v>
      </c>
      <c r="D3598" s="96" t="s">
        <v>388</v>
      </c>
      <c r="E3598" s="96" t="s">
        <v>436</v>
      </c>
    </row>
    <row r="3599" spans="2:5" ht="15" customHeight="1" thickBot="1" x14ac:dyDescent="0.35">
      <c r="B3599" s="96" t="s">
        <v>5597</v>
      </c>
      <c r="C3599" s="97">
        <v>521222</v>
      </c>
      <c r="D3599" s="96" t="s">
        <v>388</v>
      </c>
      <c r="E3599" s="96" t="s">
        <v>502</v>
      </c>
    </row>
    <row r="3600" spans="2:5" ht="15" customHeight="1" thickBot="1" x14ac:dyDescent="0.35">
      <c r="B3600" s="96" t="s">
        <v>5598</v>
      </c>
      <c r="C3600" s="96" t="s">
        <v>388</v>
      </c>
      <c r="D3600" s="96" t="s">
        <v>5599</v>
      </c>
      <c r="E3600" s="96" t="s">
        <v>479</v>
      </c>
    </row>
    <row r="3601" spans="2:5" ht="15" customHeight="1" thickBot="1" x14ac:dyDescent="0.35">
      <c r="B3601" s="96" t="s">
        <v>5600</v>
      </c>
      <c r="C3601" s="97">
        <v>523116</v>
      </c>
      <c r="D3601" s="96" t="s">
        <v>388</v>
      </c>
      <c r="E3601" s="96" t="s">
        <v>511</v>
      </c>
    </row>
    <row r="3602" spans="2:5" ht="15" customHeight="1" thickBot="1" x14ac:dyDescent="0.35">
      <c r="B3602" s="96" t="s">
        <v>5601</v>
      </c>
      <c r="C3602" s="97">
        <v>541163</v>
      </c>
      <c r="D3602" s="96" t="s">
        <v>5602</v>
      </c>
      <c r="E3602" s="96" t="s">
        <v>743</v>
      </c>
    </row>
    <row r="3603" spans="2:5" ht="15" customHeight="1" thickBot="1" x14ac:dyDescent="0.35">
      <c r="B3603" s="96" t="s">
        <v>5603</v>
      </c>
      <c r="C3603" s="97">
        <v>524703</v>
      </c>
      <c r="D3603" s="96" t="s">
        <v>388</v>
      </c>
      <c r="E3603" s="96" t="s">
        <v>426</v>
      </c>
    </row>
    <row r="3604" spans="2:5" ht="15" customHeight="1" thickBot="1" x14ac:dyDescent="0.35">
      <c r="B3604" s="96" t="s">
        <v>5604</v>
      </c>
      <c r="C3604" s="97">
        <v>504918</v>
      </c>
      <c r="D3604" s="96" t="s">
        <v>388</v>
      </c>
      <c r="E3604" s="96" t="s">
        <v>368</v>
      </c>
    </row>
    <row r="3605" spans="2:5" ht="15" customHeight="1" thickBot="1" x14ac:dyDescent="0.35">
      <c r="B3605" s="96" t="s">
        <v>5605</v>
      </c>
      <c r="C3605" s="97">
        <v>539392</v>
      </c>
      <c r="D3605" s="96" t="s">
        <v>388</v>
      </c>
      <c r="E3605" s="96" t="s">
        <v>410</v>
      </c>
    </row>
    <row r="3606" spans="2:5" ht="15" customHeight="1" thickBot="1" x14ac:dyDescent="0.35">
      <c r="B3606" s="96" t="s">
        <v>5606</v>
      </c>
      <c r="C3606" s="97">
        <v>539392</v>
      </c>
      <c r="D3606" s="96" t="s">
        <v>388</v>
      </c>
      <c r="E3606" s="96" t="s">
        <v>410</v>
      </c>
    </row>
    <row r="3607" spans="2:5" ht="15" customHeight="1" thickBot="1" x14ac:dyDescent="0.35">
      <c r="B3607" s="96" t="s">
        <v>5607</v>
      </c>
      <c r="C3607" s="97">
        <v>516096</v>
      </c>
      <c r="D3607" s="96" t="s">
        <v>388</v>
      </c>
      <c r="E3607" s="96" t="s">
        <v>382</v>
      </c>
    </row>
    <row r="3608" spans="2:5" ht="15" customHeight="1" thickBot="1" x14ac:dyDescent="0.35">
      <c r="B3608" s="96" t="s">
        <v>5608</v>
      </c>
      <c r="C3608" s="97">
        <v>514234</v>
      </c>
      <c r="D3608" s="96" t="s">
        <v>5609</v>
      </c>
      <c r="E3608" s="96" t="s">
        <v>403</v>
      </c>
    </row>
    <row r="3609" spans="2:5" ht="15" customHeight="1" thickBot="1" x14ac:dyDescent="0.35">
      <c r="B3609" s="96" t="s">
        <v>5610</v>
      </c>
      <c r="C3609" s="97">
        <v>514234</v>
      </c>
      <c r="D3609" s="96" t="s">
        <v>5609</v>
      </c>
      <c r="E3609" s="96" t="s">
        <v>403</v>
      </c>
    </row>
    <row r="3610" spans="2:5" ht="15" customHeight="1" thickBot="1" x14ac:dyDescent="0.35">
      <c r="B3610" s="96" t="s">
        <v>5611</v>
      </c>
      <c r="C3610" s="97">
        <v>534618</v>
      </c>
      <c r="D3610" s="96" t="s">
        <v>388</v>
      </c>
      <c r="E3610" s="96" t="s">
        <v>527</v>
      </c>
    </row>
    <row r="3611" spans="2:5" ht="15" customHeight="1" thickBot="1" x14ac:dyDescent="0.35">
      <c r="B3611" s="96" t="s">
        <v>5612</v>
      </c>
      <c r="C3611" s="97">
        <v>511640</v>
      </c>
      <c r="D3611" s="96" t="s">
        <v>388</v>
      </c>
      <c r="E3611" s="96" t="s">
        <v>405</v>
      </c>
    </row>
    <row r="3612" spans="2:5" ht="15" customHeight="1" thickBot="1" x14ac:dyDescent="0.35">
      <c r="B3612" s="96" t="s">
        <v>5613</v>
      </c>
      <c r="C3612" s="97">
        <v>526521</v>
      </c>
      <c r="D3612" s="96" t="s">
        <v>5614</v>
      </c>
      <c r="E3612" s="96" t="s">
        <v>401</v>
      </c>
    </row>
    <row r="3613" spans="2:5" ht="15" customHeight="1" thickBot="1" x14ac:dyDescent="0.35">
      <c r="B3613" s="96" t="s">
        <v>5615</v>
      </c>
      <c r="C3613" s="97">
        <v>540782</v>
      </c>
      <c r="D3613" s="96" t="s">
        <v>388</v>
      </c>
      <c r="E3613" s="96" t="s">
        <v>589</v>
      </c>
    </row>
    <row r="3614" spans="2:5" ht="15" customHeight="1" thickBot="1" x14ac:dyDescent="0.35">
      <c r="B3614" s="96" t="s">
        <v>5616</v>
      </c>
      <c r="C3614" s="97">
        <v>533411</v>
      </c>
      <c r="D3614" s="96" t="s">
        <v>5617</v>
      </c>
      <c r="E3614" s="96" t="s">
        <v>1307</v>
      </c>
    </row>
    <row r="3615" spans="2:5" ht="15" customHeight="1" thickBot="1" x14ac:dyDescent="0.35">
      <c r="B3615" s="96" t="s">
        <v>5618</v>
      </c>
      <c r="C3615" s="97">
        <v>530073</v>
      </c>
      <c r="D3615" s="96" t="s">
        <v>5619</v>
      </c>
      <c r="E3615" s="96" t="s">
        <v>511</v>
      </c>
    </row>
    <row r="3616" spans="2:5" ht="15" customHeight="1" thickBot="1" x14ac:dyDescent="0.35">
      <c r="B3616" s="96" t="s">
        <v>5620</v>
      </c>
      <c r="C3616" s="96" t="s">
        <v>388</v>
      </c>
      <c r="D3616" s="96" t="s">
        <v>5621</v>
      </c>
      <c r="E3616" s="96" t="s">
        <v>399</v>
      </c>
    </row>
    <row r="3617" spans="2:5" ht="15" customHeight="1" thickBot="1" x14ac:dyDescent="0.35">
      <c r="B3617" s="96" t="s">
        <v>5622</v>
      </c>
      <c r="C3617" s="97">
        <v>531898</v>
      </c>
      <c r="D3617" s="96" t="s">
        <v>388</v>
      </c>
      <c r="E3617" s="96" t="s">
        <v>391</v>
      </c>
    </row>
    <row r="3618" spans="2:5" ht="15" customHeight="1" thickBot="1" x14ac:dyDescent="0.35">
      <c r="B3618" s="96" t="s">
        <v>5623</v>
      </c>
      <c r="C3618" s="97">
        <v>531569</v>
      </c>
      <c r="D3618" s="96" t="s">
        <v>388</v>
      </c>
      <c r="E3618" s="96" t="s">
        <v>426</v>
      </c>
    </row>
    <row r="3619" spans="2:5" ht="15" customHeight="1" thickBot="1" x14ac:dyDescent="0.35">
      <c r="B3619" s="96" t="s">
        <v>5624</v>
      </c>
      <c r="C3619" s="97">
        <v>532972</v>
      </c>
      <c r="D3619" s="96" t="s">
        <v>388</v>
      </c>
      <c r="E3619" s="96" t="s">
        <v>481</v>
      </c>
    </row>
    <row r="3620" spans="2:5" ht="15" customHeight="1" thickBot="1" x14ac:dyDescent="0.35">
      <c r="B3620" s="96" t="s">
        <v>5625</v>
      </c>
      <c r="C3620" s="97">
        <v>532435</v>
      </c>
      <c r="D3620" s="96" t="s">
        <v>388</v>
      </c>
      <c r="E3620" s="96" t="s">
        <v>474</v>
      </c>
    </row>
    <row r="3621" spans="2:5" ht="15" customHeight="1" thickBot="1" x14ac:dyDescent="0.35">
      <c r="B3621" s="96" t="s">
        <v>5626</v>
      </c>
      <c r="C3621" s="97">
        <v>512062</v>
      </c>
      <c r="D3621" s="96" t="s">
        <v>388</v>
      </c>
      <c r="E3621" s="96" t="s">
        <v>809</v>
      </c>
    </row>
    <row r="3622" spans="2:5" ht="15" customHeight="1" thickBot="1" x14ac:dyDescent="0.35">
      <c r="B3622" s="96" t="s">
        <v>5627</v>
      </c>
      <c r="C3622" s="97">
        <v>500674</v>
      </c>
      <c r="D3622" s="96" t="s">
        <v>5628</v>
      </c>
      <c r="E3622" s="96" t="s">
        <v>426</v>
      </c>
    </row>
    <row r="3623" spans="2:5" ht="15" customHeight="1" thickBot="1" x14ac:dyDescent="0.35">
      <c r="B3623" s="96" t="s">
        <v>5629</v>
      </c>
      <c r="C3623" s="97">
        <v>500674</v>
      </c>
      <c r="D3623" s="96" t="s">
        <v>5628</v>
      </c>
      <c r="E3623" s="96" t="s">
        <v>426</v>
      </c>
    </row>
    <row r="3624" spans="2:5" ht="15" customHeight="1" thickBot="1" x14ac:dyDescent="0.35">
      <c r="B3624" s="96" t="s">
        <v>5630</v>
      </c>
      <c r="C3624" s="97">
        <v>514280</v>
      </c>
      <c r="D3624" s="96" t="s">
        <v>388</v>
      </c>
      <c r="E3624" s="96" t="s">
        <v>403</v>
      </c>
    </row>
    <row r="3625" spans="2:5" ht="15" customHeight="1" thickBot="1" x14ac:dyDescent="0.35">
      <c r="B3625" s="96" t="s">
        <v>5631</v>
      </c>
      <c r="C3625" s="97">
        <v>530035</v>
      </c>
      <c r="D3625" s="96" t="s">
        <v>388</v>
      </c>
      <c r="E3625" s="96" t="s">
        <v>403</v>
      </c>
    </row>
    <row r="3626" spans="2:5" ht="15" customHeight="1" thickBot="1" x14ac:dyDescent="0.35">
      <c r="B3626" s="96" t="s">
        <v>5632</v>
      </c>
      <c r="C3626" s="97">
        <v>540822</v>
      </c>
      <c r="D3626" s="96" t="s">
        <v>388</v>
      </c>
      <c r="E3626" s="96" t="s">
        <v>405</v>
      </c>
    </row>
    <row r="3627" spans="2:5" ht="15" customHeight="1" thickBot="1" x14ac:dyDescent="0.35">
      <c r="B3627" s="96" t="s">
        <v>5633</v>
      </c>
      <c r="C3627" s="97">
        <v>519260</v>
      </c>
      <c r="D3627" s="96" t="s">
        <v>5634</v>
      </c>
      <c r="E3627" s="96" t="s">
        <v>637</v>
      </c>
    </row>
    <row r="3628" spans="2:5" ht="15" customHeight="1" thickBot="1" x14ac:dyDescent="0.35">
      <c r="B3628" s="96" t="s">
        <v>5635</v>
      </c>
      <c r="C3628" s="97">
        <v>506906</v>
      </c>
      <c r="D3628" s="96" t="s">
        <v>388</v>
      </c>
      <c r="E3628" s="96" t="s">
        <v>410</v>
      </c>
    </row>
    <row r="3629" spans="2:5" ht="15" customHeight="1" thickBot="1" x14ac:dyDescent="0.35">
      <c r="B3629" s="96" t="s">
        <v>5636</v>
      </c>
      <c r="C3629" s="97">
        <v>519238</v>
      </c>
      <c r="D3629" s="96" t="s">
        <v>388</v>
      </c>
      <c r="E3629" s="96" t="s">
        <v>586</v>
      </c>
    </row>
    <row r="3630" spans="2:5" ht="15" customHeight="1" thickBot="1" x14ac:dyDescent="0.35">
      <c r="B3630" s="96" t="s">
        <v>5637</v>
      </c>
      <c r="C3630" s="97">
        <v>538992</v>
      </c>
      <c r="D3630" s="96" t="s">
        <v>388</v>
      </c>
      <c r="E3630" s="96" t="s">
        <v>743</v>
      </c>
    </row>
    <row r="3631" spans="2:5" ht="15" customHeight="1" thickBot="1" x14ac:dyDescent="0.35">
      <c r="B3631" s="96" t="s">
        <v>5638</v>
      </c>
      <c r="C3631" s="97">
        <v>512020</v>
      </c>
      <c r="D3631" s="96" t="s">
        <v>388</v>
      </c>
      <c r="E3631" s="96" t="s">
        <v>405</v>
      </c>
    </row>
    <row r="3632" spans="2:5" ht="15" customHeight="1" thickBot="1" x14ac:dyDescent="0.35">
      <c r="B3632" s="96" t="s">
        <v>5639</v>
      </c>
      <c r="C3632" s="97">
        <v>512020</v>
      </c>
      <c r="D3632" s="96" t="s">
        <v>388</v>
      </c>
      <c r="E3632" s="96" t="s">
        <v>405</v>
      </c>
    </row>
    <row r="3633" spans="2:5" ht="15" customHeight="1" thickBot="1" x14ac:dyDescent="0.35">
      <c r="B3633" s="96" t="s">
        <v>5640</v>
      </c>
      <c r="C3633" s="97">
        <v>504614</v>
      </c>
      <c r="D3633" s="96" t="s">
        <v>5641</v>
      </c>
      <c r="E3633" s="96" t="s">
        <v>420</v>
      </c>
    </row>
    <row r="3634" spans="2:5" ht="15" customHeight="1" thickBot="1" x14ac:dyDescent="0.35">
      <c r="B3634" s="96" t="s">
        <v>5642</v>
      </c>
      <c r="C3634" s="97">
        <v>516032</v>
      </c>
      <c r="D3634" s="96" t="s">
        <v>388</v>
      </c>
      <c r="E3634" s="96" t="s">
        <v>382</v>
      </c>
    </row>
    <row r="3635" spans="2:5" ht="15" customHeight="1" thickBot="1" x14ac:dyDescent="0.35">
      <c r="B3635" s="96" t="s">
        <v>5643</v>
      </c>
      <c r="C3635" s="97">
        <v>516003</v>
      </c>
      <c r="D3635" s="96" t="s">
        <v>388</v>
      </c>
      <c r="E3635" s="96" t="s">
        <v>883</v>
      </c>
    </row>
    <row r="3636" spans="2:5" ht="15" customHeight="1" thickBot="1" x14ac:dyDescent="0.35">
      <c r="B3636" s="96" t="s">
        <v>5644</v>
      </c>
      <c r="C3636" s="97">
        <v>519242</v>
      </c>
      <c r="D3636" s="96" t="s">
        <v>388</v>
      </c>
      <c r="E3636" s="96" t="s">
        <v>637</v>
      </c>
    </row>
    <row r="3637" spans="2:5" ht="15" customHeight="1" thickBot="1" x14ac:dyDescent="0.35">
      <c r="B3637" s="96" t="s">
        <v>5645</v>
      </c>
      <c r="C3637" s="97">
        <v>532163</v>
      </c>
      <c r="D3637" s="96" t="s">
        <v>5646</v>
      </c>
      <c r="E3637" s="96" t="s">
        <v>391</v>
      </c>
    </row>
    <row r="3638" spans="2:5" ht="15" customHeight="1" thickBot="1" x14ac:dyDescent="0.35">
      <c r="B3638" s="96" t="s">
        <v>5647</v>
      </c>
      <c r="C3638" s="97">
        <v>532163</v>
      </c>
      <c r="D3638" s="96" t="s">
        <v>5646</v>
      </c>
      <c r="E3638" s="96" t="s">
        <v>391</v>
      </c>
    </row>
    <row r="3639" spans="2:5" ht="15" customHeight="1" thickBot="1" x14ac:dyDescent="0.35">
      <c r="B3639" s="96" t="s">
        <v>5648</v>
      </c>
      <c r="C3639" s="97">
        <v>526885</v>
      </c>
      <c r="D3639" s="96" t="s">
        <v>5649</v>
      </c>
      <c r="E3639" s="96" t="s">
        <v>403</v>
      </c>
    </row>
    <row r="3640" spans="2:5" ht="15" customHeight="1" thickBot="1" x14ac:dyDescent="0.35">
      <c r="B3640" s="96" t="s">
        <v>5650</v>
      </c>
      <c r="C3640" s="97">
        <v>530993</v>
      </c>
      <c r="D3640" s="96" t="s">
        <v>388</v>
      </c>
      <c r="E3640" s="96" t="s">
        <v>410</v>
      </c>
    </row>
    <row r="3641" spans="2:5" ht="15" customHeight="1" thickBot="1" x14ac:dyDescent="0.35">
      <c r="B3641" s="96" t="s">
        <v>5651</v>
      </c>
      <c r="C3641" s="97">
        <v>531930</v>
      </c>
      <c r="D3641" s="96" t="s">
        <v>388</v>
      </c>
      <c r="E3641" s="96" t="s">
        <v>1307</v>
      </c>
    </row>
    <row r="3642" spans="2:5" ht="15" customHeight="1" thickBot="1" x14ac:dyDescent="0.35">
      <c r="B3642" s="96" t="s">
        <v>5652</v>
      </c>
      <c r="C3642" s="97">
        <v>540393</v>
      </c>
      <c r="D3642" s="96" t="s">
        <v>388</v>
      </c>
      <c r="E3642" s="96" t="s">
        <v>711</v>
      </c>
    </row>
    <row r="3643" spans="2:5" ht="15" customHeight="1" thickBot="1" x14ac:dyDescent="0.35">
      <c r="B3643" s="96" t="s">
        <v>5653</v>
      </c>
      <c r="C3643" s="97">
        <v>514412</v>
      </c>
      <c r="D3643" s="96" t="s">
        <v>388</v>
      </c>
      <c r="E3643" s="96" t="s">
        <v>502</v>
      </c>
    </row>
    <row r="3644" spans="2:5" ht="15" customHeight="1" thickBot="1" x14ac:dyDescent="0.35">
      <c r="B3644" s="96" t="s">
        <v>5654</v>
      </c>
      <c r="C3644" s="97">
        <v>506190</v>
      </c>
      <c r="D3644" s="96" t="s">
        <v>388</v>
      </c>
      <c r="E3644" s="96" t="s">
        <v>809</v>
      </c>
    </row>
    <row r="3645" spans="2:5" ht="15" customHeight="1" thickBot="1" x14ac:dyDescent="0.35">
      <c r="B3645" s="96" t="s">
        <v>5655</v>
      </c>
      <c r="C3645" s="96" t="s">
        <v>388</v>
      </c>
      <c r="D3645" s="96" t="s">
        <v>5656</v>
      </c>
      <c r="E3645" s="96" t="s">
        <v>399</v>
      </c>
    </row>
    <row r="3646" spans="2:5" ht="15" customHeight="1" thickBot="1" x14ac:dyDescent="0.35">
      <c r="B3646" s="96" t="s">
        <v>5657</v>
      </c>
      <c r="C3646" s="97">
        <v>539124</v>
      </c>
      <c r="D3646" s="96" t="s">
        <v>388</v>
      </c>
      <c r="E3646" s="96" t="s">
        <v>405</v>
      </c>
    </row>
    <row r="3647" spans="2:5" ht="15" customHeight="1" thickBot="1" x14ac:dyDescent="0.35">
      <c r="B3647" s="96" t="s">
        <v>5658</v>
      </c>
      <c r="C3647" s="97">
        <v>506313</v>
      </c>
      <c r="D3647" s="96" t="s">
        <v>388</v>
      </c>
      <c r="E3647" s="96" t="s">
        <v>916</v>
      </c>
    </row>
    <row r="3648" spans="2:5" ht="15" customHeight="1" thickBot="1" x14ac:dyDescent="0.35">
      <c r="B3648" s="96" t="s">
        <v>5659</v>
      </c>
      <c r="C3648" s="97">
        <v>532663</v>
      </c>
      <c r="D3648" s="96" t="s">
        <v>5660</v>
      </c>
      <c r="E3648" s="96" t="s">
        <v>374</v>
      </c>
    </row>
    <row r="3649" spans="2:5" ht="15" customHeight="1" thickBot="1" x14ac:dyDescent="0.35">
      <c r="B3649" s="96" t="s">
        <v>5661</v>
      </c>
      <c r="C3649" s="97">
        <v>533259</v>
      </c>
      <c r="D3649" s="96" t="s">
        <v>5662</v>
      </c>
      <c r="E3649" s="96" t="s">
        <v>577</v>
      </c>
    </row>
    <row r="3650" spans="2:5" ht="15" customHeight="1" thickBot="1" x14ac:dyDescent="0.35">
      <c r="B3650" s="96" t="s">
        <v>5663</v>
      </c>
      <c r="C3650" s="97">
        <v>511076</v>
      </c>
      <c r="D3650" s="96" t="s">
        <v>388</v>
      </c>
      <c r="E3650" s="96" t="s">
        <v>410</v>
      </c>
    </row>
    <row r="3651" spans="2:5" ht="15" customHeight="1" thickBot="1" x14ac:dyDescent="0.35">
      <c r="B3651" s="96" t="s">
        <v>5664</v>
      </c>
      <c r="C3651" s="97">
        <v>526093</v>
      </c>
      <c r="D3651" s="96" t="s">
        <v>5665</v>
      </c>
      <c r="E3651" s="96" t="s">
        <v>420</v>
      </c>
    </row>
    <row r="3652" spans="2:5" ht="15" customHeight="1" thickBot="1" x14ac:dyDescent="0.35">
      <c r="B3652" s="96" t="s">
        <v>5666</v>
      </c>
      <c r="C3652" s="97">
        <v>539201</v>
      </c>
      <c r="D3652" s="96" t="s">
        <v>388</v>
      </c>
      <c r="E3652" s="96" t="s">
        <v>382</v>
      </c>
    </row>
    <row r="3653" spans="2:5" ht="15" customHeight="1" thickBot="1" x14ac:dyDescent="0.35">
      <c r="B3653" s="96" t="s">
        <v>5667</v>
      </c>
      <c r="C3653" s="97">
        <v>539404</v>
      </c>
      <c r="D3653" s="96" t="s">
        <v>5668</v>
      </c>
      <c r="E3653" s="96" t="s">
        <v>405</v>
      </c>
    </row>
    <row r="3654" spans="2:5" ht="15" customHeight="1" thickBot="1" x14ac:dyDescent="0.35">
      <c r="B3654" s="96" t="s">
        <v>5669</v>
      </c>
      <c r="C3654" s="97">
        <v>536592</v>
      </c>
      <c r="D3654" s="96" t="s">
        <v>388</v>
      </c>
      <c r="E3654" s="96" t="s">
        <v>405</v>
      </c>
    </row>
    <row r="3655" spans="2:5" ht="15" customHeight="1" thickBot="1" x14ac:dyDescent="0.35">
      <c r="B3655" s="96" t="s">
        <v>5670</v>
      </c>
      <c r="C3655" s="97">
        <v>508996</v>
      </c>
      <c r="D3655" s="96" t="s">
        <v>5671</v>
      </c>
      <c r="E3655" s="96" t="s">
        <v>474</v>
      </c>
    </row>
    <row r="3656" spans="2:5" ht="15" customHeight="1" thickBot="1" x14ac:dyDescent="0.35">
      <c r="B3656" s="96" t="s">
        <v>5672</v>
      </c>
      <c r="C3656" s="97">
        <v>503893</v>
      </c>
      <c r="D3656" s="96" t="s">
        <v>388</v>
      </c>
      <c r="E3656" s="96" t="s">
        <v>371</v>
      </c>
    </row>
    <row r="3657" spans="2:5" ht="15" customHeight="1" thickBot="1" x14ac:dyDescent="0.35">
      <c r="B3657" s="96" t="s">
        <v>5673</v>
      </c>
      <c r="C3657" s="97">
        <v>539218</v>
      </c>
      <c r="D3657" s="96" t="s">
        <v>388</v>
      </c>
      <c r="E3657" s="96" t="s">
        <v>405</v>
      </c>
    </row>
    <row r="3658" spans="2:5" ht="15" customHeight="1" thickBot="1" x14ac:dyDescent="0.35">
      <c r="B3658" s="96" t="s">
        <v>5674</v>
      </c>
      <c r="C3658" s="97">
        <v>502175</v>
      </c>
      <c r="D3658" s="96" t="s">
        <v>388</v>
      </c>
      <c r="E3658" s="96" t="s">
        <v>401</v>
      </c>
    </row>
    <row r="3659" spans="2:5" ht="15" customHeight="1" thickBot="1" x14ac:dyDescent="0.35">
      <c r="B3659" s="96" t="s">
        <v>5675</v>
      </c>
      <c r="C3659" s="97">
        <v>511577</v>
      </c>
      <c r="D3659" s="96" t="s">
        <v>388</v>
      </c>
      <c r="E3659" s="96" t="s">
        <v>405</v>
      </c>
    </row>
    <row r="3660" spans="2:5" ht="15" customHeight="1" thickBot="1" x14ac:dyDescent="0.35">
      <c r="B3660" s="96" t="s">
        <v>5676</v>
      </c>
      <c r="C3660" s="97">
        <v>517320</v>
      </c>
      <c r="D3660" s="96" t="s">
        <v>388</v>
      </c>
      <c r="E3660" s="96" t="s">
        <v>686</v>
      </c>
    </row>
    <row r="3661" spans="2:5" ht="15" customHeight="1" thickBot="1" x14ac:dyDescent="0.35">
      <c r="B3661" s="96" t="s">
        <v>5677</v>
      </c>
      <c r="C3661" s="97">
        <v>532404</v>
      </c>
      <c r="D3661" s="96" t="s">
        <v>388</v>
      </c>
      <c r="E3661" s="96" t="s">
        <v>481</v>
      </c>
    </row>
    <row r="3662" spans="2:5" ht="15" customHeight="1" thickBot="1" x14ac:dyDescent="0.35">
      <c r="B3662" s="96" t="s">
        <v>5678</v>
      </c>
      <c r="C3662" s="97">
        <v>512634</v>
      </c>
      <c r="D3662" s="96" t="s">
        <v>388</v>
      </c>
      <c r="E3662" s="96" t="s">
        <v>589</v>
      </c>
    </row>
    <row r="3663" spans="2:5" ht="15" customHeight="1" thickBot="1" x14ac:dyDescent="0.35">
      <c r="B3663" s="96" t="s">
        <v>5679</v>
      </c>
      <c r="C3663" s="97">
        <v>524667</v>
      </c>
      <c r="D3663" s="96" t="s">
        <v>5680</v>
      </c>
      <c r="E3663" s="96" t="s">
        <v>1316</v>
      </c>
    </row>
    <row r="3664" spans="2:5" ht="15" customHeight="1" thickBot="1" x14ac:dyDescent="0.35">
      <c r="B3664" s="96" t="s">
        <v>5681</v>
      </c>
      <c r="C3664" s="97">
        <v>531893</v>
      </c>
      <c r="D3664" s="96" t="s">
        <v>388</v>
      </c>
      <c r="E3664" s="96" t="s">
        <v>809</v>
      </c>
    </row>
    <row r="3665" spans="2:5" ht="15" customHeight="1" thickBot="1" x14ac:dyDescent="0.35">
      <c r="B3665" s="96" t="s">
        <v>5682</v>
      </c>
      <c r="C3665" s="97">
        <v>523710</v>
      </c>
      <c r="D3665" s="96" t="s">
        <v>388</v>
      </c>
      <c r="E3665" s="96" t="s">
        <v>589</v>
      </c>
    </row>
    <row r="3666" spans="2:5" ht="15" customHeight="1" thickBot="1" x14ac:dyDescent="0.35">
      <c r="B3666" s="96" t="s">
        <v>5683</v>
      </c>
      <c r="C3666" s="97">
        <v>540728</v>
      </c>
      <c r="D3666" s="96" t="s">
        <v>388</v>
      </c>
      <c r="E3666" s="96" t="s">
        <v>377</v>
      </c>
    </row>
    <row r="3667" spans="2:5" ht="15" customHeight="1" thickBot="1" x14ac:dyDescent="0.35">
      <c r="B3667" s="96" t="s">
        <v>5684</v>
      </c>
      <c r="C3667" s="97">
        <v>532102</v>
      </c>
      <c r="D3667" s="96" t="s">
        <v>388</v>
      </c>
      <c r="E3667" s="96" t="s">
        <v>1087</v>
      </c>
    </row>
    <row r="3668" spans="2:5" ht="15" customHeight="1" thickBot="1" x14ac:dyDescent="0.35">
      <c r="B3668" s="96" t="s">
        <v>5685</v>
      </c>
      <c r="C3668" s="97">
        <v>540719</v>
      </c>
      <c r="D3668" s="96" t="s">
        <v>5686</v>
      </c>
      <c r="E3668" s="96" t="s">
        <v>2800</v>
      </c>
    </row>
    <row r="3669" spans="2:5" ht="15" customHeight="1" thickBot="1" x14ac:dyDescent="0.35">
      <c r="B3669" s="96" t="s">
        <v>5687</v>
      </c>
      <c r="C3669" s="97">
        <v>590098</v>
      </c>
      <c r="D3669" s="96" t="s">
        <v>5688</v>
      </c>
      <c r="E3669" s="96" t="s">
        <v>371</v>
      </c>
    </row>
    <row r="3670" spans="2:5" ht="15" customHeight="1" thickBot="1" x14ac:dyDescent="0.35">
      <c r="B3670" s="96" t="s">
        <v>5689</v>
      </c>
      <c r="C3670" s="97">
        <v>526081</v>
      </c>
      <c r="D3670" s="96" t="s">
        <v>5690</v>
      </c>
      <c r="E3670" s="96" t="s">
        <v>448</v>
      </c>
    </row>
    <row r="3671" spans="2:5" ht="15" customHeight="1" thickBot="1" x14ac:dyDescent="0.35">
      <c r="B3671" s="96" t="s">
        <v>5691</v>
      </c>
      <c r="C3671" s="97">
        <v>531797</v>
      </c>
      <c r="D3671" s="96" t="s">
        <v>388</v>
      </c>
      <c r="E3671" s="96" t="s">
        <v>401</v>
      </c>
    </row>
    <row r="3672" spans="2:5" ht="15" customHeight="1" thickBot="1" x14ac:dyDescent="0.35">
      <c r="B3672" s="96" t="s">
        <v>5692</v>
      </c>
      <c r="C3672" s="97">
        <v>511672</v>
      </c>
      <c r="D3672" s="96" t="s">
        <v>388</v>
      </c>
      <c r="E3672" s="96" t="s">
        <v>420</v>
      </c>
    </row>
    <row r="3673" spans="2:5" ht="15" customHeight="1" thickBot="1" x14ac:dyDescent="0.35">
      <c r="B3673" s="96" t="s">
        <v>5693</v>
      </c>
      <c r="C3673" s="97">
        <v>516110</v>
      </c>
      <c r="D3673" s="96" t="s">
        <v>5694</v>
      </c>
      <c r="E3673" s="96" t="s">
        <v>577</v>
      </c>
    </row>
    <row r="3674" spans="2:5" ht="15" customHeight="1" thickBot="1" x14ac:dyDescent="0.35">
      <c r="B3674" s="96" t="s">
        <v>5695</v>
      </c>
      <c r="C3674" s="97">
        <v>526544</v>
      </c>
      <c r="D3674" s="96" t="s">
        <v>388</v>
      </c>
      <c r="E3674" s="96" t="s">
        <v>394</v>
      </c>
    </row>
    <row r="3675" spans="2:5" ht="15" customHeight="1" thickBot="1" x14ac:dyDescent="0.35">
      <c r="B3675" s="96" t="s">
        <v>5696</v>
      </c>
      <c r="C3675" s="97">
        <v>507894</v>
      </c>
      <c r="D3675" s="96" t="s">
        <v>388</v>
      </c>
      <c r="E3675" s="96" t="s">
        <v>665</v>
      </c>
    </row>
    <row r="3676" spans="2:5" ht="15" customHeight="1" thickBot="1" x14ac:dyDescent="0.35">
      <c r="B3676" s="96" t="s">
        <v>5697</v>
      </c>
      <c r="C3676" s="97">
        <v>507894</v>
      </c>
      <c r="D3676" s="96" t="s">
        <v>388</v>
      </c>
      <c r="E3676" s="96" t="s">
        <v>665</v>
      </c>
    </row>
    <row r="3677" spans="2:5" ht="15" customHeight="1" thickBot="1" x14ac:dyDescent="0.35">
      <c r="B3677" s="96" t="s">
        <v>5698</v>
      </c>
      <c r="C3677" s="97">
        <v>505790</v>
      </c>
      <c r="D3677" s="96" t="s">
        <v>5699</v>
      </c>
      <c r="E3677" s="96" t="s">
        <v>396</v>
      </c>
    </row>
    <row r="3678" spans="2:5" ht="15" customHeight="1" thickBot="1" x14ac:dyDescent="0.35">
      <c r="B3678" s="96" t="s">
        <v>5700</v>
      </c>
      <c r="C3678" s="97">
        <v>505790</v>
      </c>
      <c r="D3678" s="96" t="s">
        <v>5699</v>
      </c>
      <c r="E3678" s="96" t="s">
        <v>396</v>
      </c>
    </row>
    <row r="3679" spans="2:5" ht="15" customHeight="1" thickBot="1" x14ac:dyDescent="0.35">
      <c r="B3679" s="96" t="s">
        <v>5701</v>
      </c>
      <c r="C3679" s="97">
        <v>534139</v>
      </c>
      <c r="D3679" s="96" t="s">
        <v>5702</v>
      </c>
      <c r="E3679" s="96" t="s">
        <v>431</v>
      </c>
    </row>
    <row r="3680" spans="2:5" ht="15" customHeight="1" thickBot="1" x14ac:dyDescent="0.35">
      <c r="B3680" s="96" t="s">
        <v>5703</v>
      </c>
      <c r="C3680" s="97">
        <v>538857</v>
      </c>
      <c r="D3680" s="96" t="s">
        <v>388</v>
      </c>
      <c r="E3680" s="96" t="s">
        <v>405</v>
      </c>
    </row>
    <row r="3681" spans="2:5" ht="15" customHeight="1" thickBot="1" x14ac:dyDescent="0.35">
      <c r="B3681" s="96" t="s">
        <v>5704</v>
      </c>
      <c r="C3681" s="97">
        <v>505141</v>
      </c>
      <c r="D3681" s="96" t="s">
        <v>388</v>
      </c>
      <c r="E3681" s="96" t="s">
        <v>1046</v>
      </c>
    </row>
    <row r="3682" spans="2:5" ht="15" customHeight="1" thickBot="1" x14ac:dyDescent="0.35">
      <c r="B3682" s="96" t="s">
        <v>5705</v>
      </c>
      <c r="C3682" s="97">
        <v>505141</v>
      </c>
      <c r="D3682" s="96" t="s">
        <v>388</v>
      </c>
      <c r="E3682" s="96" t="s">
        <v>1046</v>
      </c>
    </row>
    <row r="3683" spans="2:5" ht="15" customHeight="1" thickBot="1" x14ac:dyDescent="0.35">
      <c r="B3683" s="96" t="s">
        <v>5706</v>
      </c>
      <c r="C3683" s="97">
        <v>530361</v>
      </c>
      <c r="D3683" s="96" t="s">
        <v>388</v>
      </c>
      <c r="E3683" s="96" t="s">
        <v>448</v>
      </c>
    </row>
    <row r="3684" spans="2:5" ht="15" customHeight="1" thickBot="1" x14ac:dyDescent="0.35">
      <c r="B3684" s="96" t="s">
        <v>5707</v>
      </c>
      <c r="C3684" s="97">
        <v>533268</v>
      </c>
      <c r="D3684" s="96" t="s">
        <v>388</v>
      </c>
      <c r="E3684" s="96" t="s">
        <v>1126</v>
      </c>
    </row>
    <row r="3685" spans="2:5" ht="15" customHeight="1" thickBot="1" x14ac:dyDescent="0.35">
      <c r="B3685" s="96" t="s">
        <v>5708</v>
      </c>
      <c r="C3685" s="97">
        <v>526807</v>
      </c>
      <c r="D3685" s="96" t="s">
        <v>5709</v>
      </c>
      <c r="E3685" s="96" t="s">
        <v>1635</v>
      </c>
    </row>
    <row r="3686" spans="2:5" ht="15" customHeight="1" thickBot="1" x14ac:dyDescent="0.35">
      <c r="B3686" s="96" t="s">
        <v>5710</v>
      </c>
      <c r="C3686" s="97">
        <v>521182</v>
      </c>
      <c r="D3686" s="96" t="s">
        <v>388</v>
      </c>
      <c r="E3686" s="96" t="s">
        <v>410</v>
      </c>
    </row>
    <row r="3687" spans="2:5" ht="15" customHeight="1" thickBot="1" x14ac:dyDescent="0.35">
      <c r="B3687" s="96" t="s">
        <v>5711</v>
      </c>
      <c r="C3687" s="97">
        <v>514264</v>
      </c>
      <c r="D3687" s="96" t="s">
        <v>388</v>
      </c>
      <c r="E3687" s="96" t="s">
        <v>403</v>
      </c>
    </row>
    <row r="3688" spans="2:5" ht="15" customHeight="1" thickBot="1" x14ac:dyDescent="0.35">
      <c r="B3688" s="96" t="s">
        <v>5712</v>
      </c>
      <c r="C3688" s="96" t="s">
        <v>388</v>
      </c>
      <c r="D3688" s="96" t="s">
        <v>5713</v>
      </c>
      <c r="E3688" s="96" t="s">
        <v>399</v>
      </c>
    </row>
    <row r="3689" spans="2:5" ht="15" customHeight="1" thickBot="1" x14ac:dyDescent="0.35">
      <c r="B3689" s="96" t="s">
        <v>5714</v>
      </c>
      <c r="C3689" s="97">
        <v>540673</v>
      </c>
      <c r="D3689" s="96" t="s">
        <v>5715</v>
      </c>
      <c r="E3689" s="96" t="s">
        <v>3167</v>
      </c>
    </row>
    <row r="3690" spans="2:5" ht="15" customHeight="1" thickBot="1" x14ac:dyDescent="0.35">
      <c r="B3690" s="96" t="s">
        <v>5716</v>
      </c>
      <c r="C3690" s="97">
        <v>540673</v>
      </c>
      <c r="D3690" s="96" t="s">
        <v>5715</v>
      </c>
      <c r="E3690" s="96" t="s">
        <v>3167</v>
      </c>
    </row>
    <row r="3691" spans="2:5" ht="15" customHeight="1" thickBot="1" x14ac:dyDescent="0.35">
      <c r="B3691" s="96" t="s">
        <v>5717</v>
      </c>
      <c r="C3691" s="97">
        <v>532886</v>
      </c>
      <c r="D3691" s="96" t="s">
        <v>5718</v>
      </c>
      <c r="E3691" s="96" t="s">
        <v>403</v>
      </c>
    </row>
    <row r="3692" spans="2:5" ht="15" customHeight="1" thickBot="1" x14ac:dyDescent="0.35">
      <c r="B3692" s="96" t="s">
        <v>5719</v>
      </c>
      <c r="C3692" s="97">
        <v>530075</v>
      </c>
      <c r="D3692" s="96" t="s">
        <v>5720</v>
      </c>
      <c r="E3692" s="96" t="s">
        <v>451</v>
      </c>
    </row>
    <row r="3693" spans="2:5" ht="15" customHeight="1" thickBot="1" x14ac:dyDescent="0.35">
      <c r="B3693" s="96" t="s">
        <v>5721</v>
      </c>
      <c r="C3693" s="97">
        <v>538875</v>
      </c>
      <c r="D3693" s="96" t="s">
        <v>388</v>
      </c>
      <c r="E3693" s="96" t="s">
        <v>809</v>
      </c>
    </row>
    <row r="3694" spans="2:5" ht="15" customHeight="1" thickBot="1" x14ac:dyDescent="0.35">
      <c r="B3694" s="96" t="s">
        <v>5722</v>
      </c>
      <c r="C3694" s="97">
        <v>532021</v>
      </c>
      <c r="D3694" s="96" t="s">
        <v>388</v>
      </c>
      <c r="E3694" s="96" t="s">
        <v>426</v>
      </c>
    </row>
    <row r="3695" spans="2:5" ht="15" customHeight="1" thickBot="1" x14ac:dyDescent="0.35">
      <c r="B3695" s="96" t="s">
        <v>5723</v>
      </c>
      <c r="C3695" s="97">
        <v>531980</v>
      </c>
      <c r="D3695" s="96" t="s">
        <v>388</v>
      </c>
      <c r="E3695" s="96" t="s">
        <v>374</v>
      </c>
    </row>
    <row r="3696" spans="2:5" ht="15" customHeight="1" thickBot="1" x14ac:dyDescent="0.35">
      <c r="B3696" s="96" t="s">
        <v>5724</v>
      </c>
      <c r="C3696" s="97">
        <v>512529</v>
      </c>
      <c r="D3696" s="96" t="s">
        <v>5725</v>
      </c>
      <c r="E3696" s="96" t="s">
        <v>426</v>
      </c>
    </row>
    <row r="3697" spans="2:5" ht="15" customHeight="1" thickBot="1" x14ac:dyDescent="0.35">
      <c r="B3697" s="96" t="s">
        <v>5726</v>
      </c>
      <c r="C3697" s="96" t="s">
        <v>388</v>
      </c>
      <c r="D3697" s="96" t="s">
        <v>5727</v>
      </c>
      <c r="E3697" s="96" t="s">
        <v>399</v>
      </c>
    </row>
    <row r="3698" spans="2:5" ht="15" customHeight="1" thickBot="1" x14ac:dyDescent="0.35">
      <c r="B3698" s="96" t="s">
        <v>5728</v>
      </c>
      <c r="C3698" s="97">
        <v>502450</v>
      </c>
      <c r="D3698" s="96" t="s">
        <v>5729</v>
      </c>
      <c r="E3698" s="96" t="s">
        <v>382</v>
      </c>
    </row>
    <row r="3699" spans="2:5" ht="15" customHeight="1" thickBot="1" x14ac:dyDescent="0.35">
      <c r="B3699" s="96" t="s">
        <v>5730</v>
      </c>
      <c r="C3699" s="97">
        <v>505075</v>
      </c>
      <c r="D3699" s="96" t="s">
        <v>5731</v>
      </c>
      <c r="E3699" s="96" t="s">
        <v>743</v>
      </c>
    </row>
    <row r="3700" spans="2:5" ht="15" customHeight="1" thickBot="1" x14ac:dyDescent="0.35">
      <c r="B3700" s="96" t="s">
        <v>5732</v>
      </c>
      <c r="C3700" s="97">
        <v>511760</v>
      </c>
      <c r="D3700" s="96" t="s">
        <v>388</v>
      </c>
      <c r="E3700" s="96" t="s">
        <v>405</v>
      </c>
    </row>
    <row r="3701" spans="2:5" ht="15" customHeight="1" thickBot="1" x14ac:dyDescent="0.35">
      <c r="B3701" s="96" t="s">
        <v>5733</v>
      </c>
      <c r="C3701" s="97">
        <v>524324</v>
      </c>
      <c r="D3701" s="96" t="s">
        <v>388</v>
      </c>
      <c r="E3701" s="96" t="s">
        <v>548</v>
      </c>
    </row>
    <row r="3702" spans="2:5" ht="15" customHeight="1" thickBot="1" x14ac:dyDescent="0.35">
      <c r="B3702" s="96" t="s">
        <v>5734</v>
      </c>
      <c r="C3702" s="97">
        <v>532993</v>
      </c>
      <c r="D3702" s="96" t="s">
        <v>5735</v>
      </c>
      <c r="E3702" s="96" t="s">
        <v>916</v>
      </c>
    </row>
    <row r="3703" spans="2:5" ht="15" customHeight="1" thickBot="1" x14ac:dyDescent="0.35">
      <c r="B3703" s="96" t="s">
        <v>5736</v>
      </c>
      <c r="C3703" s="97">
        <v>530867</v>
      </c>
      <c r="D3703" s="96" t="s">
        <v>388</v>
      </c>
      <c r="E3703" s="96" t="s">
        <v>371</v>
      </c>
    </row>
    <row r="3704" spans="2:5" ht="15" customHeight="1" thickBot="1" x14ac:dyDescent="0.35">
      <c r="B3704" s="96" t="s">
        <v>5737</v>
      </c>
      <c r="C3704" s="97">
        <v>524546</v>
      </c>
      <c r="D3704" s="96" t="s">
        <v>388</v>
      </c>
      <c r="E3704" s="96" t="s">
        <v>426</v>
      </c>
    </row>
    <row r="3705" spans="2:5" ht="15" customHeight="1" thickBot="1" x14ac:dyDescent="0.35">
      <c r="B3705" s="96" t="s">
        <v>5738</v>
      </c>
      <c r="C3705" s="97">
        <v>513436</v>
      </c>
      <c r="D3705" s="96" t="s">
        <v>5739</v>
      </c>
      <c r="E3705" s="96" t="s">
        <v>420</v>
      </c>
    </row>
    <row r="3706" spans="2:5" ht="15" customHeight="1" thickBot="1" x14ac:dyDescent="0.35">
      <c r="B3706" s="96" t="s">
        <v>5740</v>
      </c>
      <c r="C3706" s="97">
        <v>509870</v>
      </c>
      <c r="D3706" s="96" t="s">
        <v>388</v>
      </c>
      <c r="E3706" s="96" t="s">
        <v>474</v>
      </c>
    </row>
    <row r="3707" spans="2:5" ht="15" customHeight="1" thickBot="1" x14ac:dyDescent="0.35">
      <c r="B3707" s="96" t="s">
        <v>5741</v>
      </c>
      <c r="C3707" s="97">
        <v>519031</v>
      </c>
      <c r="D3707" s="96" t="s">
        <v>388</v>
      </c>
      <c r="E3707" s="96" t="s">
        <v>448</v>
      </c>
    </row>
    <row r="3708" spans="2:5" ht="15" customHeight="1" thickBot="1" x14ac:dyDescent="0.35">
      <c r="B3708" s="96" t="s">
        <v>5742</v>
      </c>
      <c r="C3708" s="97">
        <v>526508</v>
      </c>
      <c r="D3708" s="96" t="s">
        <v>388</v>
      </c>
      <c r="E3708" s="96" t="s">
        <v>1635</v>
      </c>
    </row>
    <row r="3709" spans="2:5" ht="15" customHeight="1" thickBot="1" x14ac:dyDescent="0.35">
      <c r="B3709" s="96" t="s">
        <v>5743</v>
      </c>
      <c r="C3709" s="97">
        <v>539520</v>
      </c>
      <c r="D3709" s="96" t="s">
        <v>388</v>
      </c>
      <c r="E3709" s="96" t="s">
        <v>410</v>
      </c>
    </row>
    <row r="3710" spans="2:5" ht="15" customHeight="1" thickBot="1" x14ac:dyDescent="0.35">
      <c r="B3710" s="96" t="s">
        <v>5744</v>
      </c>
      <c r="C3710" s="97">
        <v>501423</v>
      </c>
      <c r="D3710" s="96" t="s">
        <v>388</v>
      </c>
      <c r="E3710" s="96" t="s">
        <v>508</v>
      </c>
    </row>
    <row r="3711" spans="2:5" ht="15" customHeight="1" thickBot="1" x14ac:dyDescent="0.35">
      <c r="B3711" s="96" t="s">
        <v>5745</v>
      </c>
      <c r="C3711" s="96" t="s">
        <v>388</v>
      </c>
      <c r="D3711" s="96" t="s">
        <v>5746</v>
      </c>
      <c r="E3711" s="96" t="s">
        <v>399</v>
      </c>
    </row>
    <row r="3712" spans="2:5" ht="15" customHeight="1" thickBot="1" x14ac:dyDescent="0.35">
      <c r="B3712" s="96" t="s">
        <v>5747</v>
      </c>
      <c r="C3712" s="97">
        <v>531431</v>
      </c>
      <c r="D3712" s="96" t="s">
        <v>5748</v>
      </c>
      <c r="E3712" s="96" t="s">
        <v>396</v>
      </c>
    </row>
    <row r="3713" spans="2:5" ht="15" customHeight="1" thickBot="1" x14ac:dyDescent="0.35">
      <c r="B3713" s="96" t="s">
        <v>5749</v>
      </c>
      <c r="C3713" s="97">
        <v>531431</v>
      </c>
      <c r="D3713" s="96" t="s">
        <v>5748</v>
      </c>
      <c r="E3713" s="96" t="s">
        <v>396</v>
      </c>
    </row>
    <row r="3714" spans="2:5" ht="15" customHeight="1" thickBot="1" x14ac:dyDescent="0.35">
      <c r="B3714" s="96" t="s">
        <v>5750</v>
      </c>
      <c r="C3714" s="97">
        <v>540797</v>
      </c>
      <c r="D3714" s="96" t="s">
        <v>5751</v>
      </c>
      <c r="E3714" s="96" t="s">
        <v>858</v>
      </c>
    </row>
    <row r="3715" spans="2:5" ht="15" customHeight="1" thickBot="1" x14ac:dyDescent="0.35">
      <c r="B3715" s="96" t="s">
        <v>5752</v>
      </c>
      <c r="C3715" s="97">
        <v>511754</v>
      </c>
      <c r="D3715" s="96" t="s">
        <v>388</v>
      </c>
      <c r="E3715" s="96" t="s">
        <v>405</v>
      </c>
    </row>
    <row r="3716" spans="2:5" ht="15" customHeight="1" thickBot="1" x14ac:dyDescent="0.35">
      <c r="B3716" s="96" t="s">
        <v>5753</v>
      </c>
      <c r="C3716" s="97">
        <v>539895</v>
      </c>
      <c r="D3716" s="96" t="s">
        <v>388</v>
      </c>
      <c r="E3716" s="96" t="s">
        <v>371</v>
      </c>
    </row>
    <row r="3717" spans="2:5" ht="15" customHeight="1" thickBot="1" x14ac:dyDescent="0.35">
      <c r="B3717" s="96" t="s">
        <v>5754</v>
      </c>
      <c r="C3717" s="97">
        <v>509874</v>
      </c>
      <c r="D3717" s="96" t="s">
        <v>5755</v>
      </c>
      <c r="E3717" s="96" t="s">
        <v>665</v>
      </c>
    </row>
    <row r="3718" spans="2:5" ht="15" customHeight="1" thickBot="1" x14ac:dyDescent="0.35">
      <c r="B3718" s="96" t="s">
        <v>5756</v>
      </c>
      <c r="C3718" s="97">
        <v>512499</v>
      </c>
      <c r="D3718" s="96" t="s">
        <v>388</v>
      </c>
      <c r="E3718" s="96" t="s">
        <v>371</v>
      </c>
    </row>
    <row r="3719" spans="2:5" ht="15" customHeight="1" thickBot="1" x14ac:dyDescent="0.35">
      <c r="B3719" s="96" t="s">
        <v>5757</v>
      </c>
      <c r="C3719" s="97">
        <v>532455</v>
      </c>
      <c r="D3719" s="96" t="s">
        <v>388</v>
      </c>
      <c r="E3719" s="96" t="s">
        <v>462</v>
      </c>
    </row>
    <row r="3720" spans="2:5" ht="15" customHeight="1" thickBot="1" x14ac:dyDescent="0.35">
      <c r="B3720" s="96" t="s">
        <v>5758</v>
      </c>
      <c r="C3720" s="97">
        <v>540259</v>
      </c>
      <c r="D3720" s="96" t="s">
        <v>388</v>
      </c>
      <c r="E3720" s="96" t="s">
        <v>3167</v>
      </c>
    </row>
    <row r="3721" spans="2:5" ht="15" customHeight="1" thickBot="1" x14ac:dyDescent="0.35">
      <c r="B3721" s="96" t="s">
        <v>5759</v>
      </c>
      <c r="C3721" s="97">
        <v>542232</v>
      </c>
      <c r="D3721" s="96" t="s">
        <v>5760</v>
      </c>
      <c r="E3721" s="96" t="s">
        <v>754</v>
      </c>
    </row>
    <row r="3722" spans="2:5" ht="15" customHeight="1" thickBot="1" x14ac:dyDescent="0.35">
      <c r="B3722" s="96" t="s">
        <v>5761</v>
      </c>
      <c r="C3722" s="97">
        <v>540425</v>
      </c>
      <c r="D3722" s="96" t="s">
        <v>5762</v>
      </c>
      <c r="E3722" s="96" t="s">
        <v>711</v>
      </c>
    </row>
    <row r="3723" spans="2:5" ht="15" customHeight="1" thickBot="1" x14ac:dyDescent="0.35">
      <c r="B3723" s="96" t="s">
        <v>5763</v>
      </c>
      <c r="C3723" s="97">
        <v>512297</v>
      </c>
      <c r="D3723" s="96" t="s">
        <v>388</v>
      </c>
      <c r="E3723" s="96" t="s">
        <v>396</v>
      </c>
    </row>
    <row r="3724" spans="2:5" ht="15" customHeight="1" thickBot="1" x14ac:dyDescent="0.35">
      <c r="B3724" s="96" t="s">
        <v>5764</v>
      </c>
      <c r="C3724" s="97">
        <v>531925</v>
      </c>
      <c r="D3724" s="96" t="s">
        <v>388</v>
      </c>
      <c r="E3724" s="96" t="s">
        <v>448</v>
      </c>
    </row>
    <row r="3725" spans="2:5" ht="15" customHeight="1" thickBot="1" x14ac:dyDescent="0.35">
      <c r="B3725" s="96" t="s">
        <v>5765</v>
      </c>
      <c r="C3725" s="97">
        <v>522034</v>
      </c>
      <c r="D3725" s="96" t="s">
        <v>5766</v>
      </c>
      <c r="E3725" s="96" t="s">
        <v>743</v>
      </c>
    </row>
    <row r="3726" spans="2:5" ht="15" customHeight="1" thickBot="1" x14ac:dyDescent="0.35">
      <c r="B3726" s="96" t="s">
        <v>5767</v>
      </c>
      <c r="C3726" s="97">
        <v>539921</v>
      </c>
      <c r="D3726" s="96" t="s">
        <v>388</v>
      </c>
      <c r="E3726" s="96" t="s">
        <v>493</v>
      </c>
    </row>
    <row r="3727" spans="2:5" ht="15" customHeight="1" thickBot="1" x14ac:dyDescent="0.35">
      <c r="B3727" s="96" t="s">
        <v>5768</v>
      </c>
      <c r="C3727" s="96" t="s">
        <v>388</v>
      </c>
      <c r="D3727" s="96" t="s">
        <v>5769</v>
      </c>
      <c r="E3727" s="96" t="s">
        <v>399</v>
      </c>
    </row>
    <row r="3728" spans="2:5" ht="15" customHeight="1" thickBot="1" x14ac:dyDescent="0.35">
      <c r="B3728" s="96" t="s">
        <v>5770</v>
      </c>
      <c r="C3728" s="96" t="s">
        <v>388</v>
      </c>
      <c r="D3728" s="96" t="s">
        <v>5769</v>
      </c>
      <c r="E3728" s="96" t="s">
        <v>399</v>
      </c>
    </row>
    <row r="3729" spans="2:5" ht="15" customHeight="1" thickBot="1" x14ac:dyDescent="0.35">
      <c r="B3729" s="96" t="s">
        <v>5771</v>
      </c>
      <c r="C3729" s="97">
        <v>514402</v>
      </c>
      <c r="D3729" s="96" t="s">
        <v>388</v>
      </c>
      <c r="E3729" s="96" t="s">
        <v>403</v>
      </c>
    </row>
    <row r="3730" spans="2:5" ht="15" customHeight="1" thickBot="1" x14ac:dyDescent="0.35">
      <c r="B3730" s="96" t="s">
        <v>5772</v>
      </c>
      <c r="C3730" s="97">
        <v>539584</v>
      </c>
      <c r="D3730" s="96" t="s">
        <v>388</v>
      </c>
      <c r="E3730" s="96" t="s">
        <v>410</v>
      </c>
    </row>
    <row r="3731" spans="2:5" ht="15" customHeight="1" thickBot="1" x14ac:dyDescent="0.35">
      <c r="B3731" s="96" t="s">
        <v>5773</v>
      </c>
      <c r="C3731" s="97">
        <v>538666</v>
      </c>
      <c r="D3731" s="96" t="s">
        <v>5774</v>
      </c>
      <c r="E3731" s="96" t="s">
        <v>532</v>
      </c>
    </row>
    <row r="3732" spans="2:5" ht="15" customHeight="1" thickBot="1" x14ac:dyDescent="0.35">
      <c r="B3732" s="96" t="s">
        <v>5775</v>
      </c>
      <c r="C3732" s="97">
        <v>513548</v>
      </c>
      <c r="D3732" s="96" t="s">
        <v>388</v>
      </c>
      <c r="E3732" s="96" t="s">
        <v>420</v>
      </c>
    </row>
    <row r="3733" spans="2:5" ht="15" customHeight="1" thickBot="1" x14ac:dyDescent="0.35">
      <c r="B3733" s="96" t="s">
        <v>5776</v>
      </c>
      <c r="C3733" s="97">
        <v>535602</v>
      </c>
      <c r="D3733" s="96" t="s">
        <v>5777</v>
      </c>
      <c r="E3733" s="96" t="s">
        <v>743</v>
      </c>
    </row>
    <row r="3734" spans="2:5" ht="15" customHeight="1" thickBot="1" x14ac:dyDescent="0.35">
      <c r="B3734" s="96" t="s">
        <v>5778</v>
      </c>
      <c r="C3734" s="97">
        <v>512393</v>
      </c>
      <c r="D3734" s="96" t="s">
        <v>388</v>
      </c>
      <c r="E3734" s="96" t="s">
        <v>371</v>
      </c>
    </row>
    <row r="3735" spans="2:5" ht="15" customHeight="1" thickBot="1" x14ac:dyDescent="0.35">
      <c r="B3735" s="96" t="s">
        <v>5779</v>
      </c>
      <c r="C3735" s="97">
        <v>540725</v>
      </c>
      <c r="D3735" s="96" t="s">
        <v>388</v>
      </c>
      <c r="E3735" s="96" t="s">
        <v>371</v>
      </c>
    </row>
    <row r="3736" spans="2:5" ht="15" customHeight="1" thickBot="1" x14ac:dyDescent="0.35">
      <c r="B3736" s="96" t="s">
        <v>5780</v>
      </c>
      <c r="C3736" s="97">
        <v>540786</v>
      </c>
      <c r="D3736" s="96" t="s">
        <v>388</v>
      </c>
      <c r="E3736" s="96" t="s">
        <v>686</v>
      </c>
    </row>
    <row r="3737" spans="2:5" ht="15" customHeight="1" thickBot="1" x14ac:dyDescent="0.35">
      <c r="B3737" s="96" t="s">
        <v>5781</v>
      </c>
      <c r="C3737" s="97">
        <v>532908</v>
      </c>
      <c r="D3737" s="96" t="s">
        <v>5782</v>
      </c>
      <c r="E3737" s="96" t="s">
        <v>426</v>
      </c>
    </row>
    <row r="3738" spans="2:5" ht="15" customHeight="1" thickBot="1" x14ac:dyDescent="0.35">
      <c r="B3738" s="96" t="s">
        <v>5783</v>
      </c>
      <c r="C3738" s="97">
        <v>523449</v>
      </c>
      <c r="D3738" s="96" t="s">
        <v>388</v>
      </c>
      <c r="E3738" s="96" t="s">
        <v>757</v>
      </c>
    </row>
    <row r="3739" spans="2:5" ht="15" customHeight="1" thickBot="1" x14ac:dyDescent="0.35">
      <c r="B3739" s="96" t="s">
        <v>5784</v>
      </c>
      <c r="C3739" s="97">
        <v>523449</v>
      </c>
      <c r="D3739" s="96" t="s">
        <v>388</v>
      </c>
      <c r="E3739" s="96" t="s">
        <v>757</v>
      </c>
    </row>
    <row r="3740" spans="2:5" ht="15" customHeight="1" thickBot="1" x14ac:dyDescent="0.35">
      <c r="B3740" s="96" t="s">
        <v>5785</v>
      </c>
      <c r="C3740" s="97">
        <v>538212</v>
      </c>
      <c r="D3740" s="96" t="s">
        <v>388</v>
      </c>
      <c r="E3740" s="96" t="s">
        <v>405</v>
      </c>
    </row>
    <row r="3741" spans="2:5" ht="15" customHeight="1" thickBot="1" x14ac:dyDescent="0.35">
      <c r="B3741" s="96" t="s">
        <v>5786</v>
      </c>
      <c r="C3741" s="97">
        <v>540221</v>
      </c>
      <c r="D3741" s="96" t="s">
        <v>388</v>
      </c>
      <c r="E3741" s="96" t="s">
        <v>410</v>
      </c>
    </row>
    <row r="3742" spans="2:5" ht="15" customHeight="1" thickBot="1" x14ac:dyDescent="0.35">
      <c r="B3742" s="96" t="s">
        <v>5787</v>
      </c>
      <c r="C3742" s="97">
        <v>540147</v>
      </c>
      <c r="D3742" s="96" t="s">
        <v>388</v>
      </c>
      <c r="E3742" s="96" t="s">
        <v>786</v>
      </c>
    </row>
    <row r="3743" spans="2:5" ht="15" customHeight="1" thickBot="1" x14ac:dyDescent="0.35">
      <c r="B3743" s="96" t="s">
        <v>5788</v>
      </c>
      <c r="C3743" s="97">
        <v>540203</v>
      </c>
      <c r="D3743" s="96" t="s">
        <v>5789</v>
      </c>
      <c r="E3743" s="96" t="s">
        <v>665</v>
      </c>
    </row>
    <row r="3744" spans="2:5" ht="15" customHeight="1" thickBot="1" x14ac:dyDescent="0.35">
      <c r="B3744" s="96" t="s">
        <v>5790</v>
      </c>
      <c r="C3744" s="97">
        <v>540757</v>
      </c>
      <c r="D3744" s="96" t="s">
        <v>388</v>
      </c>
      <c r="E3744" s="96" t="s">
        <v>448</v>
      </c>
    </row>
    <row r="3745" spans="2:5" ht="15" customHeight="1" thickBot="1" x14ac:dyDescent="0.35">
      <c r="B3745" s="96" t="s">
        <v>5791</v>
      </c>
      <c r="C3745" s="97">
        <v>530525</v>
      </c>
      <c r="D3745" s="96" t="s">
        <v>388</v>
      </c>
      <c r="E3745" s="96" t="s">
        <v>502</v>
      </c>
    </row>
    <row r="3746" spans="2:5" ht="15" customHeight="1" thickBot="1" x14ac:dyDescent="0.35">
      <c r="B3746" s="96" t="s">
        <v>5792</v>
      </c>
      <c r="C3746" s="97">
        <v>533301</v>
      </c>
      <c r="D3746" s="96" t="s">
        <v>5793</v>
      </c>
      <c r="E3746" s="96" t="s">
        <v>403</v>
      </c>
    </row>
    <row r="3747" spans="2:5" ht="15" customHeight="1" thickBot="1" x14ac:dyDescent="0.35">
      <c r="B3747" s="96" t="s">
        <v>5794</v>
      </c>
      <c r="C3747" s="97">
        <v>526839</v>
      </c>
      <c r="D3747" s="96" t="s">
        <v>388</v>
      </c>
      <c r="E3747" s="96" t="s">
        <v>786</v>
      </c>
    </row>
    <row r="3748" spans="2:5" ht="15" customHeight="1" thickBot="1" x14ac:dyDescent="0.35">
      <c r="B3748" s="96" t="s">
        <v>5795</v>
      </c>
      <c r="C3748" s="97">
        <v>538685</v>
      </c>
      <c r="D3748" s="96" t="s">
        <v>5796</v>
      </c>
      <c r="E3748" s="96" t="s">
        <v>391</v>
      </c>
    </row>
    <row r="3749" spans="2:5" ht="15" customHeight="1" thickBot="1" x14ac:dyDescent="0.35">
      <c r="B3749" s="96" t="s">
        <v>5797</v>
      </c>
      <c r="C3749" s="97">
        <v>512367</v>
      </c>
      <c r="D3749" s="96" t="s">
        <v>388</v>
      </c>
      <c r="E3749" s="96" t="s">
        <v>371</v>
      </c>
    </row>
    <row r="3750" spans="2:5" ht="15" customHeight="1" thickBot="1" x14ac:dyDescent="0.35">
      <c r="B3750" s="96" t="s">
        <v>5798</v>
      </c>
      <c r="C3750" s="97">
        <v>526117</v>
      </c>
      <c r="D3750" s="96" t="s">
        <v>388</v>
      </c>
      <c r="E3750" s="96" t="s">
        <v>934</v>
      </c>
    </row>
    <row r="3751" spans="2:5" ht="15" customHeight="1" thickBot="1" x14ac:dyDescent="0.35">
      <c r="B3751" s="96" t="s">
        <v>5799</v>
      </c>
      <c r="C3751" s="97">
        <v>539111</v>
      </c>
      <c r="D3751" s="96" t="s">
        <v>388</v>
      </c>
      <c r="E3751" s="96" t="s">
        <v>403</v>
      </c>
    </row>
    <row r="3752" spans="2:5" ht="15" customHeight="1" thickBot="1" x14ac:dyDescent="0.35">
      <c r="B3752" s="96" t="s">
        <v>5800</v>
      </c>
      <c r="C3752" s="97">
        <v>526137</v>
      </c>
      <c r="D3752" s="96" t="s">
        <v>388</v>
      </c>
      <c r="E3752" s="96" t="s">
        <v>583</v>
      </c>
    </row>
    <row r="3753" spans="2:5" ht="15" customHeight="1" thickBot="1" x14ac:dyDescent="0.35">
      <c r="B3753" s="96" t="s">
        <v>5801</v>
      </c>
      <c r="C3753" s="97">
        <v>507952</v>
      </c>
      <c r="D3753" s="96" t="s">
        <v>388</v>
      </c>
      <c r="E3753" s="96" t="s">
        <v>405</v>
      </c>
    </row>
    <row r="3754" spans="2:5" ht="15" customHeight="1" thickBot="1" x14ac:dyDescent="0.35">
      <c r="B3754" s="96" t="s">
        <v>5802</v>
      </c>
      <c r="C3754" s="97">
        <v>531201</v>
      </c>
      <c r="D3754" s="96" t="s">
        <v>388</v>
      </c>
      <c r="E3754" s="96" t="s">
        <v>686</v>
      </c>
    </row>
    <row r="3755" spans="2:5" ht="15" customHeight="1" thickBot="1" x14ac:dyDescent="0.35">
      <c r="B3755" s="96" t="s">
        <v>5803</v>
      </c>
      <c r="C3755" s="97">
        <v>513709</v>
      </c>
      <c r="D3755" s="96" t="s">
        <v>388</v>
      </c>
      <c r="E3755" s="96" t="s">
        <v>396</v>
      </c>
    </row>
    <row r="3756" spans="2:5" ht="15" customHeight="1" thickBot="1" x14ac:dyDescent="0.35">
      <c r="B3756" s="96" t="s">
        <v>5804</v>
      </c>
      <c r="C3756" s="97">
        <v>530549</v>
      </c>
      <c r="D3756" s="96" t="s">
        <v>5805</v>
      </c>
      <c r="E3756" s="96" t="s">
        <v>426</v>
      </c>
    </row>
    <row r="3757" spans="2:5" ht="15" customHeight="1" thickBot="1" x14ac:dyDescent="0.35">
      <c r="B3757" s="96" t="s">
        <v>5806</v>
      </c>
      <c r="C3757" s="97">
        <v>533389</v>
      </c>
      <c r="D3757" s="96" t="s">
        <v>5807</v>
      </c>
      <c r="E3757" s="96" t="s">
        <v>686</v>
      </c>
    </row>
    <row r="3758" spans="2:5" ht="15" customHeight="1" thickBot="1" x14ac:dyDescent="0.35">
      <c r="B3758" s="96" t="s">
        <v>5808</v>
      </c>
      <c r="C3758" s="97">
        <v>523598</v>
      </c>
      <c r="D3758" s="96" t="s">
        <v>5809</v>
      </c>
      <c r="E3758" s="96" t="s">
        <v>1635</v>
      </c>
    </row>
    <row r="3759" spans="2:5" ht="15" customHeight="1" thickBot="1" x14ac:dyDescent="0.35">
      <c r="B3759" s="96" t="s">
        <v>5810</v>
      </c>
      <c r="C3759" s="97">
        <v>523598</v>
      </c>
      <c r="D3759" s="96" t="s">
        <v>5809</v>
      </c>
      <c r="E3759" s="96" t="s">
        <v>1635</v>
      </c>
    </row>
    <row r="3760" spans="2:5" ht="15" customHeight="1" thickBot="1" x14ac:dyDescent="0.35">
      <c r="B3760" s="96" t="s">
        <v>5811</v>
      </c>
      <c r="C3760" s="97">
        <v>512289</v>
      </c>
      <c r="D3760" s="96" t="s">
        <v>5812</v>
      </c>
      <c r="E3760" s="96" t="s">
        <v>2635</v>
      </c>
    </row>
    <row r="3761" spans="2:5" ht="15" customHeight="1" thickBot="1" x14ac:dyDescent="0.35">
      <c r="B3761" s="96" t="s">
        <v>5813</v>
      </c>
      <c r="C3761" s="97">
        <v>540693</v>
      </c>
      <c r="D3761" s="96" t="s">
        <v>388</v>
      </c>
      <c r="E3761" s="96" t="s">
        <v>508</v>
      </c>
    </row>
    <row r="3762" spans="2:5" ht="15" customHeight="1" thickBot="1" x14ac:dyDescent="0.35">
      <c r="B3762" s="96" t="s">
        <v>5814</v>
      </c>
      <c r="C3762" s="97">
        <v>532323</v>
      </c>
      <c r="D3762" s="96" t="s">
        <v>388</v>
      </c>
      <c r="E3762" s="96" t="s">
        <v>401</v>
      </c>
    </row>
    <row r="3763" spans="2:5" ht="15" customHeight="1" thickBot="1" x14ac:dyDescent="0.35">
      <c r="B3763" s="96" t="s">
        <v>5815</v>
      </c>
      <c r="C3763" s="97">
        <v>530433</v>
      </c>
      <c r="D3763" s="96" t="s">
        <v>388</v>
      </c>
      <c r="E3763" s="96" t="s">
        <v>896</v>
      </c>
    </row>
    <row r="3764" spans="2:5" ht="15" customHeight="1" thickBot="1" x14ac:dyDescent="0.35">
      <c r="B3764" s="96" t="s">
        <v>5816</v>
      </c>
      <c r="C3764" s="97">
        <v>540072</v>
      </c>
      <c r="D3764" s="96" t="s">
        <v>388</v>
      </c>
      <c r="E3764" s="96" t="s">
        <v>916</v>
      </c>
    </row>
    <row r="3765" spans="2:5" ht="15" customHeight="1" thickBot="1" x14ac:dyDescent="0.35">
      <c r="B3765" s="96" t="s">
        <v>5817</v>
      </c>
      <c r="C3765" s="97">
        <v>524602</v>
      </c>
      <c r="D3765" s="96" t="s">
        <v>5818</v>
      </c>
      <c r="E3765" s="96" t="s">
        <v>577</v>
      </c>
    </row>
    <row r="3766" spans="2:5" ht="15" customHeight="1" thickBot="1" x14ac:dyDescent="0.35">
      <c r="B3766" s="96" t="s">
        <v>5819</v>
      </c>
      <c r="C3766" s="97">
        <v>540961</v>
      </c>
      <c r="D3766" s="96" t="s">
        <v>5820</v>
      </c>
      <c r="E3766" s="96" t="s">
        <v>403</v>
      </c>
    </row>
    <row r="3767" spans="2:5" ht="15" customHeight="1" thickBot="1" x14ac:dyDescent="0.35">
      <c r="B3767" s="96" t="s">
        <v>5821</v>
      </c>
      <c r="C3767" s="97">
        <v>521003</v>
      </c>
      <c r="D3767" s="96" t="s">
        <v>388</v>
      </c>
      <c r="E3767" s="96" t="s">
        <v>410</v>
      </c>
    </row>
    <row r="3768" spans="2:5" ht="15" customHeight="1" thickBot="1" x14ac:dyDescent="0.35">
      <c r="B3768" s="96" t="s">
        <v>5822</v>
      </c>
      <c r="C3768" s="97">
        <v>511108</v>
      </c>
      <c r="D3768" s="96" t="s">
        <v>5823</v>
      </c>
      <c r="E3768" s="96" t="s">
        <v>403</v>
      </c>
    </row>
    <row r="3769" spans="2:5" ht="15" customHeight="1" thickBot="1" x14ac:dyDescent="0.35">
      <c r="B3769" s="96" t="s">
        <v>5824</v>
      </c>
      <c r="C3769" s="97">
        <v>522237</v>
      </c>
      <c r="D3769" s="96" t="s">
        <v>388</v>
      </c>
      <c r="E3769" s="96" t="s">
        <v>396</v>
      </c>
    </row>
    <row r="3770" spans="2:5" ht="15" customHeight="1" thickBot="1" x14ac:dyDescent="0.35">
      <c r="B3770" s="96" t="s">
        <v>5825</v>
      </c>
      <c r="C3770" s="97">
        <v>513097</v>
      </c>
      <c r="D3770" s="96" t="s">
        <v>388</v>
      </c>
      <c r="E3770" s="96" t="s">
        <v>930</v>
      </c>
    </row>
    <row r="3771" spans="2:5" ht="15" customHeight="1" thickBot="1" x14ac:dyDescent="0.35">
      <c r="B3771" s="96" t="s">
        <v>5826</v>
      </c>
      <c r="C3771" s="97">
        <v>539148</v>
      </c>
      <c r="D3771" s="96" t="s">
        <v>388</v>
      </c>
      <c r="E3771" s="96" t="s">
        <v>532</v>
      </c>
    </row>
    <row r="3772" spans="2:5" ht="15" customHeight="1" thickBot="1" x14ac:dyDescent="0.35">
      <c r="B3772" s="96" t="s">
        <v>5827</v>
      </c>
      <c r="C3772" s="97">
        <v>532776</v>
      </c>
      <c r="D3772" s="96" t="s">
        <v>5828</v>
      </c>
      <c r="E3772" s="96" t="s">
        <v>743</v>
      </c>
    </row>
    <row r="3773" spans="2:5" ht="15" customHeight="1" thickBot="1" x14ac:dyDescent="0.35">
      <c r="B3773" s="96" t="s">
        <v>5829</v>
      </c>
      <c r="C3773" s="97">
        <v>539593</v>
      </c>
      <c r="D3773" s="96" t="s">
        <v>388</v>
      </c>
      <c r="E3773" s="96" t="s">
        <v>371</v>
      </c>
    </row>
    <row r="3774" spans="2:5" ht="15" customHeight="1" thickBot="1" x14ac:dyDescent="0.35">
      <c r="B3774" s="96" t="s">
        <v>5830</v>
      </c>
      <c r="C3774" s="97">
        <v>539683</v>
      </c>
      <c r="D3774" s="96" t="s">
        <v>388</v>
      </c>
      <c r="E3774" s="96" t="s">
        <v>405</v>
      </c>
    </row>
    <row r="3775" spans="2:5" ht="15" customHeight="1" thickBot="1" x14ac:dyDescent="0.35">
      <c r="B3775" s="96" t="s">
        <v>5831</v>
      </c>
      <c r="C3775" s="97">
        <v>539833</v>
      </c>
      <c r="D3775" s="96" t="s">
        <v>388</v>
      </c>
      <c r="E3775" s="96" t="s">
        <v>405</v>
      </c>
    </row>
    <row r="3776" spans="2:5" ht="15" customHeight="1" thickBot="1" x14ac:dyDescent="0.35">
      <c r="B3776" s="96" t="s">
        <v>5832</v>
      </c>
      <c r="C3776" s="97">
        <v>532638</v>
      </c>
      <c r="D3776" s="96" t="s">
        <v>5833</v>
      </c>
      <c r="E3776" s="96" t="s">
        <v>557</v>
      </c>
    </row>
    <row r="3777" spans="2:5" ht="15" customHeight="1" thickBot="1" x14ac:dyDescent="0.35">
      <c r="B3777" s="96" t="s">
        <v>5834</v>
      </c>
      <c r="C3777" s="96" t="s">
        <v>388</v>
      </c>
      <c r="D3777" s="96" t="s">
        <v>5835</v>
      </c>
      <c r="E3777" s="96" t="s">
        <v>399</v>
      </c>
    </row>
    <row r="3778" spans="2:5" ht="15" customHeight="1" thickBot="1" x14ac:dyDescent="0.35">
      <c r="B3778" s="96" t="s">
        <v>5836</v>
      </c>
      <c r="C3778" s="97">
        <v>538795</v>
      </c>
      <c r="D3778" s="96" t="s">
        <v>388</v>
      </c>
      <c r="E3778" s="96" t="s">
        <v>382</v>
      </c>
    </row>
    <row r="3779" spans="2:5" ht="15" customHeight="1" thickBot="1" x14ac:dyDescent="0.35">
      <c r="B3779" s="96" t="s">
        <v>5837</v>
      </c>
      <c r="C3779" s="97">
        <v>521131</v>
      </c>
      <c r="D3779" s="96" t="s">
        <v>388</v>
      </c>
      <c r="E3779" s="96" t="s">
        <v>403</v>
      </c>
    </row>
    <row r="3780" spans="2:5" ht="15" customHeight="1" thickBot="1" x14ac:dyDescent="0.35">
      <c r="B3780" s="96" t="s">
        <v>5838</v>
      </c>
      <c r="C3780" s="97">
        <v>502563</v>
      </c>
      <c r="D3780" s="96" t="s">
        <v>388</v>
      </c>
      <c r="E3780" s="96" t="s">
        <v>382</v>
      </c>
    </row>
    <row r="3781" spans="2:5" ht="15" customHeight="1" thickBot="1" x14ac:dyDescent="0.35">
      <c r="B3781" s="96" t="s">
        <v>5839</v>
      </c>
      <c r="C3781" s="97">
        <v>500387</v>
      </c>
      <c r="D3781" s="96" t="s">
        <v>5840</v>
      </c>
      <c r="E3781" s="96" t="s">
        <v>401</v>
      </c>
    </row>
    <row r="3782" spans="2:5" ht="15" customHeight="1" thickBot="1" x14ac:dyDescent="0.35">
      <c r="B3782" s="96" t="s">
        <v>5841</v>
      </c>
      <c r="C3782" s="97">
        <v>502180</v>
      </c>
      <c r="D3782" s="96" t="s">
        <v>388</v>
      </c>
      <c r="E3782" s="96" t="s">
        <v>401</v>
      </c>
    </row>
    <row r="3783" spans="2:5" ht="15" customHeight="1" thickBot="1" x14ac:dyDescent="0.35">
      <c r="B3783" s="96" t="s">
        <v>5842</v>
      </c>
      <c r="C3783" s="97">
        <v>539470</v>
      </c>
      <c r="D3783" s="96" t="s">
        <v>388</v>
      </c>
      <c r="E3783" s="96" t="s">
        <v>726</v>
      </c>
    </row>
    <row r="3784" spans="2:5" ht="15" customHeight="1" thickBot="1" x14ac:dyDescent="0.35">
      <c r="B3784" s="96" t="s">
        <v>5843</v>
      </c>
      <c r="C3784" s="97">
        <v>539470</v>
      </c>
      <c r="D3784" s="96" t="s">
        <v>388</v>
      </c>
      <c r="E3784" s="96" t="s">
        <v>726</v>
      </c>
    </row>
    <row r="3785" spans="2:5" ht="15" customHeight="1" thickBot="1" x14ac:dyDescent="0.35">
      <c r="B3785" s="96" t="s">
        <v>5844</v>
      </c>
      <c r="C3785" s="97">
        <v>530797</v>
      </c>
      <c r="D3785" s="96" t="s">
        <v>388</v>
      </c>
      <c r="E3785" s="96" t="s">
        <v>410</v>
      </c>
    </row>
    <row r="3786" spans="2:5" ht="15" customHeight="1" thickBot="1" x14ac:dyDescent="0.35">
      <c r="B3786" s="96" t="s">
        <v>5845</v>
      </c>
      <c r="C3786" s="97">
        <v>532643</v>
      </c>
      <c r="D3786" s="96" t="s">
        <v>5846</v>
      </c>
      <c r="E3786" s="96" t="s">
        <v>1307</v>
      </c>
    </row>
    <row r="3787" spans="2:5" ht="15" customHeight="1" thickBot="1" x14ac:dyDescent="0.35">
      <c r="B3787" s="96" t="s">
        <v>5847</v>
      </c>
      <c r="C3787" s="97">
        <v>540737</v>
      </c>
      <c r="D3787" s="96" t="s">
        <v>388</v>
      </c>
      <c r="E3787" s="96" t="s">
        <v>426</v>
      </c>
    </row>
    <row r="3788" spans="2:5" ht="15" customHeight="1" thickBot="1" x14ac:dyDescent="0.35">
      <c r="B3788" s="96" t="s">
        <v>5848</v>
      </c>
      <c r="C3788" s="97">
        <v>512463</v>
      </c>
      <c r="D3788" s="96" t="s">
        <v>388</v>
      </c>
      <c r="E3788" s="96" t="s">
        <v>405</v>
      </c>
    </row>
    <row r="3789" spans="2:5" ht="15" customHeight="1" thickBot="1" x14ac:dyDescent="0.35">
      <c r="B3789" s="96" t="s">
        <v>5849</v>
      </c>
      <c r="C3789" s="97">
        <v>524336</v>
      </c>
      <c r="D3789" s="96" t="s">
        <v>388</v>
      </c>
      <c r="E3789" s="96" t="s">
        <v>436</v>
      </c>
    </row>
    <row r="3790" spans="2:5" ht="15" customHeight="1" thickBot="1" x14ac:dyDescent="0.35">
      <c r="B3790" s="96" t="s">
        <v>5850</v>
      </c>
      <c r="C3790" s="97">
        <v>516106</v>
      </c>
      <c r="D3790" s="96" t="s">
        <v>388</v>
      </c>
      <c r="E3790" s="96" t="s">
        <v>382</v>
      </c>
    </row>
    <row r="3791" spans="2:5" ht="15" customHeight="1" thickBot="1" x14ac:dyDescent="0.35">
      <c r="B3791" s="96" t="s">
        <v>5851</v>
      </c>
      <c r="C3791" s="97">
        <v>542146</v>
      </c>
      <c r="D3791" s="96" t="s">
        <v>388</v>
      </c>
      <c r="E3791" s="96" t="s">
        <v>474</v>
      </c>
    </row>
    <row r="3792" spans="2:5" ht="15" customHeight="1" thickBot="1" x14ac:dyDescent="0.35">
      <c r="B3792" s="96" t="s">
        <v>5852</v>
      </c>
      <c r="C3792" s="97">
        <v>500388</v>
      </c>
      <c r="D3792" s="96" t="s">
        <v>388</v>
      </c>
      <c r="E3792" s="96" t="s">
        <v>382</v>
      </c>
    </row>
    <row r="3793" spans="2:5" ht="15" customHeight="1" thickBot="1" x14ac:dyDescent="0.35">
      <c r="B3793" s="96" t="s">
        <v>5853</v>
      </c>
      <c r="C3793" s="97">
        <v>503863</v>
      </c>
      <c r="D3793" s="96" t="s">
        <v>388</v>
      </c>
      <c r="E3793" s="96" t="s">
        <v>403</v>
      </c>
    </row>
    <row r="3794" spans="2:5" ht="15" customHeight="1" thickBot="1" x14ac:dyDescent="0.35">
      <c r="B3794" s="96" t="s">
        <v>5854</v>
      </c>
      <c r="C3794" s="97">
        <v>531962</v>
      </c>
      <c r="D3794" s="96" t="s">
        <v>388</v>
      </c>
      <c r="E3794" s="96" t="s">
        <v>405</v>
      </c>
    </row>
    <row r="3795" spans="2:5" ht="15" customHeight="1" thickBot="1" x14ac:dyDescent="0.35">
      <c r="B3795" s="96" t="s">
        <v>5855</v>
      </c>
      <c r="C3795" s="97">
        <v>540253</v>
      </c>
      <c r="D3795" s="96" t="s">
        <v>388</v>
      </c>
      <c r="E3795" s="96" t="s">
        <v>371</v>
      </c>
    </row>
    <row r="3796" spans="2:5" ht="15" customHeight="1" thickBot="1" x14ac:dyDescent="0.35">
      <c r="B3796" s="96" t="s">
        <v>5856</v>
      </c>
      <c r="C3796" s="97">
        <v>506180</v>
      </c>
      <c r="D3796" s="96" t="s">
        <v>388</v>
      </c>
      <c r="E3796" s="96" t="s">
        <v>410</v>
      </c>
    </row>
    <row r="3797" spans="2:5" ht="15" customHeight="1" thickBot="1" x14ac:dyDescent="0.35">
      <c r="B3797" s="96" t="s">
        <v>5857</v>
      </c>
      <c r="C3797" s="97">
        <v>527005</v>
      </c>
      <c r="D3797" s="96" t="s">
        <v>388</v>
      </c>
      <c r="E3797" s="96" t="s">
        <v>1352</v>
      </c>
    </row>
    <row r="3798" spans="2:5" ht="15" customHeight="1" thickBot="1" x14ac:dyDescent="0.35">
      <c r="B3798" s="96" t="s">
        <v>5858</v>
      </c>
      <c r="C3798" s="97">
        <v>533110</v>
      </c>
      <c r="D3798" s="96" t="s">
        <v>388</v>
      </c>
      <c r="E3798" s="96" t="s">
        <v>711</v>
      </c>
    </row>
    <row r="3799" spans="2:5" ht="15" customHeight="1" thickBot="1" x14ac:dyDescent="0.35">
      <c r="B3799" s="96" t="s">
        <v>5859</v>
      </c>
      <c r="C3799" s="97">
        <v>539334</v>
      </c>
      <c r="D3799" s="96" t="s">
        <v>5860</v>
      </c>
      <c r="E3799" s="96" t="s">
        <v>548</v>
      </c>
    </row>
    <row r="3800" spans="2:5" ht="15" customHeight="1" thickBot="1" x14ac:dyDescent="0.35">
      <c r="B3800" s="96" t="s">
        <v>5861</v>
      </c>
      <c r="C3800" s="97">
        <v>503837</v>
      </c>
      <c r="D3800" s="96" t="s">
        <v>388</v>
      </c>
      <c r="E3800" s="96" t="s">
        <v>403</v>
      </c>
    </row>
    <row r="3801" spans="2:5" ht="15" customHeight="1" thickBot="1" x14ac:dyDescent="0.35">
      <c r="B3801" s="96" t="s">
        <v>5862</v>
      </c>
      <c r="C3801" s="97">
        <v>516086</v>
      </c>
      <c r="D3801" s="96" t="s">
        <v>388</v>
      </c>
      <c r="E3801" s="96" t="s">
        <v>382</v>
      </c>
    </row>
    <row r="3802" spans="2:5" ht="15" customHeight="1" thickBot="1" x14ac:dyDescent="0.35">
      <c r="B3802" s="96" t="s">
        <v>5863</v>
      </c>
      <c r="C3802" s="96" t="s">
        <v>388</v>
      </c>
      <c r="D3802" s="96" t="s">
        <v>5864</v>
      </c>
      <c r="E3802" s="96" t="s">
        <v>399</v>
      </c>
    </row>
    <row r="3803" spans="2:5" ht="15" customHeight="1" thickBot="1" x14ac:dyDescent="0.35">
      <c r="B3803" s="96" t="s">
        <v>5865</v>
      </c>
      <c r="C3803" s="97">
        <v>532310</v>
      </c>
      <c r="D3803" s="96" t="s">
        <v>5866</v>
      </c>
      <c r="E3803" s="96" t="s">
        <v>583</v>
      </c>
    </row>
    <row r="3804" spans="2:5" ht="15" customHeight="1" thickBot="1" x14ac:dyDescent="0.35">
      <c r="B3804" s="96" t="s">
        <v>5867</v>
      </c>
      <c r="C3804" s="97">
        <v>500356</v>
      </c>
      <c r="D3804" s="96" t="s">
        <v>5868</v>
      </c>
      <c r="E3804" s="96" t="s">
        <v>382</v>
      </c>
    </row>
    <row r="3805" spans="2:5" ht="15" customHeight="1" thickBot="1" x14ac:dyDescent="0.35">
      <c r="B3805" s="96" t="s">
        <v>5869</v>
      </c>
      <c r="C3805" s="97">
        <v>532670</v>
      </c>
      <c r="D3805" s="96" t="s">
        <v>5870</v>
      </c>
      <c r="E3805" s="96" t="s">
        <v>1087</v>
      </c>
    </row>
    <row r="3806" spans="2:5" ht="15" customHeight="1" thickBot="1" x14ac:dyDescent="0.35">
      <c r="B3806" s="96" t="s">
        <v>5871</v>
      </c>
      <c r="C3806" s="97">
        <v>503635</v>
      </c>
      <c r="D3806" s="96" t="s">
        <v>388</v>
      </c>
      <c r="E3806" s="96" t="s">
        <v>371</v>
      </c>
    </row>
    <row r="3807" spans="2:5" ht="15" customHeight="1" thickBot="1" x14ac:dyDescent="0.35">
      <c r="B3807" s="96" t="s">
        <v>5872</v>
      </c>
      <c r="C3807" s="97">
        <v>538975</v>
      </c>
      <c r="D3807" s="96" t="s">
        <v>388</v>
      </c>
      <c r="E3807" s="96" t="s">
        <v>405</v>
      </c>
    </row>
    <row r="3808" spans="2:5" ht="15" customHeight="1" thickBot="1" x14ac:dyDescent="0.35">
      <c r="B3808" s="96" t="s">
        <v>5873</v>
      </c>
      <c r="C3808" s="97">
        <v>513488</v>
      </c>
      <c r="D3808" s="96" t="s">
        <v>388</v>
      </c>
      <c r="E3808" s="96" t="s">
        <v>711</v>
      </c>
    </row>
    <row r="3809" spans="2:5" ht="15" customHeight="1" thickBot="1" x14ac:dyDescent="0.35">
      <c r="B3809" s="96" t="s">
        <v>5874</v>
      </c>
      <c r="C3809" s="97">
        <v>531667</v>
      </c>
      <c r="D3809" s="96" t="s">
        <v>388</v>
      </c>
      <c r="E3809" s="96" t="s">
        <v>410</v>
      </c>
    </row>
    <row r="3810" spans="2:5" ht="15" customHeight="1" thickBot="1" x14ac:dyDescent="0.35">
      <c r="B3810" s="96" t="s">
        <v>5875</v>
      </c>
      <c r="C3810" s="96" t="s">
        <v>388</v>
      </c>
      <c r="D3810" s="96" t="s">
        <v>5876</v>
      </c>
      <c r="E3810" s="96" t="s">
        <v>399</v>
      </c>
    </row>
    <row r="3811" spans="2:5" ht="15" customHeight="1" thickBot="1" x14ac:dyDescent="0.35">
      <c r="B3811" s="96" t="s">
        <v>5877</v>
      </c>
      <c r="C3811" s="97">
        <v>590128</v>
      </c>
      <c r="D3811" s="96" t="s">
        <v>388</v>
      </c>
      <c r="E3811" s="96" t="s">
        <v>374</v>
      </c>
    </row>
    <row r="3812" spans="2:5" ht="15" customHeight="1" thickBot="1" x14ac:dyDescent="0.35">
      <c r="B3812" s="96" t="s">
        <v>5878</v>
      </c>
      <c r="C3812" s="96" t="s">
        <v>388</v>
      </c>
      <c r="D3812" s="96" t="s">
        <v>5879</v>
      </c>
      <c r="E3812" s="96" t="s">
        <v>399</v>
      </c>
    </row>
    <row r="3813" spans="2:5" ht="15" customHeight="1" thickBot="1" x14ac:dyDescent="0.35">
      <c r="B3813" s="96" t="s">
        <v>5880</v>
      </c>
      <c r="C3813" s="97">
        <v>541358</v>
      </c>
      <c r="D3813" s="96" t="s">
        <v>388</v>
      </c>
      <c r="E3813" s="96" t="s">
        <v>405</v>
      </c>
    </row>
    <row r="3814" spans="2:5" ht="15" customHeight="1" thickBot="1" x14ac:dyDescent="0.35">
      <c r="B3814" s="96" t="s">
        <v>5881</v>
      </c>
      <c r="C3814" s="97">
        <v>540738</v>
      </c>
      <c r="D3814" s="96" t="s">
        <v>388</v>
      </c>
      <c r="E3814" s="96" t="s">
        <v>709</v>
      </c>
    </row>
    <row r="3815" spans="2:5" ht="15" customHeight="1" thickBot="1" x14ac:dyDescent="0.35">
      <c r="B3815" s="96" t="s">
        <v>5882</v>
      </c>
      <c r="C3815" s="97">
        <v>503696</v>
      </c>
      <c r="D3815" s="96" t="s">
        <v>388</v>
      </c>
      <c r="E3815" s="96" t="s">
        <v>809</v>
      </c>
    </row>
    <row r="3816" spans="2:5" ht="15" customHeight="1" thickBot="1" x14ac:dyDescent="0.35">
      <c r="B3816" s="96" t="s">
        <v>5883</v>
      </c>
      <c r="C3816" s="96" t="s">
        <v>388</v>
      </c>
      <c r="D3816" s="96" t="s">
        <v>5884</v>
      </c>
      <c r="E3816" s="96" t="s">
        <v>399</v>
      </c>
    </row>
    <row r="3817" spans="2:5" ht="15" customHeight="1" thickBot="1" x14ac:dyDescent="0.35">
      <c r="B3817" s="96" t="s">
        <v>5885</v>
      </c>
      <c r="C3817" s="97">
        <v>541112</v>
      </c>
      <c r="D3817" s="96" t="s">
        <v>388</v>
      </c>
      <c r="E3817" s="96" t="s">
        <v>786</v>
      </c>
    </row>
    <row r="3818" spans="2:5" ht="15" customHeight="1" thickBot="1" x14ac:dyDescent="0.35">
      <c r="B3818" s="96" t="s">
        <v>5886</v>
      </c>
      <c r="C3818" s="97">
        <v>532007</v>
      </c>
      <c r="D3818" s="96" t="s">
        <v>388</v>
      </c>
      <c r="E3818" s="96" t="s">
        <v>809</v>
      </c>
    </row>
    <row r="3819" spans="2:5" ht="15" customHeight="1" thickBot="1" x14ac:dyDescent="0.35">
      <c r="B3819" s="96" t="s">
        <v>5887</v>
      </c>
      <c r="C3819" s="96" t="s">
        <v>388</v>
      </c>
      <c r="D3819" s="96" t="s">
        <v>5888</v>
      </c>
      <c r="E3819" s="96" t="s">
        <v>399</v>
      </c>
    </row>
    <row r="3820" spans="2:5" ht="15" customHeight="1" thickBot="1" x14ac:dyDescent="0.35">
      <c r="B3820" s="96" t="s">
        <v>5889</v>
      </c>
      <c r="C3820" s="97">
        <v>516016</v>
      </c>
      <c r="D3820" s="96" t="s">
        <v>5890</v>
      </c>
      <c r="E3820" s="96" t="s">
        <v>382</v>
      </c>
    </row>
    <row r="3821" spans="2:5" ht="15" customHeight="1" thickBot="1" x14ac:dyDescent="0.35">
      <c r="B3821" s="96" t="s">
        <v>5891</v>
      </c>
      <c r="C3821" s="97">
        <v>526335</v>
      </c>
      <c r="D3821" s="96" t="s">
        <v>388</v>
      </c>
      <c r="E3821" s="96" t="s">
        <v>436</v>
      </c>
    </row>
    <row r="3822" spans="2:5" ht="15" customHeight="1" thickBot="1" x14ac:dyDescent="0.35">
      <c r="B3822" s="96" t="s">
        <v>5892</v>
      </c>
      <c r="C3822" s="97">
        <v>520151</v>
      </c>
      <c r="D3822" s="96" t="s">
        <v>5893</v>
      </c>
      <c r="E3822" s="96" t="s">
        <v>1635</v>
      </c>
    </row>
    <row r="3823" spans="2:5" ht="15" customHeight="1" thickBot="1" x14ac:dyDescent="0.35">
      <c r="B3823" s="96" t="s">
        <v>5894</v>
      </c>
      <c r="C3823" s="97">
        <v>526981</v>
      </c>
      <c r="D3823" s="96" t="s">
        <v>388</v>
      </c>
      <c r="E3823" s="96" t="s">
        <v>711</v>
      </c>
    </row>
    <row r="3824" spans="2:5" ht="15" customHeight="1" thickBot="1" x14ac:dyDescent="0.35">
      <c r="B3824" s="96" t="s">
        <v>5895</v>
      </c>
      <c r="C3824" s="97">
        <v>530841</v>
      </c>
      <c r="D3824" s="96" t="s">
        <v>388</v>
      </c>
      <c r="E3824" s="96" t="s">
        <v>665</v>
      </c>
    </row>
    <row r="3825" spans="2:5" ht="15" customHeight="1" thickBot="1" x14ac:dyDescent="0.35">
      <c r="B3825" s="96" t="s">
        <v>5896</v>
      </c>
      <c r="C3825" s="97">
        <v>503804</v>
      </c>
      <c r="D3825" s="96" t="s">
        <v>388</v>
      </c>
      <c r="E3825" s="96" t="s">
        <v>403</v>
      </c>
    </row>
    <row r="3826" spans="2:5" ht="15" customHeight="1" thickBot="1" x14ac:dyDescent="0.35">
      <c r="B3826" s="96" t="s">
        <v>5897</v>
      </c>
      <c r="C3826" s="97">
        <v>512453</v>
      </c>
      <c r="D3826" s="96" t="s">
        <v>388</v>
      </c>
      <c r="E3826" s="96" t="s">
        <v>583</v>
      </c>
    </row>
    <row r="3827" spans="2:5" ht="15" customHeight="1" thickBot="1" x14ac:dyDescent="0.35">
      <c r="B3827" s="96" t="s">
        <v>5898</v>
      </c>
      <c r="C3827" s="97">
        <v>532083</v>
      </c>
      <c r="D3827" s="96" t="s">
        <v>388</v>
      </c>
      <c r="E3827" s="96" t="s">
        <v>809</v>
      </c>
    </row>
    <row r="3828" spans="2:5" ht="15" customHeight="1" thickBot="1" x14ac:dyDescent="0.35">
      <c r="B3828" s="96" t="s">
        <v>5899</v>
      </c>
      <c r="C3828" s="97">
        <v>530977</v>
      </c>
      <c r="D3828" s="96" t="s">
        <v>388</v>
      </c>
      <c r="E3828" s="96" t="s">
        <v>401</v>
      </c>
    </row>
    <row r="3829" spans="2:5" ht="15" customHeight="1" thickBot="1" x14ac:dyDescent="0.35">
      <c r="B3829" s="96" t="s">
        <v>5900</v>
      </c>
      <c r="C3829" s="97">
        <v>531080</v>
      </c>
      <c r="D3829" s="96" t="s">
        <v>388</v>
      </c>
      <c r="E3829" s="96" t="s">
        <v>474</v>
      </c>
    </row>
    <row r="3830" spans="2:5" ht="15" customHeight="1" thickBot="1" x14ac:dyDescent="0.35">
      <c r="B3830" s="96" t="s">
        <v>5901</v>
      </c>
      <c r="C3830" s="97">
        <v>538897</v>
      </c>
      <c r="D3830" s="96" t="s">
        <v>388</v>
      </c>
      <c r="E3830" s="96" t="s">
        <v>405</v>
      </c>
    </row>
    <row r="3831" spans="2:5" ht="15" customHeight="1" thickBot="1" x14ac:dyDescent="0.35">
      <c r="B3831" s="96" t="s">
        <v>5902</v>
      </c>
      <c r="C3831" s="96" t="s">
        <v>388</v>
      </c>
      <c r="D3831" s="96" t="s">
        <v>5903</v>
      </c>
      <c r="E3831" s="96" t="s">
        <v>399</v>
      </c>
    </row>
    <row r="3832" spans="2:5" ht="15" customHeight="1" thickBot="1" x14ac:dyDescent="0.35">
      <c r="B3832" s="96" t="s">
        <v>5904</v>
      </c>
      <c r="C3832" s="97">
        <v>508961</v>
      </c>
      <c r="D3832" s="96" t="s">
        <v>388</v>
      </c>
      <c r="E3832" s="96" t="s">
        <v>405</v>
      </c>
    </row>
    <row r="3833" spans="2:5" ht="15" customHeight="1" thickBot="1" x14ac:dyDescent="0.35">
      <c r="B3833" s="96" t="s">
        <v>5905</v>
      </c>
      <c r="C3833" s="97">
        <v>531359</v>
      </c>
      <c r="D3833" s="96" t="s">
        <v>388</v>
      </c>
      <c r="E3833" s="96" t="s">
        <v>2793</v>
      </c>
    </row>
    <row r="3834" spans="2:5" ht="15" customHeight="1" thickBot="1" x14ac:dyDescent="0.35">
      <c r="B3834" s="96" t="s">
        <v>5906</v>
      </c>
      <c r="C3834" s="97">
        <v>532498</v>
      </c>
      <c r="D3834" s="96" t="s">
        <v>5907</v>
      </c>
      <c r="E3834" s="96" t="s">
        <v>405</v>
      </c>
    </row>
    <row r="3835" spans="2:5" ht="15" customHeight="1" thickBot="1" x14ac:dyDescent="0.35">
      <c r="B3835" s="96" t="s">
        <v>5908</v>
      </c>
      <c r="C3835" s="97">
        <v>532945</v>
      </c>
      <c r="D3835" s="96" t="s">
        <v>5909</v>
      </c>
      <c r="E3835" s="96" t="s">
        <v>786</v>
      </c>
    </row>
    <row r="3836" spans="2:5" ht="15" customHeight="1" thickBot="1" x14ac:dyDescent="0.35">
      <c r="B3836" s="96" t="s">
        <v>5910</v>
      </c>
      <c r="C3836" s="96" t="s">
        <v>388</v>
      </c>
      <c r="D3836" s="96" t="s">
        <v>5911</v>
      </c>
      <c r="E3836" s="96" t="s">
        <v>479</v>
      </c>
    </row>
    <row r="3837" spans="2:5" ht="15" customHeight="1" thickBot="1" x14ac:dyDescent="0.35">
      <c r="B3837" s="96" t="s">
        <v>5912</v>
      </c>
      <c r="C3837" s="97">
        <v>511218</v>
      </c>
      <c r="D3837" s="96" t="s">
        <v>5913</v>
      </c>
      <c r="E3837" s="96" t="s">
        <v>405</v>
      </c>
    </row>
    <row r="3838" spans="2:5" ht="15" customHeight="1" thickBot="1" x14ac:dyDescent="0.35">
      <c r="B3838" s="96" t="s">
        <v>5914</v>
      </c>
      <c r="C3838" s="97">
        <v>511411</v>
      </c>
      <c r="D3838" s="96" t="s">
        <v>388</v>
      </c>
      <c r="E3838" s="96" t="s">
        <v>786</v>
      </c>
    </row>
    <row r="3839" spans="2:5" ht="15" customHeight="1" thickBot="1" x14ac:dyDescent="0.35">
      <c r="B3839" s="96" t="s">
        <v>5915</v>
      </c>
      <c r="C3839" s="97">
        <v>542019</v>
      </c>
      <c r="D3839" s="96" t="s">
        <v>388</v>
      </c>
      <c r="E3839" s="96" t="s">
        <v>403</v>
      </c>
    </row>
    <row r="3840" spans="2:5" ht="15" customHeight="1" thickBot="1" x14ac:dyDescent="0.35">
      <c r="B3840" s="96" t="s">
        <v>5916</v>
      </c>
      <c r="C3840" s="96" t="s">
        <v>388</v>
      </c>
      <c r="D3840" s="96" t="s">
        <v>5917</v>
      </c>
      <c r="E3840" s="96" t="s">
        <v>399</v>
      </c>
    </row>
    <row r="3841" spans="2:5" ht="15" customHeight="1" thickBot="1" x14ac:dyDescent="0.35">
      <c r="B3841" s="96" t="s">
        <v>5918</v>
      </c>
      <c r="C3841" s="97">
        <v>531506</v>
      </c>
      <c r="D3841" s="96" t="s">
        <v>5919</v>
      </c>
      <c r="E3841" s="96" t="s">
        <v>809</v>
      </c>
    </row>
    <row r="3842" spans="2:5" ht="15" customHeight="1" thickBot="1" x14ac:dyDescent="0.35">
      <c r="B3842" s="96" t="s">
        <v>5920</v>
      </c>
      <c r="C3842" s="97">
        <v>523790</v>
      </c>
      <c r="D3842" s="96" t="s">
        <v>388</v>
      </c>
      <c r="E3842" s="96" t="s">
        <v>502</v>
      </c>
    </row>
    <row r="3843" spans="2:5" ht="15" customHeight="1" thickBot="1" x14ac:dyDescent="0.35">
      <c r="B3843" s="96" t="s">
        <v>5921</v>
      </c>
      <c r="C3843" s="97">
        <v>524632</v>
      </c>
      <c r="D3843" s="96" t="s">
        <v>388</v>
      </c>
      <c r="E3843" s="96" t="s">
        <v>426</v>
      </c>
    </row>
    <row r="3844" spans="2:5" ht="15" customHeight="1" thickBot="1" x14ac:dyDescent="0.35">
      <c r="B3844" s="96" t="s">
        <v>5922</v>
      </c>
      <c r="C3844" s="97">
        <v>539252</v>
      </c>
      <c r="D3844" s="96" t="s">
        <v>5923</v>
      </c>
      <c r="E3844" s="96" t="s">
        <v>420</v>
      </c>
    </row>
    <row r="3845" spans="2:5" ht="15" customHeight="1" thickBot="1" x14ac:dyDescent="0.35">
      <c r="B3845" s="96" t="s">
        <v>5924</v>
      </c>
      <c r="C3845" s="97">
        <v>517411</v>
      </c>
      <c r="D3845" s="96" t="s">
        <v>5925</v>
      </c>
      <c r="E3845" s="96" t="s">
        <v>534</v>
      </c>
    </row>
    <row r="3846" spans="2:5" ht="15" customHeight="1" thickBot="1" x14ac:dyDescent="0.35">
      <c r="B3846" s="96" t="s">
        <v>5926</v>
      </c>
      <c r="C3846" s="97">
        <v>531219</v>
      </c>
      <c r="D3846" s="96" t="s">
        <v>388</v>
      </c>
      <c r="E3846" s="96" t="s">
        <v>426</v>
      </c>
    </row>
    <row r="3847" spans="2:5" ht="15" customHeight="1" thickBot="1" x14ac:dyDescent="0.35">
      <c r="B3847" s="96" t="s">
        <v>5927</v>
      </c>
      <c r="C3847" s="97">
        <v>505515</v>
      </c>
      <c r="D3847" s="96" t="s">
        <v>388</v>
      </c>
      <c r="E3847" s="96" t="s">
        <v>371</v>
      </c>
    </row>
    <row r="3848" spans="2:5" ht="15" customHeight="1" thickBot="1" x14ac:dyDescent="0.35">
      <c r="B3848" s="96" t="s">
        <v>5928</v>
      </c>
      <c r="C3848" s="97">
        <v>530907</v>
      </c>
      <c r="D3848" s="96" t="s">
        <v>388</v>
      </c>
      <c r="E3848" s="96" t="s">
        <v>809</v>
      </c>
    </row>
    <row r="3849" spans="2:5" ht="15" customHeight="1" thickBot="1" x14ac:dyDescent="0.35">
      <c r="B3849" s="96" t="s">
        <v>5929</v>
      </c>
      <c r="C3849" s="97">
        <v>520141</v>
      </c>
      <c r="D3849" s="96" t="s">
        <v>388</v>
      </c>
      <c r="E3849" s="96" t="s">
        <v>743</v>
      </c>
    </row>
    <row r="3850" spans="2:5" ht="15" customHeight="1" thickBot="1" x14ac:dyDescent="0.35">
      <c r="B3850" s="96" t="s">
        <v>5930</v>
      </c>
      <c r="C3850" s="97">
        <v>533014</v>
      </c>
      <c r="D3850" s="96" t="s">
        <v>5931</v>
      </c>
      <c r="E3850" s="96" t="s">
        <v>410</v>
      </c>
    </row>
    <row r="3851" spans="2:5" ht="15" customHeight="1" thickBot="1" x14ac:dyDescent="0.35">
      <c r="B3851" s="96" t="s">
        <v>5932</v>
      </c>
      <c r="C3851" s="97">
        <v>533014</v>
      </c>
      <c r="D3851" s="96" t="s">
        <v>5931</v>
      </c>
      <c r="E3851" s="96" t="s">
        <v>410</v>
      </c>
    </row>
    <row r="3852" spans="2:5" ht="15" customHeight="1" thickBot="1" x14ac:dyDescent="0.35">
      <c r="B3852" s="96" t="s">
        <v>5933</v>
      </c>
      <c r="C3852" s="97">
        <v>520086</v>
      </c>
      <c r="D3852" s="96" t="s">
        <v>5934</v>
      </c>
      <c r="E3852" s="96" t="s">
        <v>709</v>
      </c>
    </row>
    <row r="3853" spans="2:5" ht="15" customHeight="1" thickBot="1" x14ac:dyDescent="0.35">
      <c r="B3853" s="96" t="s">
        <v>5935</v>
      </c>
      <c r="C3853" s="97">
        <v>540736</v>
      </c>
      <c r="D3853" s="96" t="s">
        <v>388</v>
      </c>
      <c r="E3853" s="96" t="s">
        <v>493</v>
      </c>
    </row>
    <row r="3854" spans="2:5" ht="15" customHeight="1" thickBot="1" x14ac:dyDescent="0.35">
      <c r="B3854" s="96" t="s">
        <v>5936</v>
      </c>
      <c r="C3854" s="97">
        <v>539983</v>
      </c>
      <c r="D3854" s="96" t="s">
        <v>388</v>
      </c>
      <c r="E3854" s="96" t="s">
        <v>371</v>
      </c>
    </row>
    <row r="3855" spans="2:5" ht="15" customHeight="1" thickBot="1" x14ac:dyDescent="0.35">
      <c r="B3855" s="96" t="s">
        <v>5937</v>
      </c>
      <c r="C3855" s="97">
        <v>532217</v>
      </c>
      <c r="D3855" s="96" t="s">
        <v>388</v>
      </c>
      <c r="E3855" s="96" t="s">
        <v>371</v>
      </c>
    </row>
    <row r="3856" spans="2:5" ht="15" customHeight="1" thickBot="1" x14ac:dyDescent="0.35">
      <c r="B3856" s="96" t="s">
        <v>5938</v>
      </c>
      <c r="C3856" s="97">
        <v>500550</v>
      </c>
      <c r="D3856" s="96" t="s">
        <v>5939</v>
      </c>
      <c r="E3856" s="96" t="s">
        <v>431</v>
      </c>
    </row>
    <row r="3857" spans="2:5" ht="15" customHeight="1" thickBot="1" x14ac:dyDescent="0.35">
      <c r="B3857" s="96" t="s">
        <v>5940</v>
      </c>
      <c r="C3857" s="97">
        <v>512131</v>
      </c>
      <c r="D3857" s="96" t="s">
        <v>5941</v>
      </c>
      <c r="E3857" s="96" t="s">
        <v>508</v>
      </c>
    </row>
    <row r="3858" spans="2:5" ht="15" customHeight="1" thickBot="1" x14ac:dyDescent="0.35">
      <c r="B3858" s="96" t="s">
        <v>5942</v>
      </c>
      <c r="C3858" s="97">
        <v>523606</v>
      </c>
      <c r="D3858" s="96" t="s">
        <v>388</v>
      </c>
      <c r="E3858" s="96" t="s">
        <v>861</v>
      </c>
    </row>
    <row r="3859" spans="2:5" ht="15" customHeight="1" thickBot="1" x14ac:dyDescent="0.35">
      <c r="B3859" s="96" t="s">
        <v>5943</v>
      </c>
      <c r="C3859" s="96" t="s">
        <v>388</v>
      </c>
      <c r="D3859" s="96" t="s">
        <v>5944</v>
      </c>
      <c r="E3859" s="96" t="s">
        <v>399</v>
      </c>
    </row>
    <row r="3860" spans="2:5" ht="15" customHeight="1" thickBot="1" x14ac:dyDescent="0.35">
      <c r="B3860" s="96" t="s">
        <v>5945</v>
      </c>
      <c r="C3860" s="97">
        <v>524642</v>
      </c>
      <c r="D3860" s="96" t="s">
        <v>388</v>
      </c>
      <c r="E3860" s="96" t="s">
        <v>474</v>
      </c>
    </row>
    <row r="3861" spans="2:5" ht="15" customHeight="1" thickBot="1" x14ac:dyDescent="0.35">
      <c r="B3861" s="96" t="s">
        <v>5946</v>
      </c>
      <c r="C3861" s="97">
        <v>521194</v>
      </c>
      <c r="D3861" s="96" t="s">
        <v>5947</v>
      </c>
      <c r="E3861" s="96" t="s">
        <v>371</v>
      </c>
    </row>
    <row r="3862" spans="2:5" ht="15" customHeight="1" thickBot="1" x14ac:dyDescent="0.35">
      <c r="B3862" s="96" t="s">
        <v>5948</v>
      </c>
      <c r="C3862" s="96" t="s">
        <v>388</v>
      </c>
      <c r="D3862" s="96" t="s">
        <v>5949</v>
      </c>
      <c r="E3862" s="96" t="s">
        <v>399</v>
      </c>
    </row>
    <row r="3863" spans="2:5" ht="15" customHeight="1" thickBot="1" x14ac:dyDescent="0.35">
      <c r="B3863" s="96" t="s">
        <v>5950</v>
      </c>
      <c r="C3863" s="96" t="s">
        <v>388</v>
      </c>
      <c r="D3863" s="96" t="s">
        <v>5951</v>
      </c>
      <c r="E3863" s="96" t="s">
        <v>399</v>
      </c>
    </row>
    <row r="3864" spans="2:5" ht="15" customHeight="1" thickBot="1" x14ac:dyDescent="0.35">
      <c r="B3864" s="96" t="s">
        <v>5952</v>
      </c>
      <c r="C3864" s="97">
        <v>531635</v>
      </c>
      <c r="D3864" s="96" t="s">
        <v>388</v>
      </c>
      <c r="E3864" s="96" t="s">
        <v>1020</v>
      </c>
    </row>
    <row r="3865" spans="2:5" ht="15" customHeight="1" thickBot="1" x14ac:dyDescent="0.35">
      <c r="B3865" s="96" t="s">
        <v>5953</v>
      </c>
      <c r="C3865" s="97">
        <v>512197</v>
      </c>
      <c r="D3865" s="96" t="s">
        <v>388</v>
      </c>
      <c r="E3865" s="96" t="s">
        <v>405</v>
      </c>
    </row>
    <row r="3866" spans="2:5" ht="15" customHeight="1" thickBot="1" x14ac:dyDescent="0.35">
      <c r="B3866" s="96" t="s">
        <v>5954</v>
      </c>
      <c r="C3866" s="97">
        <v>531635</v>
      </c>
      <c r="D3866" s="96" t="s">
        <v>388</v>
      </c>
      <c r="E3866" s="96" t="s">
        <v>1020</v>
      </c>
    </row>
    <row r="3867" spans="2:5" ht="15" customHeight="1" thickBot="1" x14ac:dyDescent="0.35">
      <c r="B3867" s="96" t="s">
        <v>5955</v>
      </c>
      <c r="C3867" s="96" t="s">
        <v>388</v>
      </c>
      <c r="D3867" s="96" t="s">
        <v>5956</v>
      </c>
      <c r="E3867" s="96" t="s">
        <v>399</v>
      </c>
    </row>
    <row r="3868" spans="2:5" ht="15" customHeight="1" thickBot="1" x14ac:dyDescent="0.35">
      <c r="B3868" s="96" t="s">
        <v>5957</v>
      </c>
      <c r="C3868" s="97">
        <v>536073</v>
      </c>
      <c r="D3868" s="96" t="s">
        <v>388</v>
      </c>
      <c r="E3868" s="96" t="s">
        <v>786</v>
      </c>
    </row>
    <row r="3869" spans="2:5" ht="15" customHeight="1" thickBot="1" x14ac:dyDescent="0.35">
      <c r="B3869" s="96" t="s">
        <v>5958</v>
      </c>
      <c r="C3869" s="97">
        <v>539742</v>
      </c>
      <c r="D3869" s="96" t="s">
        <v>5959</v>
      </c>
      <c r="E3869" s="96" t="s">
        <v>1087</v>
      </c>
    </row>
    <row r="3870" spans="2:5" ht="15" customHeight="1" thickBot="1" x14ac:dyDescent="0.35">
      <c r="B3870" s="96" t="s">
        <v>5960</v>
      </c>
      <c r="C3870" s="97">
        <v>507998</v>
      </c>
      <c r="D3870" s="96" t="s">
        <v>388</v>
      </c>
      <c r="E3870" s="96" t="s">
        <v>743</v>
      </c>
    </row>
    <row r="3871" spans="2:5" ht="15" customHeight="1" thickBot="1" x14ac:dyDescent="0.35">
      <c r="B3871" s="96" t="s">
        <v>5961</v>
      </c>
      <c r="C3871" s="97">
        <v>513472</v>
      </c>
      <c r="D3871" s="96" t="s">
        <v>388</v>
      </c>
      <c r="E3871" s="96" t="s">
        <v>1307</v>
      </c>
    </row>
    <row r="3872" spans="2:5" ht="15" customHeight="1" thickBot="1" x14ac:dyDescent="0.35">
      <c r="B3872" s="96" t="s">
        <v>5962</v>
      </c>
      <c r="C3872" s="97">
        <v>523838</v>
      </c>
      <c r="D3872" s="96" t="s">
        <v>5963</v>
      </c>
      <c r="E3872" s="96" t="s">
        <v>786</v>
      </c>
    </row>
    <row r="3873" spans="2:5" ht="15" customHeight="1" thickBot="1" x14ac:dyDescent="0.35">
      <c r="B3873" s="96" t="s">
        <v>5964</v>
      </c>
      <c r="C3873" s="97">
        <v>533018</v>
      </c>
      <c r="D3873" s="96" t="s">
        <v>388</v>
      </c>
      <c r="E3873" s="96" t="s">
        <v>403</v>
      </c>
    </row>
    <row r="3874" spans="2:5" ht="15" customHeight="1" thickBot="1" x14ac:dyDescent="0.35">
      <c r="B3874" s="96" t="s">
        <v>5965</v>
      </c>
      <c r="C3874" s="97">
        <v>533019</v>
      </c>
      <c r="D3874" s="96" t="s">
        <v>388</v>
      </c>
      <c r="E3874" s="96" t="s">
        <v>382</v>
      </c>
    </row>
    <row r="3875" spans="2:5" ht="15" customHeight="1" thickBot="1" x14ac:dyDescent="0.35">
      <c r="B3875" s="96" t="s">
        <v>5966</v>
      </c>
      <c r="C3875" s="97">
        <v>503229</v>
      </c>
      <c r="D3875" s="96" t="s">
        <v>388</v>
      </c>
      <c r="E3875" s="96" t="s">
        <v>474</v>
      </c>
    </row>
    <row r="3876" spans="2:5" ht="15" customHeight="1" thickBot="1" x14ac:dyDescent="0.35">
      <c r="B3876" s="96" t="s">
        <v>5967</v>
      </c>
      <c r="C3876" s="97">
        <v>519566</v>
      </c>
      <c r="D3876" s="96" t="s">
        <v>388</v>
      </c>
      <c r="E3876" s="96" t="s">
        <v>448</v>
      </c>
    </row>
    <row r="3877" spans="2:5" ht="15" customHeight="1" thickBot="1" x14ac:dyDescent="0.35">
      <c r="B3877" s="96" t="s">
        <v>5968</v>
      </c>
      <c r="C3877" s="97">
        <v>523023</v>
      </c>
      <c r="D3877" s="96" t="s">
        <v>388</v>
      </c>
      <c r="E3877" s="96" t="s">
        <v>589</v>
      </c>
    </row>
    <row r="3878" spans="2:5" ht="15" customHeight="1" thickBot="1" x14ac:dyDescent="0.35">
      <c r="B3878" s="96" t="s">
        <v>5969</v>
      </c>
      <c r="C3878" s="97">
        <v>532029</v>
      </c>
      <c r="D3878" s="96" t="s">
        <v>388</v>
      </c>
      <c r="E3878" s="96" t="s">
        <v>809</v>
      </c>
    </row>
    <row r="3879" spans="2:5" ht="15" customHeight="1" thickBot="1" x14ac:dyDescent="0.35">
      <c r="B3879" s="96" t="s">
        <v>5970</v>
      </c>
      <c r="C3879" s="97">
        <v>505504</v>
      </c>
      <c r="D3879" s="96" t="s">
        <v>388</v>
      </c>
      <c r="E3879" s="96" t="s">
        <v>374</v>
      </c>
    </row>
    <row r="3880" spans="2:5" ht="15" customHeight="1" thickBot="1" x14ac:dyDescent="0.35">
      <c r="B3880" s="96" t="s">
        <v>5971</v>
      </c>
      <c r="C3880" s="97">
        <v>505729</v>
      </c>
      <c r="D3880" s="96" t="s">
        <v>388</v>
      </c>
      <c r="E3880" s="96" t="s">
        <v>396</v>
      </c>
    </row>
    <row r="3881" spans="2:5" ht="15" customHeight="1" thickBot="1" x14ac:dyDescent="0.35">
      <c r="B3881" s="96" t="s">
        <v>5972</v>
      </c>
      <c r="C3881" s="97">
        <v>505729</v>
      </c>
      <c r="D3881" s="96" t="s">
        <v>388</v>
      </c>
      <c r="E3881" s="96" t="s">
        <v>396</v>
      </c>
    </row>
    <row r="3882" spans="2:5" ht="15" customHeight="1" thickBot="1" x14ac:dyDescent="0.35">
      <c r="B3882" s="96" t="s">
        <v>5973</v>
      </c>
      <c r="C3882" s="97">
        <v>509887</v>
      </c>
      <c r="D3882" s="96" t="s">
        <v>388</v>
      </c>
      <c r="E3882" s="96" t="s">
        <v>2558</v>
      </c>
    </row>
    <row r="3883" spans="2:5" ht="15" customHeight="1" thickBot="1" x14ac:dyDescent="0.35">
      <c r="B3883" s="96" t="s">
        <v>5974</v>
      </c>
      <c r="C3883" s="97">
        <v>539410</v>
      </c>
      <c r="D3883" s="96" t="s">
        <v>388</v>
      </c>
      <c r="E3883" s="96" t="s">
        <v>410</v>
      </c>
    </row>
    <row r="3884" spans="2:5" ht="15" customHeight="1" thickBot="1" x14ac:dyDescent="0.35">
      <c r="B3884" s="96" t="s">
        <v>5975</v>
      </c>
      <c r="C3884" s="97">
        <v>539410</v>
      </c>
      <c r="D3884" s="96" t="s">
        <v>388</v>
      </c>
      <c r="E3884" s="96" t="s">
        <v>410</v>
      </c>
    </row>
    <row r="3885" spans="2:5" ht="15" customHeight="1" thickBot="1" x14ac:dyDescent="0.35">
      <c r="B3885" s="96" t="s">
        <v>5976</v>
      </c>
      <c r="C3885" s="96" t="s">
        <v>388</v>
      </c>
      <c r="D3885" s="96" t="s">
        <v>5977</v>
      </c>
      <c r="E3885" s="96" t="s">
        <v>399</v>
      </c>
    </row>
    <row r="3886" spans="2:5" ht="15" customHeight="1" thickBot="1" x14ac:dyDescent="0.35">
      <c r="B3886" s="96" t="s">
        <v>5978</v>
      </c>
      <c r="C3886" s="96" t="s">
        <v>388</v>
      </c>
      <c r="D3886" s="96" t="s">
        <v>5977</v>
      </c>
      <c r="E3886" s="96" t="s">
        <v>399</v>
      </c>
    </row>
    <row r="3887" spans="2:5" ht="15" customHeight="1" thickBot="1" x14ac:dyDescent="0.35">
      <c r="B3887" s="96" t="s">
        <v>5979</v>
      </c>
      <c r="C3887" s="97">
        <v>502742</v>
      </c>
      <c r="D3887" s="96" t="s">
        <v>5980</v>
      </c>
      <c r="E3887" s="96" t="s">
        <v>403</v>
      </c>
    </row>
    <row r="3888" spans="2:5" ht="15" customHeight="1" thickBot="1" x14ac:dyDescent="0.35">
      <c r="B3888" s="96" t="s">
        <v>5981</v>
      </c>
      <c r="C3888" s="97">
        <v>540653</v>
      </c>
      <c r="D3888" s="96" t="s">
        <v>5982</v>
      </c>
      <c r="E3888" s="96" t="s">
        <v>508</v>
      </c>
    </row>
    <row r="3889" spans="2:5" ht="15" customHeight="1" thickBot="1" x14ac:dyDescent="0.35">
      <c r="B3889" s="96" t="s">
        <v>5983</v>
      </c>
      <c r="C3889" s="97">
        <v>523164</v>
      </c>
      <c r="D3889" s="96" t="s">
        <v>388</v>
      </c>
      <c r="E3889" s="96" t="s">
        <v>586</v>
      </c>
    </row>
    <row r="3890" spans="2:5" ht="15" customHeight="1" thickBot="1" x14ac:dyDescent="0.35">
      <c r="B3890" s="96" t="s">
        <v>5984</v>
      </c>
      <c r="C3890" s="97">
        <v>532879</v>
      </c>
      <c r="D3890" s="96" t="s">
        <v>388</v>
      </c>
      <c r="E3890" s="96" t="s">
        <v>1087</v>
      </c>
    </row>
    <row r="3891" spans="2:5" ht="15" customHeight="1" thickBot="1" x14ac:dyDescent="0.35">
      <c r="B3891" s="96" t="s">
        <v>5985</v>
      </c>
      <c r="C3891" s="96" t="s">
        <v>388</v>
      </c>
      <c r="D3891" s="96" t="s">
        <v>5986</v>
      </c>
      <c r="E3891" s="96" t="s">
        <v>399</v>
      </c>
    </row>
    <row r="3892" spans="2:5" ht="15" customHeight="1" thickBot="1" x14ac:dyDescent="0.35">
      <c r="B3892" s="96" t="s">
        <v>5987</v>
      </c>
      <c r="C3892" s="96" t="s">
        <v>388</v>
      </c>
      <c r="D3892" s="96" t="s">
        <v>5986</v>
      </c>
      <c r="E3892" s="96" t="s">
        <v>399</v>
      </c>
    </row>
    <row r="3893" spans="2:5" ht="15" customHeight="1" thickBot="1" x14ac:dyDescent="0.35">
      <c r="B3893" s="96" t="s">
        <v>5988</v>
      </c>
      <c r="C3893" s="97">
        <v>538667</v>
      </c>
      <c r="D3893" s="96" t="s">
        <v>388</v>
      </c>
      <c r="E3893" s="96" t="s">
        <v>410</v>
      </c>
    </row>
    <row r="3894" spans="2:5" ht="15" customHeight="1" thickBot="1" x14ac:dyDescent="0.35">
      <c r="B3894" s="96" t="s">
        <v>5989</v>
      </c>
      <c r="C3894" s="97">
        <v>512589</v>
      </c>
      <c r="D3894" s="96" t="s">
        <v>388</v>
      </c>
      <c r="E3894" s="96" t="s">
        <v>410</v>
      </c>
    </row>
    <row r="3895" spans="2:5" ht="15" customHeight="1" thickBot="1" x14ac:dyDescent="0.35">
      <c r="B3895" s="96" t="s">
        <v>5990</v>
      </c>
      <c r="C3895" s="97">
        <v>532961</v>
      </c>
      <c r="D3895" s="96" t="s">
        <v>5991</v>
      </c>
      <c r="E3895" s="96" t="s">
        <v>468</v>
      </c>
    </row>
    <row r="3896" spans="2:5" ht="15" customHeight="1" thickBot="1" x14ac:dyDescent="0.35">
      <c r="B3896" s="96" t="s">
        <v>5992</v>
      </c>
      <c r="C3896" s="97">
        <v>532795</v>
      </c>
      <c r="D3896" s="96" t="s">
        <v>5993</v>
      </c>
      <c r="E3896" s="96" t="s">
        <v>1126</v>
      </c>
    </row>
    <row r="3897" spans="2:5" ht="15" customHeight="1" thickBot="1" x14ac:dyDescent="0.35">
      <c r="B3897" s="96" t="s">
        <v>5994</v>
      </c>
      <c r="C3897" s="97">
        <v>503811</v>
      </c>
      <c r="D3897" s="96" t="s">
        <v>5995</v>
      </c>
      <c r="E3897" s="96" t="s">
        <v>403</v>
      </c>
    </row>
    <row r="3898" spans="2:5" ht="15" customHeight="1" thickBot="1" x14ac:dyDescent="0.35">
      <c r="B3898" s="96" t="s">
        <v>5996</v>
      </c>
      <c r="C3898" s="97">
        <v>504398</v>
      </c>
      <c r="D3898" s="96" t="s">
        <v>388</v>
      </c>
      <c r="E3898" s="96" t="s">
        <v>502</v>
      </c>
    </row>
    <row r="3899" spans="2:5" ht="15" customHeight="1" thickBot="1" x14ac:dyDescent="0.35">
      <c r="B3899" s="96" t="s">
        <v>5997</v>
      </c>
      <c r="C3899" s="97">
        <v>533206</v>
      </c>
      <c r="D3899" s="96" t="s">
        <v>5998</v>
      </c>
      <c r="E3899" s="96" t="s">
        <v>527</v>
      </c>
    </row>
    <row r="3900" spans="2:5" ht="15" customHeight="1" thickBot="1" x14ac:dyDescent="0.35">
      <c r="B3900" s="96" t="s">
        <v>5999</v>
      </c>
      <c r="C3900" s="97">
        <v>500472</v>
      </c>
      <c r="D3900" s="96" t="s">
        <v>6000</v>
      </c>
      <c r="E3900" s="96" t="s">
        <v>573</v>
      </c>
    </row>
    <row r="3901" spans="2:5" ht="15" customHeight="1" thickBot="1" x14ac:dyDescent="0.35">
      <c r="B3901" s="96" t="s">
        <v>6001</v>
      </c>
      <c r="C3901" s="97">
        <v>500472</v>
      </c>
      <c r="D3901" s="96" t="s">
        <v>6002</v>
      </c>
      <c r="E3901" s="96" t="s">
        <v>573</v>
      </c>
    </row>
    <row r="3902" spans="2:5" ht="15" customHeight="1" thickBot="1" x14ac:dyDescent="0.35">
      <c r="B3902" s="96" t="s">
        <v>6003</v>
      </c>
      <c r="C3902" s="97">
        <v>539861</v>
      </c>
      <c r="D3902" s="96" t="s">
        <v>6004</v>
      </c>
      <c r="E3902" s="96" t="s">
        <v>786</v>
      </c>
    </row>
    <row r="3903" spans="2:5" ht="15" customHeight="1" thickBot="1" x14ac:dyDescent="0.35">
      <c r="B3903" s="96" t="s">
        <v>6005</v>
      </c>
      <c r="C3903" s="97">
        <v>538562</v>
      </c>
      <c r="D3903" s="96" t="s">
        <v>6006</v>
      </c>
      <c r="E3903" s="96" t="s">
        <v>786</v>
      </c>
    </row>
    <row r="3904" spans="2:5" ht="15" customHeight="1" thickBot="1" x14ac:dyDescent="0.35">
      <c r="B3904" s="96" t="s">
        <v>6007</v>
      </c>
      <c r="C3904" s="97">
        <v>532143</v>
      </c>
      <c r="D3904" s="96" t="s">
        <v>6008</v>
      </c>
      <c r="E3904" s="96" t="s">
        <v>468</v>
      </c>
    </row>
    <row r="3905" spans="2:5" ht="15" customHeight="1" thickBot="1" x14ac:dyDescent="0.35">
      <c r="B3905" s="96" t="s">
        <v>6009</v>
      </c>
      <c r="C3905" s="97">
        <v>532143</v>
      </c>
      <c r="D3905" s="96" t="s">
        <v>6008</v>
      </c>
      <c r="E3905" s="96" t="s">
        <v>468</v>
      </c>
    </row>
    <row r="3906" spans="2:5" ht="15" customHeight="1" thickBot="1" x14ac:dyDescent="0.35">
      <c r="B3906" s="96" t="s">
        <v>6010</v>
      </c>
      <c r="C3906" s="97">
        <v>531169</v>
      </c>
      <c r="D3906" s="96" t="s">
        <v>388</v>
      </c>
      <c r="E3906" s="96" t="s">
        <v>405</v>
      </c>
    </row>
    <row r="3907" spans="2:5" ht="15" customHeight="1" thickBot="1" x14ac:dyDescent="0.35">
      <c r="B3907" s="96" t="s">
        <v>6011</v>
      </c>
      <c r="C3907" s="96" t="s">
        <v>388</v>
      </c>
      <c r="D3907" s="96" t="s">
        <v>6012</v>
      </c>
      <c r="E3907" s="96" t="s">
        <v>399</v>
      </c>
    </row>
    <row r="3908" spans="2:5" ht="15" customHeight="1" thickBot="1" x14ac:dyDescent="0.35">
      <c r="B3908" s="96" t="s">
        <v>6013</v>
      </c>
      <c r="C3908" s="97">
        <v>541967</v>
      </c>
      <c r="D3908" s="96" t="s">
        <v>388</v>
      </c>
      <c r="E3908" s="96" t="s">
        <v>502</v>
      </c>
    </row>
    <row r="3909" spans="2:5" ht="15" customHeight="1" thickBot="1" x14ac:dyDescent="0.35">
      <c r="B3909" s="96" t="s">
        <v>6014</v>
      </c>
      <c r="C3909" s="97">
        <v>526479</v>
      </c>
      <c r="D3909" s="96" t="s">
        <v>388</v>
      </c>
      <c r="E3909" s="96" t="s">
        <v>403</v>
      </c>
    </row>
    <row r="3910" spans="2:5" ht="15" customHeight="1" thickBot="1" x14ac:dyDescent="0.35">
      <c r="B3910" s="96" t="s">
        <v>6015</v>
      </c>
      <c r="C3910" s="97">
        <v>505650</v>
      </c>
      <c r="D3910" s="96" t="s">
        <v>388</v>
      </c>
      <c r="E3910" s="96" t="s">
        <v>466</v>
      </c>
    </row>
    <row r="3911" spans="2:5" ht="15" customHeight="1" thickBot="1" x14ac:dyDescent="0.35">
      <c r="B3911" s="96" t="s">
        <v>6016</v>
      </c>
      <c r="C3911" s="97">
        <v>538919</v>
      </c>
      <c r="D3911" s="96" t="s">
        <v>388</v>
      </c>
      <c r="E3911" s="96" t="s">
        <v>474</v>
      </c>
    </row>
    <row r="3912" spans="2:5" ht="15" customHeight="1" thickBot="1" x14ac:dyDescent="0.35">
      <c r="B3912" s="96" t="s">
        <v>6017</v>
      </c>
      <c r="C3912" s="97">
        <v>538919</v>
      </c>
      <c r="D3912" s="96" t="s">
        <v>388</v>
      </c>
      <c r="E3912" s="96" t="s">
        <v>474</v>
      </c>
    </row>
    <row r="3913" spans="2:5" ht="15" customHeight="1" thickBot="1" x14ac:dyDescent="0.35">
      <c r="B3913" s="96" t="s">
        <v>6018</v>
      </c>
      <c r="C3913" s="97">
        <v>539494</v>
      </c>
      <c r="D3913" s="96" t="s">
        <v>388</v>
      </c>
      <c r="E3913" s="96" t="s">
        <v>405</v>
      </c>
    </row>
    <row r="3914" spans="2:5" ht="15" customHeight="1" thickBot="1" x14ac:dyDescent="0.35">
      <c r="B3914" s="96" t="s">
        <v>6019</v>
      </c>
      <c r="C3914" s="97">
        <v>532419</v>
      </c>
      <c r="D3914" s="96" t="s">
        <v>6020</v>
      </c>
      <c r="E3914" s="96" t="s">
        <v>2014</v>
      </c>
    </row>
    <row r="3915" spans="2:5" ht="15" customHeight="1" thickBot="1" x14ac:dyDescent="0.35">
      <c r="B3915" s="96" t="s">
        <v>6021</v>
      </c>
      <c r="C3915" s="97">
        <v>508905</v>
      </c>
      <c r="D3915" s="96" t="s">
        <v>388</v>
      </c>
      <c r="E3915" s="96" t="s">
        <v>371</v>
      </c>
    </row>
    <row r="3916" spans="2:5" ht="15" customHeight="1" thickBot="1" x14ac:dyDescent="0.35">
      <c r="B3916" s="96" t="s">
        <v>6022</v>
      </c>
      <c r="C3916" s="97">
        <v>505192</v>
      </c>
      <c r="D3916" s="96" t="s">
        <v>6023</v>
      </c>
      <c r="E3916" s="96" t="s">
        <v>466</v>
      </c>
    </row>
    <row r="3917" spans="2:5" ht="15" customHeight="1" thickBot="1" x14ac:dyDescent="0.35">
      <c r="B3917" s="96" t="s">
        <v>6024</v>
      </c>
      <c r="C3917" s="97">
        <v>540686</v>
      </c>
      <c r="D3917" s="96" t="s">
        <v>388</v>
      </c>
      <c r="E3917" s="96" t="s">
        <v>426</v>
      </c>
    </row>
    <row r="3918" spans="2:5" ht="15" customHeight="1" thickBot="1" x14ac:dyDescent="0.35">
      <c r="B3918" s="96" t="s">
        <v>6025</v>
      </c>
      <c r="C3918" s="97">
        <v>540679</v>
      </c>
      <c r="D3918" s="96" t="s">
        <v>6026</v>
      </c>
      <c r="E3918" s="96" t="s">
        <v>426</v>
      </c>
    </row>
    <row r="3919" spans="2:5" ht="15" customHeight="1" thickBot="1" x14ac:dyDescent="0.35">
      <c r="B3919" s="96" t="s">
        <v>6027</v>
      </c>
      <c r="C3919" s="97">
        <v>540679</v>
      </c>
      <c r="D3919" s="96" t="s">
        <v>6026</v>
      </c>
      <c r="E3919" s="96" t="s">
        <v>426</v>
      </c>
    </row>
    <row r="3920" spans="2:5" ht="15" customHeight="1" thickBot="1" x14ac:dyDescent="0.35">
      <c r="B3920" s="96" t="s">
        <v>6028</v>
      </c>
      <c r="C3920" s="97">
        <v>532815</v>
      </c>
      <c r="D3920" s="96" t="s">
        <v>6029</v>
      </c>
      <c r="E3920" s="96" t="s">
        <v>426</v>
      </c>
    </row>
    <row r="3921" spans="2:5" ht="15" customHeight="1" thickBot="1" x14ac:dyDescent="0.35">
      <c r="B3921" s="96" t="s">
        <v>6030</v>
      </c>
      <c r="C3921" s="96" t="s">
        <v>388</v>
      </c>
      <c r="D3921" s="96" t="s">
        <v>6031</v>
      </c>
      <c r="E3921" s="96" t="s">
        <v>399</v>
      </c>
    </row>
    <row r="3922" spans="2:5" ht="15" customHeight="1" thickBot="1" x14ac:dyDescent="0.35">
      <c r="B3922" s="96" t="s">
        <v>6032</v>
      </c>
      <c r="C3922" s="97">
        <v>505827</v>
      </c>
      <c r="D3922" s="96" t="s">
        <v>388</v>
      </c>
      <c r="E3922" s="96" t="s">
        <v>573</v>
      </c>
    </row>
    <row r="3923" spans="2:5" ht="15" customHeight="1" thickBot="1" x14ac:dyDescent="0.35">
      <c r="B3923" s="96" t="s">
        <v>6033</v>
      </c>
      <c r="C3923" s="97">
        <v>538635</v>
      </c>
      <c r="D3923" s="96" t="s">
        <v>6034</v>
      </c>
      <c r="E3923" s="96" t="s">
        <v>709</v>
      </c>
    </row>
    <row r="3924" spans="2:5" ht="15" customHeight="1" thickBot="1" x14ac:dyDescent="0.35">
      <c r="B3924" s="96" t="s">
        <v>6035</v>
      </c>
      <c r="C3924" s="97">
        <v>532784</v>
      </c>
      <c r="D3924" s="96" t="s">
        <v>6036</v>
      </c>
      <c r="E3924" s="96" t="s">
        <v>474</v>
      </c>
    </row>
    <row r="3925" spans="2:5" ht="15" customHeight="1" thickBot="1" x14ac:dyDescent="0.35">
      <c r="B3925" s="96" t="s">
        <v>6037</v>
      </c>
      <c r="C3925" s="97">
        <v>512014</v>
      </c>
      <c r="D3925" s="96" t="s">
        <v>388</v>
      </c>
      <c r="E3925" s="96" t="s">
        <v>809</v>
      </c>
    </row>
    <row r="3926" spans="2:5" ht="15" customHeight="1" thickBot="1" x14ac:dyDescent="0.35">
      <c r="B3926" s="96" t="s">
        <v>6038</v>
      </c>
      <c r="C3926" s="97">
        <v>538923</v>
      </c>
      <c r="D3926" s="96" t="s">
        <v>388</v>
      </c>
      <c r="E3926" s="96" t="s">
        <v>374</v>
      </c>
    </row>
    <row r="3927" spans="2:5" ht="15" customHeight="1" thickBot="1" x14ac:dyDescent="0.35">
      <c r="B3927" s="96" t="s">
        <v>6039</v>
      </c>
      <c r="C3927" s="97">
        <v>504375</v>
      </c>
      <c r="D3927" s="96" t="s">
        <v>388</v>
      </c>
      <c r="E3927" s="96" t="s">
        <v>374</v>
      </c>
    </row>
    <row r="3928" spans="2:5" ht="15" customHeight="1" thickBot="1" x14ac:dyDescent="0.35">
      <c r="B3928" s="96" t="s">
        <v>6040</v>
      </c>
      <c r="C3928" s="97">
        <v>532344</v>
      </c>
      <c r="D3928" s="96" t="s">
        <v>388</v>
      </c>
      <c r="E3928" s="96" t="s">
        <v>481</v>
      </c>
    </row>
    <row r="3929" spans="2:5" ht="15" customHeight="1" thickBot="1" x14ac:dyDescent="0.35">
      <c r="B3929" s="96" t="s">
        <v>6041</v>
      </c>
      <c r="C3929" s="97">
        <v>532344</v>
      </c>
      <c r="D3929" s="96" t="s">
        <v>388</v>
      </c>
      <c r="E3929" s="96" t="s">
        <v>481</v>
      </c>
    </row>
    <row r="3930" spans="2:5" ht="15" customHeight="1" thickBot="1" x14ac:dyDescent="0.35">
      <c r="B3930" s="96" t="s">
        <v>6042</v>
      </c>
      <c r="C3930" s="96" t="s">
        <v>388</v>
      </c>
      <c r="D3930" s="96" t="s">
        <v>6043</v>
      </c>
      <c r="E3930" s="96" t="s">
        <v>399</v>
      </c>
    </row>
    <row r="3931" spans="2:5" ht="15" customHeight="1" thickBot="1" x14ac:dyDescent="0.35">
      <c r="B3931" s="96" t="s">
        <v>6044</v>
      </c>
      <c r="C3931" s="97">
        <v>532725</v>
      </c>
      <c r="D3931" s="96" t="s">
        <v>6045</v>
      </c>
      <c r="E3931" s="96" t="s">
        <v>548</v>
      </c>
    </row>
    <row r="3932" spans="2:5" ht="15" customHeight="1" thickBot="1" x14ac:dyDescent="0.35">
      <c r="B3932" s="96" t="s">
        <v>6046</v>
      </c>
      <c r="C3932" s="97">
        <v>532725</v>
      </c>
      <c r="D3932" s="96" t="s">
        <v>6045</v>
      </c>
      <c r="E3932" s="96" t="s">
        <v>548</v>
      </c>
    </row>
    <row r="3933" spans="2:5" ht="15" customHeight="1" thickBot="1" x14ac:dyDescent="0.35">
      <c r="B3933" s="96" t="s">
        <v>6047</v>
      </c>
      <c r="C3933" s="97">
        <v>541540</v>
      </c>
      <c r="D3933" s="96" t="s">
        <v>6048</v>
      </c>
      <c r="E3933" s="96" t="s">
        <v>426</v>
      </c>
    </row>
    <row r="3934" spans="2:5" ht="15" customHeight="1" thickBot="1" x14ac:dyDescent="0.35">
      <c r="B3934" s="96" t="s">
        <v>6049</v>
      </c>
      <c r="C3934" s="96" t="s">
        <v>388</v>
      </c>
      <c r="D3934" s="96" t="s">
        <v>6050</v>
      </c>
      <c r="E3934" s="96" t="s">
        <v>399</v>
      </c>
    </row>
    <row r="3935" spans="2:5" ht="15" customHeight="1" thickBot="1" x14ac:dyDescent="0.35">
      <c r="B3935" s="96" t="s">
        <v>6051</v>
      </c>
      <c r="C3935" s="97">
        <v>500394</v>
      </c>
      <c r="D3935" s="96" t="s">
        <v>388</v>
      </c>
      <c r="E3935" s="96" t="s">
        <v>573</v>
      </c>
    </row>
    <row r="3936" spans="2:5" ht="15" customHeight="1" thickBot="1" x14ac:dyDescent="0.35">
      <c r="B3936" s="96" t="s">
        <v>6052</v>
      </c>
      <c r="C3936" s="97">
        <v>502460</v>
      </c>
      <c r="D3936" s="96" t="s">
        <v>388</v>
      </c>
      <c r="E3936" s="96" t="s">
        <v>382</v>
      </c>
    </row>
    <row r="3937" spans="2:5" ht="15" customHeight="1" thickBot="1" x14ac:dyDescent="0.35">
      <c r="B3937" s="96" t="s">
        <v>6053</v>
      </c>
      <c r="C3937" s="97">
        <v>513699</v>
      </c>
      <c r="D3937" s="96" t="s">
        <v>388</v>
      </c>
      <c r="E3937" s="96" t="s">
        <v>916</v>
      </c>
    </row>
    <row r="3938" spans="2:5" ht="15" customHeight="1" thickBot="1" x14ac:dyDescent="0.35">
      <c r="B3938" s="96" t="s">
        <v>6054</v>
      </c>
      <c r="C3938" s="97">
        <v>538575</v>
      </c>
      <c r="D3938" s="96" t="s">
        <v>388</v>
      </c>
      <c r="E3938" s="96" t="s">
        <v>410</v>
      </c>
    </row>
    <row r="3939" spans="2:5" ht="15" customHeight="1" thickBot="1" x14ac:dyDescent="0.35">
      <c r="B3939" s="96" t="s">
        <v>6055</v>
      </c>
      <c r="C3939" s="97">
        <v>522152</v>
      </c>
      <c r="D3939" s="96" t="s">
        <v>388</v>
      </c>
      <c r="E3939" s="96" t="s">
        <v>396</v>
      </c>
    </row>
    <row r="3940" spans="2:5" ht="15" customHeight="1" thickBot="1" x14ac:dyDescent="0.35">
      <c r="B3940" s="96" t="s">
        <v>6056</v>
      </c>
      <c r="C3940" s="97">
        <v>511571</v>
      </c>
      <c r="D3940" s="96" t="s">
        <v>388</v>
      </c>
      <c r="E3940" s="96" t="s">
        <v>405</v>
      </c>
    </row>
    <row r="3941" spans="2:5" ht="15" customHeight="1" thickBot="1" x14ac:dyDescent="0.35">
      <c r="B3941" s="96" t="s">
        <v>6057</v>
      </c>
      <c r="C3941" s="97">
        <v>507514</v>
      </c>
      <c r="D3941" s="96" t="s">
        <v>6058</v>
      </c>
      <c r="E3941" s="96" t="s">
        <v>1020</v>
      </c>
    </row>
    <row r="3942" spans="2:5" ht="15" customHeight="1" thickBot="1" x14ac:dyDescent="0.35">
      <c r="B3942" s="96" t="s">
        <v>6059</v>
      </c>
      <c r="C3942" s="97">
        <v>521034</v>
      </c>
      <c r="D3942" s="96" t="s">
        <v>6060</v>
      </c>
      <c r="E3942" s="96" t="s">
        <v>403</v>
      </c>
    </row>
    <row r="3943" spans="2:5" ht="15" customHeight="1" thickBot="1" x14ac:dyDescent="0.35">
      <c r="B3943" s="96" t="s">
        <v>6061</v>
      </c>
      <c r="C3943" s="97">
        <v>531548</v>
      </c>
      <c r="D3943" s="96" t="s">
        <v>6062</v>
      </c>
      <c r="E3943" s="96" t="s">
        <v>665</v>
      </c>
    </row>
    <row r="3944" spans="2:5" ht="15" customHeight="1" thickBot="1" x14ac:dyDescent="0.35">
      <c r="B3944" s="96" t="s">
        <v>6063</v>
      </c>
      <c r="C3944" s="97">
        <v>533001</v>
      </c>
      <c r="D3944" s="96" t="s">
        <v>6064</v>
      </c>
      <c r="E3944" s="96" t="s">
        <v>396</v>
      </c>
    </row>
    <row r="3945" spans="2:5" ht="15" customHeight="1" thickBot="1" x14ac:dyDescent="0.35">
      <c r="B3945" s="96" t="s">
        <v>6065</v>
      </c>
      <c r="C3945" s="97">
        <v>526901</v>
      </c>
      <c r="D3945" s="96" t="s">
        <v>388</v>
      </c>
      <c r="E3945" s="96" t="s">
        <v>436</v>
      </c>
    </row>
    <row r="3946" spans="2:5" ht="15" customHeight="1" thickBot="1" x14ac:dyDescent="0.35">
      <c r="B3946" s="96" t="s">
        <v>6066</v>
      </c>
      <c r="C3946" s="97">
        <v>538943</v>
      </c>
      <c r="D3946" s="96" t="s">
        <v>388</v>
      </c>
      <c r="E3946" s="96" t="s">
        <v>405</v>
      </c>
    </row>
    <row r="3947" spans="2:5" ht="15" customHeight="1" thickBot="1" x14ac:dyDescent="0.35">
      <c r="B3947" s="96" t="s">
        <v>6067</v>
      </c>
      <c r="C3947" s="96" t="s">
        <v>388</v>
      </c>
      <c r="D3947" s="96" t="s">
        <v>6068</v>
      </c>
      <c r="E3947" s="96" t="s">
        <v>399</v>
      </c>
    </row>
    <row r="3948" spans="2:5" ht="15" customHeight="1" thickBot="1" x14ac:dyDescent="0.35">
      <c r="B3948" s="96" t="s">
        <v>6069</v>
      </c>
      <c r="C3948" s="97">
        <v>532221</v>
      </c>
      <c r="D3948" s="96" t="s">
        <v>6070</v>
      </c>
      <c r="E3948" s="96" t="s">
        <v>374</v>
      </c>
    </row>
    <row r="3949" spans="2:5" ht="15" customHeight="1" thickBot="1" x14ac:dyDescent="0.35">
      <c r="B3949" s="96" t="s">
        <v>6071</v>
      </c>
      <c r="C3949" s="97">
        <v>539378</v>
      </c>
      <c r="D3949" s="96" t="s">
        <v>388</v>
      </c>
      <c r="E3949" s="96" t="s">
        <v>858</v>
      </c>
    </row>
    <row r="3950" spans="2:5" ht="15" customHeight="1" thickBot="1" x14ac:dyDescent="0.35">
      <c r="B3950" s="96" t="s">
        <v>6072</v>
      </c>
      <c r="C3950" s="96" t="s">
        <v>388</v>
      </c>
      <c r="D3950" s="96" t="s">
        <v>6073</v>
      </c>
      <c r="E3950" s="96" t="s">
        <v>399</v>
      </c>
    </row>
    <row r="3951" spans="2:5" ht="15" customHeight="1" thickBot="1" x14ac:dyDescent="0.35">
      <c r="B3951" s="96" t="s">
        <v>6074</v>
      </c>
      <c r="C3951" s="97">
        <v>541633</v>
      </c>
      <c r="D3951" s="96" t="s">
        <v>388</v>
      </c>
      <c r="E3951" s="96" t="s">
        <v>382</v>
      </c>
    </row>
    <row r="3952" spans="2:5" ht="15" customHeight="1" thickBot="1" x14ac:dyDescent="0.35">
      <c r="B3952" s="96" t="s">
        <v>6075</v>
      </c>
      <c r="C3952" s="97">
        <v>532679</v>
      </c>
      <c r="D3952" s="96" t="s">
        <v>6076</v>
      </c>
      <c r="E3952" s="96" t="s">
        <v>377</v>
      </c>
    </row>
    <row r="3953" spans="2:5" ht="15" customHeight="1" thickBot="1" x14ac:dyDescent="0.35">
      <c r="B3953" s="96" t="s">
        <v>6077</v>
      </c>
      <c r="C3953" s="97">
        <v>521036</v>
      </c>
      <c r="D3953" s="96" t="s">
        <v>388</v>
      </c>
      <c r="E3953" s="96" t="s">
        <v>403</v>
      </c>
    </row>
    <row r="3954" spans="2:5" ht="15" customHeight="1" thickBot="1" x14ac:dyDescent="0.35">
      <c r="B3954" s="96" t="s">
        <v>6078</v>
      </c>
      <c r="C3954" s="97">
        <v>521036</v>
      </c>
      <c r="D3954" s="96" t="s">
        <v>388</v>
      </c>
      <c r="E3954" s="96" t="s">
        <v>403</v>
      </c>
    </row>
    <row r="3955" spans="2:5" ht="15" customHeight="1" thickBot="1" x14ac:dyDescent="0.35">
      <c r="B3955" s="96" t="s">
        <v>6079</v>
      </c>
      <c r="C3955" s="97">
        <v>531398</v>
      </c>
      <c r="D3955" s="96" t="s">
        <v>388</v>
      </c>
      <c r="E3955" s="96" t="s">
        <v>426</v>
      </c>
    </row>
    <row r="3956" spans="2:5" ht="15" customHeight="1" thickBot="1" x14ac:dyDescent="0.35">
      <c r="B3956" s="96" t="s">
        <v>6080</v>
      </c>
      <c r="C3956" s="97">
        <v>526477</v>
      </c>
      <c r="D3956" s="96" t="s">
        <v>388</v>
      </c>
      <c r="E3956" s="96" t="s">
        <v>566</v>
      </c>
    </row>
    <row r="3957" spans="2:5" ht="15" customHeight="1" thickBot="1" x14ac:dyDescent="0.35">
      <c r="B3957" s="96" t="s">
        <v>6081</v>
      </c>
      <c r="C3957" s="97">
        <v>516108</v>
      </c>
      <c r="D3957" s="96" t="s">
        <v>388</v>
      </c>
      <c r="E3957" s="96" t="s">
        <v>382</v>
      </c>
    </row>
    <row r="3958" spans="2:5" ht="15" customHeight="1" thickBot="1" x14ac:dyDescent="0.35">
      <c r="B3958" s="96" t="s">
        <v>6082</v>
      </c>
      <c r="C3958" s="97">
        <v>538891</v>
      </c>
      <c r="D3958" s="96" t="s">
        <v>388</v>
      </c>
      <c r="E3958" s="96" t="s">
        <v>405</v>
      </c>
    </row>
    <row r="3959" spans="2:5" ht="15" customHeight="1" thickBot="1" x14ac:dyDescent="0.35">
      <c r="B3959" s="96" t="s">
        <v>6083</v>
      </c>
      <c r="C3959" s="96" t="s">
        <v>388</v>
      </c>
      <c r="D3959" s="96" t="s">
        <v>6084</v>
      </c>
      <c r="E3959" s="96" t="s">
        <v>399</v>
      </c>
    </row>
    <row r="3960" spans="2:5" ht="15" customHeight="1" thickBot="1" x14ac:dyDescent="0.35">
      <c r="B3960" s="96" t="s">
        <v>6085</v>
      </c>
      <c r="C3960" s="97">
        <v>509910</v>
      </c>
      <c r="D3960" s="96" t="s">
        <v>388</v>
      </c>
      <c r="E3960" s="96" t="s">
        <v>436</v>
      </c>
    </row>
    <row r="3961" spans="2:5" ht="15" customHeight="1" thickBot="1" x14ac:dyDescent="0.35">
      <c r="B3961" s="96" t="s">
        <v>6086</v>
      </c>
      <c r="C3961" s="97">
        <v>540174</v>
      </c>
      <c r="D3961" s="96" t="s">
        <v>388</v>
      </c>
      <c r="E3961" s="96" t="s">
        <v>374</v>
      </c>
    </row>
    <row r="3962" spans="2:5" ht="15" customHeight="1" thickBot="1" x14ac:dyDescent="0.35">
      <c r="B3962" s="96" t="s">
        <v>6087</v>
      </c>
      <c r="C3962" s="97">
        <v>514454</v>
      </c>
      <c r="D3962" s="96" t="s">
        <v>388</v>
      </c>
      <c r="E3962" s="96" t="s">
        <v>403</v>
      </c>
    </row>
    <row r="3963" spans="2:5" ht="15" customHeight="1" thickBot="1" x14ac:dyDescent="0.35">
      <c r="B3963" s="96" t="s">
        <v>6088</v>
      </c>
      <c r="C3963" s="97">
        <v>513498</v>
      </c>
      <c r="D3963" s="96" t="s">
        <v>388</v>
      </c>
      <c r="E3963" s="96" t="s">
        <v>368</v>
      </c>
    </row>
    <row r="3964" spans="2:5" ht="15" customHeight="1" thickBot="1" x14ac:dyDescent="0.35">
      <c r="B3964" s="96" t="s">
        <v>6089</v>
      </c>
      <c r="C3964" s="97">
        <v>532669</v>
      </c>
      <c r="D3964" s="96" t="s">
        <v>388</v>
      </c>
      <c r="E3964" s="96" t="s">
        <v>436</v>
      </c>
    </row>
    <row r="3965" spans="2:5" ht="15" customHeight="1" thickBot="1" x14ac:dyDescent="0.35">
      <c r="B3965" s="96" t="s">
        <v>6090</v>
      </c>
      <c r="C3965" s="97">
        <v>590030</v>
      </c>
      <c r="D3965" s="96" t="s">
        <v>6091</v>
      </c>
      <c r="E3965" s="96" t="s">
        <v>896</v>
      </c>
    </row>
    <row r="3966" spans="2:5" ht="15" customHeight="1" thickBot="1" x14ac:dyDescent="0.35">
      <c r="B3966" s="96" t="s">
        <v>6092</v>
      </c>
      <c r="C3966" s="97">
        <v>523826</v>
      </c>
      <c r="D3966" s="96" t="s">
        <v>388</v>
      </c>
      <c r="E3966" s="96" t="s">
        <v>502</v>
      </c>
    </row>
    <row r="3967" spans="2:5" ht="15" customHeight="1" thickBot="1" x14ac:dyDescent="0.35">
      <c r="B3967" s="96" t="s">
        <v>6093</v>
      </c>
      <c r="C3967" s="97">
        <v>532025</v>
      </c>
      <c r="D3967" s="96" t="s">
        <v>388</v>
      </c>
      <c r="E3967" s="96" t="s">
        <v>391</v>
      </c>
    </row>
    <row r="3968" spans="2:5" ht="15" customHeight="1" thickBot="1" x14ac:dyDescent="0.35">
      <c r="B3968" s="96" t="s">
        <v>6094</v>
      </c>
      <c r="C3968" s="97">
        <v>530289</v>
      </c>
      <c r="D3968" s="96" t="s">
        <v>388</v>
      </c>
      <c r="E3968" s="96" t="s">
        <v>809</v>
      </c>
    </row>
    <row r="3969" spans="2:5" ht="15" customHeight="1" thickBot="1" x14ac:dyDescent="0.35">
      <c r="B3969" s="96" t="s">
        <v>6095</v>
      </c>
      <c r="C3969" s="97">
        <v>542376</v>
      </c>
      <c r="D3969" s="96" t="s">
        <v>6096</v>
      </c>
      <c r="E3969" s="96" t="s">
        <v>371</v>
      </c>
    </row>
    <row r="3970" spans="2:5" ht="15" customHeight="1" thickBot="1" x14ac:dyDescent="0.35">
      <c r="B3970" s="96" t="s">
        <v>6097</v>
      </c>
      <c r="C3970" s="97">
        <v>541890</v>
      </c>
      <c r="D3970" s="96" t="s">
        <v>388</v>
      </c>
      <c r="E3970" s="96" t="s">
        <v>374</v>
      </c>
    </row>
    <row r="3971" spans="2:5" ht="15" customHeight="1" thickBot="1" x14ac:dyDescent="0.35">
      <c r="B3971" s="96" t="s">
        <v>6098</v>
      </c>
      <c r="C3971" s="97">
        <v>538920</v>
      </c>
      <c r="D3971" s="96" t="s">
        <v>388</v>
      </c>
      <c r="E3971" s="96" t="s">
        <v>410</v>
      </c>
    </row>
    <row r="3972" spans="2:5" ht="15" customHeight="1" thickBot="1" x14ac:dyDescent="0.35">
      <c r="B3972" s="96" t="s">
        <v>6099</v>
      </c>
      <c r="C3972" s="96" t="s">
        <v>388</v>
      </c>
      <c r="D3972" s="96" t="s">
        <v>6100</v>
      </c>
      <c r="E3972" s="96" t="s">
        <v>479</v>
      </c>
    </row>
    <row r="3973" spans="2:5" ht="15" customHeight="1" thickBot="1" x14ac:dyDescent="0.35">
      <c r="B3973" s="96" t="s">
        <v>6101</v>
      </c>
      <c r="C3973" s="96" t="s">
        <v>388</v>
      </c>
      <c r="D3973" s="96" t="s">
        <v>6100</v>
      </c>
      <c r="E3973" s="96" t="s">
        <v>479</v>
      </c>
    </row>
    <row r="3974" spans="2:5" ht="15" customHeight="1" thickBot="1" x14ac:dyDescent="0.35">
      <c r="B3974" s="96" t="s">
        <v>6102</v>
      </c>
      <c r="C3974" s="97">
        <v>524727</v>
      </c>
      <c r="D3974" s="96" t="s">
        <v>388</v>
      </c>
      <c r="E3974" s="96" t="s">
        <v>426</v>
      </c>
    </row>
    <row r="3975" spans="2:5" ht="15" customHeight="1" thickBot="1" x14ac:dyDescent="0.35">
      <c r="B3975" s="96" t="s">
        <v>6103</v>
      </c>
      <c r="C3975" s="97">
        <v>531370</v>
      </c>
      <c r="D3975" s="96" t="s">
        <v>388</v>
      </c>
      <c r="E3975" s="96" t="s">
        <v>374</v>
      </c>
    </row>
    <row r="3976" spans="2:5" ht="15" customHeight="1" thickBot="1" x14ac:dyDescent="0.35">
      <c r="B3976" s="96" t="s">
        <v>6104</v>
      </c>
      <c r="C3976" s="97">
        <v>540211</v>
      </c>
      <c r="D3976" s="96" t="s">
        <v>388</v>
      </c>
      <c r="E3976" s="96" t="s">
        <v>405</v>
      </c>
    </row>
    <row r="3977" spans="2:5" ht="15" customHeight="1" thickBot="1" x14ac:dyDescent="0.35">
      <c r="B3977" s="96" t="s">
        <v>6105</v>
      </c>
      <c r="C3977" s="97">
        <v>534425</v>
      </c>
      <c r="D3977" s="96" t="s">
        <v>6106</v>
      </c>
      <c r="E3977" s="96" t="s">
        <v>877</v>
      </c>
    </row>
    <row r="3978" spans="2:5" ht="15" customHeight="1" thickBot="1" x14ac:dyDescent="0.35">
      <c r="B3978" s="96" t="s">
        <v>6107</v>
      </c>
      <c r="C3978" s="97">
        <v>513687</v>
      </c>
      <c r="D3978" s="96" t="s">
        <v>388</v>
      </c>
      <c r="E3978" s="96" t="s">
        <v>743</v>
      </c>
    </row>
    <row r="3979" spans="2:5" ht="15" customHeight="1" thickBot="1" x14ac:dyDescent="0.35">
      <c r="B3979" s="96" t="s">
        <v>6108</v>
      </c>
      <c r="C3979" s="96" t="s">
        <v>388</v>
      </c>
      <c r="D3979" s="96" t="s">
        <v>6109</v>
      </c>
      <c r="E3979" s="96" t="s">
        <v>399</v>
      </c>
    </row>
    <row r="3980" spans="2:5" ht="15" customHeight="1" thickBot="1" x14ac:dyDescent="0.35">
      <c r="B3980" s="96" t="s">
        <v>6110</v>
      </c>
      <c r="C3980" s="97">
        <v>531982</v>
      </c>
      <c r="D3980" s="96" t="s">
        <v>388</v>
      </c>
      <c r="E3980" s="96" t="s">
        <v>468</v>
      </c>
    </row>
    <row r="3981" spans="2:5" ht="15" customHeight="1" thickBot="1" x14ac:dyDescent="0.35">
      <c r="B3981" s="96" t="s">
        <v>6111</v>
      </c>
      <c r="C3981" s="97">
        <v>512153</v>
      </c>
      <c r="D3981" s="96" t="s">
        <v>388</v>
      </c>
      <c r="E3981" s="96" t="s">
        <v>809</v>
      </c>
    </row>
    <row r="3982" spans="2:5" ht="15" customHeight="1" thickBot="1" x14ac:dyDescent="0.35">
      <c r="B3982" s="96" t="s">
        <v>6112</v>
      </c>
      <c r="C3982" s="97">
        <v>512291</v>
      </c>
      <c r="D3982" s="96" t="s">
        <v>388</v>
      </c>
      <c r="E3982" s="96" t="s">
        <v>371</v>
      </c>
    </row>
    <row r="3983" spans="2:5" ht="15" customHeight="1" thickBot="1" x14ac:dyDescent="0.35">
      <c r="B3983" s="96" t="s">
        <v>6113</v>
      </c>
      <c r="C3983" s="97">
        <v>517166</v>
      </c>
      <c r="D3983" s="96" t="s">
        <v>388</v>
      </c>
      <c r="E3983" s="96" t="s">
        <v>930</v>
      </c>
    </row>
    <row r="3984" spans="2:5" ht="15" customHeight="1" thickBot="1" x14ac:dyDescent="0.35">
      <c r="B3984" s="96" t="s">
        <v>6114</v>
      </c>
      <c r="C3984" s="97">
        <v>542337</v>
      </c>
      <c r="D3984" s="96" t="s">
        <v>6115</v>
      </c>
      <c r="E3984" s="96" t="s">
        <v>557</v>
      </c>
    </row>
    <row r="3985" spans="2:5" ht="15" customHeight="1" thickBot="1" x14ac:dyDescent="0.35">
      <c r="B3985" s="96" t="s">
        <v>6116</v>
      </c>
      <c r="C3985" s="96" t="s">
        <v>388</v>
      </c>
      <c r="D3985" s="96" t="s">
        <v>6117</v>
      </c>
      <c r="E3985" s="96" t="s">
        <v>557</v>
      </c>
    </row>
    <row r="3986" spans="2:5" ht="15" customHeight="1" thickBot="1" x14ac:dyDescent="0.35">
      <c r="B3986" s="96" t="s">
        <v>6118</v>
      </c>
      <c r="C3986" s="97">
        <v>526161</v>
      </c>
      <c r="D3986" s="96" t="s">
        <v>388</v>
      </c>
      <c r="E3986" s="96" t="s">
        <v>502</v>
      </c>
    </row>
    <row r="3987" spans="2:5" ht="15" customHeight="1" thickBot="1" x14ac:dyDescent="0.35">
      <c r="B3987" s="96" t="s">
        <v>6119</v>
      </c>
      <c r="C3987" s="97">
        <v>521082</v>
      </c>
      <c r="D3987" s="96" t="s">
        <v>6120</v>
      </c>
      <c r="E3987" s="96" t="s">
        <v>403</v>
      </c>
    </row>
    <row r="3988" spans="2:5" ht="15" customHeight="1" thickBot="1" x14ac:dyDescent="0.35">
      <c r="B3988" s="96" t="s">
        <v>6121</v>
      </c>
      <c r="C3988" s="97">
        <v>526827</v>
      </c>
      <c r="D3988" s="96" t="s">
        <v>388</v>
      </c>
      <c r="E3988" s="96" t="s">
        <v>502</v>
      </c>
    </row>
    <row r="3989" spans="2:5" ht="15" customHeight="1" thickBot="1" x14ac:dyDescent="0.35">
      <c r="B3989" s="96" t="s">
        <v>6122</v>
      </c>
      <c r="C3989" s="97">
        <v>517214</v>
      </c>
      <c r="D3989" s="96" t="s">
        <v>6123</v>
      </c>
      <c r="E3989" s="96" t="s">
        <v>534</v>
      </c>
    </row>
    <row r="3990" spans="2:5" ht="15" customHeight="1" thickBot="1" x14ac:dyDescent="0.35">
      <c r="B3990" s="96" t="s">
        <v>6124</v>
      </c>
      <c r="C3990" s="97">
        <v>500285</v>
      </c>
      <c r="D3990" s="96" t="s">
        <v>388</v>
      </c>
      <c r="E3990" s="96" t="s">
        <v>2525</v>
      </c>
    </row>
    <row r="3991" spans="2:5" ht="15" customHeight="1" thickBot="1" x14ac:dyDescent="0.35">
      <c r="B3991" s="96" t="s">
        <v>6125</v>
      </c>
      <c r="C3991" s="97">
        <v>540084</v>
      </c>
      <c r="D3991" s="96" t="s">
        <v>388</v>
      </c>
      <c r="E3991" s="96" t="s">
        <v>391</v>
      </c>
    </row>
    <row r="3992" spans="2:5" ht="15" customHeight="1" thickBot="1" x14ac:dyDescent="0.35">
      <c r="B3992" s="96" t="s">
        <v>6126</v>
      </c>
      <c r="C3992" s="97">
        <v>532651</v>
      </c>
      <c r="D3992" s="96" t="s">
        <v>6127</v>
      </c>
      <c r="E3992" s="96" t="s">
        <v>502</v>
      </c>
    </row>
    <row r="3993" spans="2:5" ht="15" customHeight="1" thickBot="1" x14ac:dyDescent="0.35">
      <c r="B3993" s="96" t="s">
        <v>6128</v>
      </c>
      <c r="C3993" s="97">
        <v>513414</v>
      </c>
      <c r="D3993" s="96" t="s">
        <v>6129</v>
      </c>
      <c r="E3993" s="96" t="s">
        <v>420</v>
      </c>
    </row>
    <row r="3994" spans="2:5" ht="15" customHeight="1" thickBot="1" x14ac:dyDescent="0.35">
      <c r="B3994" s="96" t="s">
        <v>6130</v>
      </c>
      <c r="C3994" s="97">
        <v>500402</v>
      </c>
      <c r="D3994" s="96" t="s">
        <v>6131</v>
      </c>
      <c r="E3994" s="96" t="s">
        <v>786</v>
      </c>
    </row>
    <row r="3995" spans="2:5" ht="15" customHeight="1" thickBot="1" x14ac:dyDescent="0.35">
      <c r="B3995" s="96" t="s">
        <v>6132</v>
      </c>
      <c r="C3995" s="97">
        <v>539221</v>
      </c>
      <c r="D3995" s="96" t="s">
        <v>388</v>
      </c>
      <c r="E3995" s="96" t="s">
        <v>403</v>
      </c>
    </row>
    <row r="3996" spans="2:5" ht="15" customHeight="1" thickBot="1" x14ac:dyDescent="0.35">
      <c r="B3996" s="96" t="s">
        <v>6133</v>
      </c>
      <c r="C3996" s="97">
        <v>539221</v>
      </c>
      <c r="D3996" s="96" t="s">
        <v>388</v>
      </c>
      <c r="E3996" s="96" t="s">
        <v>403</v>
      </c>
    </row>
    <row r="3997" spans="2:5" ht="15" customHeight="1" thickBot="1" x14ac:dyDescent="0.35">
      <c r="B3997" s="96" t="s">
        <v>6134</v>
      </c>
      <c r="C3997" s="97">
        <v>540079</v>
      </c>
      <c r="D3997" s="96" t="s">
        <v>388</v>
      </c>
      <c r="E3997" s="96" t="s">
        <v>1307</v>
      </c>
    </row>
    <row r="3998" spans="2:5" ht="15" customHeight="1" thickBot="1" x14ac:dyDescent="0.35">
      <c r="B3998" s="96" t="s">
        <v>6135</v>
      </c>
      <c r="C3998" s="97">
        <v>540570</v>
      </c>
      <c r="D3998" s="96" t="s">
        <v>6136</v>
      </c>
      <c r="E3998" s="96" t="s">
        <v>5205</v>
      </c>
    </row>
    <row r="3999" spans="2:5" ht="15" customHeight="1" thickBot="1" x14ac:dyDescent="0.35">
      <c r="B3999" s="96" t="s">
        <v>6137</v>
      </c>
      <c r="C3999" s="97">
        <v>538402</v>
      </c>
      <c r="D3999" s="96" t="s">
        <v>388</v>
      </c>
      <c r="E3999" s="96" t="s">
        <v>405</v>
      </c>
    </row>
    <row r="4000" spans="2:5" ht="15" customHeight="1" thickBot="1" x14ac:dyDescent="0.35">
      <c r="B4000" s="96" t="s">
        <v>6138</v>
      </c>
      <c r="C4000" s="97">
        <v>530177</v>
      </c>
      <c r="D4000" s="96" t="s">
        <v>388</v>
      </c>
      <c r="E4000" s="96" t="s">
        <v>410</v>
      </c>
    </row>
    <row r="4001" spans="2:5" ht="15" customHeight="1" thickBot="1" x14ac:dyDescent="0.35">
      <c r="B4001" s="96" t="s">
        <v>6139</v>
      </c>
      <c r="C4001" s="97">
        <v>533121</v>
      </c>
      <c r="D4001" s="96" t="s">
        <v>6140</v>
      </c>
      <c r="E4001" s="96" t="s">
        <v>374</v>
      </c>
    </row>
    <row r="4002" spans="2:5" ht="15" customHeight="1" thickBot="1" x14ac:dyDescent="0.35">
      <c r="B4002" s="96" t="s">
        <v>6141</v>
      </c>
      <c r="C4002" s="97">
        <v>526532</v>
      </c>
      <c r="D4002" s="96" t="s">
        <v>388</v>
      </c>
      <c r="E4002" s="96" t="s">
        <v>436</v>
      </c>
    </row>
    <row r="4003" spans="2:5" ht="15" customHeight="1" thickBot="1" x14ac:dyDescent="0.35">
      <c r="B4003" s="96" t="s">
        <v>6142</v>
      </c>
      <c r="C4003" s="97">
        <v>526532</v>
      </c>
      <c r="D4003" s="96" t="s">
        <v>388</v>
      </c>
      <c r="E4003" s="96" t="s">
        <v>436</v>
      </c>
    </row>
    <row r="4004" spans="2:5" ht="15" customHeight="1" thickBot="1" x14ac:dyDescent="0.35">
      <c r="B4004" s="96" t="s">
        <v>6143</v>
      </c>
      <c r="C4004" s="97">
        <v>530037</v>
      </c>
      <c r="D4004" s="96" t="s">
        <v>388</v>
      </c>
      <c r="E4004" s="96" t="s">
        <v>403</v>
      </c>
    </row>
    <row r="4005" spans="2:5" ht="15" customHeight="1" thickBot="1" x14ac:dyDescent="0.35">
      <c r="B4005" s="96" t="s">
        <v>6144</v>
      </c>
      <c r="C4005" s="97">
        <v>532842</v>
      </c>
      <c r="D4005" s="96" t="s">
        <v>6145</v>
      </c>
      <c r="E4005" s="96" t="s">
        <v>436</v>
      </c>
    </row>
    <row r="4006" spans="2:5" ht="15" customHeight="1" thickBot="1" x14ac:dyDescent="0.35">
      <c r="B4006" s="96" t="s">
        <v>6146</v>
      </c>
      <c r="C4006" s="97">
        <v>514248</v>
      </c>
      <c r="D4006" s="96" t="s">
        <v>388</v>
      </c>
      <c r="E4006" s="96" t="s">
        <v>436</v>
      </c>
    </row>
    <row r="4007" spans="2:5" ht="15" customHeight="1" thickBot="1" x14ac:dyDescent="0.35">
      <c r="B4007" s="96" t="s">
        <v>6147</v>
      </c>
      <c r="C4007" s="97">
        <v>535601</v>
      </c>
      <c r="D4007" s="96" t="s">
        <v>6148</v>
      </c>
      <c r="E4007" s="96" t="s">
        <v>814</v>
      </c>
    </row>
    <row r="4008" spans="2:5" ht="15" customHeight="1" thickBot="1" x14ac:dyDescent="0.35">
      <c r="B4008" s="96" t="s">
        <v>6149</v>
      </c>
      <c r="C4008" s="97">
        <v>523756</v>
      </c>
      <c r="D4008" s="96" t="s">
        <v>6150</v>
      </c>
      <c r="E4008" s="96" t="s">
        <v>405</v>
      </c>
    </row>
    <row r="4009" spans="2:5" ht="15" customHeight="1" thickBot="1" x14ac:dyDescent="0.35">
      <c r="B4009" s="96" t="s">
        <v>6151</v>
      </c>
      <c r="C4009" s="97">
        <v>539217</v>
      </c>
      <c r="D4009" s="96" t="s">
        <v>388</v>
      </c>
      <c r="E4009" s="96" t="s">
        <v>408</v>
      </c>
    </row>
    <row r="4010" spans="2:5" ht="15" customHeight="1" thickBot="1" x14ac:dyDescent="0.35">
      <c r="B4010" s="96" t="s">
        <v>6152</v>
      </c>
      <c r="C4010" s="97">
        <v>503806</v>
      </c>
      <c r="D4010" s="96" t="s">
        <v>6153</v>
      </c>
      <c r="E4010" s="96" t="s">
        <v>403</v>
      </c>
    </row>
    <row r="4011" spans="2:5" ht="15" customHeight="1" thickBot="1" x14ac:dyDescent="0.35">
      <c r="B4011" s="96" t="s">
        <v>6154</v>
      </c>
      <c r="C4011" s="97">
        <v>534680</v>
      </c>
      <c r="D4011" s="96" t="s">
        <v>388</v>
      </c>
      <c r="E4011" s="96" t="s">
        <v>446</v>
      </c>
    </row>
    <row r="4012" spans="2:5" ht="15" customHeight="1" thickBot="1" x14ac:dyDescent="0.35">
      <c r="B4012" s="96" t="s">
        <v>6155</v>
      </c>
      <c r="C4012" s="97">
        <v>530943</v>
      </c>
      <c r="D4012" s="96" t="s">
        <v>6156</v>
      </c>
      <c r="E4012" s="96" t="s">
        <v>391</v>
      </c>
    </row>
    <row r="4013" spans="2:5" ht="15" customHeight="1" thickBot="1" x14ac:dyDescent="0.35">
      <c r="B4013" s="96" t="s">
        <v>6157</v>
      </c>
      <c r="C4013" s="97">
        <v>538863</v>
      </c>
      <c r="D4013" s="96" t="s">
        <v>388</v>
      </c>
      <c r="E4013" s="96" t="s">
        <v>405</v>
      </c>
    </row>
    <row r="4014" spans="2:5" ht="15" customHeight="1" thickBot="1" x14ac:dyDescent="0.35">
      <c r="B4014" s="96" t="s">
        <v>6158</v>
      </c>
      <c r="C4014" s="97">
        <v>531322</v>
      </c>
      <c r="D4014" s="96" t="s">
        <v>6159</v>
      </c>
      <c r="E4014" s="96" t="s">
        <v>598</v>
      </c>
    </row>
    <row r="4015" spans="2:5" ht="15" customHeight="1" thickBot="1" x14ac:dyDescent="0.35">
      <c r="B4015" s="96" t="s">
        <v>6160</v>
      </c>
      <c r="C4015" s="97">
        <v>514442</v>
      </c>
      <c r="D4015" s="96" t="s">
        <v>388</v>
      </c>
      <c r="E4015" s="96" t="s">
        <v>508</v>
      </c>
    </row>
    <row r="4016" spans="2:5" ht="15" customHeight="1" thickBot="1" x14ac:dyDescent="0.35">
      <c r="B4016" s="96" t="s">
        <v>6161</v>
      </c>
      <c r="C4016" s="97">
        <v>539363</v>
      </c>
      <c r="D4016" s="96" t="s">
        <v>388</v>
      </c>
      <c r="E4016" s="96" t="s">
        <v>474</v>
      </c>
    </row>
    <row r="4017" spans="2:5" ht="15" customHeight="1" thickBot="1" x14ac:dyDescent="0.35">
      <c r="B4017" s="96" t="s">
        <v>6162</v>
      </c>
      <c r="C4017" s="97">
        <v>539363</v>
      </c>
      <c r="D4017" s="96" t="s">
        <v>388</v>
      </c>
      <c r="E4017" s="96" t="s">
        <v>474</v>
      </c>
    </row>
    <row r="4018" spans="2:5" ht="15" customHeight="1" thickBot="1" x14ac:dyDescent="0.35">
      <c r="B4018" s="96" t="s">
        <v>6163</v>
      </c>
      <c r="C4018" s="96" t="s">
        <v>388</v>
      </c>
      <c r="D4018" s="96" t="s">
        <v>6164</v>
      </c>
      <c r="E4018" s="96" t="s">
        <v>399</v>
      </c>
    </row>
    <row r="4019" spans="2:5" ht="15" customHeight="1" thickBot="1" x14ac:dyDescent="0.35">
      <c r="B4019" s="96" t="s">
        <v>6165</v>
      </c>
      <c r="C4019" s="97">
        <v>521161</v>
      </c>
      <c r="D4019" s="96" t="s">
        <v>388</v>
      </c>
      <c r="E4019" s="96" t="s">
        <v>403</v>
      </c>
    </row>
    <row r="4020" spans="2:5" ht="15" customHeight="1" thickBot="1" x14ac:dyDescent="0.35">
      <c r="B4020" s="96" t="s">
        <v>6166</v>
      </c>
      <c r="C4020" s="97">
        <v>521234</v>
      </c>
      <c r="D4020" s="96" t="s">
        <v>388</v>
      </c>
      <c r="E4020" s="96" t="s">
        <v>403</v>
      </c>
    </row>
    <row r="4021" spans="2:5" ht="15" customHeight="1" thickBot="1" x14ac:dyDescent="0.35">
      <c r="B4021" s="96" t="s">
        <v>6167</v>
      </c>
      <c r="C4021" s="97">
        <v>521178</v>
      </c>
      <c r="D4021" s="96" t="s">
        <v>388</v>
      </c>
      <c r="E4021" s="96" t="s">
        <v>403</v>
      </c>
    </row>
    <row r="4022" spans="2:5" ht="15" customHeight="1" thickBot="1" x14ac:dyDescent="0.35">
      <c r="B4022" s="96" t="s">
        <v>6168</v>
      </c>
      <c r="C4022" s="97">
        <v>515081</v>
      </c>
      <c r="D4022" s="96" t="s">
        <v>388</v>
      </c>
      <c r="E4022" s="96" t="s">
        <v>916</v>
      </c>
    </row>
    <row r="4023" spans="2:5" ht="15" customHeight="1" thickBot="1" x14ac:dyDescent="0.35">
      <c r="B4023" s="96" t="s">
        <v>6169</v>
      </c>
      <c r="C4023" s="97">
        <v>513605</v>
      </c>
      <c r="D4023" s="96" t="s">
        <v>6170</v>
      </c>
      <c r="E4023" s="96" t="s">
        <v>711</v>
      </c>
    </row>
    <row r="4024" spans="2:5" ht="15" customHeight="1" thickBot="1" x14ac:dyDescent="0.35">
      <c r="B4024" s="96" t="s">
        <v>6171</v>
      </c>
      <c r="C4024" s="97">
        <v>523222</v>
      </c>
      <c r="D4024" s="96" t="s">
        <v>388</v>
      </c>
      <c r="E4024" s="96" t="s">
        <v>527</v>
      </c>
    </row>
    <row r="4025" spans="2:5" ht="15" customHeight="1" thickBot="1" x14ac:dyDescent="0.35">
      <c r="B4025" s="96" t="s">
        <v>6172</v>
      </c>
      <c r="C4025" s="97">
        <v>536799</v>
      </c>
      <c r="D4025" s="96" t="s">
        <v>388</v>
      </c>
      <c r="E4025" s="96" t="s">
        <v>405</v>
      </c>
    </row>
    <row r="4026" spans="2:5" ht="15" customHeight="1" thickBot="1" x14ac:dyDescent="0.35">
      <c r="B4026" s="96" t="s">
        <v>6173</v>
      </c>
      <c r="C4026" s="97">
        <v>533569</v>
      </c>
      <c r="D4026" s="96" t="s">
        <v>6174</v>
      </c>
      <c r="E4026" s="96" t="s">
        <v>502</v>
      </c>
    </row>
    <row r="4027" spans="2:5" ht="15" customHeight="1" thickBot="1" x14ac:dyDescent="0.35">
      <c r="B4027" s="96" t="s">
        <v>6175</v>
      </c>
      <c r="C4027" s="97">
        <v>540914</v>
      </c>
      <c r="D4027" s="96" t="s">
        <v>388</v>
      </c>
      <c r="E4027" s="96" t="s">
        <v>410</v>
      </c>
    </row>
    <row r="4028" spans="2:5" ht="15" customHeight="1" thickBot="1" x14ac:dyDescent="0.35">
      <c r="B4028" s="96" t="s">
        <v>6176</v>
      </c>
      <c r="C4028" s="97">
        <v>524636</v>
      </c>
      <c r="D4028" s="96" t="s">
        <v>388</v>
      </c>
      <c r="E4028" s="96" t="s">
        <v>426</v>
      </c>
    </row>
    <row r="4029" spans="2:5" ht="15" customHeight="1" thickBot="1" x14ac:dyDescent="0.35">
      <c r="B4029" s="96" t="s">
        <v>6177</v>
      </c>
      <c r="C4029" s="97">
        <v>530821</v>
      </c>
      <c r="D4029" s="96" t="s">
        <v>388</v>
      </c>
      <c r="E4029" s="96" t="s">
        <v>474</v>
      </c>
    </row>
    <row r="4030" spans="2:5" ht="15" customHeight="1" thickBot="1" x14ac:dyDescent="0.35">
      <c r="B4030" s="96" t="s">
        <v>6178</v>
      </c>
      <c r="C4030" s="97">
        <v>539026</v>
      </c>
      <c r="D4030" s="96" t="s">
        <v>388</v>
      </c>
      <c r="E4030" s="96" t="s">
        <v>371</v>
      </c>
    </row>
    <row r="4031" spans="2:5" ht="15" customHeight="1" thickBot="1" x14ac:dyDescent="0.35">
      <c r="B4031" s="96" t="s">
        <v>6179</v>
      </c>
      <c r="C4031" s="97">
        <v>531723</v>
      </c>
      <c r="D4031" s="96" t="s">
        <v>6180</v>
      </c>
      <c r="E4031" s="96" t="s">
        <v>371</v>
      </c>
    </row>
    <row r="4032" spans="2:5" ht="15" customHeight="1" thickBot="1" x14ac:dyDescent="0.35">
      <c r="B4032" s="96" t="s">
        <v>6179</v>
      </c>
      <c r="C4032" s="97">
        <v>570005</v>
      </c>
      <c r="D4032" s="96" t="s">
        <v>6181</v>
      </c>
      <c r="E4032" s="96" t="s">
        <v>371</v>
      </c>
    </row>
    <row r="4033" spans="2:5" ht="15" customHeight="1" thickBot="1" x14ac:dyDescent="0.35">
      <c r="B4033" s="96" t="s">
        <v>6182</v>
      </c>
      <c r="C4033" s="97">
        <v>504180</v>
      </c>
      <c r="D4033" s="96" t="s">
        <v>388</v>
      </c>
      <c r="E4033" s="96" t="s">
        <v>405</v>
      </c>
    </row>
    <row r="4034" spans="2:5" ht="15" customHeight="1" thickBot="1" x14ac:dyDescent="0.35">
      <c r="B4034" s="96" t="s">
        <v>6183</v>
      </c>
      <c r="C4034" s="97">
        <v>511700</v>
      </c>
      <c r="D4034" s="96" t="s">
        <v>388</v>
      </c>
      <c r="E4034" s="96" t="s">
        <v>405</v>
      </c>
    </row>
    <row r="4035" spans="2:5" ht="15" customHeight="1" thickBot="1" x14ac:dyDescent="0.35">
      <c r="B4035" s="96" t="s">
        <v>6184</v>
      </c>
      <c r="C4035" s="97">
        <v>580001</v>
      </c>
      <c r="D4035" s="96" t="s">
        <v>388</v>
      </c>
      <c r="E4035" s="96" t="s">
        <v>706</v>
      </c>
    </row>
    <row r="4036" spans="2:5" ht="15" customHeight="1" thickBot="1" x14ac:dyDescent="0.35">
      <c r="B4036" s="96" t="s">
        <v>6185</v>
      </c>
      <c r="C4036" s="97">
        <v>530017</v>
      </c>
      <c r="D4036" s="96" t="s">
        <v>6186</v>
      </c>
      <c r="E4036" s="96" t="s">
        <v>436</v>
      </c>
    </row>
    <row r="4037" spans="2:5" ht="15" customHeight="1" thickBot="1" x14ac:dyDescent="0.35">
      <c r="B4037" s="96" t="s">
        <v>6187</v>
      </c>
      <c r="C4037" s="97">
        <v>523351</v>
      </c>
      <c r="D4037" s="96" t="s">
        <v>388</v>
      </c>
      <c r="E4037" s="96" t="s">
        <v>548</v>
      </c>
    </row>
    <row r="4038" spans="2:5" ht="15" customHeight="1" thickBot="1" x14ac:dyDescent="0.35">
      <c r="B4038" s="96" t="s">
        <v>6188</v>
      </c>
      <c r="C4038" s="97">
        <v>523351</v>
      </c>
      <c r="D4038" s="96" t="s">
        <v>388</v>
      </c>
      <c r="E4038" s="96" t="s">
        <v>548</v>
      </c>
    </row>
    <row r="4039" spans="2:5" ht="15" customHeight="1" thickBot="1" x14ac:dyDescent="0.35">
      <c r="B4039" s="96" t="s">
        <v>6189</v>
      </c>
      <c r="C4039" s="97">
        <v>526231</v>
      </c>
      <c r="D4039" s="96" t="s">
        <v>388</v>
      </c>
      <c r="E4039" s="96" t="s">
        <v>436</v>
      </c>
    </row>
    <row r="4040" spans="2:5" ht="15" customHeight="1" thickBot="1" x14ac:dyDescent="0.35">
      <c r="B4040" s="96" t="s">
        <v>6190</v>
      </c>
      <c r="C4040" s="97">
        <v>530931</v>
      </c>
      <c r="D4040" s="96" t="s">
        <v>388</v>
      </c>
      <c r="E4040" s="96" t="s">
        <v>583</v>
      </c>
    </row>
    <row r="4041" spans="2:5" ht="15" customHeight="1" thickBot="1" x14ac:dyDescent="0.35">
      <c r="B4041" s="96" t="s">
        <v>6191</v>
      </c>
      <c r="C4041" s="97">
        <v>530931</v>
      </c>
      <c r="D4041" s="96" t="s">
        <v>388</v>
      </c>
      <c r="E4041" s="96" t="s">
        <v>583</v>
      </c>
    </row>
    <row r="4042" spans="2:5" ht="15" customHeight="1" thickBot="1" x14ac:dyDescent="0.35">
      <c r="B4042" s="96" t="s">
        <v>6192</v>
      </c>
      <c r="C4042" s="97">
        <v>506105</v>
      </c>
      <c r="D4042" s="96" t="s">
        <v>388</v>
      </c>
      <c r="E4042" s="96" t="s">
        <v>408</v>
      </c>
    </row>
    <row r="4043" spans="2:5" ht="15" customHeight="1" thickBot="1" x14ac:dyDescent="0.35">
      <c r="B4043" s="96" t="s">
        <v>6193</v>
      </c>
      <c r="C4043" s="97">
        <v>540575</v>
      </c>
      <c r="D4043" s="96" t="s">
        <v>6194</v>
      </c>
      <c r="E4043" s="96" t="s">
        <v>401</v>
      </c>
    </row>
    <row r="4044" spans="2:5" ht="15" customHeight="1" thickBot="1" x14ac:dyDescent="0.35">
      <c r="B4044" s="96" t="s">
        <v>6195</v>
      </c>
      <c r="C4044" s="97">
        <v>539255</v>
      </c>
      <c r="D4044" s="96" t="s">
        <v>388</v>
      </c>
      <c r="E4044" s="96" t="s">
        <v>431</v>
      </c>
    </row>
    <row r="4045" spans="2:5" ht="15" customHeight="1" thickBot="1" x14ac:dyDescent="0.35">
      <c r="B4045" s="96" t="s">
        <v>6196</v>
      </c>
      <c r="C4045" s="97">
        <v>516022</v>
      </c>
      <c r="D4045" s="96" t="s">
        <v>6197</v>
      </c>
      <c r="E4045" s="96" t="s">
        <v>382</v>
      </c>
    </row>
    <row r="4046" spans="2:5" ht="15" customHeight="1" thickBot="1" x14ac:dyDescent="0.35">
      <c r="B4046" s="96" t="s">
        <v>6198</v>
      </c>
      <c r="C4046" s="97">
        <v>531616</v>
      </c>
      <c r="D4046" s="96" t="s">
        <v>388</v>
      </c>
      <c r="E4046" s="96" t="s">
        <v>374</v>
      </c>
    </row>
    <row r="4047" spans="2:5" ht="15" customHeight="1" thickBot="1" x14ac:dyDescent="0.35">
      <c r="B4047" s="96" t="s">
        <v>6199</v>
      </c>
      <c r="C4047" s="97">
        <v>538733</v>
      </c>
      <c r="D4047" s="96" t="s">
        <v>388</v>
      </c>
      <c r="E4047" s="96" t="s">
        <v>2635</v>
      </c>
    </row>
    <row r="4048" spans="2:5" ht="15" customHeight="1" thickBot="1" x14ac:dyDescent="0.35">
      <c r="B4048" s="96" t="s">
        <v>6200</v>
      </c>
      <c r="C4048" s="97">
        <v>517548</v>
      </c>
      <c r="D4048" s="96" t="s">
        <v>388</v>
      </c>
      <c r="E4048" s="96" t="s">
        <v>410</v>
      </c>
    </row>
    <row r="4049" spans="2:5" ht="15" customHeight="1" thickBot="1" x14ac:dyDescent="0.35">
      <c r="B4049" s="96" t="s">
        <v>6201</v>
      </c>
      <c r="C4049" s="97">
        <v>520155</v>
      </c>
      <c r="D4049" s="96" t="s">
        <v>388</v>
      </c>
      <c r="E4049" s="96" t="s">
        <v>524</v>
      </c>
    </row>
    <row r="4050" spans="2:5" ht="15" customHeight="1" thickBot="1" x14ac:dyDescent="0.35">
      <c r="B4050" s="96" t="s">
        <v>6202</v>
      </c>
      <c r="C4050" s="97">
        <v>500112</v>
      </c>
      <c r="D4050" s="96" t="s">
        <v>6203</v>
      </c>
      <c r="E4050" s="96" t="s">
        <v>706</v>
      </c>
    </row>
    <row r="4051" spans="2:5" ht="15" customHeight="1" thickBot="1" x14ac:dyDescent="0.35">
      <c r="B4051" s="96" t="s">
        <v>6204</v>
      </c>
      <c r="C4051" s="97">
        <v>500113</v>
      </c>
      <c r="D4051" s="96" t="s">
        <v>6205</v>
      </c>
      <c r="E4051" s="96" t="s">
        <v>420</v>
      </c>
    </row>
    <row r="4052" spans="2:5" ht="15" customHeight="1" thickBot="1" x14ac:dyDescent="0.35">
      <c r="B4052" s="96" t="s">
        <v>6206</v>
      </c>
      <c r="C4052" s="97">
        <v>500113</v>
      </c>
      <c r="D4052" s="96" t="s">
        <v>6205</v>
      </c>
      <c r="E4052" s="96" t="s">
        <v>420</v>
      </c>
    </row>
    <row r="4053" spans="2:5" ht="15" customHeight="1" thickBot="1" x14ac:dyDescent="0.35">
      <c r="B4053" s="96" t="s">
        <v>6207</v>
      </c>
      <c r="C4053" s="96" t="s">
        <v>388</v>
      </c>
      <c r="D4053" s="96" t="s">
        <v>6208</v>
      </c>
      <c r="E4053" s="96" t="s">
        <v>399</v>
      </c>
    </row>
    <row r="4054" spans="2:5" ht="15" customHeight="1" thickBot="1" x14ac:dyDescent="0.35">
      <c r="B4054" s="96" t="s">
        <v>6209</v>
      </c>
      <c r="C4054" s="97">
        <v>534748</v>
      </c>
      <c r="D4054" s="96" t="s">
        <v>6210</v>
      </c>
      <c r="E4054" s="96" t="s">
        <v>420</v>
      </c>
    </row>
    <row r="4055" spans="2:5" ht="15" customHeight="1" thickBot="1" x14ac:dyDescent="0.35">
      <c r="B4055" s="96" t="s">
        <v>6211</v>
      </c>
      <c r="C4055" s="97">
        <v>534748</v>
      </c>
      <c r="D4055" s="96" t="s">
        <v>6210</v>
      </c>
      <c r="E4055" s="96" t="s">
        <v>420</v>
      </c>
    </row>
    <row r="4056" spans="2:5" ht="15" customHeight="1" thickBot="1" x14ac:dyDescent="0.35">
      <c r="B4056" s="96" t="s">
        <v>6212</v>
      </c>
      <c r="C4056" s="97">
        <v>513173</v>
      </c>
      <c r="D4056" s="96" t="s">
        <v>388</v>
      </c>
      <c r="E4056" s="96" t="s">
        <v>474</v>
      </c>
    </row>
    <row r="4057" spans="2:5" ht="15" customHeight="1" thickBot="1" x14ac:dyDescent="0.35">
      <c r="B4057" s="96" t="s">
        <v>6213</v>
      </c>
      <c r="C4057" s="97">
        <v>504717</v>
      </c>
      <c r="D4057" s="96" t="s">
        <v>6214</v>
      </c>
      <c r="E4057" s="96" t="s">
        <v>4261</v>
      </c>
    </row>
    <row r="4058" spans="2:5" ht="15" customHeight="1" thickBot="1" x14ac:dyDescent="0.35">
      <c r="B4058" s="96" t="s">
        <v>6215</v>
      </c>
      <c r="C4058" s="97">
        <v>513262</v>
      </c>
      <c r="D4058" s="96" t="s">
        <v>6216</v>
      </c>
      <c r="E4058" s="96" t="s">
        <v>743</v>
      </c>
    </row>
    <row r="4059" spans="2:5" ht="15" customHeight="1" thickBot="1" x14ac:dyDescent="0.35">
      <c r="B4059" s="96" t="s">
        <v>6217</v>
      </c>
      <c r="C4059" s="97">
        <v>513517</v>
      </c>
      <c r="D4059" s="96" t="s">
        <v>388</v>
      </c>
      <c r="E4059" s="96" t="s">
        <v>1307</v>
      </c>
    </row>
    <row r="4060" spans="2:5" ht="15" customHeight="1" thickBot="1" x14ac:dyDescent="0.35">
      <c r="B4060" s="96" t="s">
        <v>6218</v>
      </c>
      <c r="C4060" s="97">
        <v>500399</v>
      </c>
      <c r="D4060" s="96" t="s">
        <v>388</v>
      </c>
      <c r="E4060" s="96" t="s">
        <v>420</v>
      </c>
    </row>
    <row r="4061" spans="2:5" ht="15" customHeight="1" thickBot="1" x14ac:dyDescent="0.35">
      <c r="B4061" s="96" t="s">
        <v>6219</v>
      </c>
      <c r="C4061" s="97">
        <v>533316</v>
      </c>
      <c r="D4061" s="96" t="s">
        <v>6220</v>
      </c>
      <c r="E4061" s="96" t="s">
        <v>554</v>
      </c>
    </row>
    <row r="4062" spans="2:5" ht="15" customHeight="1" thickBot="1" x14ac:dyDescent="0.35">
      <c r="B4062" s="96" t="s">
        <v>6221</v>
      </c>
      <c r="C4062" s="97">
        <v>526071</v>
      </c>
      <c r="D4062" s="96" t="s">
        <v>388</v>
      </c>
      <c r="E4062" s="96" t="s">
        <v>371</v>
      </c>
    </row>
    <row r="4063" spans="2:5" ht="15" customHeight="1" thickBot="1" x14ac:dyDescent="0.35">
      <c r="B4063" s="96" t="s">
        <v>6222</v>
      </c>
      <c r="C4063" s="97">
        <v>526071</v>
      </c>
      <c r="D4063" s="96" t="s">
        <v>388</v>
      </c>
      <c r="E4063" s="96" t="s">
        <v>371</v>
      </c>
    </row>
    <row r="4064" spans="2:5" ht="15" customHeight="1" thickBot="1" x14ac:dyDescent="0.35">
      <c r="B4064" s="96" t="s">
        <v>6223</v>
      </c>
      <c r="C4064" s="97">
        <v>536738</v>
      </c>
      <c r="D4064" s="96" t="s">
        <v>388</v>
      </c>
      <c r="E4064" s="96" t="s">
        <v>371</v>
      </c>
    </row>
    <row r="4065" spans="2:5" ht="15" customHeight="1" thickBot="1" x14ac:dyDescent="0.35">
      <c r="B4065" s="96" t="s">
        <v>6224</v>
      </c>
      <c r="C4065" s="97">
        <v>531509</v>
      </c>
      <c r="D4065" s="96" t="s">
        <v>388</v>
      </c>
      <c r="E4065" s="96" t="s">
        <v>371</v>
      </c>
    </row>
    <row r="4066" spans="2:5" ht="15" customHeight="1" thickBot="1" x14ac:dyDescent="0.35">
      <c r="B4066" s="96" t="s">
        <v>6225</v>
      </c>
      <c r="C4066" s="97">
        <v>526500</v>
      </c>
      <c r="D4066" s="96" t="s">
        <v>388</v>
      </c>
      <c r="E4066" s="96" t="s">
        <v>589</v>
      </c>
    </row>
    <row r="4067" spans="2:5" ht="15" customHeight="1" thickBot="1" x14ac:dyDescent="0.35">
      <c r="B4067" s="96" t="s">
        <v>6226</v>
      </c>
      <c r="C4067" s="97">
        <v>508963</v>
      </c>
      <c r="D4067" s="96" t="s">
        <v>6227</v>
      </c>
      <c r="E4067" s="96" t="s">
        <v>405</v>
      </c>
    </row>
    <row r="4068" spans="2:5" ht="15" customHeight="1" thickBot="1" x14ac:dyDescent="0.35">
      <c r="B4068" s="96" t="s">
        <v>6228</v>
      </c>
      <c r="C4068" s="97">
        <v>531628</v>
      </c>
      <c r="D4068" s="96" t="s">
        <v>388</v>
      </c>
      <c r="E4068" s="96" t="s">
        <v>403</v>
      </c>
    </row>
    <row r="4069" spans="2:5" ht="15" customHeight="1" thickBot="1" x14ac:dyDescent="0.35">
      <c r="B4069" s="96" t="s">
        <v>6229</v>
      </c>
      <c r="C4069" s="97">
        <v>530759</v>
      </c>
      <c r="D4069" s="96" t="s">
        <v>6230</v>
      </c>
      <c r="E4069" s="96" t="s">
        <v>743</v>
      </c>
    </row>
    <row r="4070" spans="2:5" ht="15" customHeight="1" thickBot="1" x14ac:dyDescent="0.35">
      <c r="B4070" s="96" t="s">
        <v>6231</v>
      </c>
      <c r="C4070" s="97">
        <v>532374</v>
      </c>
      <c r="D4070" s="96" t="s">
        <v>6232</v>
      </c>
      <c r="E4070" s="96" t="s">
        <v>1334</v>
      </c>
    </row>
    <row r="4071" spans="2:5" ht="15" customHeight="1" thickBot="1" x14ac:dyDescent="0.35">
      <c r="B4071" s="96" t="s">
        <v>6233</v>
      </c>
      <c r="C4071" s="97">
        <v>513151</v>
      </c>
      <c r="D4071" s="96" t="s">
        <v>6234</v>
      </c>
      <c r="E4071" s="96" t="s">
        <v>403</v>
      </c>
    </row>
    <row r="4072" spans="2:5" ht="15" customHeight="1" thickBot="1" x14ac:dyDescent="0.35">
      <c r="B4072" s="96" t="s">
        <v>6235</v>
      </c>
      <c r="C4072" s="97">
        <v>513151</v>
      </c>
      <c r="D4072" s="96" t="s">
        <v>6236</v>
      </c>
      <c r="E4072" s="96" t="s">
        <v>403</v>
      </c>
    </row>
    <row r="4073" spans="2:5" ht="15" customHeight="1" thickBot="1" x14ac:dyDescent="0.35">
      <c r="B4073" s="96" t="s">
        <v>6237</v>
      </c>
      <c r="C4073" s="97">
        <v>532730</v>
      </c>
      <c r="D4073" s="96" t="s">
        <v>6238</v>
      </c>
      <c r="E4073" s="96" t="s">
        <v>403</v>
      </c>
    </row>
    <row r="4074" spans="2:5" ht="15" customHeight="1" thickBot="1" x14ac:dyDescent="0.35">
      <c r="B4074" s="96" t="s">
        <v>6239</v>
      </c>
      <c r="C4074" s="97">
        <v>504959</v>
      </c>
      <c r="D4074" s="96" t="s">
        <v>388</v>
      </c>
      <c r="E4074" s="96" t="s">
        <v>396</v>
      </c>
    </row>
    <row r="4075" spans="2:5" ht="15" customHeight="1" thickBot="1" x14ac:dyDescent="0.35">
      <c r="B4075" s="96" t="s">
        <v>6240</v>
      </c>
      <c r="C4075" s="97">
        <v>530495</v>
      </c>
      <c r="D4075" s="96" t="s">
        <v>388</v>
      </c>
      <c r="E4075" s="96" t="s">
        <v>410</v>
      </c>
    </row>
    <row r="4076" spans="2:5" ht="15" customHeight="1" thickBot="1" x14ac:dyDescent="0.35">
      <c r="B4076" s="96" t="s">
        <v>6241</v>
      </c>
      <c r="C4076" s="97">
        <v>532531</v>
      </c>
      <c r="D4076" s="96" t="s">
        <v>6242</v>
      </c>
      <c r="E4076" s="96" t="s">
        <v>426</v>
      </c>
    </row>
    <row r="4077" spans="2:5" ht="15" customHeight="1" thickBot="1" x14ac:dyDescent="0.35">
      <c r="B4077" s="96" t="s">
        <v>6243</v>
      </c>
      <c r="C4077" s="97">
        <v>530611</v>
      </c>
      <c r="D4077" s="96" t="s">
        <v>388</v>
      </c>
      <c r="E4077" s="96" t="s">
        <v>508</v>
      </c>
    </row>
    <row r="4078" spans="2:5" ht="15" customHeight="1" thickBot="1" x14ac:dyDescent="0.35">
      <c r="B4078" s="96" t="s">
        <v>6244</v>
      </c>
      <c r="C4078" s="97">
        <v>526951</v>
      </c>
      <c r="D4078" s="96" t="s">
        <v>388</v>
      </c>
      <c r="E4078" s="96" t="s">
        <v>883</v>
      </c>
    </row>
    <row r="4079" spans="2:5" ht="15" customHeight="1" thickBot="1" x14ac:dyDescent="0.35">
      <c r="B4079" s="96" t="s">
        <v>6245</v>
      </c>
      <c r="C4079" s="96" t="s">
        <v>388</v>
      </c>
      <c r="D4079" s="96" t="s">
        <v>6246</v>
      </c>
      <c r="E4079" s="96" t="s">
        <v>883</v>
      </c>
    </row>
    <row r="4080" spans="2:5" ht="15" customHeight="1" thickBot="1" x14ac:dyDescent="0.35">
      <c r="B4080" s="96" t="s">
        <v>6247</v>
      </c>
      <c r="C4080" s="97">
        <v>532348</v>
      </c>
      <c r="D4080" s="96" t="s">
        <v>388</v>
      </c>
      <c r="E4080" s="96" t="s">
        <v>481</v>
      </c>
    </row>
    <row r="4081" spans="2:5" ht="15" customHeight="1" thickBot="1" x14ac:dyDescent="0.35">
      <c r="B4081" s="96" t="s">
        <v>6248</v>
      </c>
      <c r="C4081" s="97">
        <v>530231</v>
      </c>
      <c r="D4081" s="96" t="s">
        <v>388</v>
      </c>
      <c r="E4081" s="96" t="s">
        <v>403</v>
      </c>
    </row>
    <row r="4082" spans="2:5" ht="15" customHeight="1" thickBot="1" x14ac:dyDescent="0.35">
      <c r="B4082" s="96" t="s">
        <v>6249</v>
      </c>
      <c r="C4082" s="97">
        <v>517168</v>
      </c>
      <c r="D4082" s="96" t="s">
        <v>6250</v>
      </c>
      <c r="E4082" s="96" t="s">
        <v>743</v>
      </c>
    </row>
    <row r="4083" spans="2:5" ht="15" customHeight="1" thickBot="1" x14ac:dyDescent="0.35">
      <c r="B4083" s="96" t="s">
        <v>6251</v>
      </c>
      <c r="C4083" s="97">
        <v>511024</v>
      </c>
      <c r="D4083" s="96" t="s">
        <v>388</v>
      </c>
      <c r="E4083" s="96" t="s">
        <v>809</v>
      </c>
    </row>
    <row r="4084" spans="2:5" ht="15" customHeight="1" thickBot="1" x14ac:dyDescent="0.35">
      <c r="B4084" s="96" t="s">
        <v>6252</v>
      </c>
      <c r="C4084" s="97">
        <v>538714</v>
      </c>
      <c r="D4084" s="96" t="s">
        <v>388</v>
      </c>
      <c r="E4084" s="96" t="s">
        <v>405</v>
      </c>
    </row>
    <row r="4085" spans="2:5" ht="15" customHeight="1" thickBot="1" x14ac:dyDescent="0.35">
      <c r="B4085" s="96" t="s">
        <v>6253</v>
      </c>
      <c r="C4085" s="97">
        <v>506003</v>
      </c>
      <c r="D4085" s="96" t="s">
        <v>388</v>
      </c>
      <c r="E4085" s="96" t="s">
        <v>693</v>
      </c>
    </row>
    <row r="4086" spans="2:5" ht="15" customHeight="1" thickBot="1" x14ac:dyDescent="0.35">
      <c r="B4086" s="96" t="s">
        <v>6254</v>
      </c>
      <c r="C4086" s="97">
        <v>506655</v>
      </c>
      <c r="D4086" s="96" t="s">
        <v>6255</v>
      </c>
      <c r="E4086" s="96" t="s">
        <v>548</v>
      </c>
    </row>
    <row r="4087" spans="2:5" ht="15" customHeight="1" thickBot="1" x14ac:dyDescent="0.35">
      <c r="B4087" s="96" t="s">
        <v>6256</v>
      </c>
      <c r="C4087" s="97">
        <v>521113</v>
      </c>
      <c r="D4087" s="96" t="s">
        <v>388</v>
      </c>
      <c r="E4087" s="96" t="s">
        <v>403</v>
      </c>
    </row>
    <row r="4088" spans="2:5" ht="15" customHeight="1" thickBot="1" x14ac:dyDescent="0.35">
      <c r="B4088" s="96" t="s">
        <v>6257</v>
      </c>
      <c r="C4088" s="97">
        <v>540318</v>
      </c>
      <c r="D4088" s="96" t="s">
        <v>388</v>
      </c>
      <c r="E4088" s="96" t="s">
        <v>403</v>
      </c>
    </row>
    <row r="4089" spans="2:5" ht="15" customHeight="1" thickBot="1" x14ac:dyDescent="0.35">
      <c r="B4089" s="96" t="s">
        <v>6258</v>
      </c>
      <c r="C4089" s="97">
        <v>511654</v>
      </c>
      <c r="D4089" s="96" t="s">
        <v>388</v>
      </c>
      <c r="E4089" s="96" t="s">
        <v>405</v>
      </c>
    </row>
    <row r="4090" spans="2:5" ht="15" customHeight="1" thickBot="1" x14ac:dyDescent="0.35">
      <c r="B4090" s="96" t="s">
        <v>6259</v>
      </c>
      <c r="C4090" s="97">
        <v>542683</v>
      </c>
      <c r="D4090" s="96" t="s">
        <v>6260</v>
      </c>
      <c r="E4090" s="96" t="s">
        <v>534</v>
      </c>
    </row>
    <row r="4091" spans="2:5" ht="15" customHeight="1" thickBot="1" x14ac:dyDescent="0.35">
      <c r="B4091" s="96" t="s">
        <v>6261</v>
      </c>
      <c r="C4091" s="97">
        <v>539117</v>
      </c>
      <c r="D4091" s="96" t="s">
        <v>388</v>
      </c>
      <c r="E4091" s="96" t="s">
        <v>405</v>
      </c>
    </row>
    <row r="4092" spans="2:5" ht="15" customHeight="1" thickBot="1" x14ac:dyDescent="0.35">
      <c r="B4092" s="96" t="s">
        <v>6262</v>
      </c>
      <c r="C4092" s="97">
        <v>517224</v>
      </c>
      <c r="D4092" s="96" t="s">
        <v>6263</v>
      </c>
      <c r="E4092" s="96" t="s">
        <v>1307</v>
      </c>
    </row>
    <row r="4093" spans="2:5" ht="15" customHeight="1" thickBot="1" x14ac:dyDescent="0.35">
      <c r="B4093" s="96" t="s">
        <v>6264</v>
      </c>
      <c r="C4093" s="97">
        <v>524542</v>
      </c>
      <c r="D4093" s="96" t="s">
        <v>388</v>
      </c>
      <c r="E4093" s="96" t="s">
        <v>586</v>
      </c>
    </row>
    <row r="4094" spans="2:5" ht="15" customHeight="1" thickBot="1" x14ac:dyDescent="0.35">
      <c r="B4094" s="96" t="s">
        <v>6265</v>
      </c>
      <c r="C4094" s="97">
        <v>508969</v>
      </c>
      <c r="D4094" s="96" t="s">
        <v>388</v>
      </c>
      <c r="E4094" s="96" t="s">
        <v>405</v>
      </c>
    </row>
    <row r="4095" spans="2:5" ht="15" customHeight="1" thickBot="1" x14ac:dyDescent="0.35">
      <c r="B4095" s="96" t="s">
        <v>6266</v>
      </c>
      <c r="C4095" s="97">
        <v>530419</v>
      </c>
      <c r="D4095" s="96" t="s">
        <v>388</v>
      </c>
      <c r="E4095" s="96" t="s">
        <v>371</v>
      </c>
    </row>
    <row r="4096" spans="2:5" ht="15" customHeight="1" thickBot="1" x14ac:dyDescent="0.35">
      <c r="B4096" s="96" t="s">
        <v>6267</v>
      </c>
      <c r="C4096" s="97">
        <v>514211</v>
      </c>
      <c r="D4096" s="96" t="s">
        <v>6268</v>
      </c>
      <c r="E4096" s="96" t="s">
        <v>403</v>
      </c>
    </row>
    <row r="4097" spans="2:5" ht="15" customHeight="1" thickBot="1" x14ac:dyDescent="0.35">
      <c r="B4097" s="96" t="s">
        <v>6269</v>
      </c>
      <c r="C4097" s="97">
        <v>530445</v>
      </c>
      <c r="D4097" s="96" t="s">
        <v>388</v>
      </c>
      <c r="E4097" s="96" t="s">
        <v>410</v>
      </c>
    </row>
    <row r="4098" spans="2:5" ht="15" customHeight="1" thickBot="1" x14ac:dyDescent="0.35">
      <c r="B4098" s="96" t="s">
        <v>6270</v>
      </c>
      <c r="C4098" s="96" t="s">
        <v>388</v>
      </c>
      <c r="D4098" s="96" t="s">
        <v>6271</v>
      </c>
      <c r="E4098" s="96" t="s">
        <v>399</v>
      </c>
    </row>
    <row r="4099" spans="2:5" ht="15" customHeight="1" thickBot="1" x14ac:dyDescent="0.35">
      <c r="B4099" s="96" t="s">
        <v>6272</v>
      </c>
      <c r="C4099" s="97">
        <v>533306</v>
      </c>
      <c r="D4099" s="96" t="s">
        <v>6273</v>
      </c>
      <c r="E4099" s="96" t="s">
        <v>408</v>
      </c>
    </row>
    <row r="4100" spans="2:5" ht="15" customHeight="1" thickBot="1" x14ac:dyDescent="0.35">
      <c r="B4100" s="96" t="s">
        <v>6274</v>
      </c>
      <c r="C4100" s="97">
        <v>532154</v>
      </c>
      <c r="D4100" s="96" t="s">
        <v>388</v>
      </c>
      <c r="E4100" s="96" t="s">
        <v>809</v>
      </c>
    </row>
    <row r="4101" spans="2:5" ht="15" customHeight="1" thickBot="1" x14ac:dyDescent="0.35">
      <c r="B4101" s="96" t="s">
        <v>6275</v>
      </c>
      <c r="C4101" s="97">
        <v>532872</v>
      </c>
      <c r="D4101" s="96" t="s">
        <v>6276</v>
      </c>
      <c r="E4101" s="96" t="s">
        <v>426</v>
      </c>
    </row>
    <row r="4102" spans="2:5" ht="15" customHeight="1" thickBot="1" x14ac:dyDescent="0.35">
      <c r="B4102" s="96" t="s">
        <v>6277</v>
      </c>
      <c r="C4102" s="97">
        <v>524715</v>
      </c>
      <c r="D4102" s="96" t="s">
        <v>6278</v>
      </c>
      <c r="E4102" s="96" t="s">
        <v>426</v>
      </c>
    </row>
    <row r="4103" spans="2:5" ht="15" customHeight="1" thickBot="1" x14ac:dyDescent="0.35">
      <c r="B4103" s="96" t="s">
        <v>6279</v>
      </c>
      <c r="C4103" s="97">
        <v>542025</v>
      </c>
      <c r="D4103" s="96" t="s">
        <v>388</v>
      </c>
      <c r="E4103" s="96" t="s">
        <v>410</v>
      </c>
    </row>
    <row r="4104" spans="2:5" ht="15" customHeight="1" thickBot="1" x14ac:dyDescent="0.35">
      <c r="B4104" s="96" t="s">
        <v>6280</v>
      </c>
      <c r="C4104" s="97">
        <v>517403</v>
      </c>
      <c r="D4104" s="96" t="s">
        <v>388</v>
      </c>
      <c r="E4104" s="96" t="s">
        <v>527</v>
      </c>
    </row>
    <row r="4105" spans="2:5" ht="15" customHeight="1" thickBot="1" x14ac:dyDescent="0.35">
      <c r="B4105" s="96" t="s">
        <v>6281</v>
      </c>
      <c r="C4105" s="97">
        <v>517403</v>
      </c>
      <c r="D4105" s="96" t="s">
        <v>388</v>
      </c>
      <c r="E4105" s="96" t="s">
        <v>527</v>
      </c>
    </row>
    <row r="4106" spans="2:5" ht="15" customHeight="1" thickBot="1" x14ac:dyDescent="0.35">
      <c r="B4106" s="96" t="s">
        <v>6282</v>
      </c>
      <c r="C4106" s="97">
        <v>531752</v>
      </c>
      <c r="D4106" s="96" t="s">
        <v>388</v>
      </c>
      <c r="E4106" s="96" t="s">
        <v>410</v>
      </c>
    </row>
    <row r="4107" spans="2:5" ht="15" customHeight="1" thickBot="1" x14ac:dyDescent="0.35">
      <c r="B4107" s="96" t="s">
        <v>6283</v>
      </c>
      <c r="C4107" s="97">
        <v>532733</v>
      </c>
      <c r="D4107" s="96" t="s">
        <v>6284</v>
      </c>
      <c r="E4107" s="96" t="s">
        <v>1126</v>
      </c>
    </row>
    <row r="4108" spans="2:5" ht="15" customHeight="1" thickBot="1" x14ac:dyDescent="0.35">
      <c r="B4108" s="96" t="s">
        <v>6285</v>
      </c>
      <c r="C4108" s="97">
        <v>539526</v>
      </c>
      <c r="D4108" s="96" t="s">
        <v>388</v>
      </c>
      <c r="E4108" s="96" t="s">
        <v>422</v>
      </c>
    </row>
    <row r="4109" spans="2:5" ht="15" customHeight="1" thickBot="1" x14ac:dyDescent="0.35">
      <c r="B4109" s="96" t="s">
        <v>6286</v>
      </c>
      <c r="C4109" s="97">
        <v>530795</v>
      </c>
      <c r="D4109" s="96" t="s">
        <v>388</v>
      </c>
      <c r="E4109" s="96" t="s">
        <v>403</v>
      </c>
    </row>
    <row r="4110" spans="2:5" ht="15" customHeight="1" thickBot="1" x14ac:dyDescent="0.35">
      <c r="B4110" s="96" t="s">
        <v>6287</v>
      </c>
      <c r="C4110" s="97">
        <v>590072</v>
      </c>
      <c r="D4110" s="96" t="s">
        <v>6288</v>
      </c>
      <c r="E4110" s="96" t="s">
        <v>743</v>
      </c>
    </row>
    <row r="4111" spans="2:5" ht="15" customHeight="1" thickBot="1" x14ac:dyDescent="0.35">
      <c r="B4111" s="96" t="s">
        <v>6289</v>
      </c>
      <c r="C4111" s="97">
        <v>520056</v>
      </c>
      <c r="D4111" s="96" t="s">
        <v>6290</v>
      </c>
      <c r="E4111" s="96" t="s">
        <v>743</v>
      </c>
    </row>
    <row r="4112" spans="2:5" ht="15" customHeight="1" thickBot="1" x14ac:dyDescent="0.35">
      <c r="B4112" s="96" t="s">
        <v>6291</v>
      </c>
      <c r="C4112" s="96" t="s">
        <v>388</v>
      </c>
      <c r="D4112" s="96" t="s">
        <v>6292</v>
      </c>
      <c r="E4112" s="96" t="s">
        <v>479</v>
      </c>
    </row>
    <row r="4113" spans="2:5" ht="15" customHeight="1" thickBot="1" x14ac:dyDescent="0.35">
      <c r="B4113" s="96" t="s">
        <v>6293</v>
      </c>
      <c r="C4113" s="97">
        <v>590071</v>
      </c>
      <c r="D4113" s="96" t="s">
        <v>6294</v>
      </c>
      <c r="E4113" s="96" t="s">
        <v>405</v>
      </c>
    </row>
    <row r="4114" spans="2:5" ht="15" customHeight="1" thickBot="1" x14ac:dyDescent="0.35">
      <c r="B4114" s="96" t="s">
        <v>6295</v>
      </c>
      <c r="C4114" s="97">
        <v>533166</v>
      </c>
      <c r="D4114" s="96" t="s">
        <v>6296</v>
      </c>
      <c r="E4114" s="96" t="s">
        <v>2380</v>
      </c>
    </row>
    <row r="4115" spans="2:5" ht="15" customHeight="1" thickBot="1" x14ac:dyDescent="0.35">
      <c r="B4115" s="96" t="s">
        <v>6297</v>
      </c>
      <c r="C4115" s="97">
        <v>500403</v>
      </c>
      <c r="D4115" s="96" t="s">
        <v>6298</v>
      </c>
      <c r="E4115" s="96" t="s">
        <v>743</v>
      </c>
    </row>
    <row r="4116" spans="2:5" ht="15" customHeight="1" thickBot="1" x14ac:dyDescent="0.35">
      <c r="B4116" s="96" t="s">
        <v>6299</v>
      </c>
      <c r="C4116" s="97">
        <v>500404</v>
      </c>
      <c r="D4116" s="96" t="s">
        <v>6300</v>
      </c>
      <c r="E4116" s="96" t="s">
        <v>420</v>
      </c>
    </row>
    <row r="4117" spans="2:5" ht="15" customHeight="1" thickBot="1" x14ac:dyDescent="0.35">
      <c r="B4117" s="96" t="s">
        <v>6301</v>
      </c>
      <c r="C4117" s="97">
        <v>531433</v>
      </c>
      <c r="D4117" s="96" t="s">
        <v>388</v>
      </c>
      <c r="E4117" s="96" t="s">
        <v>405</v>
      </c>
    </row>
    <row r="4118" spans="2:5" ht="15" customHeight="1" thickBot="1" x14ac:dyDescent="0.35">
      <c r="B4118" s="96" t="s">
        <v>6302</v>
      </c>
      <c r="C4118" s="97">
        <v>541799</v>
      </c>
      <c r="D4118" s="96" t="s">
        <v>388</v>
      </c>
      <c r="E4118" s="96" t="s">
        <v>1990</v>
      </c>
    </row>
    <row r="4119" spans="2:5" ht="15" customHeight="1" thickBot="1" x14ac:dyDescent="0.35">
      <c r="B4119" s="96" t="s">
        <v>6303</v>
      </c>
      <c r="C4119" s="97">
        <v>530953</v>
      </c>
      <c r="D4119" s="96" t="s">
        <v>388</v>
      </c>
      <c r="E4119" s="96" t="s">
        <v>448</v>
      </c>
    </row>
    <row r="4120" spans="2:5" ht="15" customHeight="1" thickBot="1" x14ac:dyDescent="0.35">
      <c r="B4120" s="96" t="s">
        <v>6304</v>
      </c>
      <c r="C4120" s="97">
        <v>537253</v>
      </c>
      <c r="D4120" s="96" t="s">
        <v>388</v>
      </c>
      <c r="E4120" s="96" t="s">
        <v>426</v>
      </c>
    </row>
    <row r="4121" spans="2:5" ht="15" customHeight="1" thickBot="1" x14ac:dyDescent="0.35">
      <c r="B4121" s="96" t="s">
        <v>6305</v>
      </c>
      <c r="C4121" s="97">
        <v>532711</v>
      </c>
      <c r="D4121" s="96" t="s">
        <v>6306</v>
      </c>
      <c r="E4121" s="96" t="s">
        <v>786</v>
      </c>
    </row>
    <row r="4122" spans="2:5" ht="15" customHeight="1" thickBot="1" x14ac:dyDescent="0.35">
      <c r="B4122" s="96" t="s">
        <v>6307</v>
      </c>
      <c r="C4122" s="97">
        <v>521232</v>
      </c>
      <c r="D4122" s="96" t="s">
        <v>388</v>
      </c>
      <c r="E4122" s="96" t="s">
        <v>410</v>
      </c>
    </row>
    <row r="4123" spans="2:5" ht="15" customHeight="1" thickBot="1" x14ac:dyDescent="0.35">
      <c r="B4123" s="96" t="s">
        <v>6308</v>
      </c>
      <c r="C4123" s="97">
        <v>523425</v>
      </c>
      <c r="D4123" s="96" t="s">
        <v>6309</v>
      </c>
      <c r="E4123" s="96" t="s">
        <v>944</v>
      </c>
    </row>
    <row r="4124" spans="2:5" ht="15" customHeight="1" thickBot="1" x14ac:dyDescent="0.35">
      <c r="B4124" s="96" t="s">
        <v>6310</v>
      </c>
      <c r="C4124" s="97">
        <v>501110</v>
      </c>
      <c r="D4124" s="96" t="s">
        <v>388</v>
      </c>
      <c r="E4124" s="96" t="s">
        <v>371</v>
      </c>
    </row>
    <row r="4125" spans="2:5" ht="15" customHeight="1" thickBot="1" x14ac:dyDescent="0.35">
      <c r="B4125" s="96" t="s">
        <v>6311</v>
      </c>
      <c r="C4125" s="97">
        <v>530845</v>
      </c>
      <c r="D4125" s="96" t="s">
        <v>388</v>
      </c>
      <c r="E4125" s="96" t="s">
        <v>436</v>
      </c>
    </row>
    <row r="4126" spans="2:5" ht="15" customHeight="1" thickBot="1" x14ac:dyDescent="0.35">
      <c r="B4126" s="96" t="s">
        <v>6312</v>
      </c>
      <c r="C4126" s="97">
        <v>539574</v>
      </c>
      <c r="D4126" s="96" t="s">
        <v>388</v>
      </c>
      <c r="E4126" s="96" t="s">
        <v>405</v>
      </c>
    </row>
    <row r="4127" spans="2:5" ht="15" customHeight="1" thickBot="1" x14ac:dyDescent="0.35">
      <c r="B4127" s="96" t="s">
        <v>6313</v>
      </c>
      <c r="C4127" s="97">
        <v>535141</v>
      </c>
      <c r="D4127" s="96" t="s">
        <v>388</v>
      </c>
      <c r="E4127" s="96" t="s">
        <v>474</v>
      </c>
    </row>
    <row r="4128" spans="2:5" ht="15" customHeight="1" thickBot="1" x14ac:dyDescent="0.35">
      <c r="B4128" s="96" t="s">
        <v>6314</v>
      </c>
      <c r="C4128" s="97">
        <v>512179</v>
      </c>
      <c r="D4128" s="96" t="s">
        <v>6315</v>
      </c>
      <c r="E4128" s="96" t="s">
        <v>474</v>
      </c>
    </row>
    <row r="4129" spans="2:5" ht="15" customHeight="1" thickBot="1" x14ac:dyDescent="0.35">
      <c r="B4129" s="96" t="s">
        <v>6316</v>
      </c>
      <c r="C4129" s="97">
        <v>530735</v>
      </c>
      <c r="D4129" s="96" t="s">
        <v>388</v>
      </c>
      <c r="E4129" s="96" t="s">
        <v>448</v>
      </c>
    </row>
    <row r="4130" spans="2:5" ht="15" customHeight="1" thickBot="1" x14ac:dyDescent="0.35">
      <c r="B4130" s="96" t="s">
        <v>6317</v>
      </c>
      <c r="C4130" s="97">
        <v>530735</v>
      </c>
      <c r="D4130" s="96" t="s">
        <v>388</v>
      </c>
      <c r="E4130" s="96" t="s">
        <v>448</v>
      </c>
    </row>
    <row r="4131" spans="2:5" ht="15" customHeight="1" thickBot="1" x14ac:dyDescent="0.35">
      <c r="B4131" s="96" t="s">
        <v>6318</v>
      </c>
      <c r="C4131" s="97">
        <v>530883</v>
      </c>
      <c r="D4131" s="96" t="s">
        <v>388</v>
      </c>
      <c r="E4131" s="96" t="s">
        <v>532</v>
      </c>
    </row>
    <row r="4132" spans="2:5" ht="15" customHeight="1" thickBot="1" x14ac:dyDescent="0.35">
      <c r="B4132" s="96" t="s">
        <v>6319</v>
      </c>
      <c r="C4132" s="97">
        <v>531699</v>
      </c>
      <c r="D4132" s="96" t="s">
        <v>388</v>
      </c>
      <c r="E4132" s="96" t="s">
        <v>1152</v>
      </c>
    </row>
    <row r="4133" spans="2:5" ht="15" customHeight="1" thickBot="1" x14ac:dyDescent="0.35">
      <c r="B4133" s="96" t="s">
        <v>6320</v>
      </c>
      <c r="C4133" s="97">
        <v>540269</v>
      </c>
      <c r="D4133" s="96" t="s">
        <v>388</v>
      </c>
      <c r="E4133" s="96" t="s">
        <v>502</v>
      </c>
    </row>
    <row r="4134" spans="2:5" ht="15" customHeight="1" thickBot="1" x14ac:dyDescent="0.35">
      <c r="B4134" s="96" t="s">
        <v>6321</v>
      </c>
      <c r="C4134" s="97">
        <v>512527</v>
      </c>
      <c r="D4134" s="96" t="s">
        <v>388</v>
      </c>
      <c r="E4134" s="96" t="s">
        <v>403</v>
      </c>
    </row>
    <row r="4135" spans="2:5" ht="15" customHeight="1" thickBot="1" x14ac:dyDescent="0.35">
      <c r="B4135" s="96" t="s">
        <v>6322</v>
      </c>
      <c r="C4135" s="97">
        <v>512527</v>
      </c>
      <c r="D4135" s="96" t="s">
        <v>388</v>
      </c>
      <c r="E4135" s="96" t="s">
        <v>403</v>
      </c>
    </row>
    <row r="4136" spans="2:5" ht="15" customHeight="1" thickBot="1" x14ac:dyDescent="0.35">
      <c r="B4136" s="96" t="s">
        <v>6323</v>
      </c>
      <c r="C4136" s="97">
        <v>521180</v>
      </c>
      <c r="D4136" s="96" t="s">
        <v>6324</v>
      </c>
      <c r="E4136" s="96" t="s">
        <v>403</v>
      </c>
    </row>
    <row r="4137" spans="2:5" ht="15" customHeight="1" thickBot="1" x14ac:dyDescent="0.35">
      <c r="B4137" s="96" t="s">
        <v>6325</v>
      </c>
      <c r="C4137" s="97">
        <v>523842</v>
      </c>
      <c r="D4137" s="96" t="s">
        <v>388</v>
      </c>
      <c r="E4137" s="96" t="s">
        <v>502</v>
      </c>
    </row>
    <row r="4138" spans="2:5" ht="15" customHeight="1" thickBot="1" x14ac:dyDescent="0.35">
      <c r="B4138" s="96" t="s">
        <v>6326</v>
      </c>
      <c r="C4138" s="97">
        <v>532070</v>
      </c>
      <c r="D4138" s="96" t="s">
        <v>388</v>
      </c>
      <c r="E4138" s="96" t="s">
        <v>382</v>
      </c>
    </row>
    <row r="4139" spans="2:5" ht="15" customHeight="1" thickBot="1" x14ac:dyDescent="0.35">
      <c r="B4139" s="96" t="s">
        <v>6327</v>
      </c>
      <c r="C4139" s="97">
        <v>523283</v>
      </c>
      <c r="D4139" s="96" t="s">
        <v>6328</v>
      </c>
      <c r="E4139" s="96" t="s">
        <v>814</v>
      </c>
    </row>
    <row r="4140" spans="2:5" ht="15" customHeight="1" thickBot="1" x14ac:dyDescent="0.35">
      <c r="B4140" s="96" t="s">
        <v>6329</v>
      </c>
      <c r="C4140" s="97">
        <v>539835</v>
      </c>
      <c r="D4140" s="96" t="s">
        <v>388</v>
      </c>
      <c r="E4140" s="96" t="s">
        <v>405</v>
      </c>
    </row>
    <row r="4141" spans="2:5" ht="15" customHeight="1" thickBot="1" x14ac:dyDescent="0.35">
      <c r="B4141" s="96" t="s">
        <v>6330</v>
      </c>
      <c r="C4141" s="97">
        <v>519234</v>
      </c>
      <c r="D4141" s="96" t="s">
        <v>6331</v>
      </c>
      <c r="E4141" s="96" t="s">
        <v>637</v>
      </c>
    </row>
    <row r="4142" spans="2:5" ht="15" customHeight="1" thickBot="1" x14ac:dyDescent="0.35">
      <c r="B4142" s="96" t="s">
        <v>6332</v>
      </c>
      <c r="C4142" s="97">
        <v>780008</v>
      </c>
      <c r="D4142" s="96" t="s">
        <v>388</v>
      </c>
      <c r="E4142" s="96" t="s">
        <v>479</v>
      </c>
    </row>
    <row r="4143" spans="2:5" ht="15" customHeight="1" thickBot="1" x14ac:dyDescent="0.35">
      <c r="B4143" s="96" t="s">
        <v>6333</v>
      </c>
      <c r="C4143" s="97">
        <v>541701</v>
      </c>
      <c r="D4143" s="96" t="s">
        <v>388</v>
      </c>
      <c r="E4143" s="96" t="s">
        <v>711</v>
      </c>
    </row>
    <row r="4144" spans="2:5" ht="15" customHeight="1" thickBot="1" x14ac:dyDescent="0.35">
      <c r="B4144" s="96" t="s">
        <v>6334</v>
      </c>
      <c r="C4144" s="97">
        <v>526133</v>
      </c>
      <c r="D4144" s="96" t="s">
        <v>388</v>
      </c>
      <c r="E4144" s="96" t="s">
        <v>403</v>
      </c>
    </row>
    <row r="4145" spans="2:5" ht="15" customHeight="1" thickBot="1" x14ac:dyDescent="0.35">
      <c r="B4145" s="96" t="s">
        <v>6335</v>
      </c>
      <c r="C4145" s="97">
        <v>540168</v>
      </c>
      <c r="D4145" s="96" t="s">
        <v>388</v>
      </c>
      <c r="E4145" s="96" t="s">
        <v>405</v>
      </c>
    </row>
    <row r="4146" spans="2:5" ht="15" customHeight="1" thickBot="1" x14ac:dyDescent="0.35">
      <c r="B4146" s="96" t="s">
        <v>6336</v>
      </c>
      <c r="C4146" s="97">
        <v>511539</v>
      </c>
      <c r="D4146" s="96" t="s">
        <v>388</v>
      </c>
      <c r="E4146" s="96" t="s">
        <v>371</v>
      </c>
    </row>
    <row r="4147" spans="2:5" ht="15" customHeight="1" thickBot="1" x14ac:dyDescent="0.35">
      <c r="B4147" s="96" t="s">
        <v>6337</v>
      </c>
      <c r="C4147" s="97">
        <v>532509</v>
      </c>
      <c r="D4147" s="96" t="s">
        <v>6338</v>
      </c>
      <c r="E4147" s="96" t="s">
        <v>743</v>
      </c>
    </row>
    <row r="4148" spans="2:5" ht="15" customHeight="1" thickBot="1" x14ac:dyDescent="0.35">
      <c r="B4148" s="96" t="s">
        <v>6339</v>
      </c>
      <c r="C4148" s="96" t="s">
        <v>388</v>
      </c>
      <c r="D4148" s="96" t="s">
        <v>6340</v>
      </c>
      <c r="E4148" s="96" t="s">
        <v>399</v>
      </c>
    </row>
    <row r="4149" spans="2:5" ht="15" customHeight="1" thickBot="1" x14ac:dyDescent="0.35">
      <c r="B4149" s="96" t="s">
        <v>6341</v>
      </c>
      <c r="C4149" s="97">
        <v>530677</v>
      </c>
      <c r="D4149" s="96" t="s">
        <v>388</v>
      </c>
      <c r="E4149" s="96" t="s">
        <v>474</v>
      </c>
    </row>
    <row r="4150" spans="2:5" ht="15" customHeight="1" thickBot="1" x14ac:dyDescent="0.35">
      <c r="B4150" s="96" t="s">
        <v>6342</v>
      </c>
      <c r="C4150" s="97">
        <v>530677</v>
      </c>
      <c r="D4150" s="96" t="s">
        <v>388</v>
      </c>
      <c r="E4150" s="96" t="s">
        <v>474</v>
      </c>
    </row>
    <row r="4151" spans="2:5" ht="15" customHeight="1" thickBot="1" x14ac:dyDescent="0.35">
      <c r="B4151" s="96" t="s">
        <v>6343</v>
      </c>
      <c r="C4151" s="96" t="s">
        <v>388</v>
      </c>
      <c r="D4151" s="96" t="s">
        <v>6344</v>
      </c>
      <c r="E4151" s="96" t="s">
        <v>399</v>
      </c>
    </row>
    <row r="4152" spans="2:5" ht="15" customHeight="1" thickBot="1" x14ac:dyDescent="0.35">
      <c r="B4152" s="96" t="s">
        <v>6345</v>
      </c>
      <c r="C4152" s="97">
        <v>509930</v>
      </c>
      <c r="D4152" s="96" t="s">
        <v>6346</v>
      </c>
      <c r="E4152" s="96" t="s">
        <v>508</v>
      </c>
    </row>
    <row r="4153" spans="2:5" ht="15" customHeight="1" thickBot="1" x14ac:dyDescent="0.35">
      <c r="B4153" s="96" t="s">
        <v>6347</v>
      </c>
      <c r="C4153" s="97">
        <v>532904</v>
      </c>
      <c r="D4153" s="96" t="s">
        <v>6348</v>
      </c>
      <c r="E4153" s="96" t="s">
        <v>786</v>
      </c>
    </row>
    <row r="4154" spans="2:5" ht="15" customHeight="1" thickBot="1" x14ac:dyDescent="0.35">
      <c r="B4154" s="96" t="s">
        <v>6349</v>
      </c>
      <c r="C4154" s="97">
        <v>532904</v>
      </c>
      <c r="D4154" s="96" t="s">
        <v>6348</v>
      </c>
      <c r="E4154" s="96" t="s">
        <v>786</v>
      </c>
    </row>
    <row r="4155" spans="2:5" ht="15" customHeight="1" thickBot="1" x14ac:dyDescent="0.35">
      <c r="B4155" s="96" t="s">
        <v>6350</v>
      </c>
      <c r="C4155" s="97">
        <v>500405</v>
      </c>
      <c r="D4155" s="96" t="s">
        <v>6351</v>
      </c>
      <c r="E4155" s="96" t="s">
        <v>602</v>
      </c>
    </row>
    <row r="4156" spans="2:5" ht="15" customHeight="1" thickBot="1" x14ac:dyDescent="0.35">
      <c r="B4156" s="96" t="s">
        <v>6352</v>
      </c>
      <c r="C4156" s="97">
        <v>534733</v>
      </c>
      <c r="D4156" s="96" t="s">
        <v>388</v>
      </c>
      <c r="E4156" s="96" t="s">
        <v>420</v>
      </c>
    </row>
    <row r="4157" spans="2:5" ht="15" customHeight="1" thickBot="1" x14ac:dyDescent="0.35">
      <c r="B4157" s="96" t="s">
        <v>6353</v>
      </c>
      <c r="C4157" s="97">
        <v>531638</v>
      </c>
      <c r="D4157" s="96" t="s">
        <v>388</v>
      </c>
      <c r="E4157" s="96" t="s">
        <v>711</v>
      </c>
    </row>
    <row r="4158" spans="2:5" ht="15" customHeight="1" thickBot="1" x14ac:dyDescent="0.35">
      <c r="B4158" s="96" t="s">
        <v>6354</v>
      </c>
      <c r="C4158" s="97">
        <v>518075</v>
      </c>
      <c r="D4158" s="96" t="s">
        <v>388</v>
      </c>
      <c r="E4158" s="96" t="s">
        <v>420</v>
      </c>
    </row>
    <row r="4159" spans="2:5" ht="15" customHeight="1" thickBot="1" x14ac:dyDescent="0.35">
      <c r="B4159" s="96" t="s">
        <v>6355</v>
      </c>
      <c r="C4159" s="97">
        <v>533298</v>
      </c>
      <c r="D4159" s="96" t="s">
        <v>6356</v>
      </c>
      <c r="E4159" s="96" t="s">
        <v>930</v>
      </c>
    </row>
    <row r="4160" spans="2:5" ht="15" customHeight="1" thickBot="1" x14ac:dyDescent="0.35">
      <c r="B4160" s="96" t="s">
        <v>6357</v>
      </c>
      <c r="C4160" s="97">
        <v>517530</v>
      </c>
      <c r="D4160" s="96" t="s">
        <v>6358</v>
      </c>
      <c r="E4160" s="96" t="s">
        <v>658</v>
      </c>
    </row>
    <row r="4161" spans="2:5" ht="15" customHeight="1" thickBot="1" x14ac:dyDescent="0.35">
      <c r="B4161" s="96" t="s">
        <v>6359</v>
      </c>
      <c r="C4161" s="97">
        <v>530185</v>
      </c>
      <c r="D4161" s="96" t="s">
        <v>388</v>
      </c>
      <c r="E4161" s="96" t="s">
        <v>403</v>
      </c>
    </row>
    <row r="4162" spans="2:5" ht="15" customHeight="1" thickBot="1" x14ac:dyDescent="0.35">
      <c r="B4162" s="96" t="s">
        <v>6360</v>
      </c>
      <c r="C4162" s="96" t="s">
        <v>388</v>
      </c>
      <c r="D4162" s="96" t="s">
        <v>6361</v>
      </c>
      <c r="E4162" s="96" t="s">
        <v>399</v>
      </c>
    </row>
    <row r="4163" spans="2:5" ht="15" customHeight="1" thickBot="1" x14ac:dyDescent="0.35">
      <c r="B4163" s="96" t="s">
        <v>6362</v>
      </c>
      <c r="C4163" s="97">
        <v>539253</v>
      </c>
      <c r="D4163" s="96" t="s">
        <v>388</v>
      </c>
      <c r="E4163" s="96" t="s">
        <v>405</v>
      </c>
    </row>
    <row r="4164" spans="2:5" ht="15" customHeight="1" thickBot="1" x14ac:dyDescent="0.35">
      <c r="B4164" s="96" t="s">
        <v>6363</v>
      </c>
      <c r="C4164" s="97">
        <v>539253</v>
      </c>
      <c r="D4164" s="96" t="s">
        <v>388</v>
      </c>
      <c r="E4164" s="96" t="s">
        <v>405</v>
      </c>
    </row>
    <row r="4165" spans="2:5" ht="15" customHeight="1" thickBot="1" x14ac:dyDescent="0.35">
      <c r="B4165" s="96" t="s">
        <v>6364</v>
      </c>
      <c r="C4165" s="97">
        <v>500336</v>
      </c>
      <c r="D4165" s="96" t="s">
        <v>6365</v>
      </c>
      <c r="E4165" s="96" t="s">
        <v>377</v>
      </c>
    </row>
    <row r="4166" spans="2:5" ht="15" customHeight="1" thickBot="1" x14ac:dyDescent="0.35">
      <c r="B4166" s="96" t="s">
        <v>6366</v>
      </c>
      <c r="C4166" s="97">
        <v>533101</v>
      </c>
      <c r="D4166" s="96" t="s">
        <v>388</v>
      </c>
      <c r="E4166" s="96" t="s">
        <v>403</v>
      </c>
    </row>
    <row r="4167" spans="2:5" ht="15" customHeight="1" thickBot="1" x14ac:dyDescent="0.35">
      <c r="B4167" s="96" t="s">
        <v>6367</v>
      </c>
      <c r="C4167" s="97">
        <v>532874</v>
      </c>
      <c r="D4167" s="96" t="s">
        <v>388</v>
      </c>
      <c r="E4167" s="96" t="s">
        <v>527</v>
      </c>
    </row>
    <row r="4168" spans="2:5" ht="15" customHeight="1" thickBot="1" x14ac:dyDescent="0.35">
      <c r="B4168" s="96" t="s">
        <v>6368</v>
      </c>
      <c r="C4168" s="97">
        <v>511185</v>
      </c>
      <c r="D4168" s="96" t="s">
        <v>388</v>
      </c>
      <c r="E4168" s="96" t="s">
        <v>709</v>
      </c>
    </row>
    <row r="4169" spans="2:5" ht="15" customHeight="1" thickBot="1" x14ac:dyDescent="0.35">
      <c r="B4169" s="96" t="s">
        <v>6369</v>
      </c>
      <c r="C4169" s="97">
        <v>521200</v>
      </c>
      <c r="D4169" s="96" t="s">
        <v>6370</v>
      </c>
      <c r="E4169" s="96" t="s">
        <v>403</v>
      </c>
    </row>
    <row r="4170" spans="2:5" ht="15" customHeight="1" thickBot="1" x14ac:dyDescent="0.35">
      <c r="B4170" s="96" t="s">
        <v>6371</v>
      </c>
      <c r="C4170" s="97">
        <v>514138</v>
      </c>
      <c r="D4170" s="96" t="s">
        <v>388</v>
      </c>
      <c r="E4170" s="96" t="s">
        <v>403</v>
      </c>
    </row>
    <row r="4171" spans="2:5" ht="15" customHeight="1" thickBot="1" x14ac:dyDescent="0.35">
      <c r="B4171" s="96" t="s">
        <v>6372</v>
      </c>
      <c r="C4171" s="97">
        <v>514140</v>
      </c>
      <c r="D4171" s="96" t="s">
        <v>388</v>
      </c>
      <c r="E4171" s="96" t="s">
        <v>403</v>
      </c>
    </row>
    <row r="4172" spans="2:5" ht="15" customHeight="1" thickBot="1" x14ac:dyDescent="0.35">
      <c r="B4172" s="96" t="s">
        <v>6373</v>
      </c>
      <c r="C4172" s="97">
        <v>519604</v>
      </c>
      <c r="D4172" s="96" t="s">
        <v>6374</v>
      </c>
      <c r="E4172" s="96" t="s">
        <v>448</v>
      </c>
    </row>
    <row r="4173" spans="2:5" ht="15" customHeight="1" thickBot="1" x14ac:dyDescent="0.35">
      <c r="B4173" s="96" t="s">
        <v>6375</v>
      </c>
      <c r="C4173" s="97">
        <v>532782</v>
      </c>
      <c r="D4173" s="96" t="s">
        <v>6376</v>
      </c>
      <c r="E4173" s="96" t="s">
        <v>403</v>
      </c>
    </row>
    <row r="4174" spans="2:5" ht="15" customHeight="1" thickBot="1" x14ac:dyDescent="0.35">
      <c r="B4174" s="96" t="s">
        <v>6377</v>
      </c>
      <c r="C4174" s="96" t="s">
        <v>388</v>
      </c>
      <c r="D4174" s="96" t="s">
        <v>6378</v>
      </c>
      <c r="E4174" s="96" t="s">
        <v>399</v>
      </c>
    </row>
    <row r="4175" spans="2:5" ht="15" customHeight="1" thickBot="1" x14ac:dyDescent="0.35">
      <c r="B4175" s="96" t="s">
        <v>6379</v>
      </c>
      <c r="C4175" s="97">
        <v>530239</v>
      </c>
      <c r="D4175" s="96" t="s">
        <v>6380</v>
      </c>
      <c r="E4175" s="96" t="s">
        <v>426</v>
      </c>
    </row>
    <row r="4176" spans="2:5" ht="15" customHeight="1" thickBot="1" x14ac:dyDescent="0.35">
      <c r="B4176" s="96" t="s">
        <v>6381</v>
      </c>
      <c r="C4176" s="97">
        <v>531640</v>
      </c>
      <c r="D4176" s="96" t="s">
        <v>388</v>
      </c>
      <c r="E4176" s="96" t="s">
        <v>474</v>
      </c>
    </row>
    <row r="4177" spans="2:5" ht="15" customHeight="1" thickBot="1" x14ac:dyDescent="0.35">
      <c r="B4177" s="96" t="s">
        <v>6382</v>
      </c>
      <c r="C4177" s="97">
        <v>537259</v>
      </c>
      <c r="D4177" s="96" t="s">
        <v>388</v>
      </c>
      <c r="E4177" s="96" t="s">
        <v>1334</v>
      </c>
    </row>
    <row r="4178" spans="2:5" ht="15" customHeight="1" thickBot="1" x14ac:dyDescent="0.35">
      <c r="B4178" s="96" t="s">
        <v>6383</v>
      </c>
      <c r="C4178" s="97">
        <v>532667</v>
      </c>
      <c r="D4178" s="96" t="s">
        <v>6384</v>
      </c>
      <c r="E4178" s="96" t="s">
        <v>431</v>
      </c>
    </row>
    <row r="4179" spans="2:5" ht="15" customHeight="1" thickBot="1" x14ac:dyDescent="0.35">
      <c r="B4179" s="96" t="s">
        <v>6385</v>
      </c>
      <c r="C4179" s="97">
        <v>531885</v>
      </c>
      <c r="D4179" s="96" t="s">
        <v>388</v>
      </c>
      <c r="E4179" s="96" t="s">
        <v>410</v>
      </c>
    </row>
    <row r="4180" spans="2:5" ht="15" customHeight="1" thickBot="1" x14ac:dyDescent="0.35">
      <c r="B4180" s="96" t="s">
        <v>6386</v>
      </c>
      <c r="C4180" s="97">
        <v>531885</v>
      </c>
      <c r="D4180" s="96" t="s">
        <v>388</v>
      </c>
      <c r="E4180" s="96" t="s">
        <v>410</v>
      </c>
    </row>
    <row r="4181" spans="2:5" ht="15" customHeight="1" thickBot="1" x14ac:dyDescent="0.35">
      <c r="B4181" s="96" t="s">
        <v>6387</v>
      </c>
      <c r="C4181" s="97">
        <v>523722</v>
      </c>
      <c r="D4181" s="96" t="s">
        <v>388</v>
      </c>
      <c r="E4181" s="96" t="s">
        <v>481</v>
      </c>
    </row>
    <row r="4182" spans="2:5" ht="15" customHeight="1" thickBot="1" x14ac:dyDescent="0.35">
      <c r="B4182" s="96" t="s">
        <v>6388</v>
      </c>
      <c r="C4182" s="97">
        <v>503624</v>
      </c>
      <c r="D4182" s="96" t="s">
        <v>388</v>
      </c>
      <c r="E4182" s="96" t="s">
        <v>371</v>
      </c>
    </row>
    <row r="4183" spans="2:5" ht="15" customHeight="1" thickBot="1" x14ac:dyDescent="0.35">
      <c r="B4183" s="96" t="s">
        <v>6389</v>
      </c>
      <c r="C4183" s="97">
        <v>539911</v>
      </c>
      <c r="D4183" s="96" t="s">
        <v>388</v>
      </c>
      <c r="E4183" s="96" t="s">
        <v>410</v>
      </c>
    </row>
    <row r="4184" spans="2:5" ht="15" customHeight="1" thickBot="1" x14ac:dyDescent="0.35">
      <c r="B4184" s="96" t="s">
        <v>6390</v>
      </c>
      <c r="C4184" s="97">
        <v>524488</v>
      </c>
      <c r="D4184" s="96" t="s">
        <v>6391</v>
      </c>
      <c r="E4184" s="96" t="s">
        <v>436</v>
      </c>
    </row>
    <row r="4185" spans="2:5" ht="15" customHeight="1" thickBot="1" x14ac:dyDescent="0.35">
      <c r="B4185" s="96" t="s">
        <v>6392</v>
      </c>
      <c r="C4185" s="97">
        <v>512449</v>
      </c>
      <c r="D4185" s="96" t="s">
        <v>388</v>
      </c>
      <c r="E4185" s="96" t="s">
        <v>368</v>
      </c>
    </row>
    <row r="4186" spans="2:5" ht="15" customHeight="1" thickBot="1" x14ac:dyDescent="0.35">
      <c r="B4186" s="96" t="s">
        <v>6393</v>
      </c>
      <c r="C4186" s="97">
        <v>505590</v>
      </c>
      <c r="D4186" s="96" t="s">
        <v>388</v>
      </c>
      <c r="E4186" s="96" t="s">
        <v>403</v>
      </c>
    </row>
    <row r="4187" spans="2:5" ht="15" customHeight="1" thickBot="1" x14ac:dyDescent="0.35">
      <c r="B4187" s="96" t="s">
        <v>6394</v>
      </c>
      <c r="C4187" s="97">
        <v>539041</v>
      </c>
      <c r="D4187" s="96" t="s">
        <v>388</v>
      </c>
      <c r="E4187" s="96" t="s">
        <v>410</v>
      </c>
    </row>
    <row r="4188" spans="2:5" ht="15" customHeight="1" thickBot="1" x14ac:dyDescent="0.35">
      <c r="B4188" s="96" t="s">
        <v>6395</v>
      </c>
      <c r="C4188" s="97">
        <v>503659</v>
      </c>
      <c r="D4188" s="96" t="s">
        <v>388</v>
      </c>
      <c r="E4188" s="96" t="s">
        <v>809</v>
      </c>
    </row>
    <row r="4189" spans="2:5" ht="15" customHeight="1" thickBot="1" x14ac:dyDescent="0.35">
      <c r="B4189" s="96" t="s">
        <v>6396</v>
      </c>
      <c r="C4189" s="97">
        <v>506863</v>
      </c>
      <c r="D4189" s="96" t="s">
        <v>388</v>
      </c>
      <c r="E4189" s="96" t="s">
        <v>583</v>
      </c>
    </row>
    <row r="4190" spans="2:5" ht="15" customHeight="1" thickBot="1" x14ac:dyDescent="0.35">
      <c r="B4190" s="96" t="s">
        <v>6397</v>
      </c>
      <c r="C4190" s="97">
        <v>503816</v>
      </c>
      <c r="D4190" s="96" t="s">
        <v>388</v>
      </c>
      <c r="E4190" s="96" t="s">
        <v>403</v>
      </c>
    </row>
    <row r="4191" spans="2:5" ht="15" customHeight="1" thickBot="1" x14ac:dyDescent="0.35">
      <c r="B4191" s="96" t="s">
        <v>6398</v>
      </c>
      <c r="C4191" s="97">
        <v>531909</v>
      </c>
      <c r="D4191" s="96" t="s">
        <v>388</v>
      </c>
      <c r="E4191" s="96" t="s">
        <v>474</v>
      </c>
    </row>
    <row r="4192" spans="2:5" ht="15" customHeight="1" thickBot="1" x14ac:dyDescent="0.35">
      <c r="B4192" s="96" t="s">
        <v>6399</v>
      </c>
      <c r="C4192" s="97">
        <v>539406</v>
      </c>
      <c r="D4192" s="96" t="s">
        <v>388</v>
      </c>
      <c r="E4192" s="96" t="s">
        <v>410</v>
      </c>
    </row>
    <row r="4193" spans="2:5" ht="15" customHeight="1" thickBot="1" x14ac:dyDescent="0.35">
      <c r="B4193" s="96" t="s">
        <v>6400</v>
      </c>
      <c r="C4193" s="97">
        <v>503310</v>
      </c>
      <c r="D4193" s="96" t="s">
        <v>6401</v>
      </c>
      <c r="E4193" s="96" t="s">
        <v>403</v>
      </c>
    </row>
    <row r="4194" spans="2:5" ht="15" customHeight="1" thickBot="1" x14ac:dyDescent="0.35">
      <c r="B4194" s="96" t="s">
        <v>6402</v>
      </c>
      <c r="C4194" s="97">
        <v>539353</v>
      </c>
      <c r="D4194" s="96" t="s">
        <v>388</v>
      </c>
      <c r="E4194" s="96" t="s">
        <v>743</v>
      </c>
    </row>
    <row r="4195" spans="2:5" ht="15" customHeight="1" thickBot="1" x14ac:dyDescent="0.35">
      <c r="B4195" s="96" t="s">
        <v>6403</v>
      </c>
      <c r="C4195" s="97">
        <v>500407</v>
      </c>
      <c r="D4195" s="96" t="s">
        <v>6404</v>
      </c>
      <c r="E4195" s="96" t="s">
        <v>743</v>
      </c>
    </row>
    <row r="4196" spans="2:5" ht="15" customHeight="1" thickBot="1" x14ac:dyDescent="0.35">
      <c r="B4196" s="96" t="s">
        <v>6405</v>
      </c>
      <c r="C4196" s="97">
        <v>531003</v>
      </c>
      <c r="D4196" s="96" t="s">
        <v>388</v>
      </c>
      <c r="E4196" s="96" t="s">
        <v>405</v>
      </c>
    </row>
    <row r="4197" spans="2:5" ht="15" customHeight="1" thickBot="1" x14ac:dyDescent="0.35">
      <c r="B4197" s="96" t="s">
        <v>6406</v>
      </c>
      <c r="C4197" s="97">
        <v>526365</v>
      </c>
      <c r="D4197" s="96" t="s">
        <v>388</v>
      </c>
      <c r="E4197" s="96" t="s">
        <v>502</v>
      </c>
    </row>
    <row r="4198" spans="2:5" ht="15" customHeight="1" thickBot="1" x14ac:dyDescent="0.35">
      <c r="B4198" s="96" t="s">
        <v>6407</v>
      </c>
      <c r="C4198" s="97">
        <v>512257</v>
      </c>
      <c r="D4198" s="96" t="s">
        <v>388</v>
      </c>
      <c r="E4198" s="96" t="s">
        <v>377</v>
      </c>
    </row>
    <row r="4199" spans="2:5" ht="15" customHeight="1" thickBot="1" x14ac:dyDescent="0.35">
      <c r="B4199" s="96" t="s">
        <v>6408</v>
      </c>
      <c r="C4199" s="97">
        <v>510245</v>
      </c>
      <c r="D4199" s="96" t="s">
        <v>388</v>
      </c>
      <c r="E4199" s="96" t="s">
        <v>410</v>
      </c>
    </row>
    <row r="4200" spans="2:5" ht="15" customHeight="1" thickBot="1" x14ac:dyDescent="0.35">
      <c r="B4200" s="96" t="s">
        <v>6409</v>
      </c>
      <c r="C4200" s="97">
        <v>501386</v>
      </c>
      <c r="D4200" s="96" t="s">
        <v>388</v>
      </c>
      <c r="E4200" s="96" t="s">
        <v>371</v>
      </c>
    </row>
    <row r="4201" spans="2:5" ht="15" customHeight="1" thickBot="1" x14ac:dyDescent="0.35">
      <c r="B4201" s="96" t="s">
        <v>6410</v>
      </c>
      <c r="C4201" s="97">
        <v>530585</v>
      </c>
      <c r="D4201" s="96" t="s">
        <v>388</v>
      </c>
      <c r="E4201" s="96" t="s">
        <v>371</v>
      </c>
    </row>
    <row r="4202" spans="2:5" ht="15" customHeight="1" thickBot="1" x14ac:dyDescent="0.35">
      <c r="B4202" s="96" t="s">
        <v>6411</v>
      </c>
      <c r="C4202" s="97">
        <v>532051</v>
      </c>
      <c r="D4202" s="96" t="s">
        <v>6412</v>
      </c>
      <c r="E4202" s="96" t="s">
        <v>431</v>
      </c>
    </row>
    <row r="4203" spans="2:5" ht="15" customHeight="1" thickBot="1" x14ac:dyDescent="0.35">
      <c r="B4203" s="96" t="s">
        <v>6413</v>
      </c>
      <c r="C4203" s="97">
        <v>522215</v>
      </c>
      <c r="D4203" s="96" t="s">
        <v>388</v>
      </c>
      <c r="E4203" s="96" t="s">
        <v>396</v>
      </c>
    </row>
    <row r="4204" spans="2:5" ht="15" customHeight="1" thickBot="1" x14ac:dyDescent="0.35">
      <c r="B4204" s="96" t="s">
        <v>6414</v>
      </c>
      <c r="C4204" s="97">
        <v>517201</v>
      </c>
      <c r="D4204" s="96" t="s">
        <v>388</v>
      </c>
      <c r="E4204" s="96" t="s">
        <v>930</v>
      </c>
    </row>
    <row r="4205" spans="2:5" ht="15" customHeight="1" thickBot="1" x14ac:dyDescent="0.35">
      <c r="B4205" s="96" t="s">
        <v>6415</v>
      </c>
      <c r="C4205" s="97">
        <v>531637</v>
      </c>
      <c r="D4205" s="96" t="s">
        <v>388</v>
      </c>
      <c r="E4205" s="96" t="s">
        <v>426</v>
      </c>
    </row>
    <row r="4206" spans="2:5" ht="15" customHeight="1" thickBot="1" x14ac:dyDescent="0.35">
      <c r="B4206" s="96" t="s">
        <v>6416</v>
      </c>
      <c r="C4206" s="97">
        <v>512359</v>
      </c>
      <c r="D4206" s="96" t="s">
        <v>388</v>
      </c>
      <c r="E4206" s="96" t="s">
        <v>410</v>
      </c>
    </row>
    <row r="4207" spans="2:5" ht="15" customHeight="1" thickBot="1" x14ac:dyDescent="0.35">
      <c r="B4207" s="96" t="s">
        <v>6417</v>
      </c>
      <c r="C4207" s="97">
        <v>531499</v>
      </c>
      <c r="D4207" s="96" t="s">
        <v>388</v>
      </c>
      <c r="E4207" s="96" t="s">
        <v>403</v>
      </c>
    </row>
    <row r="4208" spans="2:5" ht="15" customHeight="1" thickBot="1" x14ac:dyDescent="0.35">
      <c r="B4208" s="96" t="s">
        <v>6418</v>
      </c>
      <c r="C4208" s="97">
        <v>539682</v>
      </c>
      <c r="D4208" s="96" t="s">
        <v>388</v>
      </c>
      <c r="E4208" s="96" t="s">
        <v>493</v>
      </c>
    </row>
    <row r="4209" spans="2:5" ht="15" customHeight="1" thickBot="1" x14ac:dyDescent="0.35">
      <c r="B4209" s="96" t="s">
        <v>6419</v>
      </c>
      <c r="C4209" s="97">
        <v>511447</v>
      </c>
      <c r="D4209" s="96" t="s">
        <v>388</v>
      </c>
      <c r="E4209" s="96" t="s">
        <v>394</v>
      </c>
    </row>
    <row r="4210" spans="2:5" ht="15" customHeight="1" thickBot="1" x14ac:dyDescent="0.35">
      <c r="B4210" s="96" t="s">
        <v>6420</v>
      </c>
      <c r="C4210" s="97">
        <v>539278</v>
      </c>
      <c r="D4210" s="96" t="s">
        <v>388</v>
      </c>
      <c r="E4210" s="96" t="s">
        <v>371</v>
      </c>
    </row>
    <row r="4211" spans="2:5" ht="15" customHeight="1" thickBot="1" x14ac:dyDescent="0.35">
      <c r="B4211" s="96" t="s">
        <v>6421</v>
      </c>
      <c r="C4211" s="97">
        <v>517385</v>
      </c>
      <c r="D4211" s="96" t="s">
        <v>6422</v>
      </c>
      <c r="E4211" s="96" t="s">
        <v>757</v>
      </c>
    </row>
    <row r="4212" spans="2:5" ht="15" customHeight="1" thickBot="1" x14ac:dyDescent="0.35">
      <c r="B4212" s="96" t="s">
        <v>6423</v>
      </c>
      <c r="C4212" s="97">
        <v>524470</v>
      </c>
      <c r="D4212" s="96" t="s">
        <v>388</v>
      </c>
      <c r="E4212" s="96" t="s">
        <v>426</v>
      </c>
    </row>
    <row r="4213" spans="2:5" ht="15" customHeight="1" thickBot="1" x14ac:dyDescent="0.35">
      <c r="B4213" s="96" t="s">
        <v>6424</v>
      </c>
      <c r="C4213" s="97">
        <v>524470</v>
      </c>
      <c r="D4213" s="96" t="s">
        <v>388</v>
      </c>
      <c r="E4213" s="96" t="s">
        <v>426</v>
      </c>
    </row>
    <row r="4214" spans="2:5" ht="15" customHeight="1" thickBot="1" x14ac:dyDescent="0.35">
      <c r="B4214" s="96" t="s">
        <v>6425</v>
      </c>
      <c r="C4214" s="97">
        <v>533157</v>
      </c>
      <c r="D4214" s="96" t="s">
        <v>6426</v>
      </c>
      <c r="E4214" s="96" t="s">
        <v>426</v>
      </c>
    </row>
    <row r="4215" spans="2:5" ht="15" customHeight="1" thickBot="1" x14ac:dyDescent="0.35">
      <c r="B4215" s="96" t="s">
        <v>6427</v>
      </c>
      <c r="C4215" s="97">
        <v>532276</v>
      </c>
      <c r="D4215" s="96" t="s">
        <v>6428</v>
      </c>
      <c r="E4215" s="96" t="s">
        <v>706</v>
      </c>
    </row>
    <row r="4216" spans="2:5" ht="15" customHeight="1" thickBot="1" x14ac:dyDescent="0.35">
      <c r="B4216" s="96" t="s">
        <v>6429</v>
      </c>
      <c r="C4216" s="97">
        <v>541929</v>
      </c>
      <c r="D4216" s="96" t="s">
        <v>388</v>
      </c>
      <c r="E4216" s="96" t="s">
        <v>1307</v>
      </c>
    </row>
    <row r="4217" spans="2:5" ht="15" customHeight="1" thickBot="1" x14ac:dyDescent="0.35">
      <c r="B4217" s="96" t="s">
        <v>6430</v>
      </c>
      <c r="C4217" s="97">
        <v>539268</v>
      </c>
      <c r="D4217" s="96" t="s">
        <v>6431</v>
      </c>
      <c r="E4217" s="96" t="s">
        <v>426</v>
      </c>
    </row>
    <row r="4218" spans="2:5" ht="15" customHeight="1" thickBot="1" x14ac:dyDescent="0.35">
      <c r="B4218" s="96" t="s">
        <v>6432</v>
      </c>
      <c r="C4218" s="97">
        <v>513307</v>
      </c>
      <c r="D4218" s="96" t="s">
        <v>388</v>
      </c>
      <c r="E4218" s="96" t="s">
        <v>693</v>
      </c>
    </row>
    <row r="4219" spans="2:5" ht="15" customHeight="1" thickBot="1" x14ac:dyDescent="0.35">
      <c r="B4219" s="96" t="s">
        <v>6433</v>
      </c>
      <c r="C4219" s="97">
        <v>531173</v>
      </c>
      <c r="D4219" s="96" t="s">
        <v>388</v>
      </c>
      <c r="E4219" s="96" t="s">
        <v>426</v>
      </c>
    </row>
    <row r="4220" spans="2:5" ht="15" customHeight="1" thickBot="1" x14ac:dyDescent="0.35">
      <c r="B4220" s="96" t="s">
        <v>6434</v>
      </c>
      <c r="C4220" s="97">
        <v>531173</v>
      </c>
      <c r="D4220" s="96" t="s">
        <v>388</v>
      </c>
      <c r="E4220" s="96" t="s">
        <v>426</v>
      </c>
    </row>
    <row r="4221" spans="2:5" ht="15" customHeight="1" thickBot="1" x14ac:dyDescent="0.35">
      <c r="B4221" s="96" t="s">
        <v>6435</v>
      </c>
      <c r="C4221" s="97">
        <v>539842</v>
      </c>
      <c r="D4221" s="96" t="s">
        <v>388</v>
      </c>
      <c r="E4221" s="96" t="s">
        <v>583</v>
      </c>
    </row>
    <row r="4222" spans="2:5" ht="15" customHeight="1" thickBot="1" x14ac:dyDescent="0.35">
      <c r="B4222" s="96" t="s">
        <v>6436</v>
      </c>
      <c r="C4222" s="97">
        <v>526506</v>
      </c>
      <c r="D4222" s="96" t="s">
        <v>388</v>
      </c>
      <c r="E4222" s="96" t="s">
        <v>371</v>
      </c>
    </row>
    <row r="4223" spans="2:5" ht="15" customHeight="1" thickBot="1" x14ac:dyDescent="0.35">
      <c r="B4223" s="96" t="s">
        <v>6437</v>
      </c>
      <c r="C4223" s="97">
        <v>531432</v>
      </c>
      <c r="D4223" s="96" t="s">
        <v>388</v>
      </c>
      <c r="E4223" s="96" t="s">
        <v>405</v>
      </c>
    </row>
    <row r="4224" spans="2:5" ht="15" customHeight="1" thickBot="1" x14ac:dyDescent="0.35">
      <c r="B4224" s="96" t="s">
        <v>6438</v>
      </c>
      <c r="C4224" s="97">
        <v>522294</v>
      </c>
      <c r="D4224" s="96" t="s">
        <v>388</v>
      </c>
      <c r="E4224" s="96" t="s">
        <v>396</v>
      </c>
    </row>
    <row r="4225" spans="2:5" ht="15" customHeight="1" thickBot="1" x14ac:dyDescent="0.35">
      <c r="B4225" s="96" t="s">
        <v>6439</v>
      </c>
      <c r="C4225" s="97">
        <v>533553</v>
      </c>
      <c r="D4225" s="96" t="s">
        <v>388</v>
      </c>
      <c r="E4225" s="96" t="s">
        <v>431</v>
      </c>
    </row>
    <row r="4226" spans="2:5" ht="15" customHeight="1" thickBot="1" x14ac:dyDescent="0.35">
      <c r="B4226" s="96" t="s">
        <v>6440</v>
      </c>
      <c r="C4226" s="97">
        <v>532444</v>
      </c>
      <c r="D4226" s="96" t="s">
        <v>388</v>
      </c>
      <c r="E4226" s="96" t="s">
        <v>481</v>
      </c>
    </row>
    <row r="4227" spans="2:5" ht="15" customHeight="1" thickBot="1" x14ac:dyDescent="0.35">
      <c r="B4227" s="96" t="s">
        <v>6441</v>
      </c>
      <c r="C4227" s="97">
        <v>514142</v>
      </c>
      <c r="D4227" s="96" t="s">
        <v>6442</v>
      </c>
      <c r="E4227" s="96" t="s">
        <v>403</v>
      </c>
    </row>
    <row r="4228" spans="2:5" ht="15" customHeight="1" thickBot="1" x14ac:dyDescent="0.35">
      <c r="B4228" s="96" t="s">
        <v>6443</v>
      </c>
      <c r="C4228" s="97">
        <v>539956</v>
      </c>
      <c r="D4228" s="96" t="s">
        <v>388</v>
      </c>
      <c r="E4228" s="96" t="s">
        <v>2525</v>
      </c>
    </row>
    <row r="4229" spans="2:5" ht="15" customHeight="1" thickBot="1" x14ac:dyDescent="0.35">
      <c r="B4229" s="96" t="s">
        <v>6444</v>
      </c>
      <c r="C4229" s="97">
        <v>537392</v>
      </c>
      <c r="D4229" s="96" t="s">
        <v>388</v>
      </c>
      <c r="E4229" s="96" t="s">
        <v>557</v>
      </c>
    </row>
    <row r="4230" spans="2:5" ht="15" customHeight="1" thickBot="1" x14ac:dyDescent="0.35">
      <c r="B4230" s="96" t="s">
        <v>6445</v>
      </c>
      <c r="C4230" s="97">
        <v>519483</v>
      </c>
      <c r="D4230" s="96" t="s">
        <v>388</v>
      </c>
      <c r="E4230" s="96" t="s">
        <v>410</v>
      </c>
    </row>
    <row r="4231" spans="2:5" ht="15" customHeight="1" thickBot="1" x14ac:dyDescent="0.35">
      <c r="B4231" s="96" t="s">
        <v>6446</v>
      </c>
      <c r="C4231" s="97">
        <v>507785</v>
      </c>
      <c r="D4231" s="96" t="s">
        <v>6447</v>
      </c>
      <c r="E4231" s="96" t="s">
        <v>508</v>
      </c>
    </row>
    <row r="4232" spans="2:5" ht="15" customHeight="1" thickBot="1" x14ac:dyDescent="0.35">
      <c r="B4232" s="96" t="s">
        <v>6448</v>
      </c>
      <c r="C4232" s="97">
        <v>532390</v>
      </c>
      <c r="D4232" s="96" t="s">
        <v>6449</v>
      </c>
      <c r="E4232" s="96" t="s">
        <v>589</v>
      </c>
    </row>
    <row r="4233" spans="2:5" ht="15" customHeight="1" thickBot="1" x14ac:dyDescent="0.35">
      <c r="B4233" s="96" t="s">
        <v>6450</v>
      </c>
      <c r="C4233" s="97">
        <v>532890</v>
      </c>
      <c r="D4233" s="96" t="s">
        <v>6451</v>
      </c>
      <c r="E4233" s="96" t="s">
        <v>374</v>
      </c>
    </row>
    <row r="4234" spans="2:5" ht="15" customHeight="1" thickBot="1" x14ac:dyDescent="0.35">
      <c r="B4234" s="96" t="s">
        <v>6452</v>
      </c>
      <c r="C4234" s="97">
        <v>505160</v>
      </c>
      <c r="D4234" s="96" t="s">
        <v>6453</v>
      </c>
      <c r="E4234" s="96" t="s">
        <v>743</v>
      </c>
    </row>
    <row r="4235" spans="2:5" ht="15" customHeight="1" thickBot="1" x14ac:dyDescent="0.35">
      <c r="B4235" s="96" t="s">
        <v>6454</v>
      </c>
      <c r="C4235" s="97">
        <v>538987</v>
      </c>
      <c r="D4235" s="96" t="s">
        <v>388</v>
      </c>
      <c r="E4235" s="96" t="s">
        <v>743</v>
      </c>
    </row>
    <row r="4236" spans="2:5" ht="15" customHeight="1" thickBot="1" x14ac:dyDescent="0.35">
      <c r="B4236" s="96" t="s">
        <v>6455</v>
      </c>
      <c r="C4236" s="97">
        <v>533200</v>
      </c>
      <c r="D4236" s="96" t="s">
        <v>6456</v>
      </c>
      <c r="E4236" s="96" t="s">
        <v>566</v>
      </c>
    </row>
    <row r="4237" spans="2:5" ht="15" customHeight="1" thickBot="1" x14ac:dyDescent="0.35">
      <c r="B4237" s="96" t="s">
        <v>6457</v>
      </c>
      <c r="C4237" s="97">
        <v>541545</v>
      </c>
      <c r="D4237" s="96" t="s">
        <v>6458</v>
      </c>
      <c r="E4237" s="96" t="s">
        <v>566</v>
      </c>
    </row>
    <row r="4238" spans="2:5" ht="15" customHeight="1" thickBot="1" x14ac:dyDescent="0.35">
      <c r="B4238" s="96" t="s">
        <v>6459</v>
      </c>
      <c r="C4238" s="97">
        <v>533170</v>
      </c>
      <c r="D4238" s="96" t="s">
        <v>388</v>
      </c>
      <c r="E4238" s="96" t="s">
        <v>408</v>
      </c>
    </row>
    <row r="4239" spans="2:5" ht="15" customHeight="1" thickBot="1" x14ac:dyDescent="0.35">
      <c r="B4239" s="96" t="s">
        <v>6460</v>
      </c>
      <c r="C4239" s="97">
        <v>531426</v>
      </c>
      <c r="D4239" s="96" t="s">
        <v>6461</v>
      </c>
      <c r="E4239" s="96" t="s">
        <v>382</v>
      </c>
    </row>
    <row r="4240" spans="2:5" ht="15" customHeight="1" thickBot="1" x14ac:dyDescent="0.35">
      <c r="B4240" s="96" t="s">
        <v>6462</v>
      </c>
      <c r="C4240" s="97">
        <v>521038</v>
      </c>
      <c r="D4240" s="96" t="s">
        <v>388</v>
      </c>
      <c r="E4240" s="96" t="s">
        <v>403</v>
      </c>
    </row>
    <row r="4241" spans="2:5" ht="15" customHeight="1" thickBot="1" x14ac:dyDescent="0.35">
      <c r="B4241" s="96" t="s">
        <v>6463</v>
      </c>
      <c r="C4241" s="97">
        <v>500777</v>
      </c>
      <c r="D4241" s="96" t="s">
        <v>6464</v>
      </c>
      <c r="E4241" s="96" t="s">
        <v>436</v>
      </c>
    </row>
    <row r="4242" spans="2:5" ht="15" customHeight="1" thickBot="1" x14ac:dyDescent="0.35">
      <c r="B4242" s="96" t="s">
        <v>6465</v>
      </c>
      <c r="C4242" s="97">
        <v>513540</v>
      </c>
      <c r="D4242" s="96" t="s">
        <v>388</v>
      </c>
      <c r="E4242" s="96" t="s">
        <v>711</v>
      </c>
    </row>
    <row r="4243" spans="2:5" ht="15" customHeight="1" thickBot="1" x14ac:dyDescent="0.35">
      <c r="B4243" s="96" t="s">
        <v>6466</v>
      </c>
      <c r="C4243" s="97">
        <v>523419</v>
      </c>
      <c r="D4243" s="96" t="s">
        <v>6467</v>
      </c>
      <c r="E4243" s="96" t="s">
        <v>658</v>
      </c>
    </row>
    <row r="4244" spans="2:5" ht="15" customHeight="1" thickBot="1" x14ac:dyDescent="0.35">
      <c r="B4244" s="96" t="s">
        <v>6468</v>
      </c>
      <c r="C4244" s="97">
        <v>522229</v>
      </c>
      <c r="D4244" s="96" t="s">
        <v>388</v>
      </c>
      <c r="E4244" s="96" t="s">
        <v>2872</v>
      </c>
    </row>
    <row r="4245" spans="2:5" ht="15" customHeight="1" thickBot="1" x14ac:dyDescent="0.35">
      <c r="B4245" s="96" t="s">
        <v>6469</v>
      </c>
      <c r="C4245" s="97">
        <v>506854</v>
      </c>
      <c r="D4245" s="96" t="s">
        <v>388</v>
      </c>
      <c r="E4245" s="96" t="s">
        <v>436</v>
      </c>
    </row>
    <row r="4246" spans="2:5" ht="15" customHeight="1" thickBot="1" x14ac:dyDescent="0.35">
      <c r="B4246" s="96" t="s">
        <v>6470</v>
      </c>
      <c r="C4246" s="97">
        <v>532790</v>
      </c>
      <c r="D4246" s="96" t="s">
        <v>6471</v>
      </c>
      <c r="E4246" s="96" t="s">
        <v>481</v>
      </c>
    </row>
    <row r="4247" spans="2:5" ht="15" customHeight="1" thickBot="1" x14ac:dyDescent="0.35">
      <c r="B4247" s="96" t="s">
        <v>6472</v>
      </c>
      <c r="C4247" s="97">
        <v>532738</v>
      </c>
      <c r="D4247" s="96" t="s">
        <v>6473</v>
      </c>
      <c r="E4247" s="96" t="s">
        <v>786</v>
      </c>
    </row>
    <row r="4248" spans="2:5" ht="15" customHeight="1" thickBot="1" x14ac:dyDescent="0.35">
      <c r="B4248" s="96" t="s">
        <v>6474</v>
      </c>
      <c r="C4248" s="97">
        <v>540332</v>
      </c>
      <c r="D4248" s="96" t="s">
        <v>388</v>
      </c>
      <c r="E4248" s="96" t="s">
        <v>410</v>
      </c>
    </row>
    <row r="4249" spans="2:5" ht="15" customHeight="1" thickBot="1" x14ac:dyDescent="0.35">
      <c r="B4249" s="96" t="s">
        <v>6475</v>
      </c>
      <c r="C4249" s="97">
        <v>540332</v>
      </c>
      <c r="D4249" s="96" t="s">
        <v>388</v>
      </c>
      <c r="E4249" s="96" t="s">
        <v>410</v>
      </c>
    </row>
    <row r="4250" spans="2:5" ht="15" customHeight="1" thickBot="1" x14ac:dyDescent="0.35">
      <c r="B4250" s="96" t="s">
        <v>6476</v>
      </c>
      <c r="C4250" s="97">
        <v>505685</v>
      </c>
      <c r="D4250" s="96" t="s">
        <v>388</v>
      </c>
      <c r="E4250" s="96" t="s">
        <v>711</v>
      </c>
    </row>
    <row r="4251" spans="2:5" ht="15" customHeight="1" thickBot="1" x14ac:dyDescent="0.35">
      <c r="B4251" s="96" t="s">
        <v>6477</v>
      </c>
      <c r="C4251" s="96" t="s">
        <v>388</v>
      </c>
      <c r="D4251" s="96" t="s">
        <v>6478</v>
      </c>
      <c r="E4251" s="96" t="s">
        <v>399</v>
      </c>
    </row>
    <row r="4252" spans="2:5" ht="15" customHeight="1" thickBot="1" x14ac:dyDescent="0.35">
      <c r="B4252" s="96" t="s">
        <v>6479</v>
      </c>
      <c r="C4252" s="97">
        <v>534756</v>
      </c>
      <c r="D4252" s="96" t="s">
        <v>6480</v>
      </c>
      <c r="E4252" s="96" t="s">
        <v>502</v>
      </c>
    </row>
    <row r="4253" spans="2:5" ht="15" customHeight="1" thickBot="1" x14ac:dyDescent="0.35">
      <c r="B4253" s="96" t="s">
        <v>6481</v>
      </c>
      <c r="C4253" s="97">
        <v>519285</v>
      </c>
      <c r="D4253" s="96" t="s">
        <v>388</v>
      </c>
      <c r="E4253" s="96" t="s">
        <v>586</v>
      </c>
    </row>
    <row r="4254" spans="2:5" ht="15" customHeight="1" thickBot="1" x14ac:dyDescent="0.35">
      <c r="B4254" s="96" t="s">
        <v>6482</v>
      </c>
      <c r="C4254" s="97">
        <v>533203</v>
      </c>
      <c r="D4254" s="96" t="s">
        <v>6483</v>
      </c>
      <c r="E4254" s="96" t="s">
        <v>431</v>
      </c>
    </row>
    <row r="4255" spans="2:5" ht="15" customHeight="1" thickBot="1" x14ac:dyDescent="0.35">
      <c r="B4255" s="96" t="s">
        <v>6484</v>
      </c>
      <c r="C4255" s="97">
        <v>538496</v>
      </c>
      <c r="D4255" s="96" t="s">
        <v>388</v>
      </c>
      <c r="E4255" s="96" t="s">
        <v>472</v>
      </c>
    </row>
    <row r="4256" spans="2:5" ht="15" customHeight="1" thickBot="1" x14ac:dyDescent="0.35">
      <c r="B4256" s="96" t="s">
        <v>6485</v>
      </c>
      <c r="C4256" s="97">
        <v>532869</v>
      </c>
      <c r="D4256" s="96" t="s">
        <v>6486</v>
      </c>
      <c r="E4256" s="96" t="s">
        <v>786</v>
      </c>
    </row>
    <row r="4257" spans="2:5" ht="15" customHeight="1" thickBot="1" x14ac:dyDescent="0.35">
      <c r="B4257" s="96" t="s">
        <v>6487</v>
      </c>
      <c r="C4257" s="97">
        <v>512271</v>
      </c>
      <c r="D4257" s="96" t="s">
        <v>388</v>
      </c>
      <c r="E4257" s="96" t="s">
        <v>809</v>
      </c>
    </row>
    <row r="4258" spans="2:5" ht="15" customHeight="1" thickBot="1" x14ac:dyDescent="0.35">
      <c r="B4258" s="96" t="s">
        <v>6488</v>
      </c>
      <c r="C4258" s="97">
        <v>512271</v>
      </c>
      <c r="D4258" s="96" t="s">
        <v>388</v>
      </c>
      <c r="E4258" s="96" t="s">
        <v>809</v>
      </c>
    </row>
    <row r="4259" spans="2:5" ht="15" customHeight="1" thickBot="1" x14ac:dyDescent="0.35">
      <c r="B4259" s="96" t="s">
        <v>6489</v>
      </c>
      <c r="C4259" s="97">
        <v>519091</v>
      </c>
      <c r="D4259" s="96" t="s">
        <v>6490</v>
      </c>
      <c r="E4259" s="96" t="s">
        <v>448</v>
      </c>
    </row>
    <row r="4260" spans="2:5" ht="15" customHeight="1" thickBot="1" x14ac:dyDescent="0.35">
      <c r="B4260" s="96" t="s">
        <v>6491</v>
      </c>
      <c r="C4260" s="97">
        <v>540955</v>
      </c>
      <c r="D4260" s="96" t="s">
        <v>388</v>
      </c>
      <c r="E4260" s="96" t="s">
        <v>448</v>
      </c>
    </row>
    <row r="4261" spans="2:5" ht="15" customHeight="1" thickBot="1" x14ac:dyDescent="0.35">
      <c r="B4261" s="96" t="s">
        <v>6492</v>
      </c>
      <c r="C4261" s="97">
        <v>500770</v>
      </c>
      <c r="D4261" s="96" t="s">
        <v>6493</v>
      </c>
      <c r="E4261" s="96" t="s">
        <v>436</v>
      </c>
    </row>
    <row r="4262" spans="2:5" ht="15" customHeight="1" thickBot="1" x14ac:dyDescent="0.35">
      <c r="B4262" s="96" t="s">
        <v>6494</v>
      </c>
      <c r="C4262" s="97">
        <v>532301</v>
      </c>
      <c r="D4262" s="96" t="s">
        <v>6495</v>
      </c>
      <c r="E4262" s="96" t="s">
        <v>795</v>
      </c>
    </row>
    <row r="4263" spans="2:5" ht="15" customHeight="1" thickBot="1" x14ac:dyDescent="0.35">
      <c r="B4263" s="96" t="s">
        <v>6496</v>
      </c>
      <c r="C4263" s="97">
        <v>500483</v>
      </c>
      <c r="D4263" s="96" t="s">
        <v>6497</v>
      </c>
      <c r="E4263" s="96" t="s">
        <v>6498</v>
      </c>
    </row>
    <row r="4264" spans="2:5" ht="15" customHeight="1" thickBot="1" x14ac:dyDescent="0.35">
      <c r="B4264" s="96" t="s">
        <v>6499</v>
      </c>
      <c r="C4264" s="97">
        <v>532540</v>
      </c>
      <c r="D4264" s="96" t="s">
        <v>6500</v>
      </c>
      <c r="E4264" s="96" t="s">
        <v>374</v>
      </c>
    </row>
    <row r="4265" spans="2:5" ht="15" customHeight="1" thickBot="1" x14ac:dyDescent="0.35">
      <c r="B4265" s="96" t="s">
        <v>6501</v>
      </c>
      <c r="C4265" s="97">
        <v>500408</v>
      </c>
      <c r="D4265" s="96" t="s">
        <v>6502</v>
      </c>
      <c r="E4265" s="96" t="s">
        <v>481</v>
      </c>
    </row>
    <row r="4266" spans="2:5" ht="15" customHeight="1" thickBot="1" x14ac:dyDescent="0.35">
      <c r="B4266" s="96" t="s">
        <v>6503</v>
      </c>
      <c r="C4266" s="97">
        <v>500800</v>
      </c>
      <c r="D4266" s="96" t="s">
        <v>6504</v>
      </c>
      <c r="E4266" s="96" t="s">
        <v>795</v>
      </c>
    </row>
    <row r="4267" spans="2:5" ht="15" customHeight="1" thickBot="1" x14ac:dyDescent="0.35">
      <c r="B4267" s="96" t="s">
        <v>6505</v>
      </c>
      <c r="C4267" s="97">
        <v>501301</v>
      </c>
      <c r="D4267" s="96" t="s">
        <v>6506</v>
      </c>
      <c r="E4267" s="96" t="s">
        <v>554</v>
      </c>
    </row>
    <row r="4268" spans="2:5" ht="15" customHeight="1" thickBot="1" x14ac:dyDescent="0.35">
      <c r="B4268" s="96" t="s">
        <v>6507</v>
      </c>
      <c r="C4268" s="97">
        <v>513434</v>
      </c>
      <c r="D4268" s="96" t="s">
        <v>6508</v>
      </c>
      <c r="E4268" s="96" t="s">
        <v>420</v>
      </c>
    </row>
    <row r="4269" spans="2:5" ht="15" customHeight="1" thickBot="1" x14ac:dyDescent="0.35">
      <c r="B4269" s="96" t="s">
        <v>6509</v>
      </c>
      <c r="C4269" s="97">
        <v>500570</v>
      </c>
      <c r="D4269" s="96" t="s">
        <v>6510</v>
      </c>
      <c r="E4269" s="96" t="s">
        <v>466</v>
      </c>
    </row>
    <row r="4270" spans="2:5" ht="15" customHeight="1" thickBot="1" x14ac:dyDescent="0.35">
      <c r="B4270" s="96" t="s">
        <v>6509</v>
      </c>
      <c r="C4270" s="97">
        <v>570001</v>
      </c>
      <c r="D4270" s="96" t="s">
        <v>6511</v>
      </c>
      <c r="E4270" s="96" t="s">
        <v>466</v>
      </c>
    </row>
    <row r="4271" spans="2:5" ht="15" customHeight="1" thickBot="1" x14ac:dyDescent="0.35">
      <c r="B4271" s="96" t="s">
        <v>6512</v>
      </c>
      <c r="C4271" s="97">
        <v>500400</v>
      </c>
      <c r="D4271" s="96" t="s">
        <v>6513</v>
      </c>
      <c r="E4271" s="96" t="s">
        <v>527</v>
      </c>
    </row>
    <row r="4272" spans="2:5" ht="15" customHeight="1" thickBot="1" x14ac:dyDescent="0.35">
      <c r="B4272" s="96" t="s">
        <v>6514</v>
      </c>
      <c r="C4272" s="97">
        <v>513010</v>
      </c>
      <c r="D4272" s="96" t="s">
        <v>6515</v>
      </c>
      <c r="E4272" s="96" t="s">
        <v>420</v>
      </c>
    </row>
    <row r="4273" spans="2:5" ht="15" customHeight="1" thickBot="1" x14ac:dyDescent="0.35">
      <c r="B4273" s="96" t="s">
        <v>6516</v>
      </c>
      <c r="C4273" s="96" t="s">
        <v>388</v>
      </c>
      <c r="D4273" s="96" t="s">
        <v>6517</v>
      </c>
      <c r="E4273" s="96" t="s">
        <v>420</v>
      </c>
    </row>
    <row r="4274" spans="2:5" ht="15" customHeight="1" thickBot="1" x14ac:dyDescent="0.35">
      <c r="B4274" s="96" t="s">
        <v>6518</v>
      </c>
      <c r="C4274" s="97">
        <v>500470</v>
      </c>
      <c r="D4274" s="96" t="s">
        <v>6519</v>
      </c>
      <c r="E4274" s="96" t="s">
        <v>420</v>
      </c>
    </row>
    <row r="4275" spans="2:5" ht="15" customHeight="1" thickBot="1" x14ac:dyDescent="0.35">
      <c r="B4275" s="96" t="s">
        <v>6520</v>
      </c>
      <c r="C4275" s="97">
        <v>532371</v>
      </c>
      <c r="D4275" s="96" t="s">
        <v>6521</v>
      </c>
      <c r="E4275" s="96" t="s">
        <v>1331</v>
      </c>
    </row>
    <row r="4276" spans="2:5" ht="15" customHeight="1" thickBot="1" x14ac:dyDescent="0.35">
      <c r="B4276" s="96" t="s">
        <v>6522</v>
      </c>
      <c r="C4276" s="97">
        <v>521228</v>
      </c>
      <c r="D4276" s="96" t="s">
        <v>388</v>
      </c>
      <c r="E4276" s="96" t="s">
        <v>502</v>
      </c>
    </row>
    <row r="4277" spans="2:5" ht="15" customHeight="1" thickBot="1" x14ac:dyDescent="0.35">
      <c r="B4277" s="96" t="s">
        <v>6523</v>
      </c>
      <c r="C4277" s="97">
        <v>531190</v>
      </c>
      <c r="D4277" s="96" t="s">
        <v>388</v>
      </c>
      <c r="E4277" s="96" t="s">
        <v>403</v>
      </c>
    </row>
    <row r="4278" spans="2:5" ht="15" customHeight="1" thickBot="1" x14ac:dyDescent="0.35">
      <c r="B4278" s="96" t="s">
        <v>6524</v>
      </c>
      <c r="C4278" s="97">
        <v>541228</v>
      </c>
      <c r="D4278" s="96" t="s">
        <v>388</v>
      </c>
      <c r="E4278" s="96" t="s">
        <v>396</v>
      </c>
    </row>
    <row r="4279" spans="2:5" ht="15" customHeight="1" thickBot="1" x14ac:dyDescent="0.35">
      <c r="B4279" s="96" t="s">
        <v>6525</v>
      </c>
      <c r="C4279" s="97">
        <v>504961</v>
      </c>
      <c r="D4279" s="96" t="s">
        <v>388</v>
      </c>
      <c r="E4279" s="96" t="s">
        <v>420</v>
      </c>
    </row>
    <row r="4280" spans="2:5" ht="15" customHeight="1" thickBot="1" x14ac:dyDescent="0.35">
      <c r="B4280" s="96" t="s">
        <v>6526</v>
      </c>
      <c r="C4280" s="97">
        <v>532284</v>
      </c>
      <c r="D4280" s="96" t="s">
        <v>388</v>
      </c>
      <c r="E4280" s="96" t="s">
        <v>371</v>
      </c>
    </row>
    <row r="4281" spans="2:5" ht="15" customHeight="1" thickBot="1" x14ac:dyDescent="0.35">
      <c r="B4281" s="96" t="s">
        <v>6527</v>
      </c>
      <c r="C4281" s="97">
        <v>533393</v>
      </c>
      <c r="D4281" s="96" t="s">
        <v>6528</v>
      </c>
      <c r="E4281" s="96" t="s">
        <v>474</v>
      </c>
    </row>
    <row r="4282" spans="2:5" ht="15" customHeight="1" thickBot="1" x14ac:dyDescent="0.35">
      <c r="B4282" s="96" t="s">
        <v>6529</v>
      </c>
      <c r="C4282" s="97">
        <v>540212</v>
      </c>
      <c r="D4282" s="96" t="s">
        <v>6530</v>
      </c>
      <c r="E4282" s="96" t="s">
        <v>709</v>
      </c>
    </row>
    <row r="4283" spans="2:5" ht="15" customHeight="1" thickBot="1" x14ac:dyDescent="0.35">
      <c r="B4283" s="96" t="s">
        <v>6531</v>
      </c>
      <c r="C4283" s="97">
        <v>501242</v>
      </c>
      <c r="D4283" s="96" t="s">
        <v>6532</v>
      </c>
      <c r="E4283" s="96" t="s">
        <v>405</v>
      </c>
    </row>
    <row r="4284" spans="2:5" ht="15" customHeight="1" thickBot="1" x14ac:dyDescent="0.35">
      <c r="B4284" s="96" t="s">
        <v>6533</v>
      </c>
      <c r="C4284" s="97">
        <v>532262</v>
      </c>
      <c r="D4284" s="96" t="s">
        <v>388</v>
      </c>
      <c r="E4284" s="96" t="s">
        <v>709</v>
      </c>
    </row>
    <row r="4285" spans="2:5" ht="15" customHeight="1" thickBot="1" x14ac:dyDescent="0.35">
      <c r="B4285" s="96" t="s">
        <v>6534</v>
      </c>
      <c r="C4285" s="97">
        <v>524156</v>
      </c>
      <c r="D4285" s="96" t="s">
        <v>388</v>
      </c>
      <c r="E4285" s="96" t="s">
        <v>436</v>
      </c>
    </row>
    <row r="4286" spans="2:5" ht="15" customHeight="1" thickBot="1" x14ac:dyDescent="0.35">
      <c r="B4286" s="96" t="s">
        <v>6535</v>
      </c>
      <c r="C4286" s="97">
        <v>541700</v>
      </c>
      <c r="D4286" s="96" t="s">
        <v>6536</v>
      </c>
      <c r="E4286" s="96" t="s">
        <v>502</v>
      </c>
    </row>
    <row r="4287" spans="2:5" ht="15" customHeight="1" thickBot="1" x14ac:dyDescent="0.35">
      <c r="B4287" s="96" t="s">
        <v>6537</v>
      </c>
      <c r="C4287" s="97">
        <v>523301</v>
      </c>
      <c r="D4287" s="96" t="s">
        <v>6538</v>
      </c>
      <c r="E4287" s="96" t="s">
        <v>382</v>
      </c>
    </row>
    <row r="4288" spans="2:5" ht="15" customHeight="1" thickBot="1" x14ac:dyDescent="0.35">
      <c r="B4288" s="96" t="s">
        <v>6539</v>
      </c>
      <c r="C4288" s="96" t="s">
        <v>388</v>
      </c>
      <c r="D4288" s="96" t="s">
        <v>6540</v>
      </c>
      <c r="E4288" s="96" t="s">
        <v>479</v>
      </c>
    </row>
    <row r="4289" spans="2:5" ht="15" customHeight="1" thickBot="1" x14ac:dyDescent="0.35">
      <c r="B4289" s="96" t="s">
        <v>6541</v>
      </c>
      <c r="C4289" s="97">
        <v>512011</v>
      </c>
      <c r="D4289" s="96" t="s">
        <v>388</v>
      </c>
      <c r="E4289" s="96" t="s">
        <v>410</v>
      </c>
    </row>
    <row r="4290" spans="2:5" ht="15" customHeight="1" thickBot="1" x14ac:dyDescent="0.35">
      <c r="B4290" s="96" t="s">
        <v>6542</v>
      </c>
      <c r="C4290" s="97">
        <v>539658</v>
      </c>
      <c r="D4290" s="96" t="s">
        <v>6543</v>
      </c>
      <c r="E4290" s="96" t="s">
        <v>3167</v>
      </c>
    </row>
    <row r="4291" spans="2:5" ht="15" customHeight="1" thickBot="1" x14ac:dyDescent="0.35">
      <c r="B4291" s="96" t="s">
        <v>6544</v>
      </c>
      <c r="C4291" s="97">
        <v>532755</v>
      </c>
      <c r="D4291" s="96" t="s">
        <v>6545</v>
      </c>
      <c r="E4291" s="96" t="s">
        <v>374</v>
      </c>
    </row>
    <row r="4292" spans="2:5" ht="15" customHeight="1" thickBot="1" x14ac:dyDescent="0.35">
      <c r="B4292" s="96" t="s">
        <v>6546</v>
      </c>
      <c r="C4292" s="97">
        <v>526576</v>
      </c>
      <c r="D4292" s="96" t="s">
        <v>6547</v>
      </c>
      <c r="E4292" s="96" t="s">
        <v>586</v>
      </c>
    </row>
    <row r="4293" spans="2:5" ht="15" customHeight="1" thickBot="1" x14ac:dyDescent="0.35">
      <c r="B4293" s="96" t="s">
        <v>6548</v>
      </c>
      <c r="C4293" s="97">
        <v>542141</v>
      </c>
      <c r="D4293" s="96" t="s">
        <v>6549</v>
      </c>
      <c r="E4293" s="96" t="s">
        <v>786</v>
      </c>
    </row>
    <row r="4294" spans="2:5" ht="15" customHeight="1" thickBot="1" x14ac:dyDescent="0.35">
      <c r="B4294" s="96" t="s">
        <v>6550</v>
      </c>
      <c r="C4294" s="97">
        <v>532804</v>
      </c>
      <c r="D4294" s="96" t="s">
        <v>6551</v>
      </c>
      <c r="E4294" s="96" t="s">
        <v>711</v>
      </c>
    </row>
    <row r="4295" spans="2:5" ht="15" customHeight="1" thickBot="1" x14ac:dyDescent="0.35">
      <c r="B4295" s="96" t="s">
        <v>6552</v>
      </c>
      <c r="C4295" s="97">
        <v>532804</v>
      </c>
      <c r="D4295" s="96" t="s">
        <v>6551</v>
      </c>
      <c r="E4295" s="96" t="s">
        <v>711</v>
      </c>
    </row>
    <row r="4296" spans="2:5" ht="15" customHeight="1" thickBot="1" x14ac:dyDescent="0.35">
      <c r="B4296" s="96" t="s">
        <v>6553</v>
      </c>
      <c r="C4296" s="97">
        <v>533216</v>
      </c>
      <c r="D4296" s="96" t="s">
        <v>6554</v>
      </c>
      <c r="E4296" s="96" t="s">
        <v>786</v>
      </c>
    </row>
    <row r="4297" spans="2:5" ht="15" customHeight="1" thickBot="1" x14ac:dyDescent="0.35">
      <c r="B4297" s="96" t="s">
        <v>6555</v>
      </c>
      <c r="C4297" s="97">
        <v>509917</v>
      </c>
      <c r="D4297" s="96" t="s">
        <v>388</v>
      </c>
      <c r="E4297" s="96" t="s">
        <v>930</v>
      </c>
    </row>
    <row r="4298" spans="2:5" ht="15" customHeight="1" thickBot="1" x14ac:dyDescent="0.35">
      <c r="B4298" s="96" t="s">
        <v>6556</v>
      </c>
      <c r="C4298" s="97">
        <v>501421</v>
      </c>
      <c r="D4298" s="96" t="s">
        <v>388</v>
      </c>
      <c r="E4298" s="96" t="s">
        <v>481</v>
      </c>
    </row>
    <row r="4299" spans="2:5" ht="15" customHeight="1" thickBot="1" x14ac:dyDescent="0.35">
      <c r="B4299" s="96" t="s">
        <v>6557</v>
      </c>
      <c r="C4299" s="97">
        <v>524204</v>
      </c>
      <c r="D4299" s="96" t="s">
        <v>388</v>
      </c>
      <c r="E4299" s="96" t="s">
        <v>896</v>
      </c>
    </row>
    <row r="4300" spans="2:5" ht="15" customHeight="1" thickBot="1" x14ac:dyDescent="0.35">
      <c r="B4300" s="96" t="s">
        <v>6558</v>
      </c>
      <c r="C4300" s="97">
        <v>540595</v>
      </c>
      <c r="D4300" s="96" t="s">
        <v>6559</v>
      </c>
      <c r="E4300" s="96" t="s">
        <v>1334</v>
      </c>
    </row>
    <row r="4301" spans="2:5" ht="15" customHeight="1" thickBot="1" x14ac:dyDescent="0.35">
      <c r="B4301" s="96" t="s">
        <v>6560</v>
      </c>
      <c r="C4301" s="97">
        <v>539428</v>
      </c>
      <c r="D4301" s="96" t="s">
        <v>388</v>
      </c>
      <c r="E4301" s="96" t="s">
        <v>858</v>
      </c>
    </row>
    <row r="4302" spans="2:5" ht="15" customHeight="1" thickBot="1" x14ac:dyDescent="0.35">
      <c r="B4302" s="96" t="s">
        <v>6561</v>
      </c>
      <c r="C4302" s="97">
        <v>530595</v>
      </c>
      <c r="D4302" s="96" t="s">
        <v>388</v>
      </c>
      <c r="E4302" s="96" t="s">
        <v>481</v>
      </c>
    </row>
    <row r="4303" spans="2:5" ht="15" customHeight="1" thickBot="1" x14ac:dyDescent="0.35">
      <c r="B4303" s="96" t="s">
        <v>6562</v>
      </c>
      <c r="C4303" s="97">
        <v>533982</v>
      </c>
      <c r="D4303" s="96" t="s">
        <v>6563</v>
      </c>
      <c r="E4303" s="96" t="s">
        <v>374</v>
      </c>
    </row>
    <row r="4304" spans="2:5" ht="15" customHeight="1" thickBot="1" x14ac:dyDescent="0.35">
      <c r="B4304" s="96" t="s">
        <v>6564</v>
      </c>
      <c r="C4304" s="97">
        <v>530533</v>
      </c>
      <c r="D4304" s="96" t="s">
        <v>388</v>
      </c>
      <c r="E4304" s="96" t="s">
        <v>795</v>
      </c>
    </row>
    <row r="4305" spans="2:5" ht="15" customHeight="1" thickBot="1" x14ac:dyDescent="0.35">
      <c r="B4305" s="96" t="s">
        <v>6565</v>
      </c>
      <c r="C4305" s="97">
        <v>506162</v>
      </c>
      <c r="D4305" s="96" t="s">
        <v>388</v>
      </c>
      <c r="E4305" s="96" t="s">
        <v>371</v>
      </c>
    </row>
    <row r="4306" spans="2:5" ht="15" customHeight="1" thickBot="1" x14ac:dyDescent="0.35">
      <c r="B4306" s="96" t="s">
        <v>6566</v>
      </c>
      <c r="C4306" s="97">
        <v>512157</v>
      </c>
      <c r="D4306" s="96" t="s">
        <v>388</v>
      </c>
      <c r="E4306" s="96" t="s">
        <v>809</v>
      </c>
    </row>
    <row r="4307" spans="2:5" ht="15" customHeight="1" thickBot="1" x14ac:dyDescent="0.35">
      <c r="B4307" s="96" t="s">
        <v>6567</v>
      </c>
      <c r="C4307" s="97">
        <v>505400</v>
      </c>
      <c r="D4307" s="96" t="s">
        <v>6568</v>
      </c>
      <c r="E4307" s="96" t="s">
        <v>474</v>
      </c>
    </row>
    <row r="4308" spans="2:5" ht="15" customHeight="1" thickBot="1" x14ac:dyDescent="0.35">
      <c r="B4308" s="96" t="s">
        <v>6569</v>
      </c>
      <c r="C4308" s="97">
        <v>533326</v>
      </c>
      <c r="D4308" s="96" t="s">
        <v>6570</v>
      </c>
      <c r="E4308" s="96" t="s">
        <v>786</v>
      </c>
    </row>
    <row r="4309" spans="2:5" ht="15" customHeight="1" thickBot="1" x14ac:dyDescent="0.35">
      <c r="B4309" s="96" t="s">
        <v>6571</v>
      </c>
      <c r="C4309" s="97">
        <v>533164</v>
      </c>
      <c r="D4309" s="96" t="s">
        <v>6572</v>
      </c>
      <c r="E4309" s="96" t="s">
        <v>508</v>
      </c>
    </row>
    <row r="4310" spans="2:5" ht="15" customHeight="1" thickBot="1" x14ac:dyDescent="0.35">
      <c r="B4310" s="96" t="s">
        <v>6573</v>
      </c>
      <c r="C4310" s="97">
        <v>532845</v>
      </c>
      <c r="D4310" s="96" t="s">
        <v>6574</v>
      </c>
      <c r="E4310" s="96" t="s">
        <v>589</v>
      </c>
    </row>
    <row r="4311" spans="2:5" ht="15" customHeight="1" thickBot="1" x14ac:dyDescent="0.35">
      <c r="B4311" s="96" t="s">
        <v>6575</v>
      </c>
      <c r="C4311" s="97">
        <v>507753</v>
      </c>
      <c r="D4311" s="96" t="s">
        <v>388</v>
      </c>
      <c r="E4311" s="96" t="s">
        <v>436</v>
      </c>
    </row>
    <row r="4312" spans="2:5" ht="15" customHeight="1" thickBot="1" x14ac:dyDescent="0.35">
      <c r="B4312" s="96" t="s">
        <v>6576</v>
      </c>
      <c r="C4312" s="97">
        <v>509945</v>
      </c>
      <c r="D4312" s="96" t="s">
        <v>388</v>
      </c>
      <c r="E4312" s="96" t="s">
        <v>371</v>
      </c>
    </row>
    <row r="4313" spans="2:5" ht="15" customHeight="1" thickBot="1" x14ac:dyDescent="0.35">
      <c r="B4313" s="96" t="s">
        <v>6577</v>
      </c>
      <c r="C4313" s="97">
        <v>526654</v>
      </c>
      <c r="D4313" s="96" t="s">
        <v>388</v>
      </c>
      <c r="E4313" s="96" t="s">
        <v>474</v>
      </c>
    </row>
    <row r="4314" spans="2:5" ht="15" customHeight="1" thickBot="1" x14ac:dyDescent="0.35">
      <c r="B4314" s="96" t="s">
        <v>6578</v>
      </c>
      <c r="C4314" s="97">
        <v>509015</v>
      </c>
      <c r="D4314" s="96" t="s">
        <v>388</v>
      </c>
      <c r="E4314" s="96" t="s">
        <v>930</v>
      </c>
    </row>
    <row r="4315" spans="2:5" ht="15" customHeight="1" thickBot="1" x14ac:dyDescent="0.35">
      <c r="B4315" s="96" t="s">
        <v>6579</v>
      </c>
      <c r="C4315" s="97">
        <v>509015</v>
      </c>
      <c r="D4315" s="96" t="s">
        <v>388</v>
      </c>
      <c r="E4315" s="96" t="s">
        <v>930</v>
      </c>
    </row>
    <row r="4316" spans="2:5" ht="15" customHeight="1" thickBot="1" x14ac:dyDescent="0.35">
      <c r="B4316" s="96" t="s">
        <v>6580</v>
      </c>
      <c r="C4316" s="97">
        <v>514484</v>
      </c>
      <c r="D4316" s="96" t="s">
        <v>388</v>
      </c>
      <c r="E4316" s="96" t="s">
        <v>403</v>
      </c>
    </row>
    <row r="4317" spans="2:5" ht="15" customHeight="1" thickBot="1" x14ac:dyDescent="0.35">
      <c r="B4317" s="96" t="s">
        <v>6581</v>
      </c>
      <c r="C4317" s="97">
        <v>533158</v>
      </c>
      <c r="D4317" s="96" t="s">
        <v>6582</v>
      </c>
      <c r="E4317" s="96" t="s">
        <v>502</v>
      </c>
    </row>
    <row r="4318" spans="2:5" ht="15" customHeight="1" thickBot="1" x14ac:dyDescent="0.35">
      <c r="B4318" s="96" t="s">
        <v>6583</v>
      </c>
      <c r="C4318" s="97">
        <v>590062</v>
      </c>
      <c r="D4318" s="96" t="s">
        <v>6584</v>
      </c>
      <c r="E4318" s="96" t="s">
        <v>436</v>
      </c>
    </row>
    <row r="4319" spans="2:5" ht="15" customHeight="1" thickBot="1" x14ac:dyDescent="0.35">
      <c r="B4319" s="96" t="s">
        <v>6585</v>
      </c>
      <c r="C4319" s="97">
        <v>542460</v>
      </c>
      <c r="D4319" s="96" t="s">
        <v>6586</v>
      </c>
      <c r="E4319" s="96" t="s">
        <v>396</v>
      </c>
    </row>
    <row r="4320" spans="2:5" ht="15" customHeight="1" thickBot="1" x14ac:dyDescent="0.35">
      <c r="B4320" s="96" t="s">
        <v>6587</v>
      </c>
      <c r="C4320" s="97">
        <v>531373</v>
      </c>
      <c r="D4320" s="96" t="s">
        <v>6588</v>
      </c>
      <c r="E4320" s="96" t="s">
        <v>589</v>
      </c>
    </row>
    <row r="4321" spans="2:5" ht="15" customHeight="1" thickBot="1" x14ac:dyDescent="0.35">
      <c r="B4321" s="96" t="s">
        <v>6589</v>
      </c>
      <c r="C4321" s="97">
        <v>500469</v>
      </c>
      <c r="D4321" s="96" t="s">
        <v>6590</v>
      </c>
      <c r="E4321" s="96" t="s">
        <v>706</v>
      </c>
    </row>
    <row r="4322" spans="2:5" ht="15" customHeight="1" thickBot="1" x14ac:dyDescent="0.35">
      <c r="B4322" s="96" t="s">
        <v>6591</v>
      </c>
      <c r="C4322" s="97">
        <v>500620</v>
      </c>
      <c r="D4322" s="96" t="s">
        <v>6592</v>
      </c>
      <c r="E4322" s="96" t="s">
        <v>1635</v>
      </c>
    </row>
    <row r="4323" spans="2:5" ht="15" customHeight="1" thickBot="1" x14ac:dyDescent="0.35">
      <c r="B4323" s="96" t="s">
        <v>6593</v>
      </c>
      <c r="C4323" s="96" t="s">
        <v>388</v>
      </c>
      <c r="D4323" s="96" t="s">
        <v>6594</v>
      </c>
      <c r="E4323" s="96" t="s">
        <v>479</v>
      </c>
    </row>
    <row r="4324" spans="2:5" ht="15" customHeight="1" thickBot="1" x14ac:dyDescent="0.35">
      <c r="B4324" s="96" t="s">
        <v>6595</v>
      </c>
      <c r="C4324" s="97">
        <v>522073</v>
      </c>
      <c r="D4324" s="96" t="s">
        <v>6596</v>
      </c>
      <c r="E4324" s="96" t="s">
        <v>743</v>
      </c>
    </row>
    <row r="4325" spans="2:5" ht="15" customHeight="1" thickBot="1" x14ac:dyDescent="0.35">
      <c r="B4325" s="96" t="s">
        <v>6597</v>
      </c>
      <c r="C4325" s="97">
        <v>530005</v>
      </c>
      <c r="D4325" s="96" t="s">
        <v>6598</v>
      </c>
      <c r="E4325" s="96" t="s">
        <v>401</v>
      </c>
    </row>
    <row r="4326" spans="2:5" ht="15" customHeight="1" thickBot="1" x14ac:dyDescent="0.35">
      <c r="B4326" s="96" t="s">
        <v>6599</v>
      </c>
      <c r="C4326" s="97">
        <v>500850</v>
      </c>
      <c r="D4326" s="96" t="s">
        <v>6600</v>
      </c>
      <c r="E4326" s="96" t="s">
        <v>589</v>
      </c>
    </row>
    <row r="4327" spans="2:5" ht="15" customHeight="1" thickBot="1" x14ac:dyDescent="0.35">
      <c r="B4327" s="96" t="s">
        <v>6601</v>
      </c>
      <c r="C4327" s="97">
        <v>540954</v>
      </c>
      <c r="D4327" s="96" t="s">
        <v>388</v>
      </c>
      <c r="E4327" s="96" t="s">
        <v>883</v>
      </c>
    </row>
    <row r="4328" spans="2:5" ht="15" customHeight="1" thickBot="1" x14ac:dyDescent="0.35">
      <c r="B4328" s="96" t="s">
        <v>6602</v>
      </c>
      <c r="C4328" s="97">
        <v>530023</v>
      </c>
      <c r="D4328" s="96" t="s">
        <v>6603</v>
      </c>
      <c r="E4328" s="96" t="s">
        <v>405</v>
      </c>
    </row>
    <row r="4329" spans="2:5" ht="15" customHeight="1" thickBot="1" x14ac:dyDescent="0.35">
      <c r="B4329" s="96" t="s">
        <v>6604</v>
      </c>
      <c r="C4329" s="97">
        <v>530023</v>
      </c>
      <c r="D4329" s="96" t="s">
        <v>6603</v>
      </c>
      <c r="E4329" s="96" t="s">
        <v>405</v>
      </c>
    </row>
    <row r="4330" spans="2:5" ht="15" customHeight="1" thickBot="1" x14ac:dyDescent="0.35">
      <c r="B4330" s="96" t="s">
        <v>6605</v>
      </c>
      <c r="C4330" s="97">
        <v>532209</v>
      </c>
      <c r="D4330" s="96" t="s">
        <v>6606</v>
      </c>
      <c r="E4330" s="96" t="s">
        <v>706</v>
      </c>
    </row>
    <row r="4331" spans="2:5" ht="15" customHeight="1" thickBot="1" x14ac:dyDescent="0.35">
      <c r="B4331" s="96" t="s">
        <v>6607</v>
      </c>
      <c r="C4331" s="97">
        <v>532652</v>
      </c>
      <c r="D4331" s="96" t="s">
        <v>6608</v>
      </c>
      <c r="E4331" s="96" t="s">
        <v>706</v>
      </c>
    </row>
    <row r="4332" spans="2:5" ht="15" customHeight="1" thickBot="1" x14ac:dyDescent="0.35">
      <c r="B4332" s="96" t="s">
        <v>6609</v>
      </c>
      <c r="C4332" s="97">
        <v>540210</v>
      </c>
      <c r="D4332" s="96" t="s">
        <v>6610</v>
      </c>
      <c r="E4332" s="96" t="s">
        <v>389</v>
      </c>
    </row>
    <row r="4333" spans="2:5" ht="15" customHeight="1" thickBot="1" x14ac:dyDescent="0.35">
      <c r="B4333" s="96" t="s">
        <v>6611</v>
      </c>
      <c r="C4333" s="97">
        <v>501343</v>
      </c>
      <c r="D4333" s="96" t="s">
        <v>6612</v>
      </c>
      <c r="E4333" s="96" t="s">
        <v>405</v>
      </c>
    </row>
    <row r="4334" spans="2:5" ht="15" customHeight="1" thickBot="1" x14ac:dyDescent="0.35">
      <c r="B4334" s="96" t="s">
        <v>6613</v>
      </c>
      <c r="C4334" s="97">
        <v>540769</v>
      </c>
      <c r="D4334" s="96" t="s">
        <v>6614</v>
      </c>
      <c r="E4334" s="96" t="s">
        <v>2470</v>
      </c>
    </row>
    <row r="4335" spans="2:5" ht="15" customHeight="1" thickBot="1" x14ac:dyDescent="0.35">
      <c r="B4335" s="96" t="s">
        <v>6615</v>
      </c>
      <c r="C4335" s="97">
        <v>590086</v>
      </c>
      <c r="D4335" s="96" t="s">
        <v>6616</v>
      </c>
      <c r="E4335" s="96" t="s">
        <v>368</v>
      </c>
    </row>
    <row r="4336" spans="2:5" ht="15" customHeight="1" thickBot="1" x14ac:dyDescent="0.35">
      <c r="B4336" s="96" t="s">
        <v>6617</v>
      </c>
      <c r="C4336" s="96" t="s">
        <v>388</v>
      </c>
      <c r="D4336" s="96" t="s">
        <v>6618</v>
      </c>
      <c r="E4336" s="96" t="s">
        <v>479</v>
      </c>
    </row>
    <row r="4337" spans="2:5" ht="15" customHeight="1" thickBot="1" x14ac:dyDescent="0.35">
      <c r="B4337" s="96" t="s">
        <v>6619</v>
      </c>
      <c r="C4337" s="97">
        <v>503100</v>
      </c>
      <c r="D4337" s="96" t="s">
        <v>6620</v>
      </c>
      <c r="E4337" s="96" t="s">
        <v>474</v>
      </c>
    </row>
    <row r="4338" spans="2:5" ht="15" customHeight="1" thickBot="1" x14ac:dyDescent="0.35">
      <c r="B4338" s="96" t="s">
        <v>6621</v>
      </c>
      <c r="C4338" s="97">
        <v>542123</v>
      </c>
      <c r="D4338" s="96" t="s">
        <v>388</v>
      </c>
      <c r="E4338" s="96" t="s">
        <v>896</v>
      </c>
    </row>
    <row r="4339" spans="2:5" ht="15" customHeight="1" thickBot="1" x14ac:dyDescent="0.35">
      <c r="B4339" s="96" t="s">
        <v>6622</v>
      </c>
      <c r="C4339" s="97">
        <v>500260</v>
      </c>
      <c r="D4339" s="96" t="s">
        <v>6623</v>
      </c>
      <c r="E4339" s="96" t="s">
        <v>401</v>
      </c>
    </row>
    <row r="4340" spans="2:5" ht="15" customHeight="1" thickBot="1" x14ac:dyDescent="0.35">
      <c r="B4340" s="96" t="s">
        <v>6624</v>
      </c>
      <c r="C4340" s="97">
        <v>503169</v>
      </c>
      <c r="D4340" s="96" t="s">
        <v>6625</v>
      </c>
      <c r="E4340" s="96" t="s">
        <v>403</v>
      </c>
    </row>
    <row r="4341" spans="2:5" ht="15" customHeight="1" thickBot="1" x14ac:dyDescent="0.35">
      <c r="B4341" s="96" t="s">
        <v>6626</v>
      </c>
      <c r="C4341" s="97">
        <v>526725</v>
      </c>
      <c r="D4341" s="96" t="s">
        <v>6627</v>
      </c>
      <c r="E4341" s="96" t="s">
        <v>912</v>
      </c>
    </row>
    <row r="4342" spans="2:5" ht="15" customHeight="1" thickBot="1" x14ac:dyDescent="0.35">
      <c r="B4342" s="96" t="s">
        <v>6628</v>
      </c>
      <c r="C4342" s="97">
        <v>532218</v>
      </c>
      <c r="D4342" s="96" t="s">
        <v>6629</v>
      </c>
      <c r="E4342" s="96" t="s">
        <v>706</v>
      </c>
    </row>
    <row r="4343" spans="2:5" ht="15" customHeight="1" thickBot="1" x14ac:dyDescent="0.35">
      <c r="B4343" s="96" t="s">
        <v>6630</v>
      </c>
      <c r="C4343" s="97">
        <v>512531</v>
      </c>
      <c r="D4343" s="96" t="s">
        <v>6631</v>
      </c>
      <c r="E4343" s="96" t="s">
        <v>410</v>
      </c>
    </row>
    <row r="4344" spans="2:5" ht="15" customHeight="1" thickBot="1" x14ac:dyDescent="0.35">
      <c r="B4344" s="96" t="s">
        <v>6632</v>
      </c>
      <c r="C4344" s="97">
        <v>512531</v>
      </c>
      <c r="D4344" s="96" t="s">
        <v>6633</v>
      </c>
      <c r="E4344" s="96" t="s">
        <v>410</v>
      </c>
    </row>
    <row r="4345" spans="2:5" ht="15" customHeight="1" thickBot="1" x14ac:dyDescent="0.35">
      <c r="B4345" s="96" t="s">
        <v>6634</v>
      </c>
      <c r="C4345" s="97">
        <v>504966</v>
      </c>
      <c r="D4345" s="96" t="s">
        <v>6635</v>
      </c>
      <c r="E4345" s="96" t="s">
        <v>583</v>
      </c>
    </row>
    <row r="4346" spans="2:5" ht="15" customHeight="1" thickBot="1" x14ac:dyDescent="0.35">
      <c r="B4346" s="96" t="s">
        <v>6636</v>
      </c>
      <c r="C4346" s="97">
        <v>504966</v>
      </c>
      <c r="D4346" s="96" t="s">
        <v>6635</v>
      </c>
      <c r="E4346" s="96" t="s">
        <v>583</v>
      </c>
    </row>
    <row r="4347" spans="2:5" ht="15" customHeight="1" thickBot="1" x14ac:dyDescent="0.35">
      <c r="B4347" s="96" t="s">
        <v>6637</v>
      </c>
      <c r="C4347" s="97">
        <v>530363</v>
      </c>
      <c r="D4347" s="96" t="s">
        <v>6638</v>
      </c>
      <c r="E4347" s="96" t="s">
        <v>1087</v>
      </c>
    </row>
    <row r="4348" spans="2:5" ht="15" customHeight="1" thickBot="1" x14ac:dyDescent="0.35">
      <c r="B4348" s="96" t="s">
        <v>6639</v>
      </c>
      <c r="C4348" s="96" t="s">
        <v>388</v>
      </c>
      <c r="D4348" s="96" t="s">
        <v>6640</v>
      </c>
      <c r="E4348" s="96" t="s">
        <v>479</v>
      </c>
    </row>
    <row r="4349" spans="2:5" ht="15" customHeight="1" thickBot="1" x14ac:dyDescent="0.35">
      <c r="B4349" s="96" t="s">
        <v>6641</v>
      </c>
      <c r="C4349" s="96" t="s">
        <v>388</v>
      </c>
      <c r="D4349" s="96" t="s">
        <v>6642</v>
      </c>
      <c r="E4349" s="96" t="s">
        <v>479</v>
      </c>
    </row>
    <row r="4350" spans="2:5" ht="15" customHeight="1" thickBot="1" x14ac:dyDescent="0.35">
      <c r="B4350" s="96" t="s">
        <v>6643</v>
      </c>
      <c r="C4350" s="97">
        <v>540980</v>
      </c>
      <c r="D4350" s="96" t="s">
        <v>388</v>
      </c>
      <c r="E4350" s="96" t="s">
        <v>410</v>
      </c>
    </row>
    <row r="4351" spans="2:5" ht="15" customHeight="1" thickBot="1" x14ac:dyDescent="0.35">
      <c r="B4351" s="96" t="s">
        <v>6644</v>
      </c>
      <c r="C4351" s="96" t="s">
        <v>388</v>
      </c>
      <c r="D4351" s="96" t="s">
        <v>6645</v>
      </c>
      <c r="E4351" s="96" t="s">
        <v>399</v>
      </c>
    </row>
    <row r="4352" spans="2:5" ht="15" customHeight="1" thickBot="1" x14ac:dyDescent="0.35">
      <c r="B4352" s="96" t="s">
        <v>6646</v>
      </c>
      <c r="C4352" s="97">
        <v>530199</v>
      </c>
      <c r="D4352" s="96" t="s">
        <v>6647</v>
      </c>
      <c r="E4352" s="96" t="s">
        <v>426</v>
      </c>
    </row>
    <row r="4353" spans="2:5" ht="15" customHeight="1" thickBot="1" x14ac:dyDescent="0.35">
      <c r="B4353" s="96" t="s">
        <v>6648</v>
      </c>
      <c r="C4353" s="97">
        <v>500411</v>
      </c>
      <c r="D4353" s="96" t="s">
        <v>6649</v>
      </c>
      <c r="E4353" s="96" t="s">
        <v>431</v>
      </c>
    </row>
    <row r="4354" spans="2:5" ht="15" customHeight="1" thickBot="1" x14ac:dyDescent="0.35">
      <c r="B4354" s="96" t="s">
        <v>6650</v>
      </c>
      <c r="C4354" s="97">
        <v>539310</v>
      </c>
      <c r="D4354" s="96" t="s">
        <v>388</v>
      </c>
      <c r="E4354" s="96" t="s">
        <v>1990</v>
      </c>
    </row>
    <row r="4355" spans="2:5" ht="15" customHeight="1" thickBot="1" x14ac:dyDescent="0.35">
      <c r="B4355" s="96" t="s">
        <v>6651</v>
      </c>
      <c r="C4355" s="97">
        <v>538464</v>
      </c>
      <c r="D4355" s="96" t="s">
        <v>388</v>
      </c>
      <c r="E4355" s="96" t="s">
        <v>405</v>
      </c>
    </row>
    <row r="4356" spans="2:5" ht="15" customHeight="1" thickBot="1" x14ac:dyDescent="0.35">
      <c r="B4356" s="96" t="s">
        <v>6652</v>
      </c>
      <c r="C4356" s="97">
        <v>531652</v>
      </c>
      <c r="D4356" s="96" t="s">
        <v>388</v>
      </c>
      <c r="E4356" s="96" t="s">
        <v>405</v>
      </c>
    </row>
    <row r="4357" spans="2:5" ht="15" customHeight="1" thickBot="1" x14ac:dyDescent="0.35">
      <c r="B4357" s="96" t="s">
        <v>6653</v>
      </c>
      <c r="C4357" s="97">
        <v>507450</v>
      </c>
      <c r="D4357" s="96" t="s">
        <v>6654</v>
      </c>
      <c r="E4357" s="96" t="s">
        <v>1087</v>
      </c>
    </row>
    <row r="4358" spans="2:5" ht="15" customHeight="1" thickBot="1" x14ac:dyDescent="0.35">
      <c r="B4358" s="96" t="s">
        <v>6655</v>
      </c>
      <c r="C4358" s="97">
        <v>500412</v>
      </c>
      <c r="D4358" s="96" t="s">
        <v>6656</v>
      </c>
      <c r="E4358" s="96" t="s">
        <v>436</v>
      </c>
    </row>
    <row r="4359" spans="2:5" ht="15" customHeight="1" thickBot="1" x14ac:dyDescent="0.35">
      <c r="B4359" s="96" t="s">
        <v>6657</v>
      </c>
      <c r="C4359" s="97">
        <v>500413</v>
      </c>
      <c r="D4359" s="96" t="s">
        <v>6658</v>
      </c>
      <c r="E4359" s="96" t="s">
        <v>1390</v>
      </c>
    </row>
    <row r="4360" spans="2:5" ht="15" customHeight="1" thickBot="1" x14ac:dyDescent="0.35">
      <c r="B4360" s="96" t="s">
        <v>6659</v>
      </c>
      <c r="C4360" s="97">
        <v>500413</v>
      </c>
      <c r="D4360" s="96" t="s">
        <v>6658</v>
      </c>
      <c r="E4360" s="96" t="s">
        <v>1390</v>
      </c>
    </row>
    <row r="4361" spans="2:5" ht="15" customHeight="1" thickBot="1" x14ac:dyDescent="0.35">
      <c r="B4361" s="96" t="s">
        <v>6660</v>
      </c>
      <c r="C4361" s="97">
        <v>533941</v>
      </c>
      <c r="D4361" s="96" t="s">
        <v>6661</v>
      </c>
      <c r="E4361" s="96" t="s">
        <v>502</v>
      </c>
    </row>
    <row r="4362" spans="2:5" ht="15" customHeight="1" thickBot="1" x14ac:dyDescent="0.35">
      <c r="B4362" s="96" t="s">
        <v>6662</v>
      </c>
      <c r="C4362" s="97">
        <v>533941</v>
      </c>
      <c r="D4362" s="96" t="s">
        <v>6661</v>
      </c>
      <c r="E4362" s="96" t="s">
        <v>502</v>
      </c>
    </row>
    <row r="4363" spans="2:5" ht="15" customHeight="1" thickBot="1" x14ac:dyDescent="0.35">
      <c r="B4363" s="96" t="s">
        <v>6663</v>
      </c>
      <c r="C4363" s="97">
        <v>539871</v>
      </c>
      <c r="D4363" s="96" t="s">
        <v>6664</v>
      </c>
      <c r="E4363" s="96" t="s">
        <v>577</v>
      </c>
    </row>
    <row r="4364" spans="2:5" ht="15" customHeight="1" thickBot="1" x14ac:dyDescent="0.35">
      <c r="B4364" s="96" t="s">
        <v>6665</v>
      </c>
      <c r="C4364" s="97">
        <v>504973</v>
      </c>
      <c r="D4364" s="96" t="s">
        <v>6666</v>
      </c>
      <c r="E4364" s="96" t="s">
        <v>743</v>
      </c>
    </row>
    <row r="4365" spans="2:5" ht="15" customHeight="1" thickBot="1" x14ac:dyDescent="0.35">
      <c r="B4365" s="96" t="s">
        <v>6667</v>
      </c>
      <c r="C4365" s="97">
        <v>540108</v>
      </c>
      <c r="D4365" s="96" t="s">
        <v>388</v>
      </c>
      <c r="E4365" s="96" t="s">
        <v>371</v>
      </c>
    </row>
    <row r="4366" spans="2:5" ht="15" customHeight="1" thickBot="1" x14ac:dyDescent="0.35">
      <c r="B4366" s="96" t="s">
        <v>6668</v>
      </c>
      <c r="C4366" s="97">
        <v>590005</v>
      </c>
      <c r="D4366" s="96" t="s">
        <v>6669</v>
      </c>
      <c r="E4366" s="96" t="s">
        <v>598</v>
      </c>
    </row>
    <row r="4367" spans="2:5" ht="15" customHeight="1" thickBot="1" x14ac:dyDescent="0.35">
      <c r="B4367" s="96" t="s">
        <v>6670</v>
      </c>
      <c r="C4367" s="97">
        <v>590005</v>
      </c>
      <c r="D4367" s="96" t="s">
        <v>6669</v>
      </c>
      <c r="E4367" s="96" t="s">
        <v>598</v>
      </c>
    </row>
    <row r="4368" spans="2:5" ht="15" customHeight="1" thickBot="1" x14ac:dyDescent="0.35">
      <c r="B4368" s="96" t="s">
        <v>6671</v>
      </c>
      <c r="C4368" s="97">
        <v>536264</v>
      </c>
      <c r="D4368" s="96" t="s">
        <v>388</v>
      </c>
      <c r="E4368" s="96" t="s">
        <v>709</v>
      </c>
    </row>
    <row r="4369" spans="2:5" ht="15" customHeight="1" thickBot="1" x14ac:dyDescent="0.35">
      <c r="B4369" s="96" t="s">
        <v>6672</v>
      </c>
      <c r="C4369" s="97">
        <v>536264</v>
      </c>
      <c r="D4369" s="96" t="s">
        <v>388</v>
      </c>
      <c r="E4369" s="96" t="s">
        <v>709</v>
      </c>
    </row>
    <row r="4370" spans="2:5" ht="15" customHeight="1" thickBot="1" x14ac:dyDescent="0.35">
      <c r="B4370" s="96" t="s">
        <v>6673</v>
      </c>
      <c r="C4370" s="97">
        <v>533629</v>
      </c>
      <c r="D4370" s="96" t="s">
        <v>6674</v>
      </c>
      <c r="E4370" s="96" t="s">
        <v>508</v>
      </c>
    </row>
    <row r="4371" spans="2:5" ht="15" customHeight="1" thickBot="1" x14ac:dyDescent="0.35">
      <c r="B4371" s="96" t="s">
        <v>6675</v>
      </c>
      <c r="C4371" s="97">
        <v>505196</v>
      </c>
      <c r="D4371" s="96" t="s">
        <v>6676</v>
      </c>
      <c r="E4371" s="96" t="s">
        <v>511</v>
      </c>
    </row>
    <row r="4372" spans="2:5" ht="15" customHeight="1" thickBot="1" x14ac:dyDescent="0.35">
      <c r="B4372" s="96" t="s">
        <v>6677</v>
      </c>
      <c r="C4372" s="97">
        <v>503663</v>
      </c>
      <c r="D4372" s="96" t="s">
        <v>6678</v>
      </c>
      <c r="E4372" s="96" t="s">
        <v>408</v>
      </c>
    </row>
    <row r="4373" spans="2:5" ht="15" customHeight="1" thickBot="1" x14ac:dyDescent="0.35">
      <c r="B4373" s="96" t="s">
        <v>6679</v>
      </c>
      <c r="C4373" s="97">
        <v>507205</v>
      </c>
      <c r="D4373" s="96" t="s">
        <v>6680</v>
      </c>
      <c r="E4373" s="96" t="s">
        <v>1020</v>
      </c>
    </row>
    <row r="4374" spans="2:5" ht="15" customHeight="1" thickBot="1" x14ac:dyDescent="0.35">
      <c r="B4374" s="96" t="s">
        <v>6681</v>
      </c>
      <c r="C4374" s="97">
        <v>532856</v>
      </c>
      <c r="D4374" s="96" t="s">
        <v>6682</v>
      </c>
      <c r="E4374" s="96" t="s">
        <v>508</v>
      </c>
    </row>
    <row r="4375" spans="2:5" ht="15" customHeight="1" thickBot="1" x14ac:dyDescent="0.35">
      <c r="B4375" s="96" t="s">
        <v>6683</v>
      </c>
      <c r="C4375" s="97">
        <v>511559</v>
      </c>
      <c r="D4375" s="96" t="s">
        <v>6684</v>
      </c>
      <c r="E4375" s="96" t="s">
        <v>405</v>
      </c>
    </row>
    <row r="4376" spans="2:5" ht="15" customHeight="1" thickBot="1" x14ac:dyDescent="0.35">
      <c r="B4376" s="96" t="s">
        <v>6685</v>
      </c>
      <c r="C4376" s="97">
        <v>500414</v>
      </c>
      <c r="D4376" s="96" t="s">
        <v>388</v>
      </c>
      <c r="E4376" s="96" t="s">
        <v>502</v>
      </c>
    </row>
    <row r="4377" spans="2:5" ht="15" customHeight="1" thickBot="1" x14ac:dyDescent="0.35">
      <c r="B4377" s="96" t="s">
        <v>6686</v>
      </c>
      <c r="C4377" s="97">
        <v>500414</v>
      </c>
      <c r="D4377" s="96" t="s">
        <v>388</v>
      </c>
      <c r="E4377" s="96" t="s">
        <v>502</v>
      </c>
    </row>
    <row r="4378" spans="2:5" ht="15" customHeight="1" thickBot="1" x14ac:dyDescent="0.35">
      <c r="B4378" s="96" t="s">
        <v>6687</v>
      </c>
      <c r="C4378" s="97">
        <v>522113</v>
      </c>
      <c r="D4378" s="96" t="s">
        <v>6688</v>
      </c>
      <c r="E4378" s="96" t="s">
        <v>396</v>
      </c>
    </row>
    <row r="4379" spans="2:5" ht="15" customHeight="1" thickBot="1" x14ac:dyDescent="0.35">
      <c r="B4379" s="96" t="s">
        <v>6689</v>
      </c>
      <c r="C4379" s="97">
        <v>522113</v>
      </c>
      <c r="D4379" s="96" t="s">
        <v>6688</v>
      </c>
      <c r="E4379" s="96" t="s">
        <v>396</v>
      </c>
    </row>
    <row r="4380" spans="2:5" ht="15" customHeight="1" thickBot="1" x14ac:dyDescent="0.35">
      <c r="B4380" s="96" t="s">
        <v>6690</v>
      </c>
      <c r="C4380" s="97">
        <v>530475</v>
      </c>
      <c r="D4380" s="96" t="s">
        <v>388</v>
      </c>
      <c r="E4380" s="96" t="s">
        <v>548</v>
      </c>
    </row>
    <row r="4381" spans="2:5" ht="15" customHeight="1" thickBot="1" x14ac:dyDescent="0.35">
      <c r="B4381" s="96" t="s">
        <v>6691</v>
      </c>
      <c r="C4381" s="97">
        <v>541741</v>
      </c>
      <c r="D4381" s="96" t="s">
        <v>388</v>
      </c>
      <c r="E4381" s="96" t="s">
        <v>410</v>
      </c>
    </row>
    <row r="4382" spans="2:5" ht="15" customHeight="1" thickBot="1" x14ac:dyDescent="0.35">
      <c r="B4382" s="96" t="s">
        <v>6692</v>
      </c>
      <c r="C4382" s="97">
        <v>532375</v>
      </c>
      <c r="D4382" s="96" t="s">
        <v>6693</v>
      </c>
      <c r="E4382" s="96" t="s">
        <v>391</v>
      </c>
    </row>
    <row r="4383" spans="2:5" ht="15" customHeight="1" thickBot="1" x14ac:dyDescent="0.35">
      <c r="B4383" s="96" t="s">
        <v>6694</v>
      </c>
      <c r="C4383" s="97">
        <v>539488</v>
      </c>
      <c r="D4383" s="96" t="s">
        <v>388</v>
      </c>
      <c r="E4383" s="96" t="s">
        <v>408</v>
      </c>
    </row>
    <row r="4384" spans="2:5" ht="15" customHeight="1" thickBot="1" x14ac:dyDescent="0.35">
      <c r="B4384" s="96" t="s">
        <v>6695</v>
      </c>
      <c r="C4384" s="97">
        <v>540904</v>
      </c>
      <c r="D4384" s="96" t="s">
        <v>388</v>
      </c>
      <c r="E4384" s="96" t="s">
        <v>665</v>
      </c>
    </row>
    <row r="4385" spans="2:5" ht="15" customHeight="1" thickBot="1" x14ac:dyDescent="0.35">
      <c r="B4385" s="96" t="s">
        <v>6696</v>
      </c>
      <c r="C4385" s="96" t="s">
        <v>388</v>
      </c>
      <c r="D4385" s="96" t="s">
        <v>6697</v>
      </c>
      <c r="E4385" s="96" t="s">
        <v>399</v>
      </c>
    </row>
    <row r="4386" spans="2:5" ht="15" customHeight="1" thickBot="1" x14ac:dyDescent="0.35">
      <c r="B4386" s="96" t="s">
        <v>6698</v>
      </c>
      <c r="C4386" s="97">
        <v>531547</v>
      </c>
      <c r="D4386" s="96" t="s">
        <v>388</v>
      </c>
      <c r="E4386" s="96" t="s">
        <v>586</v>
      </c>
    </row>
    <row r="4387" spans="2:5" ht="15" customHeight="1" thickBot="1" x14ac:dyDescent="0.35">
      <c r="B4387" s="96" t="s">
        <v>6699</v>
      </c>
      <c r="C4387" s="97">
        <v>531547</v>
      </c>
      <c r="D4387" s="96" t="s">
        <v>388</v>
      </c>
      <c r="E4387" s="96" t="s">
        <v>586</v>
      </c>
    </row>
    <row r="4388" spans="2:5" ht="15" customHeight="1" thickBot="1" x14ac:dyDescent="0.35">
      <c r="B4388" s="96" t="s">
        <v>6700</v>
      </c>
      <c r="C4388" s="97">
        <v>531814</v>
      </c>
      <c r="D4388" s="96" t="s">
        <v>388</v>
      </c>
      <c r="E4388" s="96" t="s">
        <v>474</v>
      </c>
    </row>
    <row r="4389" spans="2:5" ht="15" customHeight="1" thickBot="1" x14ac:dyDescent="0.35">
      <c r="B4389" s="96" t="s">
        <v>6701</v>
      </c>
      <c r="C4389" s="97">
        <v>524582</v>
      </c>
      <c r="D4389" s="96" t="s">
        <v>388</v>
      </c>
      <c r="E4389" s="96" t="s">
        <v>468</v>
      </c>
    </row>
    <row r="4390" spans="2:5" ht="15" customHeight="1" thickBot="1" x14ac:dyDescent="0.35">
      <c r="B4390" s="96" t="s">
        <v>6702</v>
      </c>
      <c r="C4390" s="97">
        <v>539040</v>
      </c>
      <c r="D4390" s="96" t="s">
        <v>388</v>
      </c>
      <c r="E4390" s="96" t="s">
        <v>868</v>
      </c>
    </row>
    <row r="4391" spans="2:5" ht="15" customHeight="1" thickBot="1" x14ac:dyDescent="0.35">
      <c r="B4391" s="96" t="s">
        <v>6703</v>
      </c>
      <c r="C4391" s="97">
        <v>539985</v>
      </c>
      <c r="D4391" s="96" t="s">
        <v>388</v>
      </c>
      <c r="E4391" s="96" t="s">
        <v>403</v>
      </c>
    </row>
    <row r="4392" spans="2:5" ht="15" customHeight="1" thickBot="1" x14ac:dyDescent="0.35">
      <c r="B4392" s="96" t="s">
        <v>6704</v>
      </c>
      <c r="C4392" s="97">
        <v>532966</v>
      </c>
      <c r="D4392" s="96" t="s">
        <v>6705</v>
      </c>
      <c r="E4392" s="96" t="s">
        <v>466</v>
      </c>
    </row>
    <row r="4393" spans="2:5" ht="15" customHeight="1" thickBot="1" x14ac:dyDescent="0.35">
      <c r="B4393" s="96" t="s">
        <v>6706</v>
      </c>
      <c r="C4393" s="97">
        <v>524717</v>
      </c>
      <c r="D4393" s="96" t="s">
        <v>388</v>
      </c>
      <c r="E4393" s="96" t="s">
        <v>548</v>
      </c>
    </row>
    <row r="4394" spans="2:5" ht="15" customHeight="1" thickBot="1" x14ac:dyDescent="0.35">
      <c r="B4394" s="96" t="s">
        <v>6707</v>
      </c>
      <c r="C4394" s="97">
        <v>500114</v>
      </c>
      <c r="D4394" s="96" t="s">
        <v>6708</v>
      </c>
      <c r="E4394" s="96" t="s">
        <v>502</v>
      </c>
    </row>
    <row r="4395" spans="2:5" ht="15" customHeight="1" thickBot="1" x14ac:dyDescent="0.35">
      <c r="B4395" s="96" t="s">
        <v>6709</v>
      </c>
      <c r="C4395" s="97">
        <v>530045</v>
      </c>
      <c r="D4395" s="96" t="s">
        <v>388</v>
      </c>
      <c r="E4395" s="96" t="s">
        <v>405</v>
      </c>
    </row>
    <row r="4396" spans="2:5" ht="15" customHeight="1" thickBot="1" x14ac:dyDescent="0.35">
      <c r="B4396" s="96" t="s">
        <v>6710</v>
      </c>
      <c r="C4396" s="97">
        <v>511096</v>
      </c>
      <c r="D4396" s="96" t="s">
        <v>388</v>
      </c>
      <c r="E4396" s="96" t="s">
        <v>474</v>
      </c>
    </row>
    <row r="4397" spans="2:5" ht="15" customHeight="1" thickBot="1" x14ac:dyDescent="0.35">
      <c r="B4397" s="96" t="s">
        <v>6711</v>
      </c>
      <c r="C4397" s="97">
        <v>531830</v>
      </c>
      <c r="D4397" s="96" t="s">
        <v>6712</v>
      </c>
      <c r="E4397" s="96" t="s">
        <v>934</v>
      </c>
    </row>
    <row r="4398" spans="2:5" ht="15" customHeight="1" thickBot="1" x14ac:dyDescent="0.35">
      <c r="B4398" s="96" t="s">
        <v>6713</v>
      </c>
      <c r="C4398" s="97">
        <v>531644</v>
      </c>
      <c r="D4398" s="96" t="s">
        <v>388</v>
      </c>
      <c r="E4398" s="96" t="s">
        <v>405</v>
      </c>
    </row>
    <row r="4399" spans="2:5" ht="15" customHeight="1" thickBot="1" x14ac:dyDescent="0.35">
      <c r="B4399" s="96" t="s">
        <v>6714</v>
      </c>
      <c r="C4399" s="97">
        <v>500418</v>
      </c>
      <c r="D4399" s="96" t="s">
        <v>6715</v>
      </c>
      <c r="E4399" s="96" t="s">
        <v>508</v>
      </c>
    </row>
    <row r="4400" spans="2:5" ht="15" customHeight="1" thickBot="1" x14ac:dyDescent="0.35">
      <c r="B4400" s="96" t="s">
        <v>6716</v>
      </c>
      <c r="C4400" s="97">
        <v>500420</v>
      </c>
      <c r="D4400" s="96" t="s">
        <v>6717</v>
      </c>
      <c r="E4400" s="96" t="s">
        <v>426</v>
      </c>
    </row>
    <row r="4401" spans="2:5" ht="15" customHeight="1" thickBot="1" x14ac:dyDescent="0.35">
      <c r="B4401" s="96" t="s">
        <v>6718</v>
      </c>
      <c r="C4401" s="97">
        <v>532779</v>
      </c>
      <c r="D4401" s="96" t="s">
        <v>6719</v>
      </c>
      <c r="E4401" s="96" t="s">
        <v>527</v>
      </c>
    </row>
    <row r="4402" spans="2:5" ht="15" customHeight="1" thickBot="1" x14ac:dyDescent="0.35">
      <c r="B4402" s="96" t="s">
        <v>6720</v>
      </c>
      <c r="C4402" s="97">
        <v>523878</v>
      </c>
      <c r="D4402" s="96" t="s">
        <v>388</v>
      </c>
      <c r="E4402" s="96" t="s">
        <v>713</v>
      </c>
    </row>
    <row r="4403" spans="2:5" ht="15" customHeight="1" thickBot="1" x14ac:dyDescent="0.35">
      <c r="B4403" s="96" t="s">
        <v>6721</v>
      </c>
      <c r="C4403" s="96" t="s">
        <v>388</v>
      </c>
      <c r="D4403" s="96" t="s">
        <v>6722</v>
      </c>
      <c r="E4403" s="96" t="s">
        <v>399</v>
      </c>
    </row>
    <row r="4404" spans="2:5" ht="15" customHeight="1" thickBot="1" x14ac:dyDescent="0.35">
      <c r="B4404" s="96" t="s">
        <v>6723</v>
      </c>
      <c r="C4404" s="96" t="s">
        <v>388</v>
      </c>
      <c r="D4404" s="96" t="s">
        <v>6724</v>
      </c>
      <c r="E4404" s="96" t="s">
        <v>399</v>
      </c>
    </row>
    <row r="4405" spans="2:5" ht="15" customHeight="1" thickBot="1" x14ac:dyDescent="0.35">
      <c r="B4405" s="96" t="s">
        <v>6725</v>
      </c>
      <c r="C4405" s="97">
        <v>526650</v>
      </c>
      <c r="D4405" s="96" t="s">
        <v>6726</v>
      </c>
      <c r="E4405" s="96" t="s">
        <v>2720</v>
      </c>
    </row>
    <row r="4406" spans="2:5" ht="15" customHeight="1" thickBot="1" x14ac:dyDescent="0.35">
      <c r="B4406" s="96" t="s">
        <v>6727</v>
      </c>
      <c r="C4406" s="97">
        <v>526650</v>
      </c>
      <c r="D4406" s="96" t="s">
        <v>6726</v>
      </c>
      <c r="E4406" s="96" t="s">
        <v>2720</v>
      </c>
    </row>
    <row r="4407" spans="2:5" ht="15" customHeight="1" thickBot="1" x14ac:dyDescent="0.35">
      <c r="B4407" s="96" t="s">
        <v>6728</v>
      </c>
      <c r="C4407" s="97">
        <v>531771</v>
      </c>
      <c r="D4407" s="96" t="s">
        <v>388</v>
      </c>
      <c r="E4407" s="96" t="s">
        <v>686</v>
      </c>
    </row>
    <row r="4408" spans="2:5" ht="15" customHeight="1" thickBot="1" x14ac:dyDescent="0.35">
      <c r="B4408" s="96" t="s">
        <v>6729</v>
      </c>
      <c r="C4408" s="97">
        <v>538607</v>
      </c>
      <c r="D4408" s="96" t="s">
        <v>388</v>
      </c>
      <c r="E4408" s="96" t="s">
        <v>371</v>
      </c>
    </row>
    <row r="4409" spans="2:5" ht="15" customHeight="1" thickBot="1" x14ac:dyDescent="0.35">
      <c r="B4409" s="96" t="s">
        <v>6730</v>
      </c>
      <c r="C4409" s="97">
        <v>500421</v>
      </c>
      <c r="D4409" s="96" t="s">
        <v>388</v>
      </c>
      <c r="E4409" s="96" t="s">
        <v>583</v>
      </c>
    </row>
    <row r="4410" spans="2:5" ht="15" customHeight="1" thickBot="1" x14ac:dyDescent="0.35">
      <c r="B4410" s="96" t="s">
        <v>6731</v>
      </c>
      <c r="C4410" s="97">
        <v>500421</v>
      </c>
      <c r="D4410" s="96" t="s">
        <v>388</v>
      </c>
      <c r="E4410" s="96" t="s">
        <v>583</v>
      </c>
    </row>
    <row r="4411" spans="2:5" ht="15" customHeight="1" thickBot="1" x14ac:dyDescent="0.35">
      <c r="B4411" s="96" t="s">
        <v>6732</v>
      </c>
      <c r="C4411" s="97">
        <v>526582</v>
      </c>
      <c r="D4411" s="96" t="s">
        <v>6733</v>
      </c>
      <c r="E4411" s="96" t="s">
        <v>508</v>
      </c>
    </row>
    <row r="4412" spans="2:5" ht="15" customHeight="1" thickBot="1" x14ac:dyDescent="0.35">
      <c r="B4412" s="96" t="s">
        <v>6734</v>
      </c>
      <c r="C4412" s="97">
        <v>509953</v>
      </c>
      <c r="D4412" s="96" t="s">
        <v>388</v>
      </c>
      <c r="E4412" s="96" t="s">
        <v>1390</v>
      </c>
    </row>
    <row r="4413" spans="2:5" ht="15" customHeight="1" thickBot="1" x14ac:dyDescent="0.35">
      <c r="B4413" s="96" t="s">
        <v>6735</v>
      </c>
      <c r="C4413" s="97">
        <v>530783</v>
      </c>
      <c r="D4413" s="96" t="s">
        <v>388</v>
      </c>
      <c r="E4413" s="96" t="s">
        <v>426</v>
      </c>
    </row>
    <row r="4414" spans="2:5" ht="15" customHeight="1" thickBot="1" x14ac:dyDescent="0.35">
      <c r="B4414" s="96" t="s">
        <v>6736</v>
      </c>
      <c r="C4414" s="97">
        <v>526961</v>
      </c>
      <c r="D4414" s="96" t="s">
        <v>6737</v>
      </c>
      <c r="E4414" s="96" t="s">
        <v>405</v>
      </c>
    </row>
    <row r="4415" spans="2:5" ht="15" customHeight="1" thickBot="1" x14ac:dyDescent="0.35">
      <c r="B4415" s="96" t="s">
        <v>6738</v>
      </c>
      <c r="C4415" s="97">
        <v>500422</v>
      </c>
      <c r="D4415" s="96" t="s">
        <v>388</v>
      </c>
      <c r="E4415" s="96" t="s">
        <v>426</v>
      </c>
    </row>
    <row r="4416" spans="2:5" ht="15" customHeight="1" thickBot="1" x14ac:dyDescent="0.35">
      <c r="B4416" s="96" t="s">
        <v>6739</v>
      </c>
      <c r="C4416" s="97">
        <v>532410</v>
      </c>
      <c r="D4416" s="96" t="s">
        <v>388</v>
      </c>
      <c r="E4416" s="96" t="s">
        <v>371</v>
      </c>
    </row>
    <row r="4417" spans="2:5" ht="15" customHeight="1" thickBot="1" x14ac:dyDescent="0.35">
      <c r="B4417" s="96" t="s">
        <v>6740</v>
      </c>
      <c r="C4417" s="97">
        <v>532928</v>
      </c>
      <c r="D4417" s="96" t="s">
        <v>6741</v>
      </c>
      <c r="E4417" s="96" t="s">
        <v>431</v>
      </c>
    </row>
    <row r="4418" spans="2:5" ht="15" customHeight="1" thickBot="1" x14ac:dyDescent="0.35">
      <c r="B4418" s="96" t="s">
        <v>6742</v>
      </c>
      <c r="C4418" s="97">
        <v>532928</v>
      </c>
      <c r="D4418" s="96" t="s">
        <v>6741</v>
      </c>
      <c r="E4418" s="96" t="s">
        <v>431</v>
      </c>
    </row>
    <row r="4419" spans="2:5" ht="15" customHeight="1" thickBot="1" x14ac:dyDescent="0.35">
      <c r="B4419" s="96" t="s">
        <v>6743</v>
      </c>
      <c r="C4419" s="97">
        <v>513063</v>
      </c>
      <c r="D4419" s="96" t="s">
        <v>388</v>
      </c>
      <c r="E4419" s="96" t="s">
        <v>711</v>
      </c>
    </row>
    <row r="4420" spans="2:5" ht="15" customHeight="1" thickBot="1" x14ac:dyDescent="0.35">
      <c r="B4420" s="96" t="s">
        <v>6744</v>
      </c>
      <c r="C4420" s="97">
        <v>526139</v>
      </c>
      <c r="D4420" s="96" t="s">
        <v>388</v>
      </c>
      <c r="E4420" s="96" t="s">
        <v>577</v>
      </c>
    </row>
    <row r="4421" spans="2:5" ht="15" customHeight="1" thickBot="1" x14ac:dyDescent="0.35">
      <c r="B4421" s="96" t="s">
        <v>6745</v>
      </c>
      <c r="C4421" s="97">
        <v>519367</v>
      </c>
      <c r="D4421" s="96" t="s">
        <v>388</v>
      </c>
      <c r="E4421" s="96" t="s">
        <v>823</v>
      </c>
    </row>
    <row r="4422" spans="2:5" ht="15" customHeight="1" thickBot="1" x14ac:dyDescent="0.35">
      <c r="B4422" s="96" t="s">
        <v>6746</v>
      </c>
      <c r="C4422" s="97">
        <v>509003</v>
      </c>
      <c r="D4422" s="96" t="s">
        <v>388</v>
      </c>
      <c r="E4422" s="96" t="s">
        <v>809</v>
      </c>
    </row>
    <row r="4423" spans="2:5" ht="15" customHeight="1" thickBot="1" x14ac:dyDescent="0.35">
      <c r="B4423" s="96" t="s">
        <v>6747</v>
      </c>
      <c r="C4423" s="97">
        <v>506687</v>
      </c>
      <c r="D4423" s="96" t="s">
        <v>388</v>
      </c>
      <c r="E4423" s="96" t="s">
        <v>436</v>
      </c>
    </row>
    <row r="4424" spans="2:5" ht="15" customHeight="1" thickBot="1" x14ac:dyDescent="0.35">
      <c r="B4424" s="96" t="s">
        <v>6748</v>
      </c>
      <c r="C4424" s="97">
        <v>532349</v>
      </c>
      <c r="D4424" s="96" t="s">
        <v>6749</v>
      </c>
      <c r="E4424" s="96" t="s">
        <v>460</v>
      </c>
    </row>
    <row r="4425" spans="2:5" ht="15" customHeight="1" thickBot="1" x14ac:dyDescent="0.35">
      <c r="B4425" s="96" t="s">
        <v>6750</v>
      </c>
      <c r="C4425" s="97">
        <v>532349</v>
      </c>
      <c r="D4425" s="96" t="s">
        <v>6749</v>
      </c>
      <c r="E4425" s="96" t="s">
        <v>460</v>
      </c>
    </row>
    <row r="4426" spans="2:5" ht="15" customHeight="1" thickBot="1" x14ac:dyDescent="0.35">
      <c r="B4426" s="96" t="s">
        <v>6751</v>
      </c>
      <c r="C4426" s="97">
        <v>532812</v>
      </c>
      <c r="D4426" s="96" t="s">
        <v>6752</v>
      </c>
      <c r="E4426" s="96" t="s">
        <v>405</v>
      </c>
    </row>
    <row r="4427" spans="2:5" ht="15" customHeight="1" thickBot="1" x14ac:dyDescent="0.35">
      <c r="B4427" s="96" t="s">
        <v>6753</v>
      </c>
      <c r="C4427" s="96" t="s">
        <v>388</v>
      </c>
      <c r="D4427" s="96" t="s">
        <v>6754</v>
      </c>
      <c r="E4427" s="96" t="s">
        <v>399</v>
      </c>
    </row>
    <row r="4428" spans="2:5" ht="15" customHeight="1" thickBot="1" x14ac:dyDescent="0.35">
      <c r="B4428" s="96" t="s">
        <v>6755</v>
      </c>
      <c r="C4428" s="97">
        <v>533540</v>
      </c>
      <c r="D4428" s="96" t="s">
        <v>6756</v>
      </c>
      <c r="E4428" s="96" t="s">
        <v>493</v>
      </c>
    </row>
    <row r="4429" spans="2:5" ht="15" customHeight="1" thickBot="1" x14ac:dyDescent="0.35">
      <c r="B4429" s="96" t="s">
        <v>6757</v>
      </c>
      <c r="C4429" s="97">
        <v>542233</v>
      </c>
      <c r="D4429" s="96" t="s">
        <v>6758</v>
      </c>
      <c r="E4429" s="96" t="s">
        <v>1584</v>
      </c>
    </row>
    <row r="4430" spans="2:5" ht="15" customHeight="1" thickBot="1" x14ac:dyDescent="0.35">
      <c r="B4430" s="96" t="s">
        <v>6759</v>
      </c>
      <c r="C4430" s="97">
        <v>500251</v>
      </c>
      <c r="D4430" s="96" t="s">
        <v>6760</v>
      </c>
      <c r="E4430" s="96" t="s">
        <v>389</v>
      </c>
    </row>
    <row r="4431" spans="2:5" ht="15" customHeight="1" thickBot="1" x14ac:dyDescent="0.35">
      <c r="B4431" s="96" t="s">
        <v>6761</v>
      </c>
      <c r="C4431" s="97">
        <v>532159</v>
      </c>
      <c r="D4431" s="96" t="s">
        <v>388</v>
      </c>
      <c r="E4431" s="96" t="s">
        <v>371</v>
      </c>
    </row>
    <row r="4432" spans="2:5" ht="15" customHeight="1" thickBot="1" x14ac:dyDescent="0.35">
      <c r="B4432" s="96" t="s">
        <v>6762</v>
      </c>
      <c r="C4432" s="97">
        <v>505854</v>
      </c>
      <c r="D4432" s="96" t="s">
        <v>6763</v>
      </c>
      <c r="E4432" s="96" t="s">
        <v>396</v>
      </c>
    </row>
    <row r="4433" spans="2:5" ht="15" customHeight="1" thickBot="1" x14ac:dyDescent="0.35">
      <c r="B4433" s="96" t="s">
        <v>6764</v>
      </c>
      <c r="C4433" s="97">
        <v>534369</v>
      </c>
      <c r="D4433" s="96" t="s">
        <v>6765</v>
      </c>
      <c r="E4433" s="96" t="s">
        <v>502</v>
      </c>
    </row>
    <row r="4434" spans="2:5" ht="15" customHeight="1" thickBot="1" x14ac:dyDescent="0.35">
      <c r="B4434" s="96" t="s">
        <v>6766</v>
      </c>
      <c r="C4434" s="97">
        <v>531716</v>
      </c>
      <c r="D4434" s="96" t="s">
        <v>388</v>
      </c>
      <c r="E4434" s="96" t="s">
        <v>468</v>
      </c>
    </row>
    <row r="4435" spans="2:5" ht="15" customHeight="1" thickBot="1" x14ac:dyDescent="0.35">
      <c r="B4435" s="96" t="s">
        <v>6767</v>
      </c>
      <c r="C4435" s="97">
        <v>521064</v>
      </c>
      <c r="D4435" s="96" t="s">
        <v>6768</v>
      </c>
      <c r="E4435" s="96" t="s">
        <v>403</v>
      </c>
    </row>
    <row r="4436" spans="2:5" ht="15" customHeight="1" thickBot="1" x14ac:dyDescent="0.35">
      <c r="B4436" s="96" t="s">
        <v>6769</v>
      </c>
      <c r="C4436" s="97">
        <v>540726</v>
      </c>
      <c r="D4436" s="96" t="s">
        <v>388</v>
      </c>
      <c r="E4436" s="96" t="s">
        <v>410</v>
      </c>
    </row>
    <row r="4437" spans="2:5" ht="15" customHeight="1" thickBot="1" x14ac:dyDescent="0.35">
      <c r="B4437" s="96" t="s">
        <v>6770</v>
      </c>
      <c r="C4437" s="97">
        <v>531972</v>
      </c>
      <c r="D4437" s="96" t="s">
        <v>388</v>
      </c>
      <c r="E4437" s="96" t="s">
        <v>573</v>
      </c>
    </row>
    <row r="4438" spans="2:5" ht="15" customHeight="1" thickBot="1" x14ac:dyDescent="0.35">
      <c r="B4438" s="96" t="s">
        <v>6771</v>
      </c>
      <c r="C4438" s="97">
        <v>517562</v>
      </c>
      <c r="D4438" s="96" t="s">
        <v>6772</v>
      </c>
      <c r="E4438" s="96" t="s">
        <v>374</v>
      </c>
    </row>
    <row r="4439" spans="2:5" ht="15" customHeight="1" thickBot="1" x14ac:dyDescent="0.35">
      <c r="B4439" s="96" t="s">
        <v>6773</v>
      </c>
      <c r="C4439" s="97">
        <v>531658</v>
      </c>
      <c r="D4439" s="96" t="s">
        <v>388</v>
      </c>
      <c r="E4439" s="96" t="s">
        <v>405</v>
      </c>
    </row>
    <row r="4440" spans="2:5" ht="15" customHeight="1" thickBot="1" x14ac:dyDescent="0.35">
      <c r="B4440" s="96" t="s">
        <v>6774</v>
      </c>
      <c r="C4440" s="97">
        <v>536565</v>
      </c>
      <c r="D4440" s="96" t="s">
        <v>388</v>
      </c>
      <c r="E4440" s="96" t="s">
        <v>6775</v>
      </c>
    </row>
    <row r="4441" spans="2:5" ht="15" customHeight="1" thickBot="1" x14ac:dyDescent="0.35">
      <c r="B4441" s="96" t="s">
        <v>6776</v>
      </c>
      <c r="C4441" s="97">
        <v>531846</v>
      </c>
      <c r="D4441" s="96" t="s">
        <v>388</v>
      </c>
      <c r="E4441" s="96" t="s">
        <v>371</v>
      </c>
    </row>
    <row r="4442" spans="2:5" ht="15" customHeight="1" thickBot="1" x14ac:dyDescent="0.35">
      <c r="B4442" s="96" t="s">
        <v>6777</v>
      </c>
      <c r="C4442" s="97">
        <v>531846</v>
      </c>
      <c r="D4442" s="96" t="s">
        <v>388</v>
      </c>
      <c r="E4442" s="96" t="s">
        <v>371</v>
      </c>
    </row>
    <row r="4443" spans="2:5" ht="15" customHeight="1" thickBot="1" x14ac:dyDescent="0.35">
      <c r="B4443" s="96" t="s">
        <v>6778</v>
      </c>
      <c r="C4443" s="97">
        <v>534755</v>
      </c>
      <c r="D4443" s="96" t="s">
        <v>6779</v>
      </c>
      <c r="E4443" s="96" t="s">
        <v>371</v>
      </c>
    </row>
    <row r="4444" spans="2:5" ht="15" customHeight="1" thickBot="1" x14ac:dyDescent="0.35">
      <c r="B4444" s="96" t="s">
        <v>6780</v>
      </c>
      <c r="C4444" s="97">
        <v>512101</v>
      </c>
      <c r="D4444" s="96" t="s">
        <v>388</v>
      </c>
      <c r="E4444" s="96" t="s">
        <v>426</v>
      </c>
    </row>
    <row r="4445" spans="2:5" ht="15" customHeight="1" thickBot="1" x14ac:dyDescent="0.35">
      <c r="B4445" s="96" t="s">
        <v>6781</v>
      </c>
      <c r="C4445" s="97">
        <v>531279</v>
      </c>
      <c r="D4445" s="96" t="s">
        <v>388</v>
      </c>
      <c r="E4445" s="96" t="s">
        <v>405</v>
      </c>
    </row>
    <row r="4446" spans="2:5" ht="15" customHeight="1" thickBot="1" x14ac:dyDescent="0.35">
      <c r="B4446" s="96" t="s">
        <v>6782</v>
      </c>
      <c r="C4446" s="97">
        <v>523387</v>
      </c>
      <c r="D4446" s="96" t="s">
        <v>388</v>
      </c>
      <c r="E4446" s="96" t="s">
        <v>502</v>
      </c>
    </row>
    <row r="4447" spans="2:5" ht="15" customHeight="1" thickBot="1" x14ac:dyDescent="0.35">
      <c r="B4447" s="96" t="s">
        <v>6783</v>
      </c>
      <c r="C4447" s="97">
        <v>505978</v>
      </c>
      <c r="D4447" s="96" t="s">
        <v>388</v>
      </c>
      <c r="E4447" s="96" t="s">
        <v>743</v>
      </c>
    </row>
    <row r="4448" spans="2:5" ht="15" customHeight="1" thickBot="1" x14ac:dyDescent="0.35">
      <c r="B4448" s="96" t="s">
        <v>6784</v>
      </c>
      <c r="C4448" s="97">
        <v>532356</v>
      </c>
      <c r="D4448" s="96" t="s">
        <v>6785</v>
      </c>
      <c r="E4448" s="96" t="s">
        <v>1087</v>
      </c>
    </row>
    <row r="4449" spans="2:5" ht="15" customHeight="1" thickBot="1" x14ac:dyDescent="0.35">
      <c r="B4449" s="96" t="s">
        <v>6786</v>
      </c>
      <c r="C4449" s="97">
        <v>538569</v>
      </c>
      <c r="D4449" s="96" t="s">
        <v>6787</v>
      </c>
      <c r="E4449" s="96" t="s">
        <v>754</v>
      </c>
    </row>
    <row r="4450" spans="2:5" ht="15" customHeight="1" thickBot="1" x14ac:dyDescent="0.35">
      <c r="B4450" s="96" t="s">
        <v>6788</v>
      </c>
      <c r="C4450" s="97">
        <v>502281</v>
      </c>
      <c r="D4450" s="96" t="s">
        <v>388</v>
      </c>
      <c r="E4450" s="96" t="s">
        <v>916</v>
      </c>
    </row>
    <row r="4451" spans="2:5" ht="15" customHeight="1" thickBot="1" x14ac:dyDescent="0.35">
      <c r="B4451" s="96" t="s">
        <v>6789</v>
      </c>
      <c r="C4451" s="97">
        <v>533655</v>
      </c>
      <c r="D4451" s="96" t="s">
        <v>6790</v>
      </c>
      <c r="E4451" s="96" t="s">
        <v>431</v>
      </c>
    </row>
    <row r="4452" spans="2:5" ht="15" customHeight="1" thickBot="1" x14ac:dyDescent="0.35">
      <c r="B4452" s="96" t="s">
        <v>6791</v>
      </c>
      <c r="C4452" s="97">
        <v>538579</v>
      </c>
      <c r="D4452" s="96" t="s">
        <v>388</v>
      </c>
      <c r="E4452" s="96" t="s">
        <v>410</v>
      </c>
    </row>
    <row r="4453" spans="2:5" ht="15" customHeight="1" thickBot="1" x14ac:dyDescent="0.35">
      <c r="B4453" s="96" t="s">
        <v>6792</v>
      </c>
      <c r="C4453" s="97">
        <v>519303</v>
      </c>
      <c r="D4453" s="96" t="s">
        <v>388</v>
      </c>
      <c r="E4453" s="96" t="s">
        <v>637</v>
      </c>
    </row>
    <row r="4454" spans="2:5" ht="15" customHeight="1" thickBot="1" x14ac:dyDescent="0.35">
      <c r="B4454" s="96" t="s">
        <v>6793</v>
      </c>
      <c r="C4454" s="97">
        <v>538597</v>
      </c>
      <c r="D4454" s="96" t="s">
        <v>388</v>
      </c>
      <c r="E4454" s="96" t="s">
        <v>405</v>
      </c>
    </row>
    <row r="4455" spans="2:5" ht="15" customHeight="1" thickBot="1" x14ac:dyDescent="0.35">
      <c r="B4455" s="96" t="s">
        <v>6794</v>
      </c>
      <c r="C4455" s="97">
        <v>507747</v>
      </c>
      <c r="D4455" s="96" t="s">
        <v>6795</v>
      </c>
      <c r="E4455" s="96" t="s">
        <v>426</v>
      </c>
    </row>
    <row r="4456" spans="2:5" ht="15" customHeight="1" thickBot="1" x14ac:dyDescent="0.35">
      <c r="B4456" s="96" t="s">
        <v>6796</v>
      </c>
      <c r="C4456" s="97">
        <v>517506</v>
      </c>
      <c r="D4456" s="96" t="s">
        <v>6797</v>
      </c>
      <c r="E4456" s="96" t="s">
        <v>1433</v>
      </c>
    </row>
    <row r="4457" spans="2:5" ht="15" customHeight="1" thickBot="1" x14ac:dyDescent="0.35">
      <c r="B4457" s="96" t="s">
        <v>6798</v>
      </c>
      <c r="C4457" s="97">
        <v>514236</v>
      </c>
      <c r="D4457" s="96" t="s">
        <v>6799</v>
      </c>
      <c r="E4457" s="96" t="s">
        <v>754</v>
      </c>
    </row>
    <row r="4458" spans="2:5" ht="15" customHeight="1" thickBot="1" x14ac:dyDescent="0.35">
      <c r="B4458" s="96" t="s">
        <v>6800</v>
      </c>
      <c r="C4458" s="97">
        <v>540762</v>
      </c>
      <c r="D4458" s="96" t="s">
        <v>6801</v>
      </c>
      <c r="E4458" s="96" t="s">
        <v>743</v>
      </c>
    </row>
    <row r="4459" spans="2:5" ht="15" customHeight="1" thickBot="1" x14ac:dyDescent="0.35">
      <c r="B4459" s="96" t="s">
        <v>6802</v>
      </c>
      <c r="C4459" s="97">
        <v>540762</v>
      </c>
      <c r="D4459" s="96" t="s">
        <v>6803</v>
      </c>
      <c r="E4459" s="96" t="s">
        <v>743</v>
      </c>
    </row>
    <row r="4460" spans="2:5" ht="15" customHeight="1" thickBot="1" x14ac:dyDescent="0.35">
      <c r="B4460" s="96" t="s">
        <v>6804</v>
      </c>
      <c r="C4460" s="97">
        <v>524514</v>
      </c>
      <c r="D4460" s="96" t="s">
        <v>388</v>
      </c>
      <c r="E4460" s="96" t="s">
        <v>436</v>
      </c>
    </row>
    <row r="4461" spans="2:5" ht="15" customHeight="1" thickBot="1" x14ac:dyDescent="0.35">
      <c r="B4461" s="96" t="s">
        <v>6805</v>
      </c>
      <c r="C4461" s="97">
        <v>531088</v>
      </c>
      <c r="D4461" s="96" t="s">
        <v>388</v>
      </c>
      <c r="E4461" s="96" t="s">
        <v>405</v>
      </c>
    </row>
    <row r="4462" spans="2:5" ht="15" customHeight="1" thickBot="1" x14ac:dyDescent="0.35">
      <c r="B4462" s="96" t="s">
        <v>6806</v>
      </c>
      <c r="C4462" s="97">
        <v>505285</v>
      </c>
      <c r="D4462" s="96" t="s">
        <v>388</v>
      </c>
      <c r="E4462" s="96" t="s">
        <v>573</v>
      </c>
    </row>
    <row r="4463" spans="2:5" ht="15" customHeight="1" thickBot="1" x14ac:dyDescent="0.35">
      <c r="B4463" s="96" t="s">
        <v>6807</v>
      </c>
      <c r="C4463" s="97">
        <v>532948</v>
      </c>
      <c r="D4463" s="96" t="s">
        <v>6808</v>
      </c>
      <c r="E4463" s="96" t="s">
        <v>508</v>
      </c>
    </row>
    <row r="4464" spans="2:5" ht="15" customHeight="1" thickBot="1" x14ac:dyDescent="0.35">
      <c r="B4464" s="96" t="s">
        <v>6809</v>
      </c>
      <c r="C4464" s="97">
        <v>504273</v>
      </c>
      <c r="D4464" s="96" t="s">
        <v>388</v>
      </c>
      <c r="E4464" s="96" t="s">
        <v>686</v>
      </c>
    </row>
    <row r="4465" spans="2:5" ht="15" customHeight="1" thickBot="1" x14ac:dyDescent="0.35">
      <c r="B4465" s="96" t="s">
        <v>6810</v>
      </c>
      <c r="C4465" s="97">
        <v>531411</v>
      </c>
      <c r="D4465" s="96" t="s">
        <v>388</v>
      </c>
      <c r="E4465" s="96" t="s">
        <v>403</v>
      </c>
    </row>
    <row r="4466" spans="2:5" ht="15" customHeight="1" thickBot="1" x14ac:dyDescent="0.35">
      <c r="B4466" s="96" t="s">
        <v>6811</v>
      </c>
      <c r="C4466" s="97">
        <v>506808</v>
      </c>
      <c r="D4466" s="96" t="s">
        <v>388</v>
      </c>
      <c r="E4466" s="96" t="s">
        <v>436</v>
      </c>
    </row>
    <row r="4467" spans="2:5" ht="15" customHeight="1" thickBot="1" x14ac:dyDescent="0.35">
      <c r="B4467" s="96" t="s">
        <v>6812</v>
      </c>
      <c r="C4467" s="97">
        <v>532515</v>
      </c>
      <c r="D4467" s="96" t="s">
        <v>6813</v>
      </c>
      <c r="E4467" s="96" t="s">
        <v>1126</v>
      </c>
    </row>
    <row r="4468" spans="2:5" ht="15" customHeight="1" thickBot="1" x14ac:dyDescent="0.35">
      <c r="B4468" s="96" t="s">
        <v>6814</v>
      </c>
      <c r="C4468" s="97">
        <v>540083</v>
      </c>
      <c r="D4468" s="96" t="s">
        <v>6815</v>
      </c>
      <c r="E4468" s="96" t="s">
        <v>1126</v>
      </c>
    </row>
    <row r="4469" spans="2:5" ht="15" customHeight="1" thickBot="1" x14ac:dyDescent="0.35">
      <c r="B4469" s="96" t="s">
        <v>6816</v>
      </c>
      <c r="C4469" s="97">
        <v>532800</v>
      </c>
      <c r="D4469" s="96" t="s">
        <v>6817</v>
      </c>
      <c r="E4469" s="96" t="s">
        <v>1126</v>
      </c>
    </row>
    <row r="4470" spans="2:5" ht="15" customHeight="1" thickBot="1" x14ac:dyDescent="0.35">
      <c r="B4470" s="96" t="s">
        <v>6818</v>
      </c>
      <c r="C4470" s="97">
        <v>532513</v>
      </c>
      <c r="D4470" s="96" t="s">
        <v>6819</v>
      </c>
      <c r="E4470" s="96" t="s">
        <v>485</v>
      </c>
    </row>
    <row r="4471" spans="2:5" ht="15" customHeight="1" thickBot="1" x14ac:dyDescent="0.35">
      <c r="B4471" s="96" t="s">
        <v>6820</v>
      </c>
      <c r="C4471" s="97">
        <v>532343</v>
      </c>
      <c r="D4471" s="96" t="s">
        <v>6821</v>
      </c>
      <c r="E4471" s="96" t="s">
        <v>1046</v>
      </c>
    </row>
    <row r="4472" spans="2:5" ht="15" customHeight="1" thickBot="1" x14ac:dyDescent="0.35">
      <c r="B4472" s="96" t="s">
        <v>6822</v>
      </c>
      <c r="C4472" s="97">
        <v>509243</v>
      </c>
      <c r="D4472" s="96" t="s">
        <v>6823</v>
      </c>
      <c r="E4472" s="96" t="s">
        <v>868</v>
      </c>
    </row>
    <row r="4473" spans="2:5" ht="15" customHeight="1" thickBot="1" x14ac:dyDescent="0.35">
      <c r="B4473" s="96" t="s">
        <v>6824</v>
      </c>
      <c r="C4473" s="97">
        <v>512117</v>
      </c>
      <c r="D4473" s="96" t="s">
        <v>388</v>
      </c>
      <c r="E4473" s="96" t="s">
        <v>809</v>
      </c>
    </row>
    <row r="4474" spans="2:5" ht="15" customHeight="1" thickBot="1" x14ac:dyDescent="0.35">
      <c r="B4474" s="96" t="s">
        <v>6825</v>
      </c>
      <c r="C4474" s="97">
        <v>531917</v>
      </c>
      <c r="D4474" s="96" t="s">
        <v>388</v>
      </c>
      <c r="E4474" s="96" t="s">
        <v>481</v>
      </c>
    </row>
    <row r="4475" spans="2:5" ht="15" customHeight="1" thickBot="1" x14ac:dyDescent="0.35">
      <c r="B4475" s="96" t="s">
        <v>6826</v>
      </c>
      <c r="C4475" s="97">
        <v>532384</v>
      </c>
      <c r="D4475" s="96" t="s">
        <v>388</v>
      </c>
      <c r="E4475" s="96" t="s">
        <v>426</v>
      </c>
    </row>
    <row r="4476" spans="2:5" ht="15" customHeight="1" thickBot="1" x14ac:dyDescent="0.35">
      <c r="B4476" s="96" t="s">
        <v>6827</v>
      </c>
      <c r="C4476" s="97">
        <v>539468</v>
      </c>
      <c r="D4476" s="96" t="s">
        <v>388</v>
      </c>
      <c r="E4476" s="96" t="s">
        <v>405</v>
      </c>
    </row>
    <row r="4477" spans="2:5" ht="15" customHeight="1" thickBot="1" x14ac:dyDescent="0.35">
      <c r="B4477" s="96" t="s">
        <v>6828</v>
      </c>
      <c r="C4477" s="97">
        <v>512307</v>
      </c>
      <c r="D4477" s="96" t="s">
        <v>388</v>
      </c>
      <c r="E4477" s="96" t="s">
        <v>403</v>
      </c>
    </row>
    <row r="4478" spans="2:5" ht="15" customHeight="1" thickBot="1" x14ac:dyDescent="0.35">
      <c r="B4478" s="96" t="s">
        <v>6829</v>
      </c>
      <c r="C4478" s="97">
        <v>526945</v>
      </c>
      <c r="D4478" s="96" t="s">
        <v>388</v>
      </c>
      <c r="E4478" s="96" t="s">
        <v>795</v>
      </c>
    </row>
    <row r="4479" spans="2:5" ht="15" customHeight="1" thickBot="1" x14ac:dyDescent="0.35">
      <c r="B4479" s="96" t="s">
        <v>6830</v>
      </c>
      <c r="C4479" s="97">
        <v>541338</v>
      </c>
      <c r="D4479" s="96" t="s">
        <v>388</v>
      </c>
      <c r="E4479" s="96" t="s">
        <v>502</v>
      </c>
    </row>
    <row r="4480" spans="2:5" ht="15" customHeight="1" thickBot="1" x14ac:dyDescent="0.35">
      <c r="B4480" s="96" t="s">
        <v>6831</v>
      </c>
      <c r="C4480" s="97">
        <v>500464</v>
      </c>
      <c r="D4480" s="96" t="s">
        <v>6832</v>
      </c>
      <c r="E4480" s="96" t="s">
        <v>743</v>
      </c>
    </row>
    <row r="4481" spans="2:5" ht="15" customHeight="1" thickBot="1" x14ac:dyDescent="0.35">
      <c r="B4481" s="96" t="s">
        <v>6833</v>
      </c>
      <c r="C4481" s="97">
        <v>532505</v>
      </c>
      <c r="D4481" s="96" t="s">
        <v>6834</v>
      </c>
      <c r="E4481" s="96" t="s">
        <v>706</v>
      </c>
    </row>
    <row r="4482" spans="2:5" ht="15" customHeight="1" thickBot="1" x14ac:dyDescent="0.35">
      <c r="B4482" s="96" t="s">
        <v>6835</v>
      </c>
      <c r="C4482" s="97">
        <v>530131</v>
      </c>
      <c r="D4482" s="96" t="s">
        <v>388</v>
      </c>
      <c r="E4482" s="96" t="s">
        <v>401</v>
      </c>
    </row>
    <row r="4483" spans="2:5" ht="15" customHeight="1" thickBot="1" x14ac:dyDescent="0.35">
      <c r="B4483" s="96" t="s">
        <v>6836</v>
      </c>
      <c r="C4483" s="97">
        <v>539518</v>
      </c>
      <c r="D4483" s="96" t="s">
        <v>388</v>
      </c>
      <c r="E4483" s="96" t="s">
        <v>422</v>
      </c>
    </row>
    <row r="4484" spans="2:5" ht="15" customHeight="1" thickBot="1" x14ac:dyDescent="0.35">
      <c r="B4484" s="96" t="s">
        <v>6837</v>
      </c>
      <c r="C4484" s="97">
        <v>500148</v>
      </c>
      <c r="D4484" s="96" t="s">
        <v>6838</v>
      </c>
      <c r="E4484" s="96" t="s">
        <v>583</v>
      </c>
    </row>
    <row r="4485" spans="2:5" ht="15" customHeight="1" thickBot="1" x14ac:dyDescent="0.35">
      <c r="B4485" s="96" t="s">
        <v>6839</v>
      </c>
      <c r="C4485" s="97">
        <v>539141</v>
      </c>
      <c r="D4485" s="96" t="s">
        <v>6840</v>
      </c>
      <c r="E4485" s="96" t="s">
        <v>1126</v>
      </c>
    </row>
    <row r="4486" spans="2:5" ht="15" customHeight="1" thickBot="1" x14ac:dyDescent="0.35">
      <c r="B4486" s="96" t="s">
        <v>6841</v>
      </c>
      <c r="C4486" s="97">
        <v>539141</v>
      </c>
      <c r="D4486" s="96" t="s">
        <v>6840</v>
      </c>
      <c r="E4486" s="96" t="s">
        <v>1126</v>
      </c>
    </row>
    <row r="4487" spans="2:5" ht="15" customHeight="1" thickBot="1" x14ac:dyDescent="0.35">
      <c r="B4487" s="96" t="s">
        <v>6842</v>
      </c>
      <c r="C4487" s="97">
        <v>511742</v>
      </c>
      <c r="D4487" s="96" t="s">
        <v>388</v>
      </c>
      <c r="E4487" s="96" t="s">
        <v>405</v>
      </c>
    </row>
    <row r="4488" spans="2:5" ht="15" customHeight="1" thickBot="1" x14ac:dyDescent="0.35">
      <c r="B4488" s="96" t="s">
        <v>6843</v>
      </c>
      <c r="C4488" s="97">
        <v>533644</v>
      </c>
      <c r="D4488" s="96" t="s">
        <v>6844</v>
      </c>
      <c r="E4488" s="96" t="s">
        <v>431</v>
      </c>
    </row>
    <row r="4489" spans="2:5" ht="15" customHeight="1" thickBot="1" x14ac:dyDescent="0.35">
      <c r="B4489" s="96" t="s">
        <v>6845</v>
      </c>
      <c r="C4489" s="97">
        <v>539874</v>
      </c>
      <c r="D4489" s="96" t="s">
        <v>6846</v>
      </c>
      <c r="E4489" s="96" t="s">
        <v>405</v>
      </c>
    </row>
    <row r="4490" spans="2:5" ht="15" customHeight="1" thickBot="1" x14ac:dyDescent="0.35">
      <c r="B4490" s="96" t="s">
        <v>6847</v>
      </c>
      <c r="C4490" s="96" t="s">
        <v>388</v>
      </c>
      <c r="D4490" s="96" t="s">
        <v>6848</v>
      </c>
      <c r="E4490" s="96" t="s">
        <v>399</v>
      </c>
    </row>
    <row r="4491" spans="2:5" ht="15" customHeight="1" thickBot="1" x14ac:dyDescent="0.35">
      <c r="B4491" s="96" t="s">
        <v>6849</v>
      </c>
      <c r="C4491" s="97">
        <v>538706</v>
      </c>
      <c r="D4491" s="96" t="s">
        <v>388</v>
      </c>
      <c r="E4491" s="96" t="s">
        <v>686</v>
      </c>
    </row>
    <row r="4492" spans="2:5" ht="15" customHeight="1" thickBot="1" x14ac:dyDescent="0.35">
      <c r="B4492" s="96" t="s">
        <v>6850</v>
      </c>
      <c r="C4492" s="97">
        <v>538706</v>
      </c>
      <c r="D4492" s="96" t="s">
        <v>388</v>
      </c>
      <c r="E4492" s="96" t="s">
        <v>686</v>
      </c>
    </row>
    <row r="4493" spans="2:5" ht="15" customHeight="1" thickBot="1" x14ac:dyDescent="0.35">
      <c r="B4493" s="96" t="s">
        <v>6851</v>
      </c>
      <c r="C4493" s="97">
        <v>506685</v>
      </c>
      <c r="D4493" s="96" t="s">
        <v>388</v>
      </c>
      <c r="E4493" s="96" t="s">
        <v>548</v>
      </c>
    </row>
    <row r="4494" spans="2:5" ht="15" customHeight="1" thickBot="1" x14ac:dyDescent="0.35">
      <c r="B4494" s="96" t="s">
        <v>6852</v>
      </c>
      <c r="C4494" s="97">
        <v>532538</v>
      </c>
      <c r="D4494" s="96" t="s">
        <v>6853</v>
      </c>
      <c r="E4494" s="96" t="s">
        <v>401</v>
      </c>
    </row>
    <row r="4495" spans="2:5" ht="15" customHeight="1" thickBot="1" x14ac:dyDescent="0.35">
      <c r="B4495" s="96" t="s">
        <v>6854</v>
      </c>
      <c r="C4495" s="97">
        <v>500231</v>
      </c>
      <c r="D4495" s="96" t="s">
        <v>6855</v>
      </c>
      <c r="E4495" s="96" t="s">
        <v>448</v>
      </c>
    </row>
    <row r="4496" spans="2:5" ht="15" customHeight="1" thickBot="1" x14ac:dyDescent="0.35">
      <c r="B4496" s="96" t="s">
        <v>6856</v>
      </c>
      <c r="C4496" s="97">
        <v>539798</v>
      </c>
      <c r="D4496" s="96" t="s">
        <v>388</v>
      </c>
      <c r="E4496" s="96" t="s">
        <v>711</v>
      </c>
    </row>
    <row r="4497" spans="2:5" ht="15" customHeight="1" thickBot="1" x14ac:dyDescent="0.35">
      <c r="B4497" s="96" t="s">
        <v>6857</v>
      </c>
      <c r="C4497" s="97">
        <v>504605</v>
      </c>
      <c r="D4497" s="96" t="s">
        <v>388</v>
      </c>
      <c r="E4497" s="96" t="s">
        <v>711</v>
      </c>
    </row>
    <row r="4498" spans="2:5" ht="15" customHeight="1" thickBot="1" x14ac:dyDescent="0.35">
      <c r="B4498" s="96" t="s">
        <v>6858</v>
      </c>
      <c r="C4498" s="97">
        <v>506690</v>
      </c>
      <c r="D4498" s="96" t="s">
        <v>6859</v>
      </c>
      <c r="E4498" s="96" t="s">
        <v>426</v>
      </c>
    </row>
    <row r="4499" spans="2:5" ht="15" customHeight="1" thickBot="1" x14ac:dyDescent="0.35">
      <c r="B4499" s="96" t="s">
        <v>6860</v>
      </c>
      <c r="C4499" s="97">
        <v>541503</v>
      </c>
      <c r="D4499" s="96" t="s">
        <v>388</v>
      </c>
      <c r="E4499" s="96" t="s">
        <v>2380</v>
      </c>
    </row>
    <row r="4500" spans="2:5" ht="15" customHeight="1" thickBot="1" x14ac:dyDescent="0.35">
      <c r="B4500" s="96" t="s">
        <v>6861</v>
      </c>
      <c r="C4500" s="96" t="s">
        <v>388</v>
      </c>
      <c r="D4500" s="96" t="s">
        <v>6862</v>
      </c>
      <c r="E4500" s="96" t="s">
        <v>399</v>
      </c>
    </row>
    <row r="4501" spans="2:5" ht="15" customHeight="1" thickBot="1" x14ac:dyDescent="0.35">
      <c r="B4501" s="96" t="s">
        <v>6863</v>
      </c>
      <c r="C4501" s="97">
        <v>503671</v>
      </c>
      <c r="D4501" s="96" t="s">
        <v>388</v>
      </c>
      <c r="E4501" s="96" t="s">
        <v>371</v>
      </c>
    </row>
    <row r="4502" spans="2:5" ht="15" customHeight="1" thickBot="1" x14ac:dyDescent="0.35">
      <c r="B4502" s="96" t="s">
        <v>6864</v>
      </c>
      <c r="C4502" s="97">
        <v>512595</v>
      </c>
      <c r="D4502" s="96" t="s">
        <v>6865</v>
      </c>
      <c r="E4502" s="96" t="s">
        <v>944</v>
      </c>
    </row>
    <row r="4503" spans="2:5" ht="15" customHeight="1" thickBot="1" x14ac:dyDescent="0.35">
      <c r="B4503" s="96" t="s">
        <v>6866</v>
      </c>
      <c r="C4503" s="97">
        <v>532477</v>
      </c>
      <c r="D4503" s="96" t="s">
        <v>6867</v>
      </c>
      <c r="E4503" s="96" t="s">
        <v>706</v>
      </c>
    </row>
    <row r="4504" spans="2:5" ht="15" customHeight="1" thickBot="1" x14ac:dyDescent="0.35">
      <c r="B4504" s="96" t="s">
        <v>6868</v>
      </c>
      <c r="C4504" s="97">
        <v>526799</v>
      </c>
      <c r="D4504" s="96" t="s">
        <v>388</v>
      </c>
      <c r="E4504" s="96" t="s">
        <v>583</v>
      </c>
    </row>
    <row r="4505" spans="2:5" ht="15" customHeight="1" thickBot="1" x14ac:dyDescent="0.35">
      <c r="B4505" s="96" t="s">
        <v>6869</v>
      </c>
      <c r="C4505" s="97">
        <v>500429</v>
      </c>
      <c r="D4505" s="96" t="s">
        <v>6870</v>
      </c>
      <c r="E4505" s="96" t="s">
        <v>410</v>
      </c>
    </row>
    <row r="4506" spans="2:5" ht="15" customHeight="1" thickBot="1" x14ac:dyDescent="0.35">
      <c r="B4506" s="96" t="s">
        <v>6871</v>
      </c>
      <c r="C4506" s="97">
        <v>526957</v>
      </c>
      <c r="D4506" s="96" t="s">
        <v>388</v>
      </c>
      <c r="E4506" s="96" t="s">
        <v>883</v>
      </c>
    </row>
    <row r="4507" spans="2:5" ht="15" customHeight="1" thickBot="1" x14ac:dyDescent="0.35">
      <c r="B4507" s="96" t="s">
        <v>6872</v>
      </c>
      <c r="C4507" s="97">
        <v>532646</v>
      </c>
      <c r="D4507" s="96" t="s">
        <v>6873</v>
      </c>
      <c r="E4507" s="96" t="s">
        <v>883</v>
      </c>
    </row>
    <row r="4508" spans="2:5" ht="15" customHeight="1" thickBot="1" x14ac:dyDescent="0.35">
      <c r="B4508" s="96" t="s">
        <v>6874</v>
      </c>
      <c r="C4508" s="97">
        <v>530997</v>
      </c>
      <c r="D4508" s="96" t="s">
        <v>388</v>
      </c>
      <c r="E4508" s="96" t="s">
        <v>586</v>
      </c>
    </row>
    <row r="4509" spans="2:5" ht="15" customHeight="1" thickBot="1" x14ac:dyDescent="0.35">
      <c r="B4509" s="96" t="s">
        <v>6875</v>
      </c>
      <c r="C4509" s="97">
        <v>521226</v>
      </c>
      <c r="D4509" s="96" t="s">
        <v>388</v>
      </c>
      <c r="E4509" s="96" t="s">
        <v>403</v>
      </c>
    </row>
    <row r="4510" spans="2:5" ht="15" customHeight="1" thickBot="1" x14ac:dyDescent="0.35">
      <c r="B4510" s="96" t="s">
        <v>6876</v>
      </c>
      <c r="C4510" s="97">
        <v>526113</v>
      </c>
      <c r="D4510" s="96" t="s">
        <v>388</v>
      </c>
      <c r="E4510" s="96" t="s">
        <v>448</v>
      </c>
    </row>
    <row r="4511" spans="2:5" ht="15" customHeight="1" thickBot="1" x14ac:dyDescent="0.35">
      <c r="B4511" s="96" t="s">
        <v>6877</v>
      </c>
      <c r="C4511" s="97">
        <v>537582</v>
      </c>
      <c r="D4511" s="96" t="s">
        <v>388</v>
      </c>
      <c r="E4511" s="96" t="s">
        <v>474</v>
      </c>
    </row>
    <row r="4512" spans="2:5" ht="15" customHeight="1" thickBot="1" x14ac:dyDescent="0.35">
      <c r="B4512" s="96" t="s">
        <v>6878</v>
      </c>
      <c r="C4512" s="97">
        <v>538610</v>
      </c>
      <c r="D4512" s="96" t="s">
        <v>388</v>
      </c>
      <c r="E4512" s="96" t="s">
        <v>711</v>
      </c>
    </row>
    <row r="4513" spans="2:5" ht="15" customHeight="1" thickBot="1" x14ac:dyDescent="0.35">
      <c r="B4513" s="96" t="s">
        <v>6879</v>
      </c>
      <c r="C4513" s="97">
        <v>532035</v>
      </c>
      <c r="D4513" s="96" t="s">
        <v>388</v>
      </c>
      <c r="E4513" s="96" t="s">
        <v>405</v>
      </c>
    </row>
    <row r="4514" spans="2:5" ht="15" customHeight="1" thickBot="1" x14ac:dyDescent="0.35">
      <c r="B4514" s="96" t="s">
        <v>6880</v>
      </c>
      <c r="C4514" s="97">
        <v>531831</v>
      </c>
      <c r="D4514" s="96" t="s">
        <v>388</v>
      </c>
      <c r="E4514" s="96" t="s">
        <v>446</v>
      </c>
    </row>
    <row r="4515" spans="2:5" ht="15" customHeight="1" thickBot="1" x14ac:dyDescent="0.35">
      <c r="B4515" s="96" t="s">
        <v>6881</v>
      </c>
      <c r="C4515" s="97">
        <v>531867</v>
      </c>
      <c r="D4515" s="96" t="s">
        <v>388</v>
      </c>
      <c r="E4515" s="96" t="s">
        <v>410</v>
      </c>
    </row>
    <row r="4516" spans="2:5" ht="15" customHeight="1" thickBot="1" x14ac:dyDescent="0.35">
      <c r="B4516" s="96" t="s">
        <v>6882</v>
      </c>
      <c r="C4516" s="97">
        <v>507878</v>
      </c>
      <c r="D4516" s="96" t="s">
        <v>6883</v>
      </c>
      <c r="E4516" s="96" t="s">
        <v>474</v>
      </c>
    </row>
    <row r="4517" spans="2:5" ht="15" customHeight="1" thickBot="1" x14ac:dyDescent="0.35">
      <c r="B4517" s="96" t="s">
        <v>6884</v>
      </c>
      <c r="C4517" s="97">
        <v>533171</v>
      </c>
      <c r="D4517" s="96" t="s">
        <v>6885</v>
      </c>
      <c r="E4517" s="96" t="s">
        <v>706</v>
      </c>
    </row>
    <row r="4518" spans="2:5" ht="15" customHeight="1" thickBot="1" x14ac:dyDescent="0.35">
      <c r="B4518" s="96" t="s">
        <v>6886</v>
      </c>
      <c r="C4518" s="97">
        <v>532478</v>
      </c>
      <c r="D4518" s="96" t="s">
        <v>6887</v>
      </c>
      <c r="E4518" s="96" t="s">
        <v>1020</v>
      </c>
    </row>
    <row r="4519" spans="2:5" ht="15" customHeight="1" thickBot="1" x14ac:dyDescent="0.35">
      <c r="B4519" s="96" t="s">
        <v>6888</v>
      </c>
      <c r="C4519" s="97">
        <v>531091</v>
      </c>
      <c r="D4519" s="96" t="s">
        <v>388</v>
      </c>
      <c r="E4519" s="96" t="s">
        <v>405</v>
      </c>
    </row>
    <row r="4520" spans="2:5" ht="15" customHeight="1" thickBot="1" x14ac:dyDescent="0.35">
      <c r="B4520" s="96" t="s">
        <v>6889</v>
      </c>
      <c r="C4520" s="97">
        <v>522014</v>
      </c>
      <c r="D4520" s="96" t="s">
        <v>388</v>
      </c>
      <c r="E4520" s="96" t="s">
        <v>573</v>
      </c>
    </row>
    <row r="4521" spans="2:5" ht="15" customHeight="1" thickBot="1" x14ac:dyDescent="0.35">
      <c r="B4521" s="96" t="s">
        <v>6890</v>
      </c>
      <c r="C4521" s="97">
        <v>502893</v>
      </c>
      <c r="D4521" s="96" t="s">
        <v>388</v>
      </c>
      <c r="E4521" s="96" t="s">
        <v>394</v>
      </c>
    </row>
    <row r="4522" spans="2:5" ht="15" customHeight="1" thickBot="1" x14ac:dyDescent="0.35">
      <c r="B4522" s="96" t="s">
        <v>6891</v>
      </c>
      <c r="C4522" s="97">
        <v>507808</v>
      </c>
      <c r="D4522" s="96" t="s">
        <v>388</v>
      </c>
      <c r="E4522" s="96" t="s">
        <v>405</v>
      </c>
    </row>
    <row r="4523" spans="2:5" ht="15" customHeight="1" thickBot="1" x14ac:dyDescent="0.35">
      <c r="B4523" s="96" t="s">
        <v>6892</v>
      </c>
      <c r="C4523" s="96" t="s">
        <v>388</v>
      </c>
      <c r="D4523" s="96" t="s">
        <v>6893</v>
      </c>
      <c r="E4523" s="96" t="s">
        <v>399</v>
      </c>
    </row>
    <row r="4524" spans="2:5" ht="15" customHeight="1" thickBot="1" x14ac:dyDescent="0.35">
      <c r="B4524" s="96" t="s">
        <v>6894</v>
      </c>
      <c r="C4524" s="97">
        <v>532432</v>
      </c>
      <c r="D4524" s="96" t="s">
        <v>6895</v>
      </c>
      <c r="E4524" s="96" t="s">
        <v>1020</v>
      </c>
    </row>
    <row r="4525" spans="2:5" ht="15" customHeight="1" thickBot="1" x14ac:dyDescent="0.35">
      <c r="B4525" s="96" t="s">
        <v>6896</v>
      </c>
      <c r="C4525" s="97">
        <v>521188</v>
      </c>
      <c r="D4525" s="96" t="s">
        <v>388</v>
      </c>
      <c r="E4525" s="96" t="s">
        <v>403</v>
      </c>
    </row>
    <row r="4526" spans="2:5" ht="15" customHeight="1" thickBot="1" x14ac:dyDescent="0.35">
      <c r="B4526" s="96" t="s">
        <v>6897</v>
      </c>
      <c r="C4526" s="97">
        <v>522091</v>
      </c>
      <c r="D4526" s="96" t="s">
        <v>388</v>
      </c>
      <c r="E4526" s="96" t="s">
        <v>431</v>
      </c>
    </row>
    <row r="4527" spans="2:5" ht="15" customHeight="1" thickBot="1" x14ac:dyDescent="0.35">
      <c r="B4527" s="96" t="s">
        <v>6898</v>
      </c>
      <c r="C4527" s="97">
        <v>532746</v>
      </c>
      <c r="D4527" s="96" t="s">
        <v>6899</v>
      </c>
      <c r="E4527" s="96" t="s">
        <v>786</v>
      </c>
    </row>
    <row r="4528" spans="2:5" ht="15" customHeight="1" thickBot="1" x14ac:dyDescent="0.35">
      <c r="B4528" s="96" t="s">
        <v>6900</v>
      </c>
      <c r="C4528" s="96" t="s">
        <v>388</v>
      </c>
      <c r="D4528" s="96" t="s">
        <v>6901</v>
      </c>
      <c r="E4528" s="96" t="s">
        <v>399</v>
      </c>
    </row>
    <row r="4529" spans="2:5" ht="15" customHeight="1" thickBot="1" x14ac:dyDescent="0.35">
      <c r="B4529" s="96" t="s">
        <v>6902</v>
      </c>
      <c r="C4529" s="96" t="s">
        <v>388</v>
      </c>
      <c r="D4529" s="96" t="s">
        <v>6901</v>
      </c>
      <c r="E4529" s="96" t="s">
        <v>399</v>
      </c>
    </row>
    <row r="4530" spans="2:5" ht="15" customHeight="1" thickBot="1" x14ac:dyDescent="0.35">
      <c r="B4530" s="96" t="s">
        <v>6903</v>
      </c>
      <c r="C4530" s="97">
        <v>532378</v>
      </c>
      <c r="D4530" s="96" t="s">
        <v>388</v>
      </c>
      <c r="E4530" s="96" t="s">
        <v>391</v>
      </c>
    </row>
    <row r="4531" spans="2:5" ht="15" customHeight="1" thickBot="1" x14ac:dyDescent="0.35">
      <c r="B4531" s="96" t="s">
        <v>6904</v>
      </c>
      <c r="C4531" s="97">
        <v>539314</v>
      </c>
      <c r="D4531" s="96" t="s">
        <v>388</v>
      </c>
      <c r="E4531" s="96" t="s">
        <v>743</v>
      </c>
    </row>
    <row r="4532" spans="2:5" ht="15" customHeight="1" thickBot="1" x14ac:dyDescent="0.35">
      <c r="B4532" s="96" t="s">
        <v>6905</v>
      </c>
      <c r="C4532" s="97">
        <v>504212</v>
      </c>
      <c r="D4532" s="96" t="s">
        <v>6906</v>
      </c>
      <c r="E4532" s="96" t="s">
        <v>686</v>
      </c>
    </row>
    <row r="4533" spans="2:5" ht="15" customHeight="1" thickBot="1" x14ac:dyDescent="0.35">
      <c r="B4533" s="96" t="s">
        <v>6907</v>
      </c>
      <c r="C4533" s="97">
        <v>531963</v>
      </c>
      <c r="D4533" s="96" t="s">
        <v>388</v>
      </c>
      <c r="E4533" s="96" t="s">
        <v>809</v>
      </c>
    </row>
    <row r="4534" spans="2:5" ht="15" customHeight="1" thickBot="1" x14ac:dyDescent="0.35">
      <c r="B4534" s="96" t="s">
        <v>6908</v>
      </c>
      <c r="C4534" s="97">
        <v>523519</v>
      </c>
      <c r="D4534" s="96" t="s">
        <v>388</v>
      </c>
      <c r="E4534" s="96" t="s">
        <v>410</v>
      </c>
    </row>
    <row r="4535" spans="2:5" ht="15" customHeight="1" thickBot="1" x14ac:dyDescent="0.35">
      <c r="B4535" s="96" t="s">
        <v>6909</v>
      </c>
      <c r="C4535" s="97">
        <v>504673</v>
      </c>
      <c r="D4535" s="96" t="s">
        <v>388</v>
      </c>
      <c r="E4535" s="96" t="s">
        <v>693</v>
      </c>
    </row>
    <row r="4536" spans="2:5" ht="15" customHeight="1" thickBot="1" x14ac:dyDescent="0.35">
      <c r="B4536" s="96" t="s">
        <v>6910</v>
      </c>
      <c r="C4536" s="97">
        <v>524408</v>
      </c>
      <c r="D4536" s="96" t="s">
        <v>388</v>
      </c>
      <c r="E4536" s="96" t="s">
        <v>436</v>
      </c>
    </row>
    <row r="4537" spans="2:5" ht="15" customHeight="1" thickBot="1" x14ac:dyDescent="0.35">
      <c r="B4537" s="96" t="s">
        <v>6911</v>
      </c>
      <c r="C4537" s="97">
        <v>514144</v>
      </c>
      <c r="D4537" s="96" t="s">
        <v>388</v>
      </c>
      <c r="E4537" s="96" t="s">
        <v>403</v>
      </c>
    </row>
    <row r="4538" spans="2:5" ht="15" customHeight="1" thickBot="1" x14ac:dyDescent="0.35">
      <c r="B4538" s="96" t="s">
        <v>6912</v>
      </c>
      <c r="C4538" s="97">
        <v>512408</v>
      </c>
      <c r="D4538" s="96" t="s">
        <v>388</v>
      </c>
      <c r="E4538" s="96" t="s">
        <v>403</v>
      </c>
    </row>
    <row r="4539" spans="2:5" ht="15" customHeight="1" thickBot="1" x14ac:dyDescent="0.35">
      <c r="B4539" s="96" t="s">
        <v>6913</v>
      </c>
      <c r="C4539" s="97">
        <v>531762</v>
      </c>
      <c r="D4539" s="96" t="s">
        <v>388</v>
      </c>
      <c r="E4539" s="96" t="s">
        <v>426</v>
      </c>
    </row>
    <row r="4540" spans="2:5" ht="15" customHeight="1" thickBot="1" x14ac:dyDescent="0.35">
      <c r="B4540" s="96" t="s">
        <v>6914</v>
      </c>
      <c r="C4540" s="97">
        <v>511764</v>
      </c>
      <c r="D4540" s="96" t="s">
        <v>388</v>
      </c>
      <c r="E4540" s="96" t="s">
        <v>405</v>
      </c>
    </row>
    <row r="4541" spans="2:5" ht="15" customHeight="1" thickBot="1" x14ac:dyDescent="0.35">
      <c r="B4541" s="96" t="s">
        <v>6915</v>
      </c>
      <c r="C4541" s="97">
        <v>512070</v>
      </c>
      <c r="D4541" s="96" t="s">
        <v>6916</v>
      </c>
      <c r="E4541" s="96" t="s">
        <v>532</v>
      </c>
    </row>
    <row r="4542" spans="2:5" ht="15" customHeight="1" thickBot="1" x14ac:dyDescent="0.35">
      <c r="B4542" s="96" t="s">
        <v>6917</v>
      </c>
      <c r="C4542" s="97">
        <v>531390</v>
      </c>
      <c r="D4542" s="96" t="s">
        <v>388</v>
      </c>
      <c r="E4542" s="96" t="s">
        <v>405</v>
      </c>
    </row>
    <row r="4543" spans="2:5" ht="15" customHeight="1" thickBot="1" x14ac:dyDescent="0.35">
      <c r="B4543" s="96" t="s">
        <v>6918</v>
      </c>
      <c r="C4543" s="96" t="s">
        <v>388</v>
      </c>
      <c r="D4543" s="96" t="s">
        <v>6919</v>
      </c>
      <c r="E4543" s="96" t="s">
        <v>399</v>
      </c>
    </row>
    <row r="4544" spans="2:5" ht="15" customHeight="1" thickBot="1" x14ac:dyDescent="0.35">
      <c r="B4544" s="96" t="s">
        <v>6920</v>
      </c>
      <c r="C4544" s="97">
        <v>526987</v>
      </c>
      <c r="D4544" s="96" t="s">
        <v>6921</v>
      </c>
      <c r="E4544" s="96" t="s">
        <v>410</v>
      </c>
    </row>
    <row r="4545" spans="2:5" ht="15" customHeight="1" thickBot="1" x14ac:dyDescent="0.35">
      <c r="B4545" s="96" t="s">
        <v>6922</v>
      </c>
      <c r="C4545" s="97">
        <v>532402</v>
      </c>
      <c r="D4545" s="96" t="s">
        <v>388</v>
      </c>
      <c r="E4545" s="96" t="s">
        <v>481</v>
      </c>
    </row>
    <row r="4546" spans="2:5" ht="15" customHeight="1" thickBot="1" x14ac:dyDescent="0.35">
      <c r="B4546" s="96" t="s">
        <v>6923</v>
      </c>
      <c r="C4546" s="97">
        <v>532398</v>
      </c>
      <c r="D4546" s="96" t="s">
        <v>6924</v>
      </c>
      <c r="E4546" s="96" t="s">
        <v>481</v>
      </c>
    </row>
    <row r="4547" spans="2:5" ht="15" customHeight="1" thickBot="1" x14ac:dyDescent="0.35">
      <c r="B4547" s="96" t="s">
        <v>6925</v>
      </c>
      <c r="C4547" s="97">
        <v>517146</v>
      </c>
      <c r="D4547" s="96" t="s">
        <v>6926</v>
      </c>
      <c r="E4547" s="96" t="s">
        <v>711</v>
      </c>
    </row>
    <row r="4548" spans="2:5" ht="15" customHeight="1" thickBot="1" x14ac:dyDescent="0.35">
      <c r="B4548" s="96" t="s">
        <v>6927</v>
      </c>
      <c r="C4548" s="97">
        <v>511507</v>
      </c>
      <c r="D4548" s="96" t="s">
        <v>388</v>
      </c>
      <c r="E4548" s="96" t="s">
        <v>405</v>
      </c>
    </row>
    <row r="4549" spans="2:5" ht="15" customHeight="1" thickBot="1" x14ac:dyDescent="0.35">
      <c r="B4549" s="96" t="s">
        <v>6928</v>
      </c>
      <c r="C4549" s="96" t="s">
        <v>388</v>
      </c>
      <c r="D4549" s="96" t="s">
        <v>6929</v>
      </c>
      <c r="E4549" s="96" t="s">
        <v>399</v>
      </c>
    </row>
    <row r="4550" spans="2:5" ht="15" customHeight="1" thickBot="1" x14ac:dyDescent="0.35">
      <c r="B4550" s="96" t="s">
        <v>6930</v>
      </c>
      <c r="C4550" s="97">
        <v>511736</v>
      </c>
      <c r="D4550" s="96" t="s">
        <v>388</v>
      </c>
      <c r="E4550" s="96" t="s">
        <v>410</v>
      </c>
    </row>
    <row r="4551" spans="2:5" ht="15" customHeight="1" thickBot="1" x14ac:dyDescent="0.35">
      <c r="B4551" s="96" t="s">
        <v>6931</v>
      </c>
      <c r="C4551" s="97">
        <v>532765</v>
      </c>
      <c r="D4551" s="96" t="s">
        <v>6932</v>
      </c>
      <c r="E4551" s="96" t="s">
        <v>586</v>
      </c>
    </row>
    <row r="4552" spans="2:5" ht="15" customHeight="1" thickBot="1" x14ac:dyDescent="0.35">
      <c r="B4552" s="96" t="s">
        <v>6933</v>
      </c>
      <c r="C4552" s="97">
        <v>590101</v>
      </c>
      <c r="D4552" s="96" t="s">
        <v>6934</v>
      </c>
      <c r="E4552" s="96" t="s">
        <v>371</v>
      </c>
    </row>
    <row r="4553" spans="2:5" ht="15" customHeight="1" thickBot="1" x14ac:dyDescent="0.35">
      <c r="B4553" s="96" t="s">
        <v>6935</v>
      </c>
      <c r="C4553" s="97">
        <v>500426</v>
      </c>
      <c r="D4553" s="96" t="s">
        <v>388</v>
      </c>
      <c r="E4553" s="96" t="s">
        <v>474</v>
      </c>
    </row>
    <row r="4554" spans="2:5" ht="15" customHeight="1" thickBot="1" x14ac:dyDescent="0.35">
      <c r="B4554" s="96" t="s">
        <v>6936</v>
      </c>
      <c r="C4554" s="97">
        <v>513216</v>
      </c>
      <c r="D4554" s="96" t="s">
        <v>6937</v>
      </c>
      <c r="E4554" s="96" t="s">
        <v>420</v>
      </c>
    </row>
    <row r="4555" spans="2:5" ht="15" customHeight="1" thickBot="1" x14ac:dyDescent="0.35">
      <c r="B4555" s="96" t="s">
        <v>6938</v>
      </c>
      <c r="C4555" s="97">
        <v>532729</v>
      </c>
      <c r="D4555" s="96" t="s">
        <v>6939</v>
      </c>
      <c r="E4555" s="96" t="s">
        <v>1087</v>
      </c>
    </row>
    <row r="4556" spans="2:5" ht="15" customHeight="1" thickBot="1" x14ac:dyDescent="0.35">
      <c r="B4556" s="96" t="s">
        <v>6940</v>
      </c>
      <c r="C4556" s="97">
        <v>500254</v>
      </c>
      <c r="D4556" s="96" t="s">
        <v>6941</v>
      </c>
      <c r="E4556" s="96" t="s">
        <v>420</v>
      </c>
    </row>
    <row r="4557" spans="2:5" ht="15" customHeight="1" thickBot="1" x14ac:dyDescent="0.35">
      <c r="B4557" s="96" t="s">
        <v>6942</v>
      </c>
      <c r="C4557" s="97">
        <v>511110</v>
      </c>
      <c r="D4557" s="96" t="s">
        <v>388</v>
      </c>
      <c r="E4557" s="96" t="s">
        <v>371</v>
      </c>
    </row>
    <row r="4558" spans="2:5" ht="15" customHeight="1" thickBot="1" x14ac:dyDescent="0.35">
      <c r="B4558" s="96" t="s">
        <v>6943</v>
      </c>
      <c r="C4558" s="97">
        <v>539123</v>
      </c>
      <c r="D4558" s="96" t="s">
        <v>388</v>
      </c>
      <c r="E4558" s="96" t="s">
        <v>408</v>
      </c>
    </row>
    <row r="4559" spans="2:5" ht="15" customHeight="1" thickBot="1" x14ac:dyDescent="0.35">
      <c r="B4559" s="96" t="s">
        <v>6944</v>
      </c>
      <c r="C4559" s="97">
        <v>542654</v>
      </c>
      <c r="D4559" s="96" t="s">
        <v>6945</v>
      </c>
      <c r="E4559" s="96" t="s">
        <v>389</v>
      </c>
    </row>
    <row r="4560" spans="2:5" ht="15" customHeight="1" thickBot="1" x14ac:dyDescent="0.35">
      <c r="B4560" s="96" t="s">
        <v>6946</v>
      </c>
      <c r="C4560" s="97">
        <v>523888</v>
      </c>
      <c r="D4560" s="96" t="s">
        <v>388</v>
      </c>
      <c r="E4560" s="96" t="s">
        <v>868</v>
      </c>
    </row>
    <row r="4561" spans="2:5" ht="15" customHeight="1" thickBot="1" x14ac:dyDescent="0.35">
      <c r="B4561" s="96" t="s">
        <v>6947</v>
      </c>
      <c r="C4561" s="97">
        <v>531266</v>
      </c>
      <c r="D4561" s="96" t="s">
        <v>6948</v>
      </c>
      <c r="E4561" s="96" t="s">
        <v>466</v>
      </c>
    </row>
    <row r="4562" spans="2:5" ht="15" customHeight="1" thickBot="1" x14ac:dyDescent="0.35">
      <c r="B4562" s="96" t="s">
        <v>6949</v>
      </c>
      <c r="C4562" s="97">
        <v>532867</v>
      </c>
      <c r="D4562" s="96" t="s">
        <v>6950</v>
      </c>
      <c r="E4562" s="96" t="s">
        <v>557</v>
      </c>
    </row>
    <row r="4563" spans="2:5" ht="15" customHeight="1" thickBot="1" x14ac:dyDescent="0.35">
      <c r="B4563" s="96" t="s">
        <v>6951</v>
      </c>
      <c r="C4563" s="97">
        <v>533269</v>
      </c>
      <c r="D4563" s="96" t="s">
        <v>6952</v>
      </c>
      <c r="E4563" s="96" t="s">
        <v>413</v>
      </c>
    </row>
    <row r="4564" spans="2:5" ht="15" customHeight="1" thickBot="1" x14ac:dyDescent="0.35">
      <c r="B4564" s="96" t="s">
        <v>6953</v>
      </c>
      <c r="C4564" s="97">
        <v>532320</v>
      </c>
      <c r="D4564" s="96" t="s">
        <v>388</v>
      </c>
      <c r="E4564" s="96" t="s">
        <v>405</v>
      </c>
    </row>
    <row r="4565" spans="2:5" ht="15" customHeight="1" thickBot="1" x14ac:dyDescent="0.35">
      <c r="B4565" s="96" t="s">
        <v>6954</v>
      </c>
      <c r="C4565" s="97">
        <v>519152</v>
      </c>
      <c r="D4565" s="96" t="s">
        <v>388</v>
      </c>
      <c r="E4565" s="96" t="s">
        <v>410</v>
      </c>
    </row>
    <row r="4566" spans="2:5" ht="15" customHeight="1" thickBot="1" x14ac:dyDescent="0.35">
      <c r="B4566" s="96" t="s">
        <v>6955</v>
      </c>
      <c r="C4566" s="97">
        <v>519156</v>
      </c>
      <c r="D4566" s="96" t="s">
        <v>6956</v>
      </c>
      <c r="E4566" s="96" t="s">
        <v>448</v>
      </c>
    </row>
    <row r="4567" spans="2:5" ht="15" customHeight="1" thickBot="1" x14ac:dyDescent="0.35">
      <c r="B4567" s="96" t="s">
        <v>6957</v>
      </c>
      <c r="C4567" s="96" t="s">
        <v>388</v>
      </c>
      <c r="D4567" s="96" t="s">
        <v>6958</v>
      </c>
      <c r="E4567" s="96" t="s">
        <v>399</v>
      </c>
    </row>
    <row r="4568" spans="2:5" ht="15" customHeight="1" thickBot="1" x14ac:dyDescent="0.35">
      <c r="B4568" s="96" t="s">
        <v>6959</v>
      </c>
      <c r="C4568" s="97">
        <v>531676</v>
      </c>
      <c r="D4568" s="96" t="s">
        <v>388</v>
      </c>
      <c r="E4568" s="96" t="s">
        <v>448</v>
      </c>
    </row>
    <row r="4569" spans="2:5" ht="15" customHeight="1" thickBot="1" x14ac:dyDescent="0.35">
      <c r="B4569" s="96" t="s">
        <v>6960</v>
      </c>
      <c r="C4569" s="97">
        <v>532156</v>
      </c>
      <c r="D4569" s="96" t="s">
        <v>6961</v>
      </c>
      <c r="E4569" s="96" t="s">
        <v>502</v>
      </c>
    </row>
    <row r="4570" spans="2:5" ht="15" customHeight="1" thickBot="1" x14ac:dyDescent="0.35">
      <c r="B4570" s="96" t="s">
        <v>6962</v>
      </c>
      <c r="C4570" s="96" t="s">
        <v>388</v>
      </c>
      <c r="D4570" s="96" t="s">
        <v>6963</v>
      </c>
      <c r="E4570" s="96" t="s">
        <v>399</v>
      </c>
    </row>
    <row r="4571" spans="2:5" ht="15" customHeight="1" thickBot="1" x14ac:dyDescent="0.35">
      <c r="B4571" s="96" t="s">
        <v>6964</v>
      </c>
      <c r="C4571" s="97">
        <v>511431</v>
      </c>
      <c r="D4571" s="96" t="s">
        <v>6965</v>
      </c>
      <c r="E4571" s="96" t="s">
        <v>389</v>
      </c>
    </row>
    <row r="4572" spans="2:5" ht="15" customHeight="1" thickBot="1" x14ac:dyDescent="0.35">
      <c r="B4572" s="96" t="s">
        <v>6966</v>
      </c>
      <c r="C4572" s="97">
        <v>539402</v>
      </c>
      <c r="D4572" s="96" t="s">
        <v>388</v>
      </c>
      <c r="E4572" s="96" t="s">
        <v>586</v>
      </c>
    </row>
    <row r="4573" spans="2:5" ht="15" customHeight="1" thickBot="1" x14ac:dyDescent="0.35">
      <c r="B4573" s="96" t="s">
        <v>6967</v>
      </c>
      <c r="C4573" s="97">
        <v>526775</v>
      </c>
      <c r="D4573" s="96" t="s">
        <v>388</v>
      </c>
      <c r="E4573" s="96" t="s">
        <v>534</v>
      </c>
    </row>
    <row r="4574" spans="2:5" ht="15" customHeight="1" thickBot="1" x14ac:dyDescent="0.35">
      <c r="B4574" s="96" t="s">
        <v>6968</v>
      </c>
      <c r="C4574" s="97">
        <v>540145</v>
      </c>
      <c r="D4574" s="96" t="s">
        <v>388</v>
      </c>
      <c r="E4574" s="96" t="s">
        <v>426</v>
      </c>
    </row>
    <row r="4575" spans="2:5" ht="15" customHeight="1" thickBot="1" x14ac:dyDescent="0.35">
      <c r="B4575" s="96" t="s">
        <v>6969</v>
      </c>
      <c r="C4575" s="97">
        <v>530403</v>
      </c>
      <c r="D4575" s="96" t="s">
        <v>388</v>
      </c>
      <c r="E4575" s="96" t="s">
        <v>583</v>
      </c>
    </row>
    <row r="4576" spans="2:5" ht="15" customHeight="1" thickBot="1" x14ac:dyDescent="0.35">
      <c r="B4576" s="96" t="s">
        <v>6970</v>
      </c>
      <c r="C4576" s="97">
        <v>513397</v>
      </c>
      <c r="D4576" s="96" t="s">
        <v>388</v>
      </c>
      <c r="E4576" s="96" t="s">
        <v>711</v>
      </c>
    </row>
    <row r="4577" spans="2:5" ht="15" customHeight="1" thickBot="1" x14ac:dyDescent="0.35">
      <c r="B4577" s="96" t="s">
        <v>6971</v>
      </c>
      <c r="C4577" s="97">
        <v>539543</v>
      </c>
      <c r="D4577" s="96" t="s">
        <v>388</v>
      </c>
      <c r="E4577" s="96" t="s">
        <v>408</v>
      </c>
    </row>
    <row r="4578" spans="2:5" ht="15" customHeight="1" thickBot="1" x14ac:dyDescent="0.35">
      <c r="B4578" s="96" t="s">
        <v>6972</v>
      </c>
      <c r="C4578" s="97">
        <v>530459</v>
      </c>
      <c r="D4578" s="96" t="s">
        <v>388</v>
      </c>
      <c r="E4578" s="96" t="s">
        <v>403</v>
      </c>
    </row>
    <row r="4579" spans="2:5" ht="15" customHeight="1" thickBot="1" x14ac:dyDescent="0.35">
      <c r="B4579" s="96" t="s">
        <v>6973</v>
      </c>
      <c r="C4579" s="97">
        <v>512175</v>
      </c>
      <c r="D4579" s="96" t="s">
        <v>388</v>
      </c>
      <c r="E4579" s="96" t="s">
        <v>374</v>
      </c>
    </row>
    <row r="4580" spans="2:5" ht="15" customHeight="1" thickBot="1" x14ac:dyDescent="0.35">
      <c r="B4580" s="96" t="s">
        <v>6974</v>
      </c>
      <c r="C4580" s="97">
        <v>530369</v>
      </c>
      <c r="D4580" s="96" t="s">
        <v>388</v>
      </c>
      <c r="E4580" s="96" t="s">
        <v>868</v>
      </c>
    </row>
    <row r="4581" spans="2:5" ht="15" customHeight="1" thickBot="1" x14ac:dyDescent="0.35">
      <c r="B4581" s="96" t="s">
        <v>6975</v>
      </c>
      <c r="C4581" s="97">
        <v>532090</v>
      </c>
      <c r="D4581" s="96" t="s">
        <v>388</v>
      </c>
      <c r="E4581" s="96" t="s">
        <v>403</v>
      </c>
    </row>
    <row r="4582" spans="2:5" ht="15" customHeight="1" thickBot="1" x14ac:dyDescent="0.35">
      <c r="B4582" s="96" t="s">
        <v>6976</v>
      </c>
      <c r="C4582" s="97">
        <v>538918</v>
      </c>
      <c r="D4582" s="96" t="s">
        <v>388</v>
      </c>
      <c r="E4582" s="96" t="s">
        <v>405</v>
      </c>
    </row>
    <row r="4583" spans="2:5" ht="15" customHeight="1" thickBot="1" x14ac:dyDescent="0.35">
      <c r="B4583" s="96" t="s">
        <v>6977</v>
      </c>
      <c r="C4583" s="97">
        <v>540729</v>
      </c>
      <c r="D4583" s="96" t="s">
        <v>388</v>
      </c>
      <c r="E4583" s="96" t="s">
        <v>426</v>
      </c>
    </row>
    <row r="4584" spans="2:5" ht="15" customHeight="1" thickBot="1" x14ac:dyDescent="0.35">
      <c r="B4584" s="96" t="s">
        <v>6978</v>
      </c>
      <c r="C4584" s="97">
        <v>539761</v>
      </c>
      <c r="D4584" s="96" t="s">
        <v>388</v>
      </c>
      <c r="E4584" s="96" t="s">
        <v>493</v>
      </c>
    </row>
    <row r="4585" spans="2:5" ht="15" customHeight="1" thickBot="1" x14ac:dyDescent="0.35">
      <c r="B4585" s="96" t="s">
        <v>6979</v>
      </c>
      <c r="C4585" s="97">
        <v>502589</v>
      </c>
      <c r="D4585" s="96" t="s">
        <v>388</v>
      </c>
      <c r="E4585" s="96" t="s">
        <v>382</v>
      </c>
    </row>
    <row r="4586" spans="2:5" ht="15" customHeight="1" thickBot="1" x14ac:dyDescent="0.35">
      <c r="B4586" s="96" t="s">
        <v>6980</v>
      </c>
      <c r="C4586" s="97">
        <v>524796</v>
      </c>
      <c r="D4586" s="96" t="s">
        <v>388</v>
      </c>
      <c r="E4586" s="96" t="s">
        <v>426</v>
      </c>
    </row>
    <row r="4587" spans="2:5" ht="15" customHeight="1" thickBot="1" x14ac:dyDescent="0.35">
      <c r="B4587" s="96" t="s">
        <v>6981</v>
      </c>
      <c r="C4587" s="96" t="s">
        <v>388</v>
      </c>
      <c r="D4587" s="96" t="s">
        <v>6982</v>
      </c>
      <c r="E4587" s="96" t="s">
        <v>479</v>
      </c>
    </row>
    <row r="4588" spans="2:5" ht="15" customHeight="1" thickBot="1" x14ac:dyDescent="0.35">
      <c r="B4588" s="96" t="s">
        <v>6983</v>
      </c>
      <c r="C4588" s="97">
        <v>531444</v>
      </c>
      <c r="D4588" s="96" t="s">
        <v>388</v>
      </c>
      <c r="E4588" s="96" t="s">
        <v>401</v>
      </c>
    </row>
    <row r="4589" spans="2:5" ht="15" customHeight="1" thickBot="1" x14ac:dyDescent="0.35">
      <c r="B4589" s="96" t="s">
        <v>6984</v>
      </c>
      <c r="C4589" s="97">
        <v>500439</v>
      </c>
      <c r="D4589" s="96" t="s">
        <v>6985</v>
      </c>
      <c r="E4589" s="96" t="s">
        <v>405</v>
      </c>
    </row>
    <row r="4590" spans="2:5" ht="15" customHeight="1" thickBot="1" x14ac:dyDescent="0.35">
      <c r="B4590" s="96" t="s">
        <v>6986</v>
      </c>
      <c r="C4590" s="97">
        <v>513534</v>
      </c>
      <c r="D4590" s="96" t="s">
        <v>388</v>
      </c>
      <c r="E4590" s="96" t="s">
        <v>420</v>
      </c>
    </row>
    <row r="4591" spans="2:5" ht="15" customHeight="1" thickBot="1" x14ac:dyDescent="0.35">
      <c r="B4591" s="96" t="s">
        <v>6987</v>
      </c>
      <c r="C4591" s="97">
        <v>514175</v>
      </c>
      <c r="D4591" s="96" t="s">
        <v>6988</v>
      </c>
      <c r="E4591" s="96" t="s">
        <v>403</v>
      </c>
    </row>
    <row r="4592" spans="2:5" ht="15" customHeight="1" thickBot="1" x14ac:dyDescent="0.35">
      <c r="B4592" s="96" t="s">
        <v>6989</v>
      </c>
      <c r="C4592" s="97">
        <v>534392</v>
      </c>
      <c r="D4592" s="96" t="s">
        <v>6990</v>
      </c>
      <c r="E4592" s="96" t="s">
        <v>711</v>
      </c>
    </row>
    <row r="4593" spans="2:5" ht="15" customHeight="1" thickBot="1" x14ac:dyDescent="0.35">
      <c r="B4593" s="96" t="s">
        <v>6991</v>
      </c>
      <c r="C4593" s="97">
        <v>502986</v>
      </c>
      <c r="D4593" s="96" t="s">
        <v>6992</v>
      </c>
      <c r="E4593" s="96" t="s">
        <v>403</v>
      </c>
    </row>
    <row r="4594" spans="2:5" ht="15" customHeight="1" thickBot="1" x14ac:dyDescent="0.35">
      <c r="B4594" s="96" t="s">
        <v>6993</v>
      </c>
      <c r="C4594" s="97">
        <v>541578</v>
      </c>
      <c r="D4594" s="96" t="s">
        <v>6994</v>
      </c>
      <c r="E4594" s="96" t="s">
        <v>743</v>
      </c>
    </row>
    <row r="4595" spans="2:5" ht="15" customHeight="1" thickBot="1" x14ac:dyDescent="0.35">
      <c r="B4595" s="96" t="s">
        <v>6995</v>
      </c>
      <c r="C4595" s="97">
        <v>540180</v>
      </c>
      <c r="D4595" s="96" t="s">
        <v>6996</v>
      </c>
      <c r="E4595" s="96" t="s">
        <v>583</v>
      </c>
    </row>
    <row r="4596" spans="2:5" ht="15" customHeight="1" thickBot="1" x14ac:dyDescent="0.35">
      <c r="B4596" s="96" t="s">
        <v>6997</v>
      </c>
      <c r="C4596" s="97">
        <v>512511</v>
      </c>
      <c r="D4596" s="96" t="s">
        <v>388</v>
      </c>
      <c r="E4596" s="96" t="s">
        <v>809</v>
      </c>
    </row>
    <row r="4597" spans="2:5" ht="15" customHeight="1" thickBot="1" x14ac:dyDescent="0.35">
      <c r="B4597" s="96" t="s">
        <v>6998</v>
      </c>
      <c r="C4597" s="97">
        <v>531574</v>
      </c>
      <c r="D4597" s="96" t="s">
        <v>388</v>
      </c>
      <c r="E4597" s="96" t="s">
        <v>474</v>
      </c>
    </row>
    <row r="4598" spans="2:5" ht="15" customHeight="1" thickBot="1" x14ac:dyDescent="0.35">
      <c r="B4598" s="96" t="s">
        <v>6999</v>
      </c>
      <c r="C4598" s="96" t="s">
        <v>388</v>
      </c>
      <c r="D4598" s="96" t="s">
        <v>7000</v>
      </c>
      <c r="E4598" s="96" t="s">
        <v>399</v>
      </c>
    </row>
    <row r="4599" spans="2:5" ht="15" customHeight="1" thickBot="1" x14ac:dyDescent="0.35">
      <c r="B4599" s="96" t="s">
        <v>7001</v>
      </c>
      <c r="C4599" s="97">
        <v>533156</v>
      </c>
      <c r="D4599" s="96" t="s">
        <v>7002</v>
      </c>
      <c r="E4599" s="96" t="s">
        <v>474</v>
      </c>
    </row>
    <row r="4600" spans="2:5" ht="15" customHeight="1" thickBot="1" x14ac:dyDescent="0.35">
      <c r="B4600" s="96" t="s">
        <v>7003</v>
      </c>
      <c r="C4600" s="97">
        <v>538634</v>
      </c>
      <c r="D4600" s="96" t="s">
        <v>388</v>
      </c>
      <c r="E4600" s="96" t="s">
        <v>426</v>
      </c>
    </row>
    <row r="4601" spans="2:5" ht="15" customHeight="1" thickBot="1" x14ac:dyDescent="0.35">
      <c r="B4601" s="96" t="s">
        <v>7004</v>
      </c>
      <c r="C4601" s="97">
        <v>533576</v>
      </c>
      <c r="D4601" s="96" t="s">
        <v>7005</v>
      </c>
      <c r="E4601" s="96" t="s">
        <v>420</v>
      </c>
    </row>
    <row r="4602" spans="2:5" ht="15" customHeight="1" thickBot="1" x14ac:dyDescent="0.35">
      <c r="B4602" s="96" t="s">
        <v>7006</v>
      </c>
      <c r="C4602" s="97">
        <v>531650</v>
      </c>
      <c r="D4602" s="96" t="s">
        <v>388</v>
      </c>
      <c r="E4602" s="96" t="s">
        <v>809</v>
      </c>
    </row>
    <row r="4603" spans="2:5" ht="15" customHeight="1" thickBot="1" x14ac:dyDescent="0.35">
      <c r="B4603" s="96" t="s">
        <v>7007</v>
      </c>
      <c r="C4603" s="97">
        <v>513005</v>
      </c>
      <c r="D4603" s="96" t="s">
        <v>388</v>
      </c>
      <c r="E4603" s="96" t="s">
        <v>420</v>
      </c>
    </row>
    <row r="4604" spans="2:5" ht="15" customHeight="1" thickBot="1" x14ac:dyDescent="0.35">
      <c r="B4604" s="96" t="s">
        <v>7008</v>
      </c>
      <c r="C4604" s="97">
        <v>511493</v>
      </c>
      <c r="D4604" s="96" t="s">
        <v>388</v>
      </c>
      <c r="E4604" s="96" t="s">
        <v>405</v>
      </c>
    </row>
    <row r="4605" spans="2:5" ht="15" customHeight="1" thickBot="1" x14ac:dyDescent="0.35">
      <c r="B4605" s="96" t="s">
        <v>7009</v>
      </c>
      <c r="C4605" s="97">
        <v>536672</v>
      </c>
      <c r="D4605" s="96" t="s">
        <v>388</v>
      </c>
      <c r="E4605" s="96" t="s">
        <v>2014</v>
      </c>
    </row>
    <row r="4606" spans="2:5" ht="15" customHeight="1" thickBot="1" x14ac:dyDescent="0.35">
      <c r="B4606" s="96" t="s">
        <v>7010</v>
      </c>
      <c r="C4606" s="97">
        <v>500295</v>
      </c>
      <c r="D4606" s="96" t="s">
        <v>7011</v>
      </c>
      <c r="E4606" s="96" t="s">
        <v>2902</v>
      </c>
    </row>
    <row r="4607" spans="2:5" ht="15" customHeight="1" thickBot="1" x14ac:dyDescent="0.35">
      <c r="B4607" s="96" t="s">
        <v>7012</v>
      </c>
      <c r="C4607" s="97">
        <v>533056</v>
      </c>
      <c r="D4607" s="96" t="s">
        <v>388</v>
      </c>
      <c r="E4607" s="96" t="s">
        <v>394</v>
      </c>
    </row>
    <row r="4608" spans="2:5" ht="15" customHeight="1" thickBot="1" x14ac:dyDescent="0.35">
      <c r="B4608" s="96" t="s">
        <v>7013</v>
      </c>
      <c r="C4608" s="97">
        <v>522267</v>
      </c>
      <c r="D4608" s="96" t="s">
        <v>388</v>
      </c>
      <c r="E4608" s="96" t="s">
        <v>396</v>
      </c>
    </row>
    <row r="4609" spans="2:5" ht="15" customHeight="1" thickBot="1" x14ac:dyDescent="0.35">
      <c r="B4609" s="96" t="s">
        <v>7014</v>
      </c>
      <c r="C4609" s="97">
        <v>503657</v>
      </c>
      <c r="D4609" s="96" t="s">
        <v>388</v>
      </c>
      <c r="E4609" s="96" t="s">
        <v>527</v>
      </c>
    </row>
    <row r="4610" spans="2:5" ht="15" customHeight="1" thickBot="1" x14ac:dyDescent="0.35">
      <c r="B4610" s="96" t="s">
        <v>7015</v>
      </c>
      <c r="C4610" s="97">
        <v>542046</v>
      </c>
      <c r="D4610" s="96" t="s">
        <v>388</v>
      </c>
      <c r="E4610" s="96" t="s">
        <v>474</v>
      </c>
    </row>
    <row r="4611" spans="2:5" ht="15" customHeight="1" thickBot="1" x14ac:dyDescent="0.35">
      <c r="B4611" s="96" t="s">
        <v>7016</v>
      </c>
      <c r="C4611" s="97">
        <v>540252</v>
      </c>
      <c r="D4611" s="96" t="s">
        <v>388</v>
      </c>
      <c r="E4611" s="96" t="s">
        <v>502</v>
      </c>
    </row>
    <row r="4612" spans="2:5" ht="15" customHeight="1" thickBot="1" x14ac:dyDescent="0.35">
      <c r="B4612" s="96" t="s">
        <v>7017</v>
      </c>
      <c r="C4612" s="97">
        <v>511523</v>
      </c>
      <c r="D4612" s="96" t="s">
        <v>388</v>
      </c>
      <c r="E4612" s="96" t="s">
        <v>426</v>
      </c>
    </row>
    <row r="4613" spans="2:5" ht="15" customHeight="1" thickBot="1" x14ac:dyDescent="0.35">
      <c r="B4613" s="96" t="s">
        <v>7018</v>
      </c>
      <c r="C4613" s="97">
        <v>539132</v>
      </c>
      <c r="D4613" s="96" t="s">
        <v>388</v>
      </c>
      <c r="E4613" s="96" t="s">
        <v>637</v>
      </c>
    </row>
    <row r="4614" spans="2:5" ht="15" customHeight="1" thickBot="1" x14ac:dyDescent="0.35">
      <c r="B4614" s="96" t="s">
        <v>7019</v>
      </c>
      <c r="C4614" s="97">
        <v>526755</v>
      </c>
      <c r="D4614" s="96" t="s">
        <v>388</v>
      </c>
      <c r="E4614" s="96" t="s">
        <v>589</v>
      </c>
    </row>
    <row r="4615" spans="2:5" ht="15" customHeight="1" thickBot="1" x14ac:dyDescent="0.35">
      <c r="B4615" s="96" t="s">
        <v>7020</v>
      </c>
      <c r="C4615" s="97">
        <v>505232</v>
      </c>
      <c r="D4615" s="96" t="s">
        <v>388</v>
      </c>
      <c r="E4615" s="96" t="s">
        <v>743</v>
      </c>
    </row>
    <row r="4616" spans="2:5" ht="15" customHeight="1" thickBot="1" x14ac:dyDescent="0.35">
      <c r="B4616" s="96" t="s">
        <v>7021</v>
      </c>
      <c r="C4616" s="97">
        <v>523261</v>
      </c>
      <c r="D4616" s="96" t="s">
        <v>7022</v>
      </c>
      <c r="E4616" s="96" t="s">
        <v>448</v>
      </c>
    </row>
    <row r="4617" spans="2:5" ht="15" customHeight="1" thickBot="1" x14ac:dyDescent="0.35">
      <c r="B4617" s="96" t="s">
        <v>7023</v>
      </c>
      <c r="C4617" s="97">
        <v>523261</v>
      </c>
      <c r="D4617" s="96" t="s">
        <v>7022</v>
      </c>
      <c r="E4617" s="96" t="s">
        <v>448</v>
      </c>
    </row>
    <row r="4618" spans="2:5" ht="15" customHeight="1" thickBot="1" x14ac:dyDescent="0.35">
      <c r="B4618" s="96" t="s">
        <v>7024</v>
      </c>
      <c r="C4618" s="97">
        <v>524038</v>
      </c>
      <c r="D4618" s="96" t="s">
        <v>388</v>
      </c>
      <c r="E4618" s="96" t="s">
        <v>436</v>
      </c>
    </row>
    <row r="4619" spans="2:5" ht="15" customHeight="1" thickBot="1" x14ac:dyDescent="0.35">
      <c r="B4619" s="96" t="s">
        <v>7025</v>
      </c>
      <c r="C4619" s="97">
        <v>512060</v>
      </c>
      <c r="D4619" s="96" t="s">
        <v>7026</v>
      </c>
      <c r="E4619" s="96" t="s">
        <v>809</v>
      </c>
    </row>
    <row r="4620" spans="2:5" ht="15" customHeight="1" thickBot="1" x14ac:dyDescent="0.35">
      <c r="B4620" s="96" t="s">
        <v>7027</v>
      </c>
      <c r="C4620" s="97">
        <v>516098</v>
      </c>
      <c r="D4620" s="96" t="s">
        <v>388</v>
      </c>
      <c r="E4620" s="96" t="s">
        <v>403</v>
      </c>
    </row>
    <row r="4621" spans="2:5" ht="15" customHeight="1" thickBot="1" x14ac:dyDescent="0.35">
      <c r="B4621" s="96" t="s">
        <v>7028</v>
      </c>
      <c r="C4621" s="97">
        <v>526953</v>
      </c>
      <c r="D4621" s="96" t="s">
        <v>7029</v>
      </c>
      <c r="E4621" s="96" t="s">
        <v>426</v>
      </c>
    </row>
    <row r="4622" spans="2:5" ht="15" customHeight="1" thickBot="1" x14ac:dyDescent="0.35">
      <c r="B4622" s="96" t="s">
        <v>7030</v>
      </c>
      <c r="C4622" s="96" t="s">
        <v>388</v>
      </c>
      <c r="D4622" s="96" t="s">
        <v>7031</v>
      </c>
      <c r="E4622" s="96" t="s">
        <v>399</v>
      </c>
    </row>
    <row r="4623" spans="2:5" ht="15" customHeight="1" thickBot="1" x14ac:dyDescent="0.35">
      <c r="B4623" s="96" t="s">
        <v>7032</v>
      </c>
      <c r="C4623" s="97">
        <v>512229</v>
      </c>
      <c r="D4623" s="96" t="s">
        <v>388</v>
      </c>
      <c r="E4623" s="96" t="s">
        <v>410</v>
      </c>
    </row>
    <row r="4624" spans="2:5" ht="15" customHeight="1" thickBot="1" x14ac:dyDescent="0.35">
      <c r="B4624" s="96" t="s">
        <v>7033</v>
      </c>
      <c r="C4624" s="97">
        <v>512229</v>
      </c>
      <c r="D4624" s="96" t="s">
        <v>388</v>
      </c>
      <c r="E4624" s="96" t="s">
        <v>410</v>
      </c>
    </row>
    <row r="4625" spans="2:5" ht="15" customHeight="1" thickBot="1" x14ac:dyDescent="0.35">
      <c r="B4625" s="96" t="s">
        <v>7034</v>
      </c>
      <c r="C4625" s="97">
        <v>531695</v>
      </c>
      <c r="D4625" s="96" t="s">
        <v>388</v>
      </c>
      <c r="E4625" s="96" t="s">
        <v>391</v>
      </c>
    </row>
    <row r="4626" spans="2:5" ht="15" customHeight="1" thickBot="1" x14ac:dyDescent="0.35">
      <c r="B4626" s="96" t="s">
        <v>7035</v>
      </c>
      <c r="C4626" s="97">
        <v>531950</v>
      </c>
      <c r="D4626" s="96" t="s">
        <v>388</v>
      </c>
      <c r="E4626" s="96" t="s">
        <v>371</v>
      </c>
    </row>
    <row r="4627" spans="2:5" ht="15" customHeight="1" thickBot="1" x14ac:dyDescent="0.35">
      <c r="B4627" s="96" t="s">
        <v>7036</v>
      </c>
      <c r="C4627" s="97">
        <v>515099</v>
      </c>
      <c r="D4627" s="96" t="s">
        <v>388</v>
      </c>
      <c r="E4627" s="96" t="s">
        <v>916</v>
      </c>
    </row>
    <row r="4628" spans="2:5" ht="15" customHeight="1" thickBot="1" x14ac:dyDescent="0.35">
      <c r="B4628" s="96" t="s">
        <v>7037</v>
      </c>
      <c r="C4628" s="96" t="s">
        <v>388</v>
      </c>
      <c r="D4628" s="96" t="s">
        <v>7038</v>
      </c>
      <c r="E4628" s="96" t="s">
        <v>399</v>
      </c>
    </row>
    <row r="4629" spans="2:5" ht="15" customHeight="1" thickBot="1" x14ac:dyDescent="0.35">
      <c r="B4629" s="96" t="s">
        <v>7039</v>
      </c>
      <c r="C4629" s="97">
        <v>520113</v>
      </c>
      <c r="D4629" s="96" t="s">
        <v>7040</v>
      </c>
      <c r="E4629" s="96" t="s">
        <v>573</v>
      </c>
    </row>
    <row r="4630" spans="2:5" ht="15" customHeight="1" thickBot="1" x14ac:dyDescent="0.35">
      <c r="B4630" s="96" t="s">
        <v>7041</v>
      </c>
      <c r="C4630" s="97">
        <v>520113</v>
      </c>
      <c r="D4630" s="96" t="s">
        <v>7040</v>
      </c>
      <c r="E4630" s="96" t="s">
        <v>573</v>
      </c>
    </row>
    <row r="4631" spans="2:5" ht="15" customHeight="1" thickBot="1" x14ac:dyDescent="0.35">
      <c r="B4631" s="96" t="s">
        <v>7042</v>
      </c>
      <c r="C4631" s="97">
        <v>539331</v>
      </c>
      <c r="D4631" s="96" t="s">
        <v>7043</v>
      </c>
      <c r="E4631" s="96" t="s">
        <v>686</v>
      </c>
    </row>
    <row r="4632" spans="2:5" ht="15" customHeight="1" thickBot="1" x14ac:dyDescent="0.35">
      <c r="B4632" s="96" t="s">
        <v>7044</v>
      </c>
      <c r="C4632" s="97">
        <v>532953</v>
      </c>
      <c r="D4632" s="96" t="s">
        <v>7045</v>
      </c>
      <c r="E4632" s="96" t="s">
        <v>686</v>
      </c>
    </row>
    <row r="4633" spans="2:5" ht="15" customHeight="1" thickBot="1" x14ac:dyDescent="0.35">
      <c r="B4633" s="96" t="s">
        <v>7046</v>
      </c>
      <c r="C4633" s="97">
        <v>537524</v>
      </c>
      <c r="D4633" s="96" t="s">
        <v>388</v>
      </c>
      <c r="E4633" s="96" t="s">
        <v>1433</v>
      </c>
    </row>
    <row r="4634" spans="2:5" ht="15" customHeight="1" thickBot="1" x14ac:dyDescent="0.35">
      <c r="B4634" s="96" t="s">
        <v>7047</v>
      </c>
      <c r="C4634" s="97">
        <v>538732</v>
      </c>
      <c r="D4634" s="96" t="s">
        <v>388</v>
      </c>
      <c r="E4634" s="96" t="s">
        <v>405</v>
      </c>
    </row>
    <row r="4635" spans="2:5" ht="15" customHeight="1" thickBot="1" x14ac:dyDescent="0.35">
      <c r="B4635" s="96" t="s">
        <v>7048</v>
      </c>
      <c r="C4635" s="97">
        <v>523796</v>
      </c>
      <c r="D4635" s="96" t="s">
        <v>7049</v>
      </c>
      <c r="E4635" s="96" t="s">
        <v>589</v>
      </c>
    </row>
    <row r="4636" spans="2:5" ht="15" customHeight="1" thickBot="1" x14ac:dyDescent="0.35">
      <c r="B4636" s="96" t="s">
        <v>7050</v>
      </c>
      <c r="C4636" s="97">
        <v>503349</v>
      </c>
      <c r="D4636" s="96" t="s">
        <v>388</v>
      </c>
      <c r="E4636" s="96" t="s">
        <v>403</v>
      </c>
    </row>
    <row r="4637" spans="2:5" ht="15" customHeight="1" thickBot="1" x14ac:dyDescent="0.35">
      <c r="B4637" s="96" t="s">
        <v>7051</v>
      </c>
      <c r="C4637" s="97">
        <v>531234</v>
      </c>
      <c r="D4637" s="96" t="s">
        <v>388</v>
      </c>
      <c r="E4637" s="96" t="s">
        <v>382</v>
      </c>
    </row>
    <row r="4638" spans="2:5" ht="15" customHeight="1" thickBot="1" x14ac:dyDescent="0.35">
      <c r="B4638" s="96" t="s">
        <v>7052</v>
      </c>
      <c r="C4638" s="97">
        <v>531234</v>
      </c>
      <c r="D4638" s="96" t="s">
        <v>388</v>
      </c>
      <c r="E4638" s="96" t="s">
        <v>382</v>
      </c>
    </row>
    <row r="4639" spans="2:5" ht="15" customHeight="1" thickBot="1" x14ac:dyDescent="0.35">
      <c r="B4639" s="96" t="s">
        <v>7053</v>
      </c>
      <c r="C4639" s="97">
        <v>511389</v>
      </c>
      <c r="D4639" s="96" t="s">
        <v>7054</v>
      </c>
      <c r="E4639" s="96" t="s">
        <v>757</v>
      </c>
    </row>
    <row r="4640" spans="2:5" ht="15" customHeight="1" thickBot="1" x14ac:dyDescent="0.35">
      <c r="B4640" s="96" t="s">
        <v>7055</v>
      </c>
      <c r="C4640" s="97">
        <v>531717</v>
      </c>
      <c r="D4640" s="96" t="s">
        <v>7056</v>
      </c>
      <c r="E4640" s="96" t="s">
        <v>548</v>
      </c>
    </row>
    <row r="4641" spans="2:5" ht="15" customHeight="1" thickBot="1" x14ac:dyDescent="0.35">
      <c r="B4641" s="96" t="s">
        <v>7057</v>
      </c>
      <c r="C4641" s="97">
        <v>539659</v>
      </c>
      <c r="D4641" s="96" t="s">
        <v>388</v>
      </c>
      <c r="E4641" s="96" t="s">
        <v>877</v>
      </c>
    </row>
    <row r="4642" spans="2:5" ht="15" customHeight="1" thickBot="1" x14ac:dyDescent="0.35">
      <c r="B4642" s="96" t="s">
        <v>7058</v>
      </c>
      <c r="C4642" s="97">
        <v>523724</v>
      </c>
      <c r="D4642" s="96" t="s">
        <v>7059</v>
      </c>
      <c r="E4642" s="96" t="s">
        <v>474</v>
      </c>
    </row>
    <row r="4643" spans="2:5" ht="15" customHeight="1" thickBot="1" x14ac:dyDescent="0.35">
      <c r="B4643" s="96" t="s">
        <v>7060</v>
      </c>
      <c r="C4643" s="97">
        <v>531069</v>
      </c>
      <c r="D4643" s="96" t="s">
        <v>388</v>
      </c>
      <c r="E4643" s="96" t="s">
        <v>637</v>
      </c>
    </row>
    <row r="4644" spans="2:5" ht="15" customHeight="1" thickBot="1" x14ac:dyDescent="0.35">
      <c r="B4644" s="96" t="s">
        <v>7061</v>
      </c>
      <c r="C4644" s="97">
        <v>530151</v>
      </c>
      <c r="D4644" s="96" t="s">
        <v>388</v>
      </c>
      <c r="E4644" s="96" t="s">
        <v>410</v>
      </c>
    </row>
    <row r="4645" spans="2:5" ht="15" customHeight="1" thickBot="1" x14ac:dyDescent="0.35">
      <c r="B4645" s="96" t="s">
        <v>7062</v>
      </c>
      <c r="C4645" s="97">
        <v>532401</v>
      </c>
      <c r="D4645" s="96" t="s">
        <v>7063</v>
      </c>
      <c r="E4645" s="96" t="s">
        <v>706</v>
      </c>
    </row>
    <row r="4646" spans="2:5" ht="15" customHeight="1" thickBot="1" x14ac:dyDescent="0.35">
      <c r="B4646" s="96" t="s">
        <v>7064</v>
      </c>
      <c r="C4646" s="97">
        <v>537820</v>
      </c>
      <c r="D4646" s="96" t="s">
        <v>7065</v>
      </c>
      <c r="E4646" s="96" t="s">
        <v>405</v>
      </c>
    </row>
    <row r="4647" spans="2:5" ht="15" customHeight="1" thickBot="1" x14ac:dyDescent="0.35">
      <c r="B4647" s="96" t="s">
        <v>7066</v>
      </c>
      <c r="C4647" s="97">
        <v>531334</v>
      </c>
      <c r="D4647" s="96" t="s">
        <v>388</v>
      </c>
      <c r="E4647" s="96" t="s">
        <v>809</v>
      </c>
    </row>
    <row r="4648" spans="2:5" ht="15" customHeight="1" thickBot="1" x14ac:dyDescent="0.35">
      <c r="B4648" s="96" t="s">
        <v>7067</v>
      </c>
      <c r="C4648" s="97">
        <v>530961</v>
      </c>
      <c r="D4648" s="96" t="s">
        <v>7068</v>
      </c>
      <c r="E4648" s="96" t="s">
        <v>548</v>
      </c>
    </row>
    <row r="4649" spans="2:5" ht="15" customHeight="1" thickBot="1" x14ac:dyDescent="0.35">
      <c r="B4649" s="96" t="s">
        <v>7069</v>
      </c>
      <c r="C4649" s="97">
        <v>542655</v>
      </c>
      <c r="D4649" s="96" t="s">
        <v>7070</v>
      </c>
      <c r="E4649" s="96" t="s">
        <v>754</v>
      </c>
    </row>
    <row r="4650" spans="2:5" ht="15" customHeight="1" thickBot="1" x14ac:dyDescent="0.35">
      <c r="B4650" s="96" t="s">
        <v>7071</v>
      </c>
      <c r="C4650" s="97">
        <v>531518</v>
      </c>
      <c r="D4650" s="96" t="s">
        <v>388</v>
      </c>
      <c r="E4650" s="96" t="s">
        <v>586</v>
      </c>
    </row>
    <row r="4651" spans="2:5" ht="15" customHeight="1" thickBot="1" x14ac:dyDescent="0.35">
      <c r="B4651" s="96" t="s">
        <v>7072</v>
      </c>
      <c r="C4651" s="97">
        <v>519307</v>
      </c>
      <c r="D4651" s="96" t="s">
        <v>388</v>
      </c>
      <c r="E4651" s="96" t="s">
        <v>548</v>
      </c>
    </row>
    <row r="4652" spans="2:5" ht="15" customHeight="1" thickBot="1" x14ac:dyDescent="0.35">
      <c r="B4652" s="96" t="s">
        <v>7073</v>
      </c>
      <c r="C4652" s="97">
        <v>530477</v>
      </c>
      <c r="D4652" s="96" t="s">
        <v>388</v>
      </c>
      <c r="E4652" s="96" t="s">
        <v>426</v>
      </c>
    </row>
    <row r="4653" spans="2:5" ht="15" customHeight="1" thickBot="1" x14ac:dyDescent="0.35">
      <c r="B4653" s="96" t="s">
        <v>7074</v>
      </c>
      <c r="C4653" s="97">
        <v>530477</v>
      </c>
      <c r="D4653" s="96" t="s">
        <v>388</v>
      </c>
      <c r="E4653" s="96" t="s">
        <v>426</v>
      </c>
    </row>
    <row r="4654" spans="2:5" ht="15" customHeight="1" thickBot="1" x14ac:dyDescent="0.35">
      <c r="B4654" s="96" t="s">
        <v>7075</v>
      </c>
      <c r="C4654" s="97">
        <v>506196</v>
      </c>
      <c r="D4654" s="96" t="s">
        <v>388</v>
      </c>
      <c r="E4654" s="96" t="s">
        <v>410</v>
      </c>
    </row>
    <row r="4655" spans="2:5" ht="15" customHeight="1" thickBot="1" x14ac:dyDescent="0.35">
      <c r="B4655" s="96" t="s">
        <v>7076</v>
      </c>
      <c r="C4655" s="97">
        <v>519373</v>
      </c>
      <c r="D4655" s="96" t="s">
        <v>7077</v>
      </c>
      <c r="E4655" s="96" t="s">
        <v>637</v>
      </c>
    </row>
    <row r="4656" spans="2:5" ht="15" customHeight="1" thickBot="1" x14ac:dyDescent="0.35">
      <c r="B4656" s="96" t="s">
        <v>7078</v>
      </c>
      <c r="C4656" s="97">
        <v>524394</v>
      </c>
      <c r="D4656" s="96" t="s">
        <v>7079</v>
      </c>
      <c r="E4656" s="96" t="s">
        <v>577</v>
      </c>
    </row>
    <row r="4657" spans="2:5" ht="15" customHeight="1" thickBot="1" x14ac:dyDescent="0.35">
      <c r="B4657" s="96" t="s">
        <v>7080</v>
      </c>
      <c r="C4657" s="97">
        <v>504380</v>
      </c>
      <c r="D4657" s="96" t="s">
        <v>388</v>
      </c>
      <c r="E4657" s="96" t="s">
        <v>410</v>
      </c>
    </row>
    <row r="4658" spans="2:5" ht="15" customHeight="1" thickBot="1" x14ac:dyDescent="0.35">
      <c r="B4658" s="96" t="s">
        <v>7081</v>
      </c>
      <c r="C4658" s="97">
        <v>524200</v>
      </c>
      <c r="D4658" s="96" t="s">
        <v>7082</v>
      </c>
      <c r="E4658" s="96" t="s">
        <v>436</v>
      </c>
    </row>
    <row r="4659" spans="2:5" ht="15" customHeight="1" thickBot="1" x14ac:dyDescent="0.35">
      <c r="B4659" s="96" t="s">
        <v>7083</v>
      </c>
      <c r="C4659" s="97">
        <v>534639</v>
      </c>
      <c r="D4659" s="96" t="s">
        <v>388</v>
      </c>
      <c r="E4659" s="96" t="s">
        <v>583</v>
      </c>
    </row>
    <row r="4660" spans="2:5" ht="15" customHeight="1" thickBot="1" x14ac:dyDescent="0.35">
      <c r="B4660" s="96" t="s">
        <v>7084</v>
      </c>
      <c r="C4660" s="97">
        <v>517015</v>
      </c>
      <c r="D4660" s="96" t="s">
        <v>7085</v>
      </c>
      <c r="E4660" s="96" t="s">
        <v>658</v>
      </c>
    </row>
    <row r="4661" spans="2:5" ht="15" customHeight="1" thickBot="1" x14ac:dyDescent="0.35">
      <c r="B4661" s="96" t="s">
        <v>7086</v>
      </c>
      <c r="C4661" s="96" t="s">
        <v>388</v>
      </c>
      <c r="D4661" s="96" t="s">
        <v>7087</v>
      </c>
      <c r="E4661" s="96" t="s">
        <v>399</v>
      </c>
    </row>
    <row r="4662" spans="2:5" ht="15" customHeight="1" thickBot="1" x14ac:dyDescent="0.35">
      <c r="B4662" s="96" t="s">
        <v>7088</v>
      </c>
      <c r="C4662" s="97">
        <v>531051</v>
      </c>
      <c r="D4662" s="96" t="s">
        <v>388</v>
      </c>
      <c r="E4662" s="96" t="s">
        <v>405</v>
      </c>
    </row>
    <row r="4663" spans="2:5" ht="15" customHeight="1" thickBot="1" x14ac:dyDescent="0.35">
      <c r="B4663" s="96" t="s">
        <v>7089</v>
      </c>
      <c r="C4663" s="97">
        <v>524129</v>
      </c>
      <c r="D4663" s="96" t="s">
        <v>7090</v>
      </c>
      <c r="E4663" s="96" t="s">
        <v>765</v>
      </c>
    </row>
    <row r="4664" spans="2:5" ht="15" customHeight="1" thickBot="1" x14ac:dyDescent="0.35">
      <c r="B4664" s="96" t="s">
        <v>7091</v>
      </c>
      <c r="C4664" s="97">
        <v>524129</v>
      </c>
      <c r="D4664" s="96" t="s">
        <v>7092</v>
      </c>
      <c r="E4664" s="96" t="s">
        <v>765</v>
      </c>
    </row>
    <row r="4665" spans="2:5" ht="15" customHeight="1" thickBot="1" x14ac:dyDescent="0.35">
      <c r="B4665" s="96" t="s">
        <v>7093</v>
      </c>
      <c r="C4665" s="97">
        <v>530401</v>
      </c>
      <c r="D4665" s="96" t="s">
        <v>388</v>
      </c>
      <c r="E4665" s="96" t="s">
        <v>436</v>
      </c>
    </row>
    <row r="4666" spans="2:5" ht="15" customHeight="1" thickBot="1" x14ac:dyDescent="0.35">
      <c r="B4666" s="96" t="s">
        <v>7094</v>
      </c>
      <c r="C4666" s="97">
        <v>532613</v>
      </c>
      <c r="D4666" s="96" t="s">
        <v>7095</v>
      </c>
      <c r="E4666" s="96" t="s">
        <v>410</v>
      </c>
    </row>
    <row r="4667" spans="2:5" ht="15" customHeight="1" thickBot="1" x14ac:dyDescent="0.35">
      <c r="B4667" s="96" t="s">
        <v>7096</v>
      </c>
      <c r="C4667" s="97">
        <v>507880</v>
      </c>
      <c r="D4667" s="96" t="s">
        <v>7097</v>
      </c>
      <c r="E4667" s="96" t="s">
        <v>502</v>
      </c>
    </row>
    <row r="4668" spans="2:5" ht="15" customHeight="1" thickBot="1" x14ac:dyDescent="0.35">
      <c r="B4668" s="96" t="s">
        <v>7098</v>
      </c>
      <c r="C4668" s="97">
        <v>514302</v>
      </c>
      <c r="D4668" s="96" t="s">
        <v>388</v>
      </c>
      <c r="E4668" s="96" t="s">
        <v>403</v>
      </c>
    </row>
    <row r="4669" spans="2:5" ht="15" customHeight="1" thickBot="1" x14ac:dyDescent="0.35">
      <c r="B4669" s="96" t="s">
        <v>7099</v>
      </c>
      <c r="C4669" s="97">
        <v>511726</v>
      </c>
      <c r="D4669" s="96" t="s">
        <v>7100</v>
      </c>
      <c r="E4669" s="96" t="s">
        <v>474</v>
      </c>
    </row>
    <row r="4670" spans="2:5" ht="15" customHeight="1" thickBot="1" x14ac:dyDescent="0.35">
      <c r="B4670" s="96" t="s">
        <v>7101</v>
      </c>
      <c r="C4670" s="97">
        <v>530627</v>
      </c>
      <c r="D4670" s="96" t="s">
        <v>388</v>
      </c>
      <c r="E4670" s="96" t="s">
        <v>548</v>
      </c>
    </row>
    <row r="4671" spans="2:5" ht="15" customHeight="1" thickBot="1" x14ac:dyDescent="0.35">
      <c r="B4671" s="96" t="s">
        <v>7102</v>
      </c>
      <c r="C4671" s="97">
        <v>519457</v>
      </c>
      <c r="D4671" s="96" t="s">
        <v>388</v>
      </c>
      <c r="E4671" s="96" t="s">
        <v>448</v>
      </c>
    </row>
    <row r="4672" spans="2:5" ht="15" customHeight="1" thickBot="1" x14ac:dyDescent="0.35">
      <c r="B4672" s="96" t="s">
        <v>7103</v>
      </c>
      <c r="C4672" s="97">
        <v>530521</v>
      </c>
      <c r="D4672" s="96" t="s">
        <v>388</v>
      </c>
      <c r="E4672" s="96" t="s">
        <v>502</v>
      </c>
    </row>
    <row r="4673" spans="2:5" ht="15" customHeight="1" thickBot="1" x14ac:dyDescent="0.35">
      <c r="B4673" s="96" t="s">
        <v>7104</v>
      </c>
      <c r="C4673" s="97">
        <v>539167</v>
      </c>
      <c r="D4673" s="96" t="s">
        <v>388</v>
      </c>
      <c r="E4673" s="96" t="s">
        <v>405</v>
      </c>
    </row>
    <row r="4674" spans="2:5" ht="15" customHeight="1" thickBot="1" x14ac:dyDescent="0.35">
      <c r="B4674" s="96" t="s">
        <v>7105</v>
      </c>
      <c r="C4674" s="97">
        <v>532354</v>
      </c>
      <c r="D4674" s="96" t="s">
        <v>388</v>
      </c>
      <c r="E4674" s="96" t="s">
        <v>481</v>
      </c>
    </row>
    <row r="4675" spans="2:5" ht="15" customHeight="1" thickBot="1" x14ac:dyDescent="0.35">
      <c r="B4675" s="96" t="s">
        <v>7106</v>
      </c>
      <c r="C4675" s="97">
        <v>532372</v>
      </c>
      <c r="D4675" s="96" t="s">
        <v>388</v>
      </c>
      <c r="E4675" s="96" t="s">
        <v>481</v>
      </c>
    </row>
    <row r="4676" spans="2:5" ht="15" customHeight="1" thickBot="1" x14ac:dyDescent="0.35">
      <c r="B4676" s="96" t="s">
        <v>7107</v>
      </c>
      <c r="C4676" s="97">
        <v>534741</v>
      </c>
      <c r="D4676" s="96" t="s">
        <v>388</v>
      </c>
      <c r="E4676" s="96" t="s">
        <v>493</v>
      </c>
    </row>
    <row r="4677" spans="2:5" ht="15" customHeight="1" thickBot="1" x14ac:dyDescent="0.35">
      <c r="B4677" s="96" t="s">
        <v>7108</v>
      </c>
      <c r="C4677" s="97">
        <v>531126</v>
      </c>
      <c r="D4677" s="96" t="s">
        <v>388</v>
      </c>
      <c r="E4677" s="96" t="s">
        <v>481</v>
      </c>
    </row>
    <row r="4678" spans="2:5" ht="15" customHeight="1" thickBot="1" x14ac:dyDescent="0.35">
      <c r="B4678" s="96" t="s">
        <v>7109</v>
      </c>
      <c r="C4678" s="97">
        <v>532721</v>
      </c>
      <c r="D4678" s="96" t="s">
        <v>7110</v>
      </c>
      <c r="E4678" s="96" t="s">
        <v>420</v>
      </c>
    </row>
    <row r="4679" spans="2:5" ht="15" customHeight="1" thickBot="1" x14ac:dyDescent="0.35">
      <c r="B4679" s="96" t="s">
        <v>7111</v>
      </c>
      <c r="C4679" s="97">
        <v>531025</v>
      </c>
      <c r="D4679" s="96" t="s">
        <v>388</v>
      </c>
      <c r="E4679" s="96" t="s">
        <v>371</v>
      </c>
    </row>
    <row r="4680" spans="2:5" ht="15" customHeight="1" thickBot="1" x14ac:dyDescent="0.35">
      <c r="B4680" s="96" t="s">
        <v>7112</v>
      </c>
      <c r="C4680" s="97">
        <v>506146</v>
      </c>
      <c r="D4680" s="96" t="s">
        <v>7113</v>
      </c>
      <c r="E4680" s="96" t="s">
        <v>403</v>
      </c>
    </row>
    <row r="4681" spans="2:5" ht="15" customHeight="1" thickBot="1" x14ac:dyDescent="0.35">
      <c r="B4681" s="96" t="s">
        <v>7114</v>
      </c>
      <c r="C4681" s="97">
        <v>509055</v>
      </c>
      <c r="D4681" s="96" t="s">
        <v>7115</v>
      </c>
      <c r="E4681" s="96" t="s">
        <v>401</v>
      </c>
    </row>
    <row r="4682" spans="2:5" ht="15" customHeight="1" thickBot="1" x14ac:dyDescent="0.35">
      <c r="B4682" s="96" t="s">
        <v>7116</v>
      </c>
      <c r="C4682" s="97">
        <v>540097</v>
      </c>
      <c r="D4682" s="96" t="s">
        <v>388</v>
      </c>
      <c r="E4682" s="96" t="s">
        <v>371</v>
      </c>
    </row>
    <row r="4683" spans="2:5" ht="15" customHeight="1" thickBot="1" x14ac:dyDescent="0.35">
      <c r="B4683" s="96" t="s">
        <v>7117</v>
      </c>
      <c r="C4683" s="97">
        <v>532411</v>
      </c>
      <c r="D4683" s="96" t="s">
        <v>7118</v>
      </c>
      <c r="E4683" s="96" t="s">
        <v>481</v>
      </c>
    </row>
    <row r="4684" spans="2:5" ht="15" customHeight="1" thickBot="1" x14ac:dyDescent="0.35">
      <c r="B4684" s="96" t="s">
        <v>7119</v>
      </c>
      <c r="C4684" s="97">
        <v>539398</v>
      </c>
      <c r="D4684" s="96" t="s">
        <v>388</v>
      </c>
      <c r="E4684" s="96" t="s">
        <v>396</v>
      </c>
    </row>
    <row r="4685" spans="2:5" ht="15" customHeight="1" thickBot="1" x14ac:dyDescent="0.35">
      <c r="B4685" s="96" t="s">
        <v>7120</v>
      </c>
      <c r="C4685" s="97">
        <v>538598</v>
      </c>
      <c r="D4685" s="96" t="s">
        <v>388</v>
      </c>
      <c r="E4685" s="96" t="s">
        <v>403</v>
      </c>
    </row>
    <row r="4686" spans="2:5" ht="15" customHeight="1" thickBot="1" x14ac:dyDescent="0.35">
      <c r="B4686" s="96" t="s">
        <v>7121</v>
      </c>
      <c r="C4686" s="97">
        <v>516072</v>
      </c>
      <c r="D4686" s="96" t="s">
        <v>7122</v>
      </c>
      <c r="E4686" s="96" t="s">
        <v>436</v>
      </c>
    </row>
    <row r="4687" spans="2:5" ht="15" customHeight="1" thickBot="1" x14ac:dyDescent="0.35">
      <c r="B4687" s="96" t="s">
        <v>7123</v>
      </c>
      <c r="C4687" s="97">
        <v>512064</v>
      </c>
      <c r="D4687" s="96" t="s">
        <v>7124</v>
      </c>
      <c r="E4687" s="96" t="s">
        <v>809</v>
      </c>
    </row>
    <row r="4688" spans="2:5" ht="15" customHeight="1" thickBot="1" x14ac:dyDescent="0.35">
      <c r="B4688" s="96" t="s">
        <v>7125</v>
      </c>
      <c r="C4688" s="97">
        <v>526441</v>
      </c>
      <c r="D4688" s="96" t="s">
        <v>388</v>
      </c>
      <c r="E4688" s="96" t="s">
        <v>1990</v>
      </c>
    </row>
    <row r="4689" spans="2:5" ht="15" customHeight="1" thickBot="1" x14ac:dyDescent="0.35">
      <c r="B4689" s="96" t="s">
        <v>7126</v>
      </c>
      <c r="C4689" s="97">
        <v>531668</v>
      </c>
      <c r="D4689" s="96" t="s">
        <v>388</v>
      </c>
      <c r="E4689" s="96" t="s">
        <v>391</v>
      </c>
    </row>
    <row r="4690" spans="2:5" ht="15" customHeight="1" thickBot="1" x14ac:dyDescent="0.35">
      <c r="B4690" s="96" t="s">
        <v>7127</v>
      </c>
      <c r="C4690" s="97">
        <v>524711</v>
      </c>
      <c r="D4690" s="96" t="s">
        <v>388</v>
      </c>
      <c r="E4690" s="96" t="s">
        <v>426</v>
      </c>
    </row>
    <row r="4691" spans="2:5" ht="15" customHeight="1" thickBot="1" x14ac:dyDescent="0.35">
      <c r="B4691" s="96" t="s">
        <v>7128</v>
      </c>
      <c r="C4691" s="97">
        <v>538565</v>
      </c>
      <c r="D4691" s="96" t="s">
        <v>388</v>
      </c>
      <c r="E4691" s="96" t="s">
        <v>405</v>
      </c>
    </row>
    <row r="4692" spans="2:5" ht="15" customHeight="1" thickBot="1" x14ac:dyDescent="0.35">
      <c r="B4692" s="96" t="s">
        <v>7129</v>
      </c>
      <c r="C4692" s="97">
        <v>540823</v>
      </c>
      <c r="D4692" s="96" t="s">
        <v>388</v>
      </c>
      <c r="E4692" s="96" t="s">
        <v>410</v>
      </c>
    </row>
    <row r="4693" spans="2:5" ht="15" customHeight="1" thickBot="1" x14ac:dyDescent="0.35">
      <c r="B4693" s="96" t="s">
        <v>7130</v>
      </c>
      <c r="C4693" s="97">
        <v>541735</v>
      </c>
      <c r="D4693" s="96" t="s">
        <v>388</v>
      </c>
      <c r="E4693" s="96" t="s">
        <v>786</v>
      </c>
    </row>
    <row r="4694" spans="2:5" ht="15" customHeight="1" thickBot="1" x14ac:dyDescent="0.35">
      <c r="B4694" s="96" t="s">
        <v>7131</v>
      </c>
      <c r="C4694" s="97">
        <v>530057</v>
      </c>
      <c r="D4694" s="96" t="s">
        <v>388</v>
      </c>
      <c r="E4694" s="96" t="s">
        <v>426</v>
      </c>
    </row>
    <row r="4695" spans="2:5" ht="15" customHeight="1" thickBot="1" x14ac:dyDescent="0.35">
      <c r="B4695" s="96" t="s">
        <v>7132</v>
      </c>
      <c r="C4695" s="97">
        <v>524576</v>
      </c>
      <c r="D4695" s="96" t="s">
        <v>388</v>
      </c>
      <c r="E4695" s="96" t="s">
        <v>436</v>
      </c>
    </row>
    <row r="4696" spans="2:5" ht="15" customHeight="1" thickBot="1" x14ac:dyDescent="0.35">
      <c r="B4696" s="96" t="s">
        <v>7133</v>
      </c>
      <c r="C4696" s="97">
        <v>532660</v>
      </c>
      <c r="D4696" s="96" t="s">
        <v>7134</v>
      </c>
      <c r="E4696" s="96" t="s">
        <v>426</v>
      </c>
    </row>
    <row r="4697" spans="2:5" ht="15" customHeight="1" thickBot="1" x14ac:dyDescent="0.35">
      <c r="B4697" s="96" t="s">
        <v>7135</v>
      </c>
      <c r="C4697" s="97">
        <v>511509</v>
      </c>
      <c r="D4697" s="96" t="s">
        <v>388</v>
      </c>
      <c r="E4697" s="96" t="s">
        <v>726</v>
      </c>
    </row>
    <row r="4698" spans="2:5" ht="15" customHeight="1" thickBot="1" x14ac:dyDescent="0.35">
      <c r="B4698" s="96" t="s">
        <v>7136</v>
      </c>
      <c r="C4698" s="97">
        <v>509026</v>
      </c>
      <c r="D4698" s="96" t="s">
        <v>388</v>
      </c>
      <c r="E4698" s="96" t="s">
        <v>493</v>
      </c>
    </row>
    <row r="4699" spans="2:5" ht="15" customHeight="1" thickBot="1" x14ac:dyDescent="0.35">
      <c r="B4699" s="96" t="s">
        <v>7137</v>
      </c>
      <c r="C4699" s="97">
        <v>536128</v>
      </c>
      <c r="D4699" s="96" t="s">
        <v>388</v>
      </c>
      <c r="E4699" s="96" t="s">
        <v>786</v>
      </c>
    </row>
    <row r="4700" spans="2:5" ht="15" customHeight="1" thickBot="1" x14ac:dyDescent="0.35">
      <c r="B4700" s="96" t="s">
        <v>7138</v>
      </c>
      <c r="C4700" s="97">
        <v>511333</v>
      </c>
      <c r="D4700" s="96" t="s">
        <v>7139</v>
      </c>
      <c r="E4700" s="96" t="s">
        <v>371</v>
      </c>
    </row>
    <row r="4701" spans="2:5" ht="15" customHeight="1" thickBot="1" x14ac:dyDescent="0.35">
      <c r="B4701" s="96" t="s">
        <v>7140</v>
      </c>
      <c r="C4701" s="97">
        <v>534976</v>
      </c>
      <c r="D4701" s="96" t="s">
        <v>7141</v>
      </c>
      <c r="E4701" s="96" t="s">
        <v>557</v>
      </c>
    </row>
    <row r="4702" spans="2:5" ht="15" customHeight="1" thickBot="1" x14ac:dyDescent="0.35">
      <c r="B4702" s="96" t="s">
        <v>7142</v>
      </c>
      <c r="C4702" s="97">
        <v>533427</v>
      </c>
      <c r="D4702" s="96" t="s">
        <v>388</v>
      </c>
      <c r="E4702" s="96" t="s">
        <v>524</v>
      </c>
    </row>
    <row r="4703" spans="2:5" ht="15" customHeight="1" thickBot="1" x14ac:dyDescent="0.35">
      <c r="B4703" s="96" t="s">
        <v>7143</v>
      </c>
      <c r="C4703" s="97">
        <v>539222</v>
      </c>
      <c r="D4703" s="96" t="s">
        <v>388</v>
      </c>
      <c r="E4703" s="96" t="s">
        <v>1390</v>
      </c>
    </row>
    <row r="4704" spans="2:5" ht="15" customHeight="1" thickBot="1" x14ac:dyDescent="0.35">
      <c r="B4704" s="96" t="s">
        <v>7144</v>
      </c>
      <c r="C4704" s="97">
        <v>532822</v>
      </c>
      <c r="D4704" s="96" t="s">
        <v>7145</v>
      </c>
      <c r="E4704" s="96" t="s">
        <v>1331</v>
      </c>
    </row>
    <row r="4705" spans="2:5" ht="15" customHeight="1" thickBot="1" x14ac:dyDescent="0.35">
      <c r="B4705" s="96" t="s">
        <v>7146</v>
      </c>
      <c r="C4705" s="97">
        <v>522122</v>
      </c>
      <c r="D4705" s="96" t="s">
        <v>388</v>
      </c>
      <c r="E4705" s="96" t="s">
        <v>403</v>
      </c>
    </row>
    <row r="4706" spans="2:5" ht="15" customHeight="1" thickBot="1" x14ac:dyDescent="0.35">
      <c r="B4706" s="96" t="s">
        <v>7147</v>
      </c>
      <c r="C4706" s="97">
        <v>522122</v>
      </c>
      <c r="D4706" s="96" t="s">
        <v>388</v>
      </c>
      <c r="E4706" s="96" t="s">
        <v>403</v>
      </c>
    </row>
    <row r="4707" spans="2:5" ht="15" customHeight="1" thickBot="1" x14ac:dyDescent="0.35">
      <c r="B4707" s="96" t="s">
        <v>7148</v>
      </c>
      <c r="C4707" s="97">
        <v>509038</v>
      </c>
      <c r="D4707" s="96" t="s">
        <v>388</v>
      </c>
      <c r="E4707" s="96" t="s">
        <v>405</v>
      </c>
    </row>
    <row r="4708" spans="2:5" ht="15" customHeight="1" thickBot="1" x14ac:dyDescent="0.35">
      <c r="B4708" s="96" t="s">
        <v>7149</v>
      </c>
      <c r="C4708" s="97">
        <v>532757</v>
      </c>
      <c r="D4708" s="96" t="s">
        <v>7150</v>
      </c>
      <c r="E4708" s="96" t="s">
        <v>431</v>
      </c>
    </row>
    <row r="4709" spans="2:5" ht="15" customHeight="1" thickBot="1" x14ac:dyDescent="0.35">
      <c r="B4709" s="96" t="s">
        <v>7151</v>
      </c>
      <c r="C4709" s="97">
        <v>500575</v>
      </c>
      <c r="D4709" s="96" t="s">
        <v>7152</v>
      </c>
      <c r="E4709" s="96" t="s">
        <v>757</v>
      </c>
    </row>
    <row r="4710" spans="2:5" ht="15" customHeight="1" thickBot="1" x14ac:dyDescent="0.35">
      <c r="B4710" s="96" t="s">
        <v>7153</v>
      </c>
      <c r="C4710" s="97">
        <v>512215</v>
      </c>
      <c r="D4710" s="96" t="s">
        <v>388</v>
      </c>
      <c r="E4710" s="96" t="s">
        <v>371</v>
      </c>
    </row>
    <row r="4711" spans="2:5" ht="15" customHeight="1" thickBot="1" x14ac:dyDescent="0.35">
      <c r="B4711" s="96" t="s">
        <v>7154</v>
      </c>
      <c r="C4711" s="97">
        <v>539118</v>
      </c>
      <c r="D4711" s="96" t="s">
        <v>7155</v>
      </c>
      <c r="E4711" s="96" t="s">
        <v>709</v>
      </c>
    </row>
    <row r="4712" spans="2:5" ht="15" customHeight="1" thickBot="1" x14ac:dyDescent="0.35">
      <c r="B4712" s="96" t="s">
        <v>7156</v>
      </c>
      <c r="C4712" s="97">
        <v>519331</v>
      </c>
      <c r="D4712" s="96" t="s">
        <v>388</v>
      </c>
      <c r="E4712" s="96" t="s">
        <v>786</v>
      </c>
    </row>
    <row r="4713" spans="2:5" ht="15" customHeight="1" thickBot="1" x14ac:dyDescent="0.35">
      <c r="B4713" s="96" t="s">
        <v>7157</v>
      </c>
      <c r="C4713" s="97">
        <v>509966</v>
      </c>
      <c r="D4713" s="96" t="s">
        <v>7158</v>
      </c>
      <c r="E4713" s="96" t="s">
        <v>2558</v>
      </c>
    </row>
    <row r="4714" spans="2:5" ht="15" customHeight="1" thickBot="1" x14ac:dyDescent="0.35">
      <c r="B4714" s="96" t="s">
        <v>7159</v>
      </c>
      <c r="C4714" s="97">
        <v>532893</v>
      </c>
      <c r="D4714" s="96" t="s">
        <v>388</v>
      </c>
      <c r="E4714" s="96" t="s">
        <v>403</v>
      </c>
    </row>
    <row r="4715" spans="2:5" ht="15" customHeight="1" thickBot="1" x14ac:dyDescent="0.35">
      <c r="B4715" s="96" t="s">
        <v>7160</v>
      </c>
      <c r="C4715" s="97">
        <v>517399</v>
      </c>
      <c r="D4715" s="96" t="s">
        <v>7161</v>
      </c>
      <c r="E4715" s="96" t="s">
        <v>757</v>
      </c>
    </row>
    <row r="4716" spans="2:5" ht="15" customHeight="1" thickBot="1" x14ac:dyDescent="0.35">
      <c r="B4716" s="96" t="s">
        <v>7162</v>
      </c>
      <c r="C4716" s="97">
        <v>506142</v>
      </c>
      <c r="D4716" s="96" t="s">
        <v>388</v>
      </c>
      <c r="E4716" s="96" t="s">
        <v>371</v>
      </c>
    </row>
    <row r="4717" spans="2:5" ht="15" customHeight="1" thickBot="1" x14ac:dyDescent="0.35">
      <c r="B4717" s="96" t="s">
        <v>7163</v>
      </c>
      <c r="C4717" s="97">
        <v>501391</v>
      </c>
      <c r="D4717" s="96" t="s">
        <v>388</v>
      </c>
      <c r="E4717" s="96" t="s">
        <v>410</v>
      </c>
    </row>
    <row r="4718" spans="2:5" ht="15" customHeight="1" thickBot="1" x14ac:dyDescent="0.35">
      <c r="B4718" s="96" t="s">
        <v>7164</v>
      </c>
      <c r="C4718" s="97">
        <v>504220</v>
      </c>
      <c r="D4718" s="96" t="s">
        <v>388</v>
      </c>
      <c r="E4718" s="96" t="s">
        <v>396</v>
      </c>
    </row>
    <row r="4719" spans="2:5" ht="15" customHeight="1" thickBot="1" x14ac:dyDescent="0.35">
      <c r="B4719" s="96" t="s">
        <v>7165</v>
      </c>
      <c r="C4719" s="96" t="s">
        <v>388</v>
      </c>
      <c r="D4719" s="96" t="s">
        <v>7166</v>
      </c>
      <c r="E4719" s="96" t="s">
        <v>479</v>
      </c>
    </row>
    <row r="4720" spans="2:5" ht="15" customHeight="1" thickBot="1" x14ac:dyDescent="0.35">
      <c r="B4720" s="96" t="s">
        <v>7167</v>
      </c>
      <c r="C4720" s="97">
        <v>504220</v>
      </c>
      <c r="D4720" s="96" t="s">
        <v>388</v>
      </c>
      <c r="E4720" s="96" t="s">
        <v>396</v>
      </c>
    </row>
    <row r="4721" spans="2:5" ht="15" customHeight="1" thickBot="1" x14ac:dyDescent="0.35">
      <c r="B4721" s="96" t="s">
        <v>7168</v>
      </c>
      <c r="C4721" s="97">
        <v>505583</v>
      </c>
      <c r="D4721" s="96" t="s">
        <v>388</v>
      </c>
      <c r="E4721" s="96" t="s">
        <v>474</v>
      </c>
    </row>
    <row r="4722" spans="2:5" ht="15" customHeight="1" thickBot="1" x14ac:dyDescent="0.35">
      <c r="B4722" s="96" t="s">
        <v>7169</v>
      </c>
      <c r="C4722" s="97">
        <v>541445</v>
      </c>
      <c r="D4722" s="96" t="s">
        <v>388</v>
      </c>
      <c r="E4722" s="96" t="s">
        <v>686</v>
      </c>
    </row>
    <row r="4723" spans="2:5" ht="15" customHeight="1" thickBot="1" x14ac:dyDescent="0.35">
      <c r="B4723" s="96" t="s">
        <v>7170</v>
      </c>
      <c r="C4723" s="97">
        <v>533023</v>
      </c>
      <c r="D4723" s="96" t="s">
        <v>7171</v>
      </c>
      <c r="E4723" s="96" t="s">
        <v>743</v>
      </c>
    </row>
    <row r="4724" spans="2:5" ht="15" customHeight="1" thickBot="1" x14ac:dyDescent="0.35">
      <c r="B4724" s="96" t="s">
        <v>7172</v>
      </c>
      <c r="C4724" s="97">
        <v>533023</v>
      </c>
      <c r="D4724" s="96" t="s">
        <v>7173</v>
      </c>
      <c r="E4724" s="96" t="s">
        <v>743</v>
      </c>
    </row>
    <row r="4725" spans="2:5" ht="15" customHeight="1" thickBot="1" x14ac:dyDescent="0.35">
      <c r="B4725" s="96" t="s">
        <v>7174</v>
      </c>
      <c r="C4725" s="97">
        <v>503675</v>
      </c>
      <c r="D4725" s="96" t="s">
        <v>388</v>
      </c>
      <c r="E4725" s="96" t="s">
        <v>809</v>
      </c>
    </row>
    <row r="4726" spans="2:5" ht="15" customHeight="1" thickBot="1" x14ac:dyDescent="0.35">
      <c r="B4726" s="96" t="s">
        <v>7175</v>
      </c>
      <c r="C4726" s="97">
        <v>501370</v>
      </c>
      <c r="D4726" s="96" t="s">
        <v>388</v>
      </c>
      <c r="E4726" s="96" t="s">
        <v>472</v>
      </c>
    </row>
    <row r="4727" spans="2:5" ht="15" customHeight="1" thickBot="1" x14ac:dyDescent="0.35">
      <c r="B4727" s="96" t="s">
        <v>7176</v>
      </c>
      <c r="C4727" s="97">
        <v>507410</v>
      </c>
      <c r="D4727" s="96" t="s">
        <v>7177</v>
      </c>
      <c r="E4727" s="96" t="s">
        <v>377</v>
      </c>
    </row>
    <row r="4728" spans="2:5" ht="15" customHeight="1" thickBot="1" x14ac:dyDescent="0.35">
      <c r="B4728" s="96" t="s">
        <v>7178</v>
      </c>
      <c r="C4728" s="97">
        <v>511147</v>
      </c>
      <c r="D4728" s="96" t="s">
        <v>388</v>
      </c>
      <c r="E4728" s="96" t="s">
        <v>405</v>
      </c>
    </row>
    <row r="4729" spans="2:5" ht="15" customHeight="1" thickBot="1" x14ac:dyDescent="0.35">
      <c r="B4729" s="96" t="s">
        <v>7179</v>
      </c>
      <c r="C4729" s="97">
        <v>532053</v>
      </c>
      <c r="D4729" s="96" t="s">
        <v>388</v>
      </c>
      <c r="E4729" s="96" t="s">
        <v>371</v>
      </c>
    </row>
    <row r="4730" spans="2:5" ht="15" customHeight="1" thickBot="1" x14ac:dyDescent="0.35">
      <c r="B4730" s="96" t="s">
        <v>7180</v>
      </c>
      <c r="C4730" s="97">
        <v>524212</v>
      </c>
      <c r="D4730" s="96" t="s">
        <v>7181</v>
      </c>
      <c r="E4730" s="96" t="s">
        <v>426</v>
      </c>
    </row>
    <row r="4731" spans="2:5" ht="15" customHeight="1" thickBot="1" x14ac:dyDescent="0.35">
      <c r="B4731" s="96" t="s">
        <v>7182</v>
      </c>
      <c r="C4731" s="97">
        <v>511690</v>
      </c>
      <c r="D4731" s="96" t="s">
        <v>388</v>
      </c>
      <c r="E4731" s="96" t="s">
        <v>405</v>
      </c>
    </row>
    <row r="4732" spans="2:5" ht="15" customHeight="1" thickBot="1" x14ac:dyDescent="0.35">
      <c r="B4732" s="96" t="s">
        <v>7183</v>
      </c>
      <c r="C4732" s="97">
        <v>508494</v>
      </c>
      <c r="D4732" s="96" t="s">
        <v>388</v>
      </c>
      <c r="E4732" s="96" t="s">
        <v>795</v>
      </c>
    </row>
    <row r="4733" spans="2:5" ht="15" customHeight="1" thickBot="1" x14ac:dyDescent="0.35">
      <c r="B4733" s="96" t="s">
        <v>7184</v>
      </c>
      <c r="C4733" s="97">
        <v>523660</v>
      </c>
      <c r="D4733" s="96" t="s">
        <v>388</v>
      </c>
      <c r="E4733" s="96" t="s">
        <v>468</v>
      </c>
    </row>
    <row r="4734" spans="2:5" ht="15" customHeight="1" thickBot="1" x14ac:dyDescent="0.35">
      <c r="B4734" s="96" t="s">
        <v>7185</v>
      </c>
      <c r="C4734" s="96" t="s">
        <v>388</v>
      </c>
      <c r="D4734" s="96" t="s">
        <v>7186</v>
      </c>
      <c r="E4734" s="96" t="s">
        <v>399</v>
      </c>
    </row>
    <row r="4735" spans="2:5" ht="15" customHeight="1" thickBot="1" x14ac:dyDescent="0.35">
      <c r="B4735" s="96" t="s">
        <v>7187</v>
      </c>
      <c r="C4735" s="97">
        <v>780016</v>
      </c>
      <c r="D4735" s="96" t="s">
        <v>388</v>
      </c>
      <c r="E4735" s="96" t="s">
        <v>479</v>
      </c>
    </row>
    <row r="4736" spans="2:5" ht="15" customHeight="1" thickBot="1" x14ac:dyDescent="0.35">
      <c r="B4736" s="96" t="s">
        <v>7188</v>
      </c>
      <c r="C4736" s="97">
        <v>517498</v>
      </c>
      <c r="D4736" s="96" t="s">
        <v>7189</v>
      </c>
      <c r="E4736" s="96" t="s">
        <v>686</v>
      </c>
    </row>
    <row r="4737" spans="2:5" ht="15" customHeight="1" thickBot="1" x14ac:dyDescent="0.35">
      <c r="B4737" s="96" t="s">
        <v>7190</v>
      </c>
      <c r="C4737" s="97">
        <v>511074</v>
      </c>
      <c r="D4737" s="96" t="s">
        <v>388</v>
      </c>
      <c r="E4737" s="96" t="s">
        <v>405</v>
      </c>
    </row>
    <row r="4738" spans="2:5" ht="15" customHeight="1" thickBot="1" x14ac:dyDescent="0.35">
      <c r="B4738" s="96" t="s">
        <v>7191</v>
      </c>
      <c r="C4738" s="97">
        <v>533452</v>
      </c>
      <c r="D4738" s="96" t="s">
        <v>7192</v>
      </c>
      <c r="E4738" s="96" t="s">
        <v>371</v>
      </c>
    </row>
    <row r="4739" spans="2:5" ht="15" customHeight="1" thickBot="1" x14ac:dyDescent="0.35">
      <c r="B4739" s="96" t="s">
        <v>7193</v>
      </c>
      <c r="C4739" s="97">
        <v>523011</v>
      </c>
      <c r="D4739" s="96" t="s">
        <v>7194</v>
      </c>
      <c r="E4739" s="96" t="s">
        <v>410</v>
      </c>
    </row>
    <row r="4740" spans="2:5" ht="15" customHeight="1" thickBot="1" x14ac:dyDescent="0.35">
      <c r="B4740" s="96" t="s">
        <v>7195</v>
      </c>
      <c r="C4740" s="97">
        <v>504988</v>
      </c>
      <c r="D4740" s="96" t="s">
        <v>388</v>
      </c>
      <c r="E4740" s="96" t="s">
        <v>1307</v>
      </c>
    </row>
    <row r="4741" spans="2:5" ht="15" customHeight="1" thickBot="1" x14ac:dyDescent="0.35">
      <c r="B4741" s="96" t="s">
        <v>7196</v>
      </c>
      <c r="C4741" s="97">
        <v>524661</v>
      </c>
      <c r="D4741" s="96" t="s">
        <v>388</v>
      </c>
      <c r="E4741" s="96" t="s">
        <v>426</v>
      </c>
    </row>
    <row r="4742" spans="2:5" ht="15" customHeight="1" thickBot="1" x14ac:dyDescent="0.35">
      <c r="B4742" s="96" t="s">
        <v>7197</v>
      </c>
      <c r="C4742" s="97">
        <v>532016</v>
      </c>
      <c r="D4742" s="96" t="s">
        <v>388</v>
      </c>
      <c r="E4742" s="96" t="s">
        <v>474</v>
      </c>
    </row>
    <row r="4743" spans="2:5" ht="15" customHeight="1" thickBot="1" x14ac:dyDescent="0.35">
      <c r="B4743" s="96" t="s">
        <v>7198</v>
      </c>
      <c r="C4743" s="97">
        <v>531211</v>
      </c>
      <c r="D4743" s="96" t="s">
        <v>388</v>
      </c>
      <c r="E4743" s="96" t="s">
        <v>371</v>
      </c>
    </row>
    <row r="4744" spans="2:5" ht="15" customHeight="1" thickBot="1" x14ac:dyDescent="0.35">
      <c r="B4744" s="96" t="s">
        <v>7199</v>
      </c>
      <c r="C4744" s="97">
        <v>514162</v>
      </c>
      <c r="D4744" s="96" t="s">
        <v>7200</v>
      </c>
      <c r="E4744" s="96" t="s">
        <v>403</v>
      </c>
    </row>
    <row r="4745" spans="2:5" ht="15" customHeight="1" thickBot="1" x14ac:dyDescent="0.35">
      <c r="B4745" s="96" t="s">
        <v>7201</v>
      </c>
      <c r="C4745" s="97">
        <v>532144</v>
      </c>
      <c r="D4745" s="96" t="s">
        <v>7202</v>
      </c>
      <c r="E4745" s="96" t="s">
        <v>786</v>
      </c>
    </row>
    <row r="4746" spans="2:5" ht="15" customHeight="1" thickBot="1" x14ac:dyDescent="0.35">
      <c r="B4746" s="96" t="s">
        <v>7203</v>
      </c>
      <c r="C4746" s="97">
        <v>532553</v>
      </c>
      <c r="D4746" s="96" t="s">
        <v>7204</v>
      </c>
      <c r="E4746" s="96" t="s">
        <v>786</v>
      </c>
    </row>
    <row r="4747" spans="2:5" ht="15" customHeight="1" thickBot="1" x14ac:dyDescent="0.35">
      <c r="B4747" s="96" t="s">
        <v>7205</v>
      </c>
      <c r="C4747" s="97">
        <v>514162</v>
      </c>
      <c r="D4747" s="96" t="s">
        <v>7200</v>
      </c>
      <c r="E4747" s="96" t="s">
        <v>403</v>
      </c>
    </row>
    <row r="4748" spans="2:5" ht="15" customHeight="1" thickBot="1" x14ac:dyDescent="0.35">
      <c r="B4748" s="96" t="s">
        <v>7206</v>
      </c>
      <c r="C4748" s="97">
        <v>533252</v>
      </c>
      <c r="D4748" s="96" t="s">
        <v>7207</v>
      </c>
      <c r="E4748" s="96" t="s">
        <v>371</v>
      </c>
    </row>
    <row r="4749" spans="2:5" ht="15" customHeight="1" thickBot="1" x14ac:dyDescent="0.35">
      <c r="B4749" s="96" t="s">
        <v>7208</v>
      </c>
      <c r="C4749" s="97">
        <v>526431</v>
      </c>
      <c r="D4749" s="96" t="s">
        <v>388</v>
      </c>
      <c r="E4749" s="96" t="s">
        <v>814</v>
      </c>
    </row>
    <row r="4750" spans="2:5" ht="15" customHeight="1" thickBot="1" x14ac:dyDescent="0.35">
      <c r="B4750" s="96" t="s">
        <v>7209</v>
      </c>
      <c r="C4750" s="97">
        <v>505412</v>
      </c>
      <c r="D4750" s="96" t="s">
        <v>7210</v>
      </c>
      <c r="E4750" s="96" t="s">
        <v>396</v>
      </c>
    </row>
    <row r="4751" spans="2:5" ht="15" customHeight="1" thickBot="1" x14ac:dyDescent="0.35">
      <c r="B4751" s="96" t="s">
        <v>7211</v>
      </c>
      <c r="C4751" s="97">
        <v>505412</v>
      </c>
      <c r="D4751" s="96" t="s">
        <v>7210</v>
      </c>
      <c r="E4751" s="96" t="s">
        <v>396</v>
      </c>
    </row>
    <row r="4752" spans="2:5" ht="15" customHeight="1" thickBot="1" x14ac:dyDescent="0.35">
      <c r="B4752" s="96" t="s">
        <v>7212</v>
      </c>
      <c r="C4752" s="97">
        <v>532373</v>
      </c>
      <c r="D4752" s="96" t="s">
        <v>388</v>
      </c>
      <c r="E4752" s="96" t="s">
        <v>410</v>
      </c>
    </row>
    <row r="4753" spans="2:5" ht="15" customHeight="1" thickBot="1" x14ac:dyDescent="0.35">
      <c r="B4753" s="96" t="s">
        <v>7213</v>
      </c>
      <c r="C4753" s="97">
        <v>500444</v>
      </c>
      <c r="D4753" s="96" t="s">
        <v>7214</v>
      </c>
      <c r="E4753" s="96" t="s">
        <v>382</v>
      </c>
    </row>
    <row r="4754" spans="2:5" ht="15" customHeight="1" thickBot="1" x14ac:dyDescent="0.35">
      <c r="B4754" s="96" t="s">
        <v>7215</v>
      </c>
      <c r="C4754" s="97">
        <v>538382</v>
      </c>
      <c r="D4754" s="96" t="s">
        <v>388</v>
      </c>
      <c r="E4754" s="96" t="s">
        <v>410</v>
      </c>
    </row>
    <row r="4755" spans="2:5" ht="15" customHeight="1" thickBot="1" x14ac:dyDescent="0.35">
      <c r="B4755" s="96" t="s">
        <v>7216</v>
      </c>
      <c r="C4755" s="97">
        <v>504998</v>
      </c>
      <c r="D4755" s="96" t="s">
        <v>388</v>
      </c>
      <c r="E4755" s="96" t="s">
        <v>420</v>
      </c>
    </row>
    <row r="4756" spans="2:5" ht="15" customHeight="1" thickBot="1" x14ac:dyDescent="0.35">
      <c r="B4756" s="96" t="s">
        <v>7217</v>
      </c>
      <c r="C4756" s="97">
        <v>505533</v>
      </c>
      <c r="D4756" s="96" t="s">
        <v>388</v>
      </c>
      <c r="E4756" s="96" t="s">
        <v>877</v>
      </c>
    </row>
    <row r="4757" spans="2:5" ht="15" customHeight="1" thickBot="1" x14ac:dyDescent="0.35">
      <c r="B4757" s="96" t="s">
        <v>7218</v>
      </c>
      <c r="C4757" s="97">
        <v>590073</v>
      </c>
      <c r="D4757" s="96" t="s">
        <v>7219</v>
      </c>
      <c r="E4757" s="96" t="s">
        <v>743</v>
      </c>
    </row>
    <row r="4758" spans="2:5" ht="15" customHeight="1" thickBot="1" x14ac:dyDescent="0.35">
      <c r="B4758" s="96" t="s">
        <v>7220</v>
      </c>
      <c r="C4758" s="97">
        <v>590073</v>
      </c>
      <c r="D4758" s="96" t="s">
        <v>7219</v>
      </c>
      <c r="E4758" s="96" t="s">
        <v>743</v>
      </c>
    </row>
    <row r="4759" spans="2:5" ht="15" customHeight="1" thickBot="1" x14ac:dyDescent="0.35">
      <c r="B4759" s="96" t="s">
        <v>7221</v>
      </c>
      <c r="C4759" s="97">
        <v>500238</v>
      </c>
      <c r="D4759" s="96" t="s">
        <v>7222</v>
      </c>
      <c r="E4759" s="96" t="s">
        <v>757</v>
      </c>
    </row>
    <row r="4760" spans="2:5" ht="15" customHeight="1" thickBot="1" x14ac:dyDescent="0.35">
      <c r="B4760" s="96" t="s">
        <v>7223</v>
      </c>
      <c r="C4760" s="97">
        <v>500238</v>
      </c>
      <c r="D4760" s="96" t="s">
        <v>7222</v>
      </c>
      <c r="E4760" s="96" t="s">
        <v>757</v>
      </c>
    </row>
    <row r="4761" spans="2:5" ht="15" customHeight="1" thickBot="1" x14ac:dyDescent="0.35">
      <c r="B4761" s="96" t="s">
        <v>7224</v>
      </c>
      <c r="C4761" s="97">
        <v>513713</v>
      </c>
      <c r="D4761" s="96" t="s">
        <v>388</v>
      </c>
      <c r="E4761" s="96" t="s">
        <v>502</v>
      </c>
    </row>
    <row r="4762" spans="2:5" ht="15" customHeight="1" thickBot="1" x14ac:dyDescent="0.35">
      <c r="B4762" s="96" t="s">
        <v>7225</v>
      </c>
      <c r="C4762" s="97">
        <v>542667</v>
      </c>
      <c r="D4762" s="96" t="s">
        <v>7226</v>
      </c>
      <c r="E4762" s="96" t="s">
        <v>754</v>
      </c>
    </row>
    <row r="4763" spans="2:5" ht="15" customHeight="1" thickBot="1" x14ac:dyDescent="0.35">
      <c r="B4763" s="96" t="s">
        <v>7227</v>
      </c>
      <c r="C4763" s="97">
        <v>519214</v>
      </c>
      <c r="D4763" s="96" t="s">
        <v>388</v>
      </c>
      <c r="E4763" s="96" t="s">
        <v>405</v>
      </c>
    </row>
    <row r="4764" spans="2:5" ht="15" customHeight="1" thickBot="1" x14ac:dyDescent="0.35">
      <c r="B4764" s="96" t="s">
        <v>7228</v>
      </c>
      <c r="C4764" s="97">
        <v>519224</v>
      </c>
      <c r="D4764" s="96" t="s">
        <v>7229</v>
      </c>
      <c r="E4764" s="96" t="s">
        <v>410</v>
      </c>
    </row>
    <row r="4765" spans="2:5" ht="15" customHeight="1" thickBot="1" x14ac:dyDescent="0.35">
      <c r="B4765" s="96" t="s">
        <v>7230</v>
      </c>
      <c r="C4765" s="97">
        <v>526586</v>
      </c>
      <c r="D4765" s="96" t="s">
        <v>388</v>
      </c>
      <c r="E4765" s="96" t="s">
        <v>508</v>
      </c>
    </row>
    <row r="4766" spans="2:5" ht="15" customHeight="1" thickBot="1" x14ac:dyDescent="0.35">
      <c r="B4766" s="96" t="s">
        <v>7231</v>
      </c>
      <c r="C4766" s="97">
        <v>522029</v>
      </c>
      <c r="D4766" s="96" t="s">
        <v>7232</v>
      </c>
      <c r="E4766" s="96" t="s">
        <v>396</v>
      </c>
    </row>
    <row r="4767" spans="2:5" ht="15" customHeight="1" thickBot="1" x14ac:dyDescent="0.35">
      <c r="B4767" s="96" t="s">
        <v>7233</v>
      </c>
      <c r="C4767" s="97">
        <v>512022</v>
      </c>
      <c r="D4767" s="96" t="s">
        <v>388</v>
      </c>
      <c r="E4767" s="96" t="s">
        <v>371</v>
      </c>
    </row>
    <row r="4768" spans="2:5" ht="15" customHeight="1" thickBot="1" x14ac:dyDescent="0.35">
      <c r="B4768" s="96" t="s">
        <v>7234</v>
      </c>
      <c r="C4768" s="97">
        <v>512022</v>
      </c>
      <c r="D4768" s="96" t="s">
        <v>388</v>
      </c>
      <c r="E4768" s="96" t="s">
        <v>371</v>
      </c>
    </row>
    <row r="4769" spans="2:5" ht="15" customHeight="1" thickBot="1" x14ac:dyDescent="0.35">
      <c r="B4769" s="96" t="s">
        <v>7235</v>
      </c>
      <c r="C4769" s="97">
        <v>526471</v>
      </c>
      <c r="D4769" s="96" t="s">
        <v>388</v>
      </c>
      <c r="E4769" s="96" t="s">
        <v>1020</v>
      </c>
    </row>
    <row r="4770" spans="2:5" ht="15" customHeight="1" thickBot="1" x14ac:dyDescent="0.35">
      <c r="B4770" s="96" t="s">
        <v>7236</v>
      </c>
      <c r="C4770" s="97">
        <v>514470</v>
      </c>
      <c r="D4770" s="96" t="s">
        <v>388</v>
      </c>
      <c r="E4770" s="96" t="s">
        <v>403</v>
      </c>
    </row>
    <row r="4771" spans="2:5" ht="15" customHeight="1" thickBot="1" x14ac:dyDescent="0.35">
      <c r="B4771" s="96" t="s">
        <v>7237</v>
      </c>
      <c r="C4771" s="97">
        <v>514348</v>
      </c>
      <c r="D4771" s="96" t="s">
        <v>7238</v>
      </c>
      <c r="E4771" s="96" t="s">
        <v>403</v>
      </c>
    </row>
    <row r="4772" spans="2:5" ht="15" customHeight="1" thickBot="1" x14ac:dyDescent="0.35">
      <c r="B4772" s="96" t="s">
        <v>7239</v>
      </c>
      <c r="C4772" s="97">
        <v>524758</v>
      </c>
      <c r="D4772" s="96" t="s">
        <v>388</v>
      </c>
      <c r="E4772" s="96" t="s">
        <v>426</v>
      </c>
    </row>
    <row r="4773" spans="2:5" ht="15" customHeight="1" thickBot="1" x14ac:dyDescent="0.35">
      <c r="B4773" s="96" t="s">
        <v>7240</v>
      </c>
      <c r="C4773" s="97">
        <v>538873</v>
      </c>
      <c r="D4773" s="96" t="s">
        <v>388</v>
      </c>
      <c r="E4773" s="96" t="s">
        <v>405</v>
      </c>
    </row>
    <row r="4774" spans="2:5" ht="15" customHeight="1" thickBot="1" x14ac:dyDescent="0.35">
      <c r="B4774" s="96" t="s">
        <v>7241</v>
      </c>
      <c r="C4774" s="97">
        <v>507685</v>
      </c>
      <c r="D4774" s="96" t="s">
        <v>7242</v>
      </c>
      <c r="E4774" s="96" t="s">
        <v>374</v>
      </c>
    </row>
    <row r="4775" spans="2:5" ht="15" customHeight="1" thickBot="1" x14ac:dyDescent="0.35">
      <c r="B4775" s="96" t="s">
        <v>7243</v>
      </c>
      <c r="C4775" s="97">
        <v>507817</v>
      </c>
      <c r="D4775" s="96" t="s">
        <v>388</v>
      </c>
      <c r="E4775" s="96" t="s">
        <v>403</v>
      </c>
    </row>
    <row r="4776" spans="2:5" ht="15" customHeight="1" thickBot="1" x14ac:dyDescent="0.35">
      <c r="B4776" s="96" t="s">
        <v>7244</v>
      </c>
      <c r="C4776" s="97">
        <v>511642</v>
      </c>
      <c r="D4776" s="96" t="s">
        <v>388</v>
      </c>
      <c r="E4776" s="96" t="s">
        <v>405</v>
      </c>
    </row>
    <row r="4777" spans="2:5" ht="15" customHeight="1" thickBot="1" x14ac:dyDescent="0.35">
      <c r="B4777" s="96" t="s">
        <v>7245</v>
      </c>
      <c r="C4777" s="97">
        <v>532300</v>
      </c>
      <c r="D4777" s="96" t="s">
        <v>7246</v>
      </c>
      <c r="E4777" s="96" t="s">
        <v>426</v>
      </c>
    </row>
    <row r="4778" spans="2:5" ht="15" customHeight="1" thickBot="1" x14ac:dyDescent="0.35">
      <c r="B4778" s="96" t="s">
        <v>7247</v>
      </c>
      <c r="C4778" s="97">
        <v>531396</v>
      </c>
      <c r="D4778" s="96" t="s">
        <v>388</v>
      </c>
      <c r="E4778" s="96" t="s">
        <v>481</v>
      </c>
    </row>
    <row r="4779" spans="2:5" ht="15" customHeight="1" thickBot="1" x14ac:dyDescent="0.35">
      <c r="B4779" s="96" t="s">
        <v>7248</v>
      </c>
      <c r="C4779" s="97">
        <v>538128</v>
      </c>
      <c r="D4779" s="96" t="s">
        <v>388</v>
      </c>
      <c r="E4779" s="96" t="s">
        <v>502</v>
      </c>
    </row>
    <row r="4780" spans="2:5" ht="15" customHeight="1" thickBot="1" x14ac:dyDescent="0.35">
      <c r="B4780" s="96" t="s">
        <v>7249</v>
      </c>
      <c r="C4780" s="97">
        <v>538268</v>
      </c>
      <c r="D4780" s="96" t="s">
        <v>7250</v>
      </c>
      <c r="E4780" s="96" t="s">
        <v>566</v>
      </c>
    </row>
    <row r="4781" spans="2:5" ht="15" customHeight="1" thickBot="1" x14ac:dyDescent="0.35">
      <c r="B4781" s="96" t="s">
        <v>7251</v>
      </c>
      <c r="C4781" s="97">
        <v>526959</v>
      </c>
      <c r="D4781" s="96" t="s">
        <v>388</v>
      </c>
      <c r="E4781" s="96" t="s">
        <v>589</v>
      </c>
    </row>
    <row r="4782" spans="2:5" ht="15" customHeight="1" thickBot="1" x14ac:dyDescent="0.35">
      <c r="B4782" s="96" t="s">
        <v>7252</v>
      </c>
      <c r="C4782" s="97">
        <v>526525</v>
      </c>
      <c r="D4782" s="96" t="s">
        <v>388</v>
      </c>
      <c r="E4782" s="96" t="s">
        <v>502</v>
      </c>
    </row>
    <row r="4783" spans="2:5" ht="15" customHeight="1" thickBot="1" x14ac:dyDescent="0.35">
      <c r="B4783" s="96" t="s">
        <v>7253</v>
      </c>
      <c r="C4783" s="97">
        <v>538451</v>
      </c>
      <c r="D4783" s="96" t="s">
        <v>388</v>
      </c>
      <c r="E4783" s="96" t="s">
        <v>408</v>
      </c>
    </row>
    <row r="4784" spans="2:5" ht="15" customHeight="1" thickBot="1" x14ac:dyDescent="0.35">
      <c r="B4784" s="96" t="s">
        <v>7254</v>
      </c>
      <c r="C4784" s="96" t="s">
        <v>388</v>
      </c>
      <c r="D4784" s="96" t="s">
        <v>7255</v>
      </c>
      <c r="E4784" s="96" t="s">
        <v>399</v>
      </c>
    </row>
    <row r="4785" spans="2:5" ht="15" customHeight="1" thickBot="1" x14ac:dyDescent="0.35">
      <c r="B4785" s="96" t="s">
        <v>7256</v>
      </c>
      <c r="C4785" s="97">
        <v>505872</v>
      </c>
      <c r="D4785" s="96" t="s">
        <v>388</v>
      </c>
      <c r="E4785" s="96" t="s">
        <v>396</v>
      </c>
    </row>
    <row r="4786" spans="2:5" ht="15" customHeight="1" thickBot="1" x14ac:dyDescent="0.35">
      <c r="B4786" s="96" t="s">
        <v>7257</v>
      </c>
      <c r="C4786" s="97">
        <v>532616</v>
      </c>
      <c r="D4786" s="96" t="s">
        <v>7258</v>
      </c>
      <c r="E4786" s="96" t="s">
        <v>718</v>
      </c>
    </row>
    <row r="4787" spans="2:5" ht="15" customHeight="1" thickBot="1" x14ac:dyDescent="0.35">
      <c r="B4787" s="96" t="s">
        <v>7259</v>
      </c>
      <c r="C4787" s="97">
        <v>542367</v>
      </c>
      <c r="D4787" s="96" t="s">
        <v>7260</v>
      </c>
      <c r="E4787" s="96" t="s">
        <v>5511</v>
      </c>
    </row>
    <row r="4788" spans="2:5" ht="15" customHeight="1" thickBot="1" x14ac:dyDescent="0.35">
      <c r="B4788" s="96" t="s">
        <v>7261</v>
      </c>
      <c r="C4788" s="97">
        <v>532788</v>
      </c>
      <c r="D4788" s="96" t="s">
        <v>7262</v>
      </c>
      <c r="E4788" s="96" t="s">
        <v>534</v>
      </c>
    </row>
    <row r="4789" spans="2:5" ht="15" customHeight="1" thickBot="1" x14ac:dyDescent="0.35">
      <c r="B4789" s="96" t="s">
        <v>7263</v>
      </c>
      <c r="C4789" s="97">
        <v>590013</v>
      </c>
      <c r="D4789" s="96" t="s">
        <v>7264</v>
      </c>
      <c r="E4789" s="96" t="s">
        <v>436</v>
      </c>
    </row>
    <row r="4790" spans="2:5" ht="15" customHeight="1" thickBot="1" x14ac:dyDescent="0.35">
      <c r="B4790" s="96" t="s">
        <v>7265</v>
      </c>
      <c r="C4790" s="97">
        <v>590013</v>
      </c>
      <c r="D4790" s="96" t="s">
        <v>7266</v>
      </c>
      <c r="E4790" s="96" t="s">
        <v>436</v>
      </c>
    </row>
    <row r="4791" spans="2:5" ht="15" customHeight="1" thickBot="1" x14ac:dyDescent="0.35">
      <c r="B4791" s="96" t="s">
        <v>7267</v>
      </c>
      <c r="C4791" s="97">
        <v>511012</v>
      </c>
      <c r="D4791" s="96" t="s">
        <v>388</v>
      </c>
      <c r="E4791" s="96" t="s">
        <v>408</v>
      </c>
    </row>
    <row r="4792" spans="2:5" ht="15" customHeight="1" thickBot="1" x14ac:dyDescent="0.35">
      <c r="B4792" s="96" t="s">
        <v>7268</v>
      </c>
      <c r="C4792" s="97">
        <v>514378</v>
      </c>
      <c r="D4792" s="96" t="s">
        <v>388</v>
      </c>
      <c r="E4792" s="96" t="s">
        <v>410</v>
      </c>
    </row>
    <row r="4793" spans="2:5" ht="15" customHeight="1" thickBot="1" x14ac:dyDescent="0.35">
      <c r="B4793" s="96" t="s">
        <v>7269</v>
      </c>
      <c r="C4793" s="97">
        <v>539939</v>
      </c>
      <c r="D4793" s="96" t="s">
        <v>388</v>
      </c>
      <c r="E4793" s="96" t="s">
        <v>548</v>
      </c>
    </row>
    <row r="4794" spans="2:5" ht="15" customHeight="1" thickBot="1" x14ac:dyDescent="0.35">
      <c r="B4794" s="96" t="s">
        <v>7270</v>
      </c>
      <c r="C4794" s="97">
        <v>511601</v>
      </c>
      <c r="D4794" s="96" t="s">
        <v>388</v>
      </c>
      <c r="E4794" s="96" t="s">
        <v>410</v>
      </c>
    </row>
    <row r="4795" spans="2:5" ht="15" customHeight="1" thickBot="1" x14ac:dyDescent="0.35">
      <c r="B4795" s="96" t="s">
        <v>7271</v>
      </c>
      <c r="C4795" s="97">
        <v>516030</v>
      </c>
      <c r="D4795" s="96" t="s">
        <v>388</v>
      </c>
      <c r="E4795" s="96" t="s">
        <v>382</v>
      </c>
    </row>
    <row r="4796" spans="2:5" ht="15" customHeight="1" thickBot="1" x14ac:dyDescent="0.35">
      <c r="B4796" s="96" t="s">
        <v>7272</v>
      </c>
      <c r="C4796" s="97">
        <v>541167</v>
      </c>
      <c r="D4796" s="96" t="s">
        <v>388</v>
      </c>
      <c r="E4796" s="96" t="s">
        <v>548</v>
      </c>
    </row>
    <row r="4797" spans="2:5" ht="15" customHeight="1" thickBot="1" x14ac:dyDescent="0.35">
      <c r="B4797" s="96" t="s">
        <v>7273</v>
      </c>
      <c r="C4797" s="97">
        <v>530063</v>
      </c>
      <c r="D4797" s="96" t="s">
        <v>388</v>
      </c>
      <c r="E4797" s="96" t="s">
        <v>583</v>
      </c>
    </row>
    <row r="4798" spans="2:5" ht="15" customHeight="1" thickBot="1" x14ac:dyDescent="0.35">
      <c r="B4798" s="96" t="s">
        <v>7274</v>
      </c>
      <c r="C4798" s="97">
        <v>532648</v>
      </c>
      <c r="D4798" s="96" t="s">
        <v>7275</v>
      </c>
      <c r="E4798" s="96" t="s">
        <v>706</v>
      </c>
    </row>
    <row r="4799" spans="2:5" ht="15" customHeight="1" thickBot="1" x14ac:dyDescent="0.35">
      <c r="B4799" s="96" t="s">
        <v>7276</v>
      </c>
      <c r="C4799" s="97">
        <v>531260</v>
      </c>
      <c r="D4799" s="96" t="s">
        <v>388</v>
      </c>
      <c r="E4799" s="96" t="s">
        <v>448</v>
      </c>
    </row>
    <row r="4800" spans="2:5" ht="15" customHeight="1" thickBot="1" x14ac:dyDescent="0.35">
      <c r="B4800" s="96" t="s">
        <v>7277</v>
      </c>
      <c r="C4800" s="97">
        <v>522209</v>
      </c>
      <c r="D4800" s="96" t="s">
        <v>388</v>
      </c>
      <c r="E4800" s="96" t="s">
        <v>371</v>
      </c>
    </row>
    <row r="4801" spans="2:5" ht="15" customHeight="1" thickBot="1" x14ac:dyDescent="0.35">
      <c r="B4801" s="96" t="s">
        <v>7278</v>
      </c>
      <c r="C4801" s="97">
        <v>522209</v>
      </c>
      <c r="D4801" s="96" t="s">
        <v>388</v>
      </c>
      <c r="E4801" s="96" t="s">
        <v>371</v>
      </c>
    </row>
    <row r="4802" spans="2:5" ht="15" customHeight="1" thickBot="1" x14ac:dyDescent="0.35">
      <c r="B4802" s="96" t="s">
        <v>7279</v>
      </c>
      <c r="C4802" s="97">
        <v>539097</v>
      </c>
      <c r="D4802" s="96" t="s">
        <v>388</v>
      </c>
      <c r="E4802" s="96" t="s">
        <v>410</v>
      </c>
    </row>
    <row r="4803" spans="2:5" ht="15" customHeight="1" thickBot="1" x14ac:dyDescent="0.35">
      <c r="B4803" s="96" t="s">
        <v>7280</v>
      </c>
      <c r="C4803" s="97">
        <v>530675</v>
      </c>
      <c r="D4803" s="96" t="s">
        <v>388</v>
      </c>
      <c r="E4803" s="96" t="s">
        <v>502</v>
      </c>
    </row>
    <row r="4804" spans="2:5" ht="15" customHeight="1" thickBot="1" x14ac:dyDescent="0.35">
      <c r="B4804" s="96" t="s">
        <v>7281</v>
      </c>
      <c r="C4804" s="97">
        <v>540550</v>
      </c>
      <c r="D4804" s="96" t="s">
        <v>388</v>
      </c>
      <c r="E4804" s="96" t="s">
        <v>548</v>
      </c>
    </row>
    <row r="4805" spans="2:5" ht="15" customHeight="1" thickBot="1" x14ac:dyDescent="0.35">
      <c r="B4805" s="96" t="s">
        <v>7282</v>
      </c>
      <c r="C4805" s="97">
        <v>522108</v>
      </c>
      <c r="D4805" s="96" t="s">
        <v>388</v>
      </c>
      <c r="E4805" s="96" t="s">
        <v>743</v>
      </c>
    </row>
    <row r="4806" spans="2:5" ht="15" customHeight="1" thickBot="1" x14ac:dyDescent="0.35">
      <c r="B4806" s="96" t="s">
        <v>7283</v>
      </c>
      <c r="C4806" s="97">
        <v>522108</v>
      </c>
      <c r="D4806" s="96" t="s">
        <v>388</v>
      </c>
      <c r="E4806" s="96" t="s">
        <v>743</v>
      </c>
    </row>
    <row r="4807" spans="2:5" ht="15" customHeight="1" thickBot="1" x14ac:dyDescent="0.35">
      <c r="B4807" s="96" t="s">
        <v>7284</v>
      </c>
      <c r="C4807" s="97">
        <v>536846</v>
      </c>
      <c r="D4807" s="96" t="s">
        <v>388</v>
      </c>
      <c r="E4807" s="96" t="s">
        <v>786</v>
      </c>
    </row>
    <row r="4808" spans="2:5" ht="15" customHeight="1" thickBot="1" x14ac:dyDescent="0.35">
      <c r="B4808" s="96" t="s">
        <v>7285</v>
      </c>
      <c r="C4808" s="97">
        <v>531663</v>
      </c>
      <c r="D4808" s="96" t="s">
        <v>7286</v>
      </c>
      <c r="E4808" s="96" t="s">
        <v>2206</v>
      </c>
    </row>
    <row r="4809" spans="2:5" ht="15" customHeight="1" thickBot="1" x14ac:dyDescent="0.35">
      <c r="B4809" s="96" t="s">
        <v>7287</v>
      </c>
      <c r="C4809" s="97">
        <v>505163</v>
      </c>
      <c r="D4809" s="96" t="s">
        <v>388</v>
      </c>
      <c r="E4809" s="96" t="s">
        <v>743</v>
      </c>
    </row>
    <row r="4810" spans="2:5" ht="15" customHeight="1" thickBot="1" x14ac:dyDescent="0.35">
      <c r="B4810" s="96" t="s">
        <v>7288</v>
      </c>
      <c r="C4810" s="97">
        <v>505163</v>
      </c>
      <c r="D4810" s="96" t="s">
        <v>388</v>
      </c>
      <c r="E4810" s="96" t="s">
        <v>743</v>
      </c>
    </row>
    <row r="4811" spans="2:5" ht="15" customHeight="1" thickBot="1" x14ac:dyDescent="0.35">
      <c r="B4811" s="96" t="s">
        <v>7289</v>
      </c>
      <c r="C4811" s="97">
        <v>539963</v>
      </c>
      <c r="D4811" s="96" t="s">
        <v>388</v>
      </c>
      <c r="E4811" s="96" t="s">
        <v>468</v>
      </c>
    </row>
    <row r="4812" spans="2:5" ht="15" customHeight="1" thickBot="1" x14ac:dyDescent="0.35">
      <c r="B4812" s="96" t="s">
        <v>7290</v>
      </c>
      <c r="C4812" s="97">
        <v>505537</v>
      </c>
      <c r="D4812" s="96" t="s">
        <v>7291</v>
      </c>
      <c r="E4812" s="96" t="s">
        <v>1126</v>
      </c>
    </row>
    <row r="4813" spans="2:5" ht="15" customHeight="1" thickBot="1" x14ac:dyDescent="0.35">
      <c r="B4813" s="96" t="s">
        <v>7292</v>
      </c>
      <c r="C4813" s="97">
        <v>533287</v>
      </c>
      <c r="D4813" s="96" t="s">
        <v>7293</v>
      </c>
      <c r="E4813" s="96" t="s">
        <v>493</v>
      </c>
    </row>
    <row r="4814" spans="2:5" ht="15" customHeight="1" thickBot="1" x14ac:dyDescent="0.35">
      <c r="B4814" s="96" t="s">
        <v>7294</v>
      </c>
      <c r="C4814" s="97">
        <v>532794</v>
      </c>
      <c r="D4814" s="96" t="s">
        <v>7295</v>
      </c>
      <c r="E4814" s="96" t="s">
        <v>1126</v>
      </c>
    </row>
    <row r="4815" spans="2:5" ht="15" customHeight="1" thickBot="1" x14ac:dyDescent="0.35">
      <c r="B4815" s="96" t="s">
        <v>7296</v>
      </c>
      <c r="C4815" s="97">
        <v>533339</v>
      </c>
      <c r="D4815" s="96" t="s">
        <v>7297</v>
      </c>
      <c r="E4815" s="96" t="s">
        <v>481</v>
      </c>
    </row>
    <row r="4816" spans="2:5" ht="15" customHeight="1" thickBot="1" x14ac:dyDescent="0.35">
      <c r="B4816" s="96" t="s">
        <v>7298</v>
      </c>
      <c r="C4816" s="97">
        <v>531845</v>
      </c>
      <c r="D4816" s="96" t="s">
        <v>7299</v>
      </c>
      <c r="E4816" s="96" t="s">
        <v>786</v>
      </c>
    </row>
    <row r="4817" spans="2:5" ht="15" customHeight="1" thickBot="1" x14ac:dyDescent="0.35">
      <c r="B4817" s="96" t="s">
        <v>7300</v>
      </c>
      <c r="C4817" s="97">
        <v>531845</v>
      </c>
      <c r="D4817" s="96" t="s">
        <v>7299</v>
      </c>
      <c r="E4817" s="96" t="s">
        <v>786</v>
      </c>
    </row>
    <row r="4818" spans="2:5" ht="15" customHeight="1" thickBot="1" x14ac:dyDescent="0.35">
      <c r="B4818" s="96" t="s">
        <v>7301</v>
      </c>
      <c r="C4818" s="97">
        <v>512553</v>
      </c>
      <c r="D4818" s="96" t="s">
        <v>7302</v>
      </c>
      <c r="E4818" s="96" t="s">
        <v>403</v>
      </c>
    </row>
    <row r="4819" spans="2:5" ht="15" customHeight="1" thickBot="1" x14ac:dyDescent="0.35">
      <c r="B4819" s="96" t="s">
        <v>7303</v>
      </c>
      <c r="C4819" s="97">
        <v>514266</v>
      </c>
      <c r="D4819" s="96" t="s">
        <v>388</v>
      </c>
      <c r="E4819" s="96" t="s">
        <v>403</v>
      </c>
    </row>
    <row r="4820" spans="2:5" ht="15" customHeight="1" thickBot="1" x14ac:dyDescent="0.35">
      <c r="B4820" s="96" t="s">
        <v>7304</v>
      </c>
      <c r="C4820" s="97">
        <v>530665</v>
      </c>
      <c r="D4820" s="96" t="s">
        <v>388</v>
      </c>
      <c r="E4820" s="96" t="s">
        <v>426</v>
      </c>
    </row>
    <row r="4821" spans="2:5" ht="15" customHeight="1" thickBot="1" x14ac:dyDescent="0.35">
      <c r="B4821" s="96" t="s">
        <v>7305</v>
      </c>
      <c r="C4821" s="97">
        <v>530697</v>
      </c>
      <c r="D4821" s="96" t="s">
        <v>388</v>
      </c>
      <c r="E4821" s="96" t="s">
        <v>809</v>
      </c>
    </row>
    <row r="4822" spans="2:5" ht="15" customHeight="1" thickBot="1" x14ac:dyDescent="0.35">
      <c r="B4822" s="96" t="s">
        <v>7306</v>
      </c>
      <c r="C4822" s="97">
        <v>532039</v>
      </c>
      <c r="D4822" s="96" t="s">
        <v>388</v>
      </c>
      <c r="E4822" s="96" t="s">
        <v>426</v>
      </c>
    </row>
    <row r="4823" spans="2:5" ht="15" customHeight="1" thickBot="1" x14ac:dyDescent="0.35">
      <c r="B4823" s="96" t="s">
        <v>7307</v>
      </c>
      <c r="C4823" s="97">
        <v>504067</v>
      </c>
      <c r="D4823" s="96" t="s">
        <v>7308</v>
      </c>
      <c r="E4823" s="96" t="s">
        <v>374</v>
      </c>
    </row>
    <row r="4824" spans="2:5" ht="15" customHeight="1" thickBot="1" x14ac:dyDescent="0.35">
      <c r="B4824" s="96" t="s">
        <v>7309</v>
      </c>
      <c r="C4824" s="97">
        <v>531404</v>
      </c>
      <c r="D4824" s="96" t="s">
        <v>7310</v>
      </c>
      <c r="E4824" s="96" t="s">
        <v>930</v>
      </c>
    </row>
    <row r="4825" spans="2:5" ht="15" customHeight="1" thickBot="1" x14ac:dyDescent="0.35">
      <c r="B4825" s="96" t="s">
        <v>7311</v>
      </c>
      <c r="C4825" s="97">
        <v>541400</v>
      </c>
      <c r="D4825" s="96" t="s">
        <v>388</v>
      </c>
      <c r="E4825" s="96" t="s">
        <v>426</v>
      </c>
    </row>
    <row r="4826" spans="2:5" ht="15" customHeight="1" thickBot="1" x14ac:dyDescent="0.35">
      <c r="B4826" s="96" t="s">
        <v>7312</v>
      </c>
      <c r="C4826" s="97">
        <v>521163</v>
      </c>
      <c r="D4826" s="96" t="s">
        <v>7313</v>
      </c>
      <c r="E4826" s="96" t="s">
        <v>502</v>
      </c>
    </row>
    <row r="4827" spans="2:5" ht="15" customHeight="1" thickBot="1" x14ac:dyDescent="0.35">
      <c r="B4827" s="96" t="s">
        <v>7314</v>
      </c>
      <c r="C4827" s="96" t="s">
        <v>388</v>
      </c>
      <c r="D4827" s="96" t="s">
        <v>7315</v>
      </c>
      <c r="E4827" s="96" t="s">
        <v>399</v>
      </c>
    </row>
    <row r="4828" spans="2:5" ht="15" customHeight="1" thickBot="1" x14ac:dyDescent="0.35">
      <c r="B4828" s="96" t="s">
        <v>7316</v>
      </c>
      <c r="C4828" s="97">
        <v>512587</v>
      </c>
      <c r="D4828" s="96" t="s">
        <v>7317</v>
      </c>
      <c r="E4828" s="96" t="s">
        <v>502</v>
      </c>
    </row>
    <row r="4829" spans="2:5" ht="15" customHeight="1" thickBot="1" x14ac:dyDescent="0.35">
      <c r="B4829" s="96" t="s">
        <v>7318</v>
      </c>
      <c r="C4829" s="97">
        <v>503641</v>
      </c>
      <c r="D4829" s="96" t="s">
        <v>7319</v>
      </c>
      <c r="E4829" s="96" t="s">
        <v>472</v>
      </c>
    </row>
    <row r="4830" spans="2:5" ht="15" customHeight="1" thickBot="1" x14ac:dyDescent="0.35">
      <c r="B4830" s="96" t="s">
        <v>7320</v>
      </c>
      <c r="C4830" s="96" t="s">
        <v>388</v>
      </c>
      <c r="D4830" s="96" t="s">
        <v>7321</v>
      </c>
      <c r="E4830" s="96" t="s">
        <v>399</v>
      </c>
    </row>
    <row r="4831" spans="2:5" ht="15" customHeight="1" thickBot="1" x14ac:dyDescent="0.35">
      <c r="B4831" s="96" t="s">
        <v>7322</v>
      </c>
      <c r="C4831" s="97">
        <v>534742</v>
      </c>
      <c r="D4831" s="96" t="s">
        <v>7323</v>
      </c>
      <c r="E4831" s="96" t="s">
        <v>896</v>
      </c>
    </row>
    <row r="4832" spans="2:5" ht="15" customHeight="1" thickBot="1" x14ac:dyDescent="0.35">
      <c r="B4832" s="96" t="s">
        <v>7324</v>
      </c>
      <c r="C4832" s="97">
        <v>500780</v>
      </c>
      <c r="D4832" s="96" t="s">
        <v>7325</v>
      </c>
      <c r="E4832" s="96" t="s">
        <v>896</v>
      </c>
    </row>
    <row r="4833" spans="2:5" ht="15" customHeight="1" thickBot="1" x14ac:dyDescent="0.35">
      <c r="B4833" s="96" t="s">
        <v>7326</v>
      </c>
      <c r="C4833" s="97">
        <v>531335</v>
      </c>
      <c r="D4833" s="96" t="s">
        <v>7327</v>
      </c>
      <c r="E4833" s="96" t="s">
        <v>448</v>
      </c>
    </row>
    <row r="4834" spans="2:5" ht="15" customHeight="1" thickBot="1" x14ac:dyDescent="0.35">
      <c r="B4834" s="96" t="s">
        <v>7328</v>
      </c>
      <c r="C4834" s="97">
        <v>532883</v>
      </c>
      <c r="D4834" s="96" t="s">
        <v>7329</v>
      </c>
      <c r="E4834" s="96" t="s">
        <v>481</v>
      </c>
    </row>
    <row r="4835" spans="2:5" ht="15" customHeight="1" thickBot="1" x14ac:dyDescent="0.35">
      <c r="B4835" s="96" t="s">
        <v>7330</v>
      </c>
      <c r="C4835" s="97">
        <v>500202</v>
      </c>
      <c r="D4835" s="96" t="s">
        <v>7331</v>
      </c>
      <c r="E4835" s="96" t="s">
        <v>405</v>
      </c>
    </row>
    <row r="4836" spans="2:5" ht="15" customHeight="1" thickBot="1" x14ac:dyDescent="0.35">
      <c r="B4836" s="96" t="s">
        <v>7332</v>
      </c>
      <c r="C4836" s="97">
        <v>500458</v>
      </c>
      <c r="D4836" s="96" t="s">
        <v>7333</v>
      </c>
      <c r="E4836" s="96" t="s">
        <v>468</v>
      </c>
    </row>
    <row r="4837" spans="2:5" ht="15" customHeight="1" thickBot="1" x14ac:dyDescent="0.35">
      <c r="B4837" s="96" t="s">
        <v>7334</v>
      </c>
      <c r="C4837" s="97">
        <v>501111</v>
      </c>
      <c r="D4837" s="96" t="s">
        <v>7335</v>
      </c>
      <c r="E4837" s="96" t="s">
        <v>410</v>
      </c>
    </row>
    <row r="4838" spans="2:5" ht="15" customHeight="1" thickBot="1" x14ac:dyDescent="0.35">
      <c r="B4838" s="96" t="s">
        <v>7336</v>
      </c>
      <c r="C4838" s="97">
        <v>501151</v>
      </c>
      <c r="D4838" s="96" t="s">
        <v>7337</v>
      </c>
      <c r="E4838" s="96" t="s">
        <v>371</v>
      </c>
    </row>
    <row r="4839" spans="2:5" ht="15" customHeight="1" thickBot="1" x14ac:dyDescent="0.35">
      <c r="B4839" s="96" t="s">
        <v>7338</v>
      </c>
      <c r="C4839" s="97">
        <v>501311</v>
      </c>
      <c r="D4839" s="96" t="s">
        <v>7339</v>
      </c>
      <c r="E4839" s="96" t="s">
        <v>405</v>
      </c>
    </row>
    <row r="4840" spans="2:5" ht="15" customHeight="1" thickBot="1" x14ac:dyDescent="0.35">
      <c r="B4840" s="96" t="s">
        <v>7340</v>
      </c>
      <c r="C4840" s="97">
        <v>501622</v>
      </c>
      <c r="D4840" s="96" t="s">
        <v>7341</v>
      </c>
      <c r="E4840" s="96" t="s">
        <v>7342</v>
      </c>
    </row>
    <row r="4841" spans="2:5" ht="15" customHeight="1" thickBot="1" x14ac:dyDescent="0.35">
      <c r="B4841" s="96" t="s">
        <v>7343</v>
      </c>
      <c r="C4841" s="97">
        <v>502850</v>
      </c>
      <c r="D4841" s="96" t="s">
        <v>7344</v>
      </c>
      <c r="E4841" s="96" t="s">
        <v>403</v>
      </c>
    </row>
    <row r="4842" spans="2:5" ht="15" customHeight="1" thickBot="1" x14ac:dyDescent="0.35">
      <c r="B4842" s="96" t="s">
        <v>7345</v>
      </c>
      <c r="C4842" s="97">
        <v>503669</v>
      </c>
      <c r="D4842" s="96" t="s">
        <v>7346</v>
      </c>
      <c r="E4842" s="96" t="s">
        <v>7342</v>
      </c>
    </row>
    <row r="4843" spans="2:5" ht="15" customHeight="1" thickBot="1" x14ac:dyDescent="0.35">
      <c r="B4843" s="96" t="s">
        <v>7347</v>
      </c>
      <c r="C4843" s="97">
        <v>506975</v>
      </c>
      <c r="D4843" s="96" t="s">
        <v>7348</v>
      </c>
      <c r="E4843" s="96" t="s">
        <v>403</v>
      </c>
    </row>
    <row r="4844" spans="2:5" ht="15" customHeight="1" thickBot="1" x14ac:dyDescent="0.35">
      <c r="B4844" s="96" t="s">
        <v>7349</v>
      </c>
      <c r="C4844" s="97">
        <v>508924</v>
      </c>
      <c r="D4844" s="96" t="s">
        <v>7350</v>
      </c>
      <c r="E4844" s="96" t="s">
        <v>7342</v>
      </c>
    </row>
    <row r="4845" spans="2:5" ht="15" customHeight="1" thickBot="1" x14ac:dyDescent="0.35">
      <c r="B4845" s="96" t="s">
        <v>7351</v>
      </c>
      <c r="C4845" s="97">
        <v>511260</v>
      </c>
      <c r="D4845" s="96" t="s">
        <v>7352</v>
      </c>
      <c r="E4845" s="96" t="s">
        <v>371</v>
      </c>
    </row>
    <row r="4846" spans="2:5" ht="15" customHeight="1" thickBot="1" x14ac:dyDescent="0.35">
      <c r="B4846" s="96" t="s">
        <v>7353</v>
      </c>
      <c r="C4846" s="97">
        <v>511730</v>
      </c>
      <c r="D4846" s="96" t="s">
        <v>7354</v>
      </c>
      <c r="E4846" s="96" t="s">
        <v>405</v>
      </c>
    </row>
    <row r="4847" spans="2:5" ht="15" customHeight="1" thickBot="1" x14ac:dyDescent="0.35">
      <c r="B4847" s="96" t="s">
        <v>7355</v>
      </c>
      <c r="C4847" s="97">
        <v>512221</v>
      </c>
      <c r="D4847" s="96" t="s">
        <v>7356</v>
      </c>
      <c r="E4847" s="96" t="s">
        <v>405</v>
      </c>
    </row>
    <row r="4848" spans="2:5" ht="15" customHeight="1" thickBot="1" x14ac:dyDescent="0.35">
      <c r="B4848" s="96" t="s">
        <v>7357</v>
      </c>
      <c r="C4848" s="97">
        <v>512344</v>
      </c>
      <c r="D4848" s="96" t="s">
        <v>7358</v>
      </c>
      <c r="E4848" s="96" t="s">
        <v>410</v>
      </c>
    </row>
    <row r="4849" spans="2:5" ht="15" customHeight="1" thickBot="1" x14ac:dyDescent="0.35">
      <c r="B4849" s="96" t="s">
        <v>7359</v>
      </c>
      <c r="C4849" s="97">
        <v>512345</v>
      </c>
      <c r="D4849" s="96" t="s">
        <v>7360</v>
      </c>
      <c r="E4849" s="96" t="s">
        <v>371</v>
      </c>
    </row>
    <row r="4850" spans="2:5" ht="15" customHeight="1" thickBot="1" x14ac:dyDescent="0.35">
      <c r="B4850" s="96" t="s">
        <v>7361</v>
      </c>
      <c r="C4850" s="97">
        <v>512479</v>
      </c>
      <c r="D4850" s="96" t="s">
        <v>7362</v>
      </c>
      <c r="E4850" s="96" t="s">
        <v>474</v>
      </c>
    </row>
    <row r="4851" spans="2:5" ht="15" customHeight="1" thickBot="1" x14ac:dyDescent="0.35">
      <c r="B4851" s="96" t="s">
        <v>7363</v>
      </c>
      <c r="C4851" s="97">
        <v>513343</v>
      </c>
      <c r="D4851" s="96" t="s">
        <v>7364</v>
      </c>
      <c r="E4851" s="96" t="s">
        <v>711</v>
      </c>
    </row>
    <row r="4852" spans="2:5" ht="15" customHeight="1" thickBot="1" x14ac:dyDescent="0.35">
      <c r="B4852" s="96" t="s">
        <v>7365</v>
      </c>
      <c r="C4852" s="97">
        <v>513418</v>
      </c>
      <c r="D4852" s="96" t="s">
        <v>7366</v>
      </c>
      <c r="E4852" s="96" t="s">
        <v>1307</v>
      </c>
    </row>
    <row r="4853" spans="2:5" ht="15" customHeight="1" thickBot="1" x14ac:dyDescent="0.35">
      <c r="B4853" s="96" t="s">
        <v>7367</v>
      </c>
      <c r="C4853" s="97">
        <v>515008</v>
      </c>
      <c r="D4853" s="96" t="s">
        <v>7368</v>
      </c>
      <c r="E4853" s="96" t="s">
        <v>686</v>
      </c>
    </row>
    <row r="4854" spans="2:5" ht="15" customHeight="1" thickBot="1" x14ac:dyDescent="0.35">
      <c r="B4854" s="96" t="s">
        <v>7369</v>
      </c>
      <c r="C4854" s="97">
        <v>517273</v>
      </c>
      <c r="D4854" s="96" t="s">
        <v>7370</v>
      </c>
      <c r="E4854" s="96" t="s">
        <v>686</v>
      </c>
    </row>
    <row r="4855" spans="2:5" ht="15" customHeight="1" thickBot="1" x14ac:dyDescent="0.35">
      <c r="B4855" s="96" t="s">
        <v>7371</v>
      </c>
      <c r="C4855" s="97">
        <v>517360</v>
      </c>
      <c r="D4855" s="96" t="s">
        <v>7372</v>
      </c>
      <c r="E4855" s="96" t="s">
        <v>410</v>
      </c>
    </row>
    <row r="4856" spans="2:5" ht="15" customHeight="1" thickBot="1" x14ac:dyDescent="0.35">
      <c r="B4856" s="96" t="s">
        <v>7373</v>
      </c>
      <c r="C4856" s="97">
        <v>517393</v>
      </c>
      <c r="D4856" s="96" t="s">
        <v>7374</v>
      </c>
      <c r="E4856" s="96" t="s">
        <v>713</v>
      </c>
    </row>
    <row r="4857" spans="2:5" ht="15" customHeight="1" thickBot="1" x14ac:dyDescent="0.35">
      <c r="B4857" s="96" t="s">
        <v>7375</v>
      </c>
      <c r="C4857" s="97">
        <v>519397</v>
      </c>
      <c r="D4857" s="96" t="s">
        <v>7376</v>
      </c>
      <c r="E4857" s="96" t="s">
        <v>448</v>
      </c>
    </row>
    <row r="4858" spans="2:5" ht="15" customHeight="1" thickBot="1" x14ac:dyDescent="0.35">
      <c r="B4858" s="96" t="s">
        <v>7377</v>
      </c>
      <c r="C4858" s="97">
        <v>519500</v>
      </c>
      <c r="D4858" s="96" t="s">
        <v>7378</v>
      </c>
      <c r="E4858" s="96" t="s">
        <v>448</v>
      </c>
    </row>
    <row r="4859" spans="2:5" ht="15" customHeight="1" thickBot="1" x14ac:dyDescent="0.35">
      <c r="B4859" s="96" t="s">
        <v>7379</v>
      </c>
      <c r="C4859" s="97">
        <v>522171</v>
      </c>
      <c r="D4859" s="96" t="s">
        <v>7380</v>
      </c>
      <c r="E4859" s="96" t="s">
        <v>396</v>
      </c>
    </row>
    <row r="4860" spans="2:5" ht="15" customHeight="1" thickBot="1" x14ac:dyDescent="0.35">
      <c r="B4860" s="96" t="s">
        <v>7381</v>
      </c>
      <c r="C4860" s="97">
        <v>524572</v>
      </c>
      <c r="D4860" s="96" t="s">
        <v>7382</v>
      </c>
      <c r="E4860" s="96" t="s">
        <v>426</v>
      </c>
    </row>
    <row r="4861" spans="2:5" ht="15" customHeight="1" thickBot="1" x14ac:dyDescent="0.35">
      <c r="B4861" s="96" t="s">
        <v>7383</v>
      </c>
      <c r="C4861" s="97">
        <v>526211</v>
      </c>
      <c r="D4861" s="96" t="s">
        <v>7384</v>
      </c>
      <c r="E4861" s="96" t="s">
        <v>637</v>
      </c>
    </row>
    <row r="4862" spans="2:5" ht="15" customHeight="1" thickBot="1" x14ac:dyDescent="0.35">
      <c r="B4862" s="96" t="s">
        <v>7385</v>
      </c>
      <c r="C4862" s="97">
        <v>526638</v>
      </c>
      <c r="D4862" s="96" t="s">
        <v>7386</v>
      </c>
      <c r="E4862" s="96" t="s">
        <v>508</v>
      </c>
    </row>
    <row r="4863" spans="2:5" ht="15" customHeight="1" thickBot="1" x14ac:dyDescent="0.35">
      <c r="B4863" s="96" t="s">
        <v>7387</v>
      </c>
      <c r="C4863" s="97">
        <v>530291</v>
      </c>
      <c r="D4863" s="96" t="s">
        <v>7388</v>
      </c>
      <c r="E4863" s="96" t="s">
        <v>637</v>
      </c>
    </row>
    <row r="4864" spans="2:5" ht="15" customHeight="1" thickBot="1" x14ac:dyDescent="0.35">
      <c r="B4864" s="96" t="s">
        <v>7389</v>
      </c>
      <c r="C4864" s="97">
        <v>530439</v>
      </c>
      <c r="D4864" s="96" t="s">
        <v>7390</v>
      </c>
      <c r="E4864" s="96" t="s">
        <v>405</v>
      </c>
    </row>
    <row r="4865" spans="2:5" ht="15" customHeight="1" thickBot="1" x14ac:dyDescent="0.35">
      <c r="B4865" s="96" t="s">
        <v>7391</v>
      </c>
      <c r="C4865" s="97">
        <v>530443</v>
      </c>
      <c r="D4865" s="96" t="s">
        <v>7392</v>
      </c>
      <c r="E4865" s="96" t="s">
        <v>403</v>
      </c>
    </row>
    <row r="4866" spans="2:5" ht="15" customHeight="1" thickBot="1" x14ac:dyDescent="0.35">
      <c r="B4866" s="96" t="s">
        <v>7393</v>
      </c>
      <c r="C4866" s="97">
        <v>531205</v>
      </c>
      <c r="D4866" s="96" t="s">
        <v>7394</v>
      </c>
      <c r="E4866" s="96" t="s">
        <v>410</v>
      </c>
    </row>
    <row r="4867" spans="2:5" ht="15" customHeight="1" thickBot="1" x14ac:dyDescent="0.35">
      <c r="B4867" s="96" t="s">
        <v>7395</v>
      </c>
      <c r="C4867" s="97">
        <v>531225</v>
      </c>
      <c r="D4867" s="96" t="s">
        <v>7396</v>
      </c>
      <c r="E4867" s="96" t="s">
        <v>481</v>
      </c>
    </row>
    <row r="4868" spans="2:5" ht="15" customHeight="1" thickBot="1" x14ac:dyDescent="0.35">
      <c r="B4868" s="96" t="s">
        <v>7397</v>
      </c>
      <c r="C4868" s="97">
        <v>531436</v>
      </c>
      <c r="D4868" s="96" t="s">
        <v>7398</v>
      </c>
      <c r="E4868" s="96" t="s">
        <v>382</v>
      </c>
    </row>
    <row r="4869" spans="2:5" ht="15" customHeight="1" thickBot="1" x14ac:dyDescent="0.35">
      <c r="B4869" s="96" t="s">
        <v>7399</v>
      </c>
      <c r="C4869" s="97">
        <v>531621</v>
      </c>
      <c r="D4869" s="96" t="s">
        <v>7400</v>
      </c>
      <c r="E4869" s="96" t="s">
        <v>394</v>
      </c>
    </row>
    <row r="4870" spans="2:5" ht="15" customHeight="1" thickBot="1" x14ac:dyDescent="0.35">
      <c r="B4870" s="96" t="s">
        <v>7401</v>
      </c>
      <c r="C4870" s="97">
        <v>531944</v>
      </c>
      <c r="D4870" s="96" t="s">
        <v>7402</v>
      </c>
      <c r="E4870" s="96" t="s">
        <v>396</v>
      </c>
    </row>
    <row r="4871" spans="2:5" ht="15" customHeight="1" thickBot="1" x14ac:dyDescent="0.35">
      <c r="B4871" s="96" t="s">
        <v>7403</v>
      </c>
      <c r="C4871" s="97">
        <v>532138</v>
      </c>
      <c r="D4871" s="96" t="s">
        <v>7404</v>
      </c>
      <c r="E4871" s="96" t="s">
        <v>405</v>
      </c>
    </row>
    <row r="4872" spans="2:5" ht="15" customHeight="1" thickBot="1" x14ac:dyDescent="0.35">
      <c r="B4872" s="96" t="s">
        <v>7405</v>
      </c>
      <c r="C4872" s="97">
        <v>533093</v>
      </c>
      <c r="D4872" s="96" t="s">
        <v>7406</v>
      </c>
      <c r="E4872" s="96" t="s">
        <v>637</v>
      </c>
    </row>
    <row r="4873" spans="2:5" ht="15" customHeight="1" thickBot="1" x14ac:dyDescent="0.35">
      <c r="B4873" s="96" t="s">
        <v>7407</v>
      </c>
      <c r="C4873" s="97">
        <v>533570</v>
      </c>
      <c r="D4873" s="96" t="s">
        <v>7408</v>
      </c>
      <c r="E4873" s="96"/>
    </row>
    <row r="4874" spans="2:5" ht="15" customHeight="1" thickBot="1" x14ac:dyDescent="0.35">
      <c r="B4874" s="96" t="s">
        <v>7409</v>
      </c>
      <c r="C4874" s="97">
        <v>533719</v>
      </c>
      <c r="D4874" s="96" t="s">
        <v>7410</v>
      </c>
      <c r="E4874" s="96"/>
    </row>
    <row r="4875" spans="2:5" ht="15" customHeight="1" thickBot="1" x14ac:dyDescent="0.35">
      <c r="B4875" s="96" t="s">
        <v>7411</v>
      </c>
      <c r="C4875" s="97">
        <v>535276</v>
      </c>
      <c r="D4875" s="96" t="s">
        <v>7412</v>
      </c>
      <c r="E4875" s="96"/>
    </row>
    <row r="4876" spans="2:5" ht="15" customHeight="1" thickBot="1" x14ac:dyDescent="0.35">
      <c r="B4876" s="96" t="s">
        <v>7413</v>
      </c>
      <c r="C4876" s="97">
        <v>536960</v>
      </c>
      <c r="D4876" s="96" t="s">
        <v>7414</v>
      </c>
      <c r="E4876" s="96"/>
    </row>
    <row r="4877" spans="2:5" ht="15" customHeight="1" thickBot="1" x14ac:dyDescent="0.35">
      <c r="B4877" s="96" t="s">
        <v>7415</v>
      </c>
      <c r="C4877" s="97">
        <v>537007</v>
      </c>
      <c r="D4877" s="96" t="s">
        <v>7416</v>
      </c>
      <c r="E4877" s="96"/>
    </row>
    <row r="4878" spans="2:5" ht="15" customHeight="1" thickBot="1" x14ac:dyDescent="0.35">
      <c r="B4878" s="96" t="s">
        <v>7417</v>
      </c>
      <c r="C4878" s="97">
        <v>537008</v>
      </c>
      <c r="D4878" s="96" t="s">
        <v>7418</v>
      </c>
      <c r="E4878" s="96"/>
    </row>
    <row r="4879" spans="2:5" ht="15" customHeight="1" thickBot="1" x14ac:dyDescent="0.35">
      <c r="B4879" s="96" t="s">
        <v>7419</v>
      </c>
      <c r="C4879" s="97">
        <v>537483</v>
      </c>
      <c r="D4879" s="96" t="s">
        <v>7420</v>
      </c>
      <c r="E4879" s="96"/>
    </row>
    <row r="4880" spans="2:5" ht="15" customHeight="1" thickBot="1" x14ac:dyDescent="0.35">
      <c r="B4880" s="96" t="s">
        <v>7421</v>
      </c>
      <c r="C4880" s="97">
        <v>537708</v>
      </c>
      <c r="D4880" s="96" t="s">
        <v>7422</v>
      </c>
      <c r="E4880" s="96"/>
    </row>
    <row r="4881" spans="2:5" ht="15" customHeight="1" thickBot="1" x14ac:dyDescent="0.35">
      <c r="B4881" s="96" t="s">
        <v>7423</v>
      </c>
      <c r="C4881" s="97">
        <v>538057</v>
      </c>
      <c r="D4881" s="96" t="s">
        <v>7424</v>
      </c>
      <c r="E4881" s="96"/>
    </row>
    <row r="4882" spans="2:5" ht="15" customHeight="1" thickBot="1" x14ac:dyDescent="0.35">
      <c r="B4882" s="96" t="s">
        <v>7425</v>
      </c>
      <c r="C4882" s="97">
        <v>538273</v>
      </c>
      <c r="D4882" s="96" t="s">
        <v>7426</v>
      </c>
      <c r="E4882" s="96" t="s">
        <v>481</v>
      </c>
    </row>
    <row r="4883" spans="2:5" ht="15" customHeight="1" thickBot="1" x14ac:dyDescent="0.35">
      <c r="B4883" s="96" t="s">
        <v>7427</v>
      </c>
      <c r="C4883" s="97">
        <v>538452</v>
      </c>
      <c r="D4883" s="96" t="s">
        <v>7428</v>
      </c>
      <c r="E4883" s="96" t="s">
        <v>410</v>
      </c>
    </row>
    <row r="4884" spans="2:5" ht="15" customHeight="1" thickBot="1" x14ac:dyDescent="0.35">
      <c r="B4884" s="96" t="s">
        <v>7429</v>
      </c>
      <c r="C4884" s="97">
        <v>538501</v>
      </c>
      <c r="D4884" s="96" t="s">
        <v>7430</v>
      </c>
      <c r="E4884" s="96"/>
    </row>
    <row r="4885" spans="2:5" ht="15" customHeight="1" thickBot="1" x14ac:dyDescent="0.35">
      <c r="B4885" s="96" t="s">
        <v>7431</v>
      </c>
      <c r="C4885" s="97">
        <v>538502</v>
      </c>
      <c r="D4885" s="96" t="s">
        <v>7432</v>
      </c>
      <c r="E4885" s="96"/>
    </row>
    <row r="4886" spans="2:5" ht="15" customHeight="1" thickBot="1" x14ac:dyDescent="0.35">
      <c r="B4886" s="96" t="s">
        <v>7433</v>
      </c>
      <c r="C4886" s="97">
        <v>538577</v>
      </c>
      <c r="D4886" s="96" t="s">
        <v>7434</v>
      </c>
      <c r="E4886" s="96"/>
    </row>
    <row r="4887" spans="2:5" ht="15" customHeight="1" thickBot="1" x14ac:dyDescent="0.35">
      <c r="B4887" s="96" t="s">
        <v>7435</v>
      </c>
      <c r="C4887" s="97">
        <v>538578</v>
      </c>
      <c r="D4887" s="96" t="s">
        <v>7436</v>
      </c>
      <c r="E4887" s="96"/>
    </row>
    <row r="4888" spans="2:5" ht="15" customHeight="1" thickBot="1" x14ac:dyDescent="0.35">
      <c r="B4888" s="96" t="s">
        <v>7437</v>
      </c>
      <c r="C4888" s="97">
        <v>538646</v>
      </c>
      <c r="D4888" s="96" t="s">
        <v>7438</v>
      </c>
      <c r="E4888" s="96" t="s">
        <v>405</v>
      </c>
    </row>
    <row r="4889" spans="2:5" ht="15" customHeight="1" thickBot="1" x14ac:dyDescent="0.35">
      <c r="B4889" s="96" t="s">
        <v>7439</v>
      </c>
      <c r="C4889" s="97">
        <v>538683</v>
      </c>
      <c r="D4889" s="96" t="s">
        <v>7440</v>
      </c>
      <c r="E4889" s="96"/>
    </row>
    <row r="4890" spans="2:5" ht="15" customHeight="1" thickBot="1" x14ac:dyDescent="0.35">
      <c r="B4890" s="96" t="s">
        <v>7441</v>
      </c>
      <c r="C4890" s="97">
        <v>538728</v>
      </c>
      <c r="D4890" s="96" t="s">
        <v>7442</v>
      </c>
      <c r="E4890" s="96"/>
    </row>
    <row r="4891" spans="2:5" ht="15" customHeight="1" thickBot="1" x14ac:dyDescent="0.35">
      <c r="B4891" s="96" t="s">
        <v>7443</v>
      </c>
      <c r="C4891" s="97">
        <v>538729</v>
      </c>
      <c r="D4891" s="96" t="s">
        <v>7444</v>
      </c>
      <c r="E4891" s="96"/>
    </row>
    <row r="4892" spans="2:5" ht="15" customHeight="1" thickBot="1" x14ac:dyDescent="0.35">
      <c r="B4892" s="96" t="s">
        <v>7445</v>
      </c>
      <c r="C4892" s="97">
        <v>538808</v>
      </c>
      <c r="D4892" s="96" t="s">
        <v>7446</v>
      </c>
      <c r="E4892" s="96"/>
    </row>
    <row r="4893" spans="2:5" ht="15" customHeight="1" thickBot="1" x14ac:dyDescent="0.35">
      <c r="B4893" s="96" t="s">
        <v>7447</v>
      </c>
      <c r="C4893" s="97">
        <v>538809</v>
      </c>
      <c r="D4893" s="96" t="s">
        <v>7448</v>
      </c>
      <c r="E4893" s="96"/>
    </row>
    <row r="4894" spans="2:5" ht="15" customHeight="1" thickBot="1" x14ac:dyDescent="0.35">
      <c r="B4894" s="96" t="s">
        <v>7449</v>
      </c>
      <c r="C4894" s="97">
        <v>538810</v>
      </c>
      <c r="D4894" s="96" t="s">
        <v>7450</v>
      </c>
      <c r="E4894" s="96"/>
    </row>
    <row r="4895" spans="2:5" ht="15" customHeight="1" thickBot="1" x14ac:dyDescent="0.35">
      <c r="B4895" s="96" t="s">
        <v>7451</v>
      </c>
      <c r="C4895" s="97">
        <v>538811</v>
      </c>
      <c r="D4895" s="96" t="s">
        <v>7452</v>
      </c>
      <c r="E4895" s="96"/>
    </row>
    <row r="4896" spans="2:5" ht="15" customHeight="1" thickBot="1" x14ac:dyDescent="0.35">
      <c r="B4896" s="96" t="s">
        <v>7453</v>
      </c>
      <c r="C4896" s="97">
        <v>539031</v>
      </c>
      <c r="D4896" s="96" t="s">
        <v>7454</v>
      </c>
      <c r="E4896" s="96"/>
    </row>
    <row r="4897" spans="2:5" ht="15" customHeight="1" thickBot="1" x14ac:dyDescent="0.35">
      <c r="B4897" s="96" t="s">
        <v>7455</v>
      </c>
      <c r="C4897" s="97">
        <v>539090</v>
      </c>
      <c r="D4897" s="96" t="s">
        <v>7456</v>
      </c>
      <c r="E4897" s="96" t="s">
        <v>405</v>
      </c>
    </row>
    <row r="4898" spans="2:5" ht="15" customHeight="1" thickBot="1" x14ac:dyDescent="0.35">
      <c r="B4898" s="96" t="s">
        <v>7457</v>
      </c>
      <c r="C4898" s="97">
        <v>539142</v>
      </c>
      <c r="D4898" s="96" t="s">
        <v>7458</v>
      </c>
      <c r="E4898" s="96"/>
    </row>
    <row r="4899" spans="2:5" ht="15" customHeight="1" thickBot="1" x14ac:dyDescent="0.35">
      <c r="B4899" s="96" t="s">
        <v>7459</v>
      </c>
      <c r="C4899" s="97">
        <v>539274</v>
      </c>
      <c r="D4899" s="96" t="s">
        <v>7460</v>
      </c>
      <c r="E4899" s="96" t="s">
        <v>405</v>
      </c>
    </row>
    <row r="4900" spans="2:5" ht="15" customHeight="1" thickBot="1" x14ac:dyDescent="0.35">
      <c r="B4900" s="96" t="s">
        <v>7461</v>
      </c>
      <c r="C4900" s="97">
        <v>539312</v>
      </c>
      <c r="D4900" s="96" t="s">
        <v>7462</v>
      </c>
      <c r="E4900" s="96"/>
    </row>
    <row r="4901" spans="2:5" ht="15" customHeight="1" thickBot="1" x14ac:dyDescent="0.35">
      <c r="B4901" s="96" t="s">
        <v>7463</v>
      </c>
      <c r="C4901" s="97">
        <v>539313</v>
      </c>
      <c r="D4901" s="96" t="s">
        <v>7464</v>
      </c>
      <c r="E4901" s="96"/>
    </row>
    <row r="4902" spans="2:5" ht="15" customHeight="1" thickBot="1" x14ac:dyDescent="0.35">
      <c r="B4902" s="96" t="s">
        <v>7465</v>
      </c>
      <c r="C4902" s="97">
        <v>539480</v>
      </c>
      <c r="D4902" s="96" t="s">
        <v>7466</v>
      </c>
      <c r="E4902" s="96"/>
    </row>
    <row r="4903" spans="2:5" ht="15" customHeight="1" thickBot="1" x14ac:dyDescent="0.35">
      <c r="B4903" s="96" t="s">
        <v>7467</v>
      </c>
      <c r="C4903" s="97">
        <v>539487</v>
      </c>
      <c r="D4903" s="96" t="s">
        <v>7468</v>
      </c>
      <c r="E4903" s="96"/>
    </row>
    <row r="4904" spans="2:5" ht="15" customHeight="1" thickBot="1" x14ac:dyDescent="0.35">
      <c r="B4904" s="96" t="s">
        <v>7469</v>
      </c>
      <c r="C4904" s="97">
        <v>539516</v>
      </c>
      <c r="D4904" s="96" t="s">
        <v>7470</v>
      </c>
      <c r="E4904" s="96"/>
    </row>
    <row r="4905" spans="2:5" ht="15" customHeight="1" thickBot="1" x14ac:dyDescent="0.35">
      <c r="B4905" s="96" t="s">
        <v>7471</v>
      </c>
      <c r="C4905" s="97">
        <v>539517</v>
      </c>
      <c r="D4905" s="96" t="s">
        <v>7472</v>
      </c>
      <c r="E4905" s="96"/>
    </row>
    <row r="4906" spans="2:5" ht="15" customHeight="1" thickBot="1" x14ac:dyDescent="0.35">
      <c r="B4906" s="96" t="s">
        <v>7473</v>
      </c>
      <c r="C4906" s="97">
        <v>539561</v>
      </c>
      <c r="D4906" s="96" t="s">
        <v>7474</v>
      </c>
      <c r="E4906" s="96" t="s">
        <v>410</v>
      </c>
    </row>
    <row r="4907" spans="2:5" ht="15" customHeight="1" thickBot="1" x14ac:dyDescent="0.35">
      <c r="B4907" s="96" t="s">
        <v>7475</v>
      </c>
      <c r="C4907" s="97">
        <v>539784</v>
      </c>
      <c r="D4907" s="96" t="s">
        <v>7476</v>
      </c>
      <c r="E4907" s="96"/>
    </row>
    <row r="4908" spans="2:5" ht="15" customHeight="1" thickBot="1" x14ac:dyDescent="0.35">
      <c r="B4908" s="96" t="s">
        <v>7477</v>
      </c>
      <c r="C4908" s="97">
        <v>539945</v>
      </c>
      <c r="D4908" s="96" t="s">
        <v>7478</v>
      </c>
      <c r="E4908" s="96"/>
    </row>
    <row r="4909" spans="2:5" ht="15" customHeight="1" thickBot="1" x14ac:dyDescent="0.35">
      <c r="B4909" s="96" t="s">
        <v>7479</v>
      </c>
      <c r="C4909" s="97">
        <v>539980</v>
      </c>
      <c r="D4909" s="96" t="s">
        <v>7480</v>
      </c>
      <c r="E4909" s="96"/>
    </row>
    <row r="4910" spans="2:5" ht="15" customHeight="1" thickBot="1" x14ac:dyDescent="0.35">
      <c r="B4910" s="96" t="s">
        <v>7481</v>
      </c>
      <c r="C4910" s="97">
        <v>540008</v>
      </c>
      <c r="D4910" s="96" t="s">
        <v>7482</v>
      </c>
      <c r="E4910" s="96"/>
    </row>
    <row r="4911" spans="2:5" ht="15" customHeight="1" thickBot="1" x14ac:dyDescent="0.35">
      <c r="B4911" s="96" t="s">
        <v>7483</v>
      </c>
      <c r="C4911" s="97">
        <v>540154</v>
      </c>
      <c r="D4911" s="96" t="s">
        <v>7484</v>
      </c>
      <c r="E4911" s="96"/>
    </row>
    <row r="4912" spans="2:5" ht="15" customHeight="1" thickBot="1" x14ac:dyDescent="0.35">
      <c r="B4912" s="96" t="s">
        <v>7485</v>
      </c>
      <c r="C4912" s="97">
        <v>540333</v>
      </c>
      <c r="D4912" s="96" t="s">
        <v>7486</v>
      </c>
      <c r="E4912" s="96"/>
    </row>
    <row r="4913" spans="2:5" ht="15" customHeight="1" thickBot="1" x14ac:dyDescent="0.35">
      <c r="B4913" s="96" t="s">
        <v>7487</v>
      </c>
      <c r="C4913" s="97">
        <v>540334</v>
      </c>
      <c r="D4913" s="96" t="s">
        <v>7488</v>
      </c>
      <c r="E4913" s="96"/>
    </row>
    <row r="4914" spans="2:5" ht="15" customHeight="1" thickBot="1" x14ac:dyDescent="0.35">
      <c r="B4914" s="96" t="s">
        <v>7489</v>
      </c>
      <c r="C4914" s="97">
        <v>540335</v>
      </c>
      <c r="D4914" s="96" t="s">
        <v>7490</v>
      </c>
      <c r="E4914" s="96"/>
    </row>
    <row r="4915" spans="2:5" ht="15" customHeight="1" thickBot="1" x14ac:dyDescent="0.35">
      <c r="B4915" s="96" t="s">
        <v>7491</v>
      </c>
      <c r="C4915" s="97">
        <v>540336</v>
      </c>
      <c r="D4915" s="96" t="s">
        <v>7492</v>
      </c>
      <c r="E4915" s="96"/>
    </row>
    <row r="4916" spans="2:5" ht="15" customHeight="1" thickBot="1" x14ac:dyDescent="0.35">
      <c r="B4916" s="96" t="s">
        <v>7493</v>
      </c>
      <c r="C4916" s="97">
        <v>540469</v>
      </c>
      <c r="D4916" s="96" t="s">
        <v>7494</v>
      </c>
      <c r="E4916" s="96"/>
    </row>
    <row r="4917" spans="2:5" ht="15" customHeight="1" thickBot="1" x14ac:dyDescent="0.35">
      <c r="B4917" s="96" t="s">
        <v>7495</v>
      </c>
      <c r="C4917" s="97">
        <v>540470</v>
      </c>
      <c r="D4917" s="96" t="s">
        <v>7496</v>
      </c>
      <c r="E4917" s="96"/>
    </row>
    <row r="4918" spans="2:5" ht="15" customHeight="1" thickBot="1" x14ac:dyDescent="0.35">
      <c r="B4918" s="96" t="s">
        <v>7497</v>
      </c>
      <c r="C4918" s="97">
        <v>540538</v>
      </c>
      <c r="D4918" s="96" t="s">
        <v>7498</v>
      </c>
      <c r="E4918" s="96"/>
    </row>
    <row r="4919" spans="2:5" ht="15" customHeight="1" thickBot="1" x14ac:dyDescent="0.35">
      <c r="B4919" s="96" t="s">
        <v>7499</v>
      </c>
      <c r="C4919" s="97">
        <v>540539</v>
      </c>
      <c r="D4919" s="96" t="s">
        <v>7500</v>
      </c>
      <c r="E4919" s="96"/>
    </row>
    <row r="4920" spans="2:5" ht="15" customHeight="1" thickBot="1" x14ac:dyDescent="0.35">
      <c r="B4920" s="96" t="s">
        <v>7501</v>
      </c>
      <c r="C4920" s="97">
        <v>540551</v>
      </c>
      <c r="D4920" s="96" t="s">
        <v>7502</v>
      </c>
      <c r="E4920" s="96"/>
    </row>
    <row r="4921" spans="2:5" ht="15" customHeight="1" thickBot="1" x14ac:dyDescent="0.35">
      <c r="B4921" s="96" t="s">
        <v>7503</v>
      </c>
      <c r="C4921" s="97">
        <v>540552</v>
      </c>
      <c r="D4921" s="96" t="s">
        <v>7504</v>
      </c>
      <c r="E4921" s="96"/>
    </row>
    <row r="4922" spans="2:5" ht="15" customHeight="1" thickBot="1" x14ac:dyDescent="0.35">
      <c r="B4922" s="96" t="s">
        <v>7505</v>
      </c>
      <c r="C4922" s="97">
        <v>540586</v>
      </c>
      <c r="D4922" s="96" t="s">
        <v>7506</v>
      </c>
      <c r="E4922" s="96"/>
    </row>
    <row r="4923" spans="2:5" ht="15" customHeight="1" thickBot="1" x14ac:dyDescent="0.35">
      <c r="B4923" s="96" t="s">
        <v>7507</v>
      </c>
      <c r="C4923" s="97">
        <v>540587</v>
      </c>
      <c r="D4923" s="96" t="s">
        <v>7508</v>
      </c>
      <c r="E4923" s="96"/>
    </row>
    <row r="4924" spans="2:5" ht="15" customHeight="1" thickBot="1" x14ac:dyDescent="0.35">
      <c r="B4924" s="96" t="s">
        <v>7509</v>
      </c>
      <c r="C4924" s="97">
        <v>540588</v>
      </c>
      <c r="D4924" s="96" t="s">
        <v>7510</v>
      </c>
      <c r="E4924" s="96"/>
    </row>
    <row r="4925" spans="2:5" ht="15" customHeight="1" thickBot="1" x14ac:dyDescent="0.35">
      <c r="B4925" s="96" t="s">
        <v>7511</v>
      </c>
      <c r="C4925" s="97">
        <v>540589</v>
      </c>
      <c r="D4925" s="96" t="s">
        <v>7512</v>
      </c>
      <c r="E4925" s="96"/>
    </row>
    <row r="4926" spans="2:5" ht="15" customHeight="1" thickBot="1" x14ac:dyDescent="0.35">
      <c r="B4926" s="96" t="s">
        <v>7513</v>
      </c>
      <c r="C4926" s="97">
        <v>540591</v>
      </c>
      <c r="D4926" s="96" t="s">
        <v>7514</v>
      </c>
      <c r="E4926" s="96"/>
    </row>
    <row r="4927" spans="2:5" ht="15" customHeight="1" thickBot="1" x14ac:dyDescent="0.35">
      <c r="B4927" s="96" t="s">
        <v>7515</v>
      </c>
      <c r="C4927" s="97">
        <v>540592</v>
      </c>
      <c r="D4927" s="96" t="s">
        <v>7516</v>
      </c>
      <c r="E4927" s="96"/>
    </row>
    <row r="4928" spans="2:5" ht="15" customHeight="1" thickBot="1" x14ac:dyDescent="0.35">
      <c r="B4928" s="96" t="s">
        <v>7517</v>
      </c>
      <c r="C4928" s="97">
        <v>540593</v>
      </c>
      <c r="D4928" s="96" t="s">
        <v>7518</v>
      </c>
      <c r="E4928" s="96"/>
    </row>
    <row r="4929" spans="2:5" ht="15" customHeight="1" thickBot="1" x14ac:dyDescent="0.35">
      <c r="B4929" s="96" t="s">
        <v>7519</v>
      </c>
      <c r="C4929" s="97">
        <v>540594</v>
      </c>
      <c r="D4929" s="96" t="s">
        <v>7520</v>
      </c>
      <c r="E4929" s="96"/>
    </row>
    <row r="4930" spans="2:5" ht="15" customHeight="1" thickBot="1" x14ac:dyDescent="0.35">
      <c r="B4930" s="96" t="s">
        <v>7521</v>
      </c>
      <c r="C4930" s="97">
        <v>540612</v>
      </c>
      <c r="D4930" s="96" t="s">
        <v>7522</v>
      </c>
      <c r="E4930" s="96"/>
    </row>
    <row r="4931" spans="2:5" ht="15" customHeight="1" thickBot="1" x14ac:dyDescent="0.35">
      <c r="B4931" s="96" t="s">
        <v>7523</v>
      </c>
      <c r="C4931" s="97">
        <v>540617</v>
      </c>
      <c r="D4931" s="96" t="s">
        <v>7524</v>
      </c>
      <c r="E4931" s="96"/>
    </row>
    <row r="4932" spans="2:5" ht="15" customHeight="1" thickBot="1" x14ac:dyDescent="0.35">
      <c r="B4932" s="96" t="s">
        <v>7525</v>
      </c>
      <c r="C4932" s="97">
        <v>540618</v>
      </c>
      <c r="D4932" s="96" t="s">
        <v>7526</v>
      </c>
      <c r="E4932" s="96"/>
    </row>
    <row r="4933" spans="2:5" ht="15" customHeight="1" thickBot="1" x14ac:dyDescent="0.35">
      <c r="B4933" s="96" t="s">
        <v>7527</v>
      </c>
      <c r="C4933" s="97">
        <v>540619</v>
      </c>
      <c r="D4933" s="96" t="s">
        <v>7528</v>
      </c>
      <c r="E4933" s="96"/>
    </row>
    <row r="4934" spans="2:5" ht="15" customHeight="1" thickBot="1" x14ac:dyDescent="0.35">
      <c r="B4934" s="96" t="s">
        <v>7529</v>
      </c>
      <c r="C4934" s="97">
        <v>540620</v>
      </c>
      <c r="D4934" s="96" t="s">
        <v>7530</v>
      </c>
      <c r="E4934" s="96"/>
    </row>
    <row r="4935" spans="2:5" ht="15" customHeight="1" thickBot="1" x14ac:dyDescent="0.35">
      <c r="B4935" s="96" t="s">
        <v>7531</v>
      </c>
      <c r="C4935" s="97">
        <v>540626</v>
      </c>
      <c r="D4935" s="96" t="s">
        <v>7532</v>
      </c>
      <c r="E4935" s="96"/>
    </row>
    <row r="4936" spans="2:5" ht="15" customHeight="1" thickBot="1" x14ac:dyDescent="0.35">
      <c r="B4936" s="96" t="s">
        <v>7533</v>
      </c>
      <c r="C4936" s="97">
        <v>540627</v>
      </c>
      <c r="D4936" s="96" t="s">
        <v>7534</v>
      </c>
      <c r="E4936" s="96"/>
    </row>
    <row r="4937" spans="2:5" ht="15" customHeight="1" thickBot="1" x14ac:dyDescent="0.35">
      <c r="B4937" s="96" t="s">
        <v>7535</v>
      </c>
      <c r="C4937" s="97">
        <v>540629</v>
      </c>
      <c r="D4937" s="96" t="s">
        <v>7536</v>
      </c>
      <c r="E4937" s="96"/>
    </row>
    <row r="4938" spans="2:5" ht="15" customHeight="1" thickBot="1" x14ac:dyDescent="0.35">
      <c r="B4938" s="96" t="s">
        <v>7537</v>
      </c>
      <c r="C4938" s="97">
        <v>540631</v>
      </c>
      <c r="D4938" s="96" t="s">
        <v>7538</v>
      </c>
      <c r="E4938" s="96"/>
    </row>
    <row r="4939" spans="2:5" ht="15" customHeight="1" thickBot="1" x14ac:dyDescent="0.35">
      <c r="B4939" s="96" t="s">
        <v>7539</v>
      </c>
      <c r="C4939" s="97">
        <v>540634</v>
      </c>
      <c r="D4939" s="96" t="s">
        <v>7540</v>
      </c>
      <c r="E4939" s="96"/>
    </row>
    <row r="4940" spans="2:5" ht="15" customHeight="1" thickBot="1" x14ac:dyDescent="0.35">
      <c r="B4940" s="96" t="s">
        <v>7541</v>
      </c>
      <c r="C4940" s="97">
        <v>540635</v>
      </c>
      <c r="D4940" s="96" t="s">
        <v>7542</v>
      </c>
      <c r="E4940" s="96"/>
    </row>
    <row r="4941" spans="2:5" ht="15" customHeight="1" thickBot="1" x14ac:dyDescent="0.35">
      <c r="B4941" s="96" t="s">
        <v>7543</v>
      </c>
      <c r="C4941" s="97">
        <v>540636</v>
      </c>
      <c r="D4941" s="96" t="s">
        <v>7544</v>
      </c>
      <c r="E4941" s="96"/>
    </row>
    <row r="4942" spans="2:5" ht="15" customHeight="1" thickBot="1" x14ac:dyDescent="0.35">
      <c r="B4942" s="96" t="s">
        <v>7545</v>
      </c>
      <c r="C4942" s="97">
        <v>540637</v>
      </c>
      <c r="D4942" s="96" t="s">
        <v>7546</v>
      </c>
      <c r="E4942" s="96"/>
    </row>
    <row r="4943" spans="2:5" ht="15" customHeight="1" thickBot="1" x14ac:dyDescent="0.35">
      <c r="B4943" s="96" t="s">
        <v>7547</v>
      </c>
      <c r="C4943" s="97">
        <v>540669</v>
      </c>
      <c r="D4943" s="96" t="s">
        <v>7548</v>
      </c>
      <c r="E4943" s="96"/>
    </row>
    <row r="4944" spans="2:5" ht="15" customHeight="1" thickBot="1" x14ac:dyDescent="0.35">
      <c r="B4944" s="96" t="s">
        <v>7549</v>
      </c>
      <c r="C4944" s="97">
        <v>540671</v>
      </c>
      <c r="D4944" s="96" t="s">
        <v>7550</v>
      </c>
      <c r="E4944" s="96"/>
    </row>
    <row r="4945" spans="2:5" ht="15" customHeight="1" thickBot="1" x14ac:dyDescent="0.35">
      <c r="B4945" s="96" t="s">
        <v>7551</v>
      </c>
      <c r="C4945" s="97">
        <v>540672</v>
      </c>
      <c r="D4945" s="96" t="s">
        <v>7552</v>
      </c>
      <c r="E4945" s="96"/>
    </row>
    <row r="4946" spans="2:5" ht="15" customHeight="1" thickBot="1" x14ac:dyDescent="0.35">
      <c r="B4946" s="96" t="s">
        <v>7553</v>
      </c>
      <c r="C4946" s="97">
        <v>540682</v>
      </c>
      <c r="D4946" s="96" t="s">
        <v>7554</v>
      </c>
      <c r="E4946" s="96"/>
    </row>
    <row r="4947" spans="2:5" ht="15" customHeight="1" thickBot="1" x14ac:dyDescent="0.35">
      <c r="B4947" s="96" t="s">
        <v>7555</v>
      </c>
      <c r="C4947" s="97">
        <v>540683</v>
      </c>
      <c r="D4947" s="96" t="s">
        <v>7556</v>
      </c>
      <c r="E4947" s="96"/>
    </row>
    <row r="4948" spans="2:5" ht="15" customHeight="1" thickBot="1" x14ac:dyDescent="0.35">
      <c r="B4948" s="96" t="s">
        <v>7557</v>
      </c>
      <c r="C4948" s="97">
        <v>540684</v>
      </c>
      <c r="D4948" s="96" t="s">
        <v>7558</v>
      </c>
      <c r="E4948" s="96"/>
    </row>
    <row r="4949" spans="2:5" ht="15" customHeight="1" thickBot="1" x14ac:dyDescent="0.35">
      <c r="B4949" s="96" t="s">
        <v>7559</v>
      </c>
      <c r="C4949" s="97">
        <v>540685</v>
      </c>
      <c r="D4949" s="96" t="s">
        <v>7560</v>
      </c>
      <c r="E4949" s="96"/>
    </row>
    <row r="4950" spans="2:5" ht="15" customHeight="1" thickBot="1" x14ac:dyDescent="0.35">
      <c r="B4950" s="96" t="s">
        <v>7561</v>
      </c>
      <c r="C4950" s="97">
        <v>540711</v>
      </c>
      <c r="D4950" s="96" t="s">
        <v>7562</v>
      </c>
      <c r="E4950" s="96"/>
    </row>
    <row r="4951" spans="2:5" ht="15" customHeight="1" thickBot="1" x14ac:dyDescent="0.35">
      <c r="B4951" s="96" t="s">
        <v>7563</v>
      </c>
      <c r="C4951" s="97">
        <v>540712</v>
      </c>
      <c r="D4951" s="96" t="s">
        <v>7564</v>
      </c>
      <c r="E4951" s="96"/>
    </row>
    <row r="4952" spans="2:5" ht="15" customHeight="1" thickBot="1" x14ac:dyDescent="0.35">
      <c r="B4952" s="96" t="s">
        <v>7565</v>
      </c>
      <c r="C4952" s="97">
        <v>540713</v>
      </c>
      <c r="D4952" s="96" t="s">
        <v>7566</v>
      </c>
      <c r="E4952" s="96"/>
    </row>
    <row r="4953" spans="2:5" ht="15" customHeight="1" thickBot="1" x14ac:dyDescent="0.35">
      <c r="B4953" s="96" t="s">
        <v>7567</v>
      </c>
      <c r="C4953" s="97">
        <v>540714</v>
      </c>
      <c r="D4953" s="96" t="s">
        <v>7568</v>
      </c>
      <c r="E4953" s="96"/>
    </row>
    <row r="4954" spans="2:5" ht="15" customHeight="1" thickBot="1" x14ac:dyDescent="0.35">
      <c r="B4954" s="96" t="s">
        <v>7569</v>
      </c>
      <c r="C4954" s="97">
        <v>540739</v>
      </c>
      <c r="D4954" s="96" t="s">
        <v>7570</v>
      </c>
      <c r="E4954" s="96"/>
    </row>
    <row r="4955" spans="2:5" ht="15" customHeight="1" thickBot="1" x14ac:dyDescent="0.35">
      <c r="B4955" s="96" t="s">
        <v>7571</v>
      </c>
      <c r="C4955" s="97">
        <v>540740</v>
      </c>
      <c r="D4955" s="96" t="s">
        <v>7572</v>
      </c>
      <c r="E4955" s="96"/>
    </row>
    <row r="4956" spans="2:5" ht="15" customHeight="1" thickBot="1" x14ac:dyDescent="0.35">
      <c r="B4956" s="96" t="s">
        <v>7573</v>
      </c>
      <c r="C4956" s="97">
        <v>540741</v>
      </c>
      <c r="D4956" s="96" t="s">
        <v>7574</v>
      </c>
      <c r="E4956" s="96"/>
    </row>
    <row r="4957" spans="2:5" ht="15" customHeight="1" thickBot="1" x14ac:dyDescent="0.35">
      <c r="B4957" s="96" t="s">
        <v>7575</v>
      </c>
      <c r="C4957" s="97">
        <v>540742</v>
      </c>
      <c r="D4957" s="96" t="s">
        <v>7576</v>
      </c>
      <c r="E4957" s="96"/>
    </row>
    <row r="4958" spans="2:5" ht="15" customHeight="1" thickBot="1" x14ac:dyDescent="0.35">
      <c r="B4958" s="96" t="s">
        <v>7577</v>
      </c>
      <c r="C4958" s="97">
        <v>540763</v>
      </c>
      <c r="D4958" s="96" t="s">
        <v>7578</v>
      </c>
      <c r="E4958" s="96"/>
    </row>
    <row r="4959" spans="2:5" ht="15" customHeight="1" thickBot="1" x14ac:dyDescent="0.35">
      <c r="B4959" s="96" t="s">
        <v>7579</v>
      </c>
      <c r="C4959" s="97">
        <v>540764</v>
      </c>
      <c r="D4959" s="96" t="s">
        <v>7580</v>
      </c>
      <c r="E4959" s="96"/>
    </row>
    <row r="4960" spans="2:5" ht="15" customHeight="1" thickBot="1" x14ac:dyDescent="0.35">
      <c r="B4960" s="96" t="s">
        <v>7581</v>
      </c>
      <c r="C4960" s="97">
        <v>540765</v>
      </c>
      <c r="D4960" s="96" t="s">
        <v>7582</v>
      </c>
      <c r="E4960" s="96"/>
    </row>
    <row r="4961" spans="2:5" ht="15" customHeight="1" thickBot="1" x14ac:dyDescent="0.35">
      <c r="B4961" s="96" t="s">
        <v>7583</v>
      </c>
      <c r="C4961" s="97">
        <v>540766</v>
      </c>
      <c r="D4961" s="96" t="s">
        <v>7584</v>
      </c>
      <c r="E4961" s="96"/>
    </row>
    <row r="4962" spans="2:5" ht="15" customHeight="1" thickBot="1" x14ac:dyDescent="0.35">
      <c r="B4962" s="96" t="s">
        <v>7585</v>
      </c>
      <c r="C4962" s="97">
        <v>540778</v>
      </c>
      <c r="D4962" s="96" t="s">
        <v>7586</v>
      </c>
      <c r="E4962" s="96"/>
    </row>
    <row r="4963" spans="2:5" ht="15" customHeight="1" thickBot="1" x14ac:dyDescent="0.35">
      <c r="B4963" s="96" t="s">
        <v>7587</v>
      </c>
      <c r="C4963" s="97">
        <v>540779</v>
      </c>
      <c r="D4963" s="96" t="s">
        <v>7588</v>
      </c>
      <c r="E4963" s="96"/>
    </row>
    <row r="4964" spans="2:5" ht="15" customHeight="1" thickBot="1" x14ac:dyDescent="0.35">
      <c r="B4964" s="96" t="s">
        <v>7589</v>
      </c>
      <c r="C4964" s="97">
        <v>540780</v>
      </c>
      <c r="D4964" s="96" t="s">
        <v>7590</v>
      </c>
      <c r="E4964" s="96"/>
    </row>
    <row r="4965" spans="2:5" ht="15" customHeight="1" thickBot="1" x14ac:dyDescent="0.35">
      <c r="B4965" s="96" t="s">
        <v>7591</v>
      </c>
      <c r="C4965" s="97">
        <v>540781</v>
      </c>
      <c r="D4965" s="96" t="s">
        <v>7592</v>
      </c>
      <c r="E4965" s="96"/>
    </row>
    <row r="4966" spans="2:5" ht="15" customHeight="1" thickBot="1" x14ac:dyDescent="0.35">
      <c r="B4966" s="96" t="s">
        <v>7593</v>
      </c>
      <c r="C4966" s="97">
        <v>540787</v>
      </c>
      <c r="D4966" s="96" t="s">
        <v>7594</v>
      </c>
      <c r="E4966" s="96"/>
    </row>
    <row r="4967" spans="2:5" ht="15" customHeight="1" thickBot="1" x14ac:dyDescent="0.35">
      <c r="B4967" s="96" t="s">
        <v>7595</v>
      </c>
      <c r="C4967" s="97">
        <v>540791</v>
      </c>
      <c r="D4967" s="96" t="s">
        <v>7596</v>
      </c>
      <c r="E4967" s="96"/>
    </row>
    <row r="4968" spans="2:5" ht="15" customHeight="1" thickBot="1" x14ac:dyDescent="0.35">
      <c r="B4968" s="96" t="s">
        <v>7597</v>
      </c>
      <c r="C4968" s="97">
        <v>540792</v>
      </c>
      <c r="D4968" s="96" t="s">
        <v>7598</v>
      </c>
      <c r="E4968" s="96"/>
    </row>
    <row r="4969" spans="2:5" ht="15" customHeight="1" thickBot="1" x14ac:dyDescent="0.35">
      <c r="B4969" s="96" t="s">
        <v>7599</v>
      </c>
      <c r="C4969" s="97">
        <v>540793</v>
      </c>
      <c r="D4969" s="96" t="s">
        <v>7600</v>
      </c>
      <c r="E4969" s="96"/>
    </row>
    <row r="4970" spans="2:5" ht="15" customHeight="1" thickBot="1" x14ac:dyDescent="0.35">
      <c r="B4970" s="96" t="s">
        <v>7601</v>
      </c>
      <c r="C4970" s="97">
        <v>540794</v>
      </c>
      <c r="D4970" s="96" t="s">
        <v>7602</v>
      </c>
      <c r="E4970" s="96"/>
    </row>
    <row r="4971" spans="2:5" ht="15" customHeight="1" thickBot="1" x14ac:dyDescent="0.35">
      <c r="B4971" s="96" t="s">
        <v>7603</v>
      </c>
      <c r="C4971" s="97">
        <v>540799</v>
      </c>
      <c r="D4971" s="96" t="s">
        <v>7604</v>
      </c>
      <c r="E4971" s="96"/>
    </row>
    <row r="4972" spans="2:5" ht="15" customHeight="1" thickBot="1" x14ac:dyDescent="0.35">
      <c r="B4972" s="96" t="s">
        <v>7605</v>
      </c>
      <c r="C4972" s="97">
        <v>540800</v>
      </c>
      <c r="D4972" s="96" t="s">
        <v>7606</v>
      </c>
      <c r="E4972" s="96"/>
    </row>
    <row r="4973" spans="2:5" ht="15" customHeight="1" thickBot="1" x14ac:dyDescent="0.35">
      <c r="B4973" s="96" t="s">
        <v>7607</v>
      </c>
      <c r="C4973" s="97">
        <v>540801</v>
      </c>
      <c r="D4973" s="96" t="s">
        <v>7608</v>
      </c>
      <c r="E4973" s="96"/>
    </row>
    <row r="4974" spans="2:5" ht="15" customHeight="1" thickBot="1" x14ac:dyDescent="0.35">
      <c r="B4974" s="96" t="s">
        <v>7609</v>
      </c>
      <c r="C4974" s="97">
        <v>540802</v>
      </c>
      <c r="D4974" s="96" t="s">
        <v>7610</v>
      </c>
      <c r="E4974" s="96"/>
    </row>
    <row r="4975" spans="2:5" ht="15" customHeight="1" thickBot="1" x14ac:dyDescent="0.35">
      <c r="B4975" s="96" t="s">
        <v>7611</v>
      </c>
      <c r="C4975" s="97">
        <v>540825</v>
      </c>
      <c r="D4975" s="96" t="s">
        <v>7612</v>
      </c>
      <c r="E4975" s="96"/>
    </row>
    <row r="4976" spans="2:5" ht="15" customHeight="1" thickBot="1" x14ac:dyDescent="0.35">
      <c r="B4976" s="96" t="s">
        <v>7613</v>
      </c>
      <c r="C4976" s="97">
        <v>540826</v>
      </c>
      <c r="D4976" s="96" t="s">
        <v>7614</v>
      </c>
      <c r="E4976" s="96"/>
    </row>
    <row r="4977" spans="2:5" ht="15" customHeight="1" thickBot="1" x14ac:dyDescent="0.35">
      <c r="B4977" s="96" t="s">
        <v>7615</v>
      </c>
      <c r="C4977" s="97">
        <v>540827</v>
      </c>
      <c r="D4977" s="96" t="s">
        <v>7616</v>
      </c>
      <c r="E4977" s="96"/>
    </row>
    <row r="4978" spans="2:5" ht="15" customHeight="1" thickBot="1" x14ac:dyDescent="0.35">
      <c r="B4978" s="96" t="s">
        <v>7617</v>
      </c>
      <c r="C4978" s="97">
        <v>540828</v>
      </c>
      <c r="D4978" s="96" t="s">
        <v>7618</v>
      </c>
      <c r="E4978" s="96"/>
    </row>
    <row r="4979" spans="2:5" ht="15" customHeight="1" thickBot="1" x14ac:dyDescent="0.35">
      <c r="B4979" s="96" t="s">
        <v>7619</v>
      </c>
      <c r="C4979" s="97">
        <v>540861</v>
      </c>
      <c r="D4979" s="96" t="s">
        <v>7620</v>
      </c>
      <c r="E4979" s="96"/>
    </row>
    <row r="4980" spans="2:5" ht="15" customHeight="1" thickBot="1" x14ac:dyDescent="0.35">
      <c r="B4980" s="96" t="s">
        <v>7621</v>
      </c>
      <c r="C4980" s="97">
        <v>540862</v>
      </c>
      <c r="D4980" s="96" t="s">
        <v>7622</v>
      </c>
      <c r="E4980" s="96"/>
    </row>
    <row r="4981" spans="2:5" ht="15" customHeight="1" thickBot="1" x14ac:dyDescent="0.35">
      <c r="B4981" s="96" t="s">
        <v>7623</v>
      </c>
      <c r="C4981" s="97">
        <v>540863</v>
      </c>
      <c r="D4981" s="96" t="s">
        <v>7624</v>
      </c>
      <c r="E4981" s="96"/>
    </row>
    <row r="4982" spans="2:5" ht="15" customHeight="1" thickBot="1" x14ac:dyDescent="0.35">
      <c r="B4982" s="96" t="s">
        <v>7625</v>
      </c>
      <c r="C4982" s="97">
        <v>540864</v>
      </c>
      <c r="D4982" s="96" t="s">
        <v>7626</v>
      </c>
      <c r="E4982" s="96"/>
    </row>
    <row r="4983" spans="2:5" ht="15" customHeight="1" thickBot="1" x14ac:dyDescent="0.35">
      <c r="B4983" s="96" t="s">
        <v>7627</v>
      </c>
      <c r="C4983" s="97">
        <v>540896</v>
      </c>
      <c r="D4983" s="96" t="s">
        <v>7628</v>
      </c>
      <c r="E4983" s="96"/>
    </row>
    <row r="4984" spans="2:5" ht="15" customHeight="1" thickBot="1" x14ac:dyDescent="0.35">
      <c r="B4984" s="96" t="s">
        <v>7629</v>
      </c>
      <c r="C4984" s="97">
        <v>540897</v>
      </c>
      <c r="D4984" s="96" t="s">
        <v>7630</v>
      </c>
      <c r="E4984" s="96"/>
    </row>
    <row r="4985" spans="2:5" ht="15" customHeight="1" thickBot="1" x14ac:dyDescent="0.35">
      <c r="B4985" s="96" t="s">
        <v>7631</v>
      </c>
      <c r="C4985" s="97">
        <v>540898</v>
      </c>
      <c r="D4985" s="96" t="s">
        <v>7632</v>
      </c>
      <c r="E4985" s="96"/>
    </row>
    <row r="4986" spans="2:5" ht="15" customHeight="1" thickBot="1" x14ac:dyDescent="0.35">
      <c r="B4986" s="96" t="s">
        <v>7633</v>
      </c>
      <c r="C4986" s="97">
        <v>540899</v>
      </c>
      <c r="D4986" s="96" t="s">
        <v>7634</v>
      </c>
      <c r="E4986" s="96"/>
    </row>
    <row r="4987" spans="2:5" ht="15" customHeight="1" thickBot="1" x14ac:dyDescent="0.35">
      <c r="B4987" s="96" t="s">
        <v>7635</v>
      </c>
      <c r="C4987" s="97">
        <v>540947</v>
      </c>
      <c r="D4987" s="96" t="s">
        <v>7636</v>
      </c>
      <c r="E4987" s="96"/>
    </row>
    <row r="4988" spans="2:5" ht="15" customHeight="1" thickBot="1" x14ac:dyDescent="0.35">
      <c r="B4988" s="96" t="s">
        <v>7637</v>
      </c>
      <c r="C4988" s="97">
        <v>540949</v>
      </c>
      <c r="D4988" s="96" t="s">
        <v>7638</v>
      </c>
      <c r="E4988" s="96"/>
    </row>
    <row r="4989" spans="2:5" ht="15" customHeight="1" thickBot="1" x14ac:dyDescent="0.35">
      <c r="B4989" s="96" t="s">
        <v>7639</v>
      </c>
      <c r="C4989" s="97">
        <v>540950</v>
      </c>
      <c r="D4989" s="96" t="s">
        <v>7640</v>
      </c>
      <c r="E4989" s="96"/>
    </row>
    <row r="4990" spans="2:5" ht="15" customHeight="1" thickBot="1" x14ac:dyDescent="0.35">
      <c r="B4990" s="96" t="s">
        <v>7641</v>
      </c>
      <c r="C4990" s="97">
        <v>540951</v>
      </c>
      <c r="D4990" s="96" t="s">
        <v>7642</v>
      </c>
      <c r="E4990" s="96"/>
    </row>
    <row r="4991" spans="2:5" ht="15" customHeight="1" thickBot="1" x14ac:dyDescent="0.35">
      <c r="B4991" s="96" t="s">
        <v>7643</v>
      </c>
      <c r="C4991" s="97">
        <v>540981</v>
      </c>
      <c r="D4991" s="96" t="s">
        <v>7644</v>
      </c>
      <c r="E4991" s="96"/>
    </row>
    <row r="4992" spans="2:5" ht="15" customHeight="1" thickBot="1" x14ac:dyDescent="0.35">
      <c r="B4992" s="96" t="s">
        <v>7645</v>
      </c>
      <c r="C4992" s="97">
        <v>540982</v>
      </c>
      <c r="D4992" s="96" t="s">
        <v>7646</v>
      </c>
      <c r="E4992" s="96"/>
    </row>
    <row r="4993" spans="2:5" ht="15" customHeight="1" thickBot="1" x14ac:dyDescent="0.35">
      <c r="B4993" s="96" t="s">
        <v>7647</v>
      </c>
      <c r="C4993" s="97">
        <v>540983</v>
      </c>
      <c r="D4993" s="96" t="s">
        <v>7648</v>
      </c>
      <c r="E4993" s="96"/>
    </row>
    <row r="4994" spans="2:5" ht="15" customHeight="1" thickBot="1" x14ac:dyDescent="0.35">
      <c r="B4994" s="96" t="s">
        <v>7649</v>
      </c>
      <c r="C4994" s="97">
        <v>540984</v>
      </c>
      <c r="D4994" s="96" t="s">
        <v>7650</v>
      </c>
      <c r="E4994" s="96"/>
    </row>
    <row r="4995" spans="2:5" ht="15" customHeight="1" thickBot="1" x14ac:dyDescent="0.35">
      <c r="B4995" s="96" t="s">
        <v>7651</v>
      </c>
      <c r="C4995" s="97">
        <v>541068</v>
      </c>
      <c r="D4995" s="96" t="s">
        <v>7652</v>
      </c>
      <c r="E4995" s="96"/>
    </row>
    <row r="4996" spans="2:5" ht="15" customHeight="1" thickBot="1" x14ac:dyDescent="0.35">
      <c r="B4996" s="96" t="s">
        <v>7653</v>
      </c>
      <c r="C4996" s="97">
        <v>541069</v>
      </c>
      <c r="D4996" s="96" t="s">
        <v>7654</v>
      </c>
      <c r="E4996" s="96"/>
    </row>
    <row r="4997" spans="2:5" ht="15" customHeight="1" thickBot="1" x14ac:dyDescent="0.35">
      <c r="B4997" s="96" t="s">
        <v>7655</v>
      </c>
      <c r="C4997" s="97">
        <v>541070</v>
      </c>
      <c r="D4997" s="96" t="s">
        <v>7656</v>
      </c>
      <c r="E4997" s="96"/>
    </row>
    <row r="4998" spans="2:5" ht="15" customHeight="1" thickBot="1" x14ac:dyDescent="0.35">
      <c r="B4998" s="96" t="s">
        <v>7657</v>
      </c>
      <c r="C4998" s="97">
        <v>541071</v>
      </c>
      <c r="D4998" s="96" t="s">
        <v>7658</v>
      </c>
      <c r="E4998" s="96"/>
    </row>
    <row r="4999" spans="2:5" ht="15" customHeight="1" thickBot="1" x14ac:dyDescent="0.35">
      <c r="B4999" s="96" t="s">
        <v>7659</v>
      </c>
      <c r="C4999" s="97">
        <v>541084</v>
      </c>
      <c r="D4999" s="96" t="s">
        <v>7660</v>
      </c>
      <c r="E4999" s="96"/>
    </row>
    <row r="5000" spans="2:5" ht="15" customHeight="1" thickBot="1" x14ac:dyDescent="0.35">
      <c r="B5000" s="96" t="s">
        <v>7661</v>
      </c>
      <c r="C5000" s="97">
        <v>541085</v>
      </c>
      <c r="D5000" s="96" t="s">
        <v>7662</v>
      </c>
      <c r="E5000" s="96"/>
    </row>
    <row r="5001" spans="2:5" ht="15" customHeight="1" thickBot="1" x14ac:dyDescent="0.35">
      <c r="B5001" s="96" t="s">
        <v>7663</v>
      </c>
      <c r="C5001" s="97">
        <v>541086</v>
      </c>
      <c r="D5001" s="96" t="s">
        <v>7664</v>
      </c>
      <c r="E5001" s="96"/>
    </row>
    <row r="5002" spans="2:5" ht="15" customHeight="1" thickBot="1" x14ac:dyDescent="0.35">
      <c r="B5002" s="96" t="s">
        <v>7665</v>
      </c>
      <c r="C5002" s="97">
        <v>541087</v>
      </c>
      <c r="D5002" s="96" t="s">
        <v>7666</v>
      </c>
      <c r="E5002" s="96"/>
    </row>
    <row r="5003" spans="2:5" ht="15" customHeight="1" thickBot="1" x14ac:dyDescent="0.35">
      <c r="B5003" s="96" t="s">
        <v>7667</v>
      </c>
      <c r="C5003" s="97">
        <v>541092</v>
      </c>
      <c r="D5003" s="96" t="s">
        <v>7668</v>
      </c>
      <c r="E5003" s="96"/>
    </row>
    <row r="5004" spans="2:5" ht="15" customHeight="1" thickBot="1" x14ac:dyDescent="0.35">
      <c r="B5004" s="96" t="s">
        <v>7669</v>
      </c>
      <c r="C5004" s="97">
        <v>541093</v>
      </c>
      <c r="D5004" s="96" t="s">
        <v>7670</v>
      </c>
      <c r="E5004" s="96"/>
    </row>
    <row r="5005" spans="2:5" ht="15" customHeight="1" thickBot="1" x14ac:dyDescent="0.35">
      <c r="B5005" s="96" t="s">
        <v>7671</v>
      </c>
      <c r="C5005" s="97">
        <v>541094</v>
      </c>
      <c r="D5005" s="96" t="s">
        <v>7672</v>
      </c>
      <c r="E5005" s="96"/>
    </row>
    <row r="5006" spans="2:5" ht="15" customHeight="1" thickBot="1" x14ac:dyDescent="0.35">
      <c r="B5006" s="96" t="s">
        <v>7673</v>
      </c>
      <c r="C5006" s="97">
        <v>541095</v>
      </c>
      <c r="D5006" s="96" t="s">
        <v>7674</v>
      </c>
      <c r="E5006" s="96"/>
    </row>
    <row r="5007" spans="2:5" ht="15" customHeight="1" thickBot="1" x14ac:dyDescent="0.35">
      <c r="B5007" s="96" t="s">
        <v>7675</v>
      </c>
      <c r="C5007" s="97">
        <v>541252</v>
      </c>
      <c r="D5007" s="96" t="s">
        <v>7676</v>
      </c>
      <c r="E5007" s="96"/>
    </row>
    <row r="5008" spans="2:5" ht="15" customHeight="1" thickBot="1" x14ac:dyDescent="0.35">
      <c r="B5008" s="96" t="s">
        <v>7677</v>
      </c>
      <c r="C5008" s="97">
        <v>541253</v>
      </c>
      <c r="D5008" s="96" t="s">
        <v>7678</v>
      </c>
      <c r="E5008" s="96"/>
    </row>
    <row r="5009" spans="2:5" ht="15" customHeight="1" thickBot="1" x14ac:dyDescent="0.35">
      <c r="B5009" s="96" t="s">
        <v>7679</v>
      </c>
      <c r="C5009" s="97">
        <v>541254</v>
      </c>
      <c r="D5009" s="96" t="s">
        <v>7680</v>
      </c>
      <c r="E5009" s="96"/>
    </row>
    <row r="5010" spans="2:5" ht="15" customHeight="1" thickBot="1" x14ac:dyDescent="0.35">
      <c r="B5010" s="96" t="s">
        <v>7681</v>
      </c>
      <c r="C5010" s="97">
        <v>541255</v>
      </c>
      <c r="D5010" s="96" t="s">
        <v>7682</v>
      </c>
      <c r="E5010" s="96"/>
    </row>
    <row r="5011" spans="2:5" ht="15" customHeight="1" thickBot="1" x14ac:dyDescent="0.35">
      <c r="B5011" s="96" t="s">
        <v>7683</v>
      </c>
      <c r="C5011" s="97">
        <v>541300</v>
      </c>
      <c r="D5011" s="96" t="s">
        <v>7684</v>
      </c>
      <c r="E5011" s="96"/>
    </row>
    <row r="5012" spans="2:5" ht="15" customHeight="1" thickBot="1" x14ac:dyDescent="0.35">
      <c r="B5012" s="96" t="s">
        <v>7685</v>
      </c>
      <c r="C5012" s="97">
        <v>541309</v>
      </c>
      <c r="D5012" s="96" t="s">
        <v>7686</v>
      </c>
      <c r="E5012" s="96"/>
    </row>
    <row r="5013" spans="2:5" ht="15" customHeight="1" thickBot="1" x14ac:dyDescent="0.35">
      <c r="B5013" s="96" t="s">
        <v>7687</v>
      </c>
      <c r="C5013" s="97">
        <v>541310</v>
      </c>
      <c r="D5013" s="96" t="s">
        <v>7688</v>
      </c>
      <c r="E5013" s="96"/>
    </row>
    <row r="5014" spans="2:5" ht="15" customHeight="1" thickBot="1" x14ac:dyDescent="0.35">
      <c r="B5014" s="96" t="s">
        <v>7689</v>
      </c>
      <c r="C5014" s="97">
        <v>541311</v>
      </c>
      <c r="D5014" s="96" t="s">
        <v>7690</v>
      </c>
      <c r="E5014" s="96"/>
    </row>
    <row r="5015" spans="2:5" ht="15" customHeight="1" thickBot="1" x14ac:dyDescent="0.35">
      <c r="B5015" s="96" t="s">
        <v>7691</v>
      </c>
      <c r="C5015" s="97">
        <v>541312</v>
      </c>
      <c r="D5015" s="96" t="s">
        <v>7692</v>
      </c>
      <c r="E5015" s="96"/>
    </row>
    <row r="5016" spans="2:5" ht="15" customHeight="1" thickBot="1" x14ac:dyDescent="0.35">
      <c r="B5016" s="96" t="s">
        <v>7693</v>
      </c>
      <c r="C5016" s="97">
        <v>541313</v>
      </c>
      <c r="D5016" s="96" t="s">
        <v>7694</v>
      </c>
      <c r="E5016" s="96"/>
    </row>
    <row r="5017" spans="2:5" ht="15" customHeight="1" thickBot="1" x14ac:dyDescent="0.35">
      <c r="B5017" s="96" t="s">
        <v>7695</v>
      </c>
      <c r="C5017" s="97">
        <v>541341</v>
      </c>
      <c r="D5017" s="96" t="s">
        <v>7696</v>
      </c>
      <c r="E5017" s="96"/>
    </row>
    <row r="5018" spans="2:5" ht="15" customHeight="1" thickBot="1" x14ac:dyDescent="0.35">
      <c r="B5018" s="96" t="s">
        <v>7697</v>
      </c>
      <c r="C5018" s="97">
        <v>541343</v>
      </c>
      <c r="D5018" s="96" t="s">
        <v>7698</v>
      </c>
      <c r="E5018" s="96"/>
    </row>
    <row r="5019" spans="2:5" ht="15" customHeight="1" thickBot="1" x14ac:dyDescent="0.35">
      <c r="B5019" s="96" t="s">
        <v>7699</v>
      </c>
      <c r="C5019" s="97">
        <v>541345</v>
      </c>
      <c r="D5019" s="96" t="s">
        <v>7700</v>
      </c>
      <c r="E5019" s="96"/>
    </row>
    <row r="5020" spans="2:5" ht="15" customHeight="1" thickBot="1" x14ac:dyDescent="0.35">
      <c r="B5020" s="96" t="s">
        <v>7701</v>
      </c>
      <c r="C5020" s="97">
        <v>541346</v>
      </c>
      <c r="D5020" s="96" t="s">
        <v>7702</v>
      </c>
      <c r="E5020" s="96"/>
    </row>
    <row r="5021" spans="2:5" ht="15" customHeight="1" thickBot="1" x14ac:dyDescent="0.35">
      <c r="B5021" s="96" t="s">
        <v>7703</v>
      </c>
      <c r="C5021" s="97">
        <v>541672</v>
      </c>
      <c r="D5021" s="96" t="s">
        <v>7704</v>
      </c>
      <c r="E5021" s="96"/>
    </row>
    <row r="5022" spans="2:5" ht="15" customHeight="1" thickBot="1" x14ac:dyDescent="0.35">
      <c r="B5022" s="96" t="s">
        <v>7705</v>
      </c>
      <c r="C5022" s="97">
        <v>541673</v>
      </c>
      <c r="D5022" s="96" t="s">
        <v>7706</v>
      </c>
      <c r="E5022" s="96"/>
    </row>
    <row r="5023" spans="2:5" ht="15" customHeight="1" thickBot="1" x14ac:dyDescent="0.35">
      <c r="B5023" s="96" t="s">
        <v>7707</v>
      </c>
      <c r="C5023" s="97">
        <v>541674</v>
      </c>
      <c r="D5023" s="96" t="s">
        <v>7708</v>
      </c>
      <c r="E5023" s="96"/>
    </row>
    <row r="5024" spans="2:5" ht="15" customHeight="1" thickBot="1" x14ac:dyDescent="0.35">
      <c r="B5024" s="96" t="s">
        <v>7709</v>
      </c>
      <c r="C5024" s="97">
        <v>541675</v>
      </c>
      <c r="D5024" s="96" t="s">
        <v>7710</v>
      </c>
      <c r="E5024" s="96"/>
    </row>
    <row r="5025" spans="2:5" ht="15" customHeight="1" thickBot="1" x14ac:dyDescent="0.35">
      <c r="B5025" s="96" t="s">
        <v>7711</v>
      </c>
      <c r="C5025" s="97">
        <v>541676</v>
      </c>
      <c r="D5025" s="96" t="s">
        <v>7712</v>
      </c>
      <c r="E5025" s="96"/>
    </row>
    <row r="5026" spans="2:5" ht="15" customHeight="1" thickBot="1" x14ac:dyDescent="0.35">
      <c r="B5026" s="96" t="s">
        <v>7713</v>
      </c>
      <c r="C5026" s="97">
        <v>541677</v>
      </c>
      <c r="D5026" s="96" t="s">
        <v>7714</v>
      </c>
      <c r="E5026" s="96"/>
    </row>
    <row r="5027" spans="2:5" ht="15" customHeight="1" thickBot="1" x14ac:dyDescent="0.35">
      <c r="B5027" s="96" t="s">
        <v>7715</v>
      </c>
      <c r="C5027" s="97">
        <v>541678</v>
      </c>
      <c r="D5027" s="96" t="s">
        <v>7716</v>
      </c>
      <c r="E5027" s="96"/>
    </row>
    <row r="5028" spans="2:5" ht="15" customHeight="1" thickBot="1" x14ac:dyDescent="0.35">
      <c r="B5028" s="96" t="s">
        <v>7717</v>
      </c>
      <c r="C5028" s="97">
        <v>541679</v>
      </c>
      <c r="D5028" s="96" t="s">
        <v>7718</v>
      </c>
      <c r="E5028" s="96"/>
    </row>
    <row r="5029" spans="2:5" ht="15" customHeight="1" thickBot="1" x14ac:dyDescent="0.35">
      <c r="B5029" s="96" t="s">
        <v>7719</v>
      </c>
      <c r="C5029" s="97">
        <v>541725</v>
      </c>
      <c r="D5029" s="96" t="s">
        <v>7720</v>
      </c>
      <c r="E5029" s="96"/>
    </row>
    <row r="5030" spans="2:5" ht="15" customHeight="1" thickBot="1" x14ac:dyDescent="0.35">
      <c r="B5030" s="96" t="s">
        <v>7721</v>
      </c>
      <c r="C5030" s="97">
        <v>541726</v>
      </c>
      <c r="D5030" s="96" t="s">
        <v>7722</v>
      </c>
      <c r="E5030" s="96"/>
    </row>
    <row r="5031" spans="2:5" ht="15" customHeight="1" thickBot="1" x14ac:dyDescent="0.35">
      <c r="B5031" s="96" t="s">
        <v>7723</v>
      </c>
      <c r="C5031" s="97">
        <v>541727</v>
      </c>
      <c r="D5031" s="96" t="s">
        <v>7724</v>
      </c>
      <c r="E5031" s="96"/>
    </row>
    <row r="5032" spans="2:5" ht="15" customHeight="1" thickBot="1" x14ac:dyDescent="0.35">
      <c r="B5032" s="96" t="s">
        <v>7725</v>
      </c>
      <c r="C5032" s="97">
        <v>541728</v>
      </c>
      <c r="D5032" s="96" t="s">
        <v>7726</v>
      </c>
      <c r="E5032" s="96"/>
    </row>
    <row r="5033" spans="2:5" ht="15" customHeight="1" thickBot="1" x14ac:dyDescent="0.35">
      <c r="B5033" s="96" t="s">
        <v>7727</v>
      </c>
      <c r="C5033" s="97">
        <v>541742</v>
      </c>
      <c r="D5033" s="96" t="s">
        <v>7728</v>
      </c>
      <c r="E5033" s="96"/>
    </row>
    <row r="5034" spans="2:5" ht="15" customHeight="1" thickBot="1" x14ac:dyDescent="0.35">
      <c r="B5034" s="96" t="s">
        <v>7729</v>
      </c>
      <c r="C5034" s="97">
        <v>541743</v>
      </c>
      <c r="D5034" s="96" t="s">
        <v>7730</v>
      </c>
      <c r="E5034" s="96"/>
    </row>
    <row r="5035" spans="2:5" ht="15" customHeight="1" thickBot="1" x14ac:dyDescent="0.35">
      <c r="B5035" s="96" t="s">
        <v>7731</v>
      </c>
      <c r="C5035" s="97">
        <v>541744</v>
      </c>
      <c r="D5035" s="96" t="s">
        <v>7732</v>
      </c>
      <c r="E5035" s="96"/>
    </row>
    <row r="5036" spans="2:5" ht="15" customHeight="1" thickBot="1" x14ac:dyDescent="0.35">
      <c r="B5036" s="96" t="s">
        <v>7733</v>
      </c>
      <c r="C5036" s="97">
        <v>541745</v>
      </c>
      <c r="D5036" s="96" t="s">
        <v>7734</v>
      </c>
      <c r="E5036" s="96"/>
    </row>
    <row r="5037" spans="2:5" ht="15" customHeight="1" thickBot="1" x14ac:dyDescent="0.35">
      <c r="B5037" s="96" t="s">
        <v>7735</v>
      </c>
      <c r="C5037" s="97">
        <v>541804</v>
      </c>
      <c r="D5037" s="96" t="s">
        <v>7736</v>
      </c>
      <c r="E5037" s="96"/>
    </row>
    <row r="5038" spans="2:5" ht="15" customHeight="1" thickBot="1" x14ac:dyDescent="0.35">
      <c r="B5038" s="96" t="s">
        <v>7737</v>
      </c>
      <c r="C5038" s="97">
        <v>541805</v>
      </c>
      <c r="D5038" s="96" t="s">
        <v>7738</v>
      </c>
      <c r="E5038" s="96"/>
    </row>
    <row r="5039" spans="2:5" ht="15" customHeight="1" thickBot="1" x14ac:dyDescent="0.35">
      <c r="B5039" s="96" t="s">
        <v>7739</v>
      </c>
      <c r="C5039" s="97">
        <v>541806</v>
      </c>
      <c r="D5039" s="96" t="s">
        <v>7740</v>
      </c>
      <c r="E5039" s="96"/>
    </row>
    <row r="5040" spans="2:5" ht="15" customHeight="1" thickBot="1" x14ac:dyDescent="0.35">
      <c r="B5040" s="96" t="s">
        <v>7741</v>
      </c>
      <c r="C5040" s="97">
        <v>541807</v>
      </c>
      <c r="D5040" s="96" t="s">
        <v>7742</v>
      </c>
      <c r="E5040" s="96"/>
    </row>
    <row r="5041" spans="2:5" ht="15" customHeight="1" thickBot="1" x14ac:dyDescent="0.35">
      <c r="B5041" s="96" t="s">
        <v>7743</v>
      </c>
      <c r="C5041" s="97">
        <v>541809</v>
      </c>
      <c r="D5041" s="96" t="s">
        <v>7744</v>
      </c>
      <c r="E5041" s="96"/>
    </row>
    <row r="5042" spans="2:5" ht="15" customHeight="1" thickBot="1" x14ac:dyDescent="0.35">
      <c r="B5042" s="96" t="s">
        <v>7745</v>
      </c>
      <c r="C5042" s="97">
        <v>541879</v>
      </c>
      <c r="D5042" s="96" t="s">
        <v>7746</v>
      </c>
      <c r="E5042" s="96"/>
    </row>
    <row r="5043" spans="2:5" ht="15" customHeight="1" thickBot="1" x14ac:dyDescent="0.35">
      <c r="B5043" s="96" t="s">
        <v>7747</v>
      </c>
      <c r="C5043" s="97">
        <v>541881</v>
      </c>
      <c r="D5043" s="96" t="s">
        <v>7748</v>
      </c>
      <c r="E5043" s="96"/>
    </row>
    <row r="5044" spans="2:5" ht="15" customHeight="1" thickBot="1" x14ac:dyDescent="0.35">
      <c r="B5044" s="96" t="s">
        <v>7749</v>
      </c>
      <c r="C5044" s="97">
        <v>541882</v>
      </c>
      <c r="D5044" s="96" t="s">
        <v>7750</v>
      </c>
      <c r="E5044" s="96"/>
    </row>
    <row r="5045" spans="2:5" ht="15" customHeight="1" thickBot="1" x14ac:dyDescent="0.35">
      <c r="B5045" s="96" t="s">
        <v>7751</v>
      </c>
      <c r="C5045" s="97">
        <v>541884</v>
      </c>
      <c r="D5045" s="96" t="s">
        <v>7752</v>
      </c>
      <c r="E5045" s="96"/>
    </row>
    <row r="5046" spans="2:5" ht="15" customHeight="1" thickBot="1" x14ac:dyDescent="0.35">
      <c r="B5046" s="96" t="s">
        <v>7753</v>
      </c>
      <c r="C5046" s="97">
        <v>541972</v>
      </c>
      <c r="D5046" s="96" t="s">
        <v>7754</v>
      </c>
      <c r="E5046" s="96"/>
    </row>
    <row r="5047" spans="2:5" ht="15" customHeight="1" thickBot="1" x14ac:dyDescent="0.35">
      <c r="B5047" s="96" t="s">
        <v>7755</v>
      </c>
      <c r="C5047" s="97">
        <v>541984</v>
      </c>
      <c r="D5047" s="96" t="s">
        <v>7756</v>
      </c>
      <c r="E5047" s="96"/>
    </row>
    <row r="5048" spans="2:5" ht="15" customHeight="1" thickBot="1" x14ac:dyDescent="0.35">
      <c r="B5048" s="96" t="s">
        <v>7757</v>
      </c>
      <c r="C5048" s="97">
        <v>541985</v>
      </c>
      <c r="D5048" s="96" t="s">
        <v>7758</v>
      </c>
      <c r="E5048" s="96"/>
    </row>
    <row r="5049" spans="2:5" ht="15" customHeight="1" thickBot="1" x14ac:dyDescent="0.35">
      <c r="B5049" s="96" t="s">
        <v>7759</v>
      </c>
      <c r="C5049" s="97">
        <v>541986</v>
      </c>
      <c r="D5049" s="96" t="s">
        <v>7760</v>
      </c>
      <c r="E5049" s="96"/>
    </row>
    <row r="5050" spans="2:5" ht="15" customHeight="1" thickBot="1" x14ac:dyDescent="0.35">
      <c r="B5050" s="96" t="s">
        <v>7761</v>
      </c>
      <c r="C5050" s="97">
        <v>541987</v>
      </c>
      <c r="D5050" s="96" t="s">
        <v>7762</v>
      </c>
      <c r="E5050" s="96"/>
    </row>
    <row r="5051" spans="2:5" ht="15" customHeight="1" thickBot="1" x14ac:dyDescent="0.35">
      <c r="B5051" s="96" t="s">
        <v>7763</v>
      </c>
      <c r="C5051" s="97">
        <v>542131</v>
      </c>
      <c r="D5051" s="96" t="s">
        <v>7764</v>
      </c>
      <c r="E5051" s="96"/>
    </row>
    <row r="5052" spans="2:5" ht="15" customHeight="1" thickBot="1" x14ac:dyDescent="0.35">
      <c r="B5052" s="96" t="s">
        <v>7765</v>
      </c>
      <c r="C5052" s="97">
        <v>542156</v>
      </c>
      <c r="D5052" s="96" t="s">
        <v>7766</v>
      </c>
      <c r="E5052" s="96"/>
    </row>
    <row r="5053" spans="2:5" ht="15" customHeight="1" thickBot="1" x14ac:dyDescent="0.35">
      <c r="B5053" s="96" t="s">
        <v>7767</v>
      </c>
      <c r="C5053" s="97">
        <v>542158</v>
      </c>
      <c r="D5053" s="96" t="s">
        <v>7768</v>
      </c>
      <c r="E5053" s="96"/>
    </row>
    <row r="5054" spans="2:5" ht="15" customHeight="1" thickBot="1" x14ac:dyDescent="0.35">
      <c r="B5054" s="96" t="s">
        <v>7769</v>
      </c>
      <c r="C5054" s="97">
        <v>542160</v>
      </c>
      <c r="D5054" s="96" t="s">
        <v>7770</v>
      </c>
      <c r="E5054" s="96"/>
    </row>
    <row r="5055" spans="2:5" ht="15" customHeight="1" thickBot="1" x14ac:dyDescent="0.35">
      <c r="B5055" s="96" t="s">
        <v>7771</v>
      </c>
      <c r="C5055" s="97">
        <v>542163</v>
      </c>
      <c r="D5055" s="96" t="s">
        <v>7772</v>
      </c>
      <c r="E5055" s="96"/>
    </row>
    <row r="5056" spans="2:5" ht="15" customHeight="1" thickBot="1" x14ac:dyDescent="0.35">
      <c r="B5056" s="96" t="s">
        <v>7773</v>
      </c>
      <c r="C5056" s="97">
        <v>542230</v>
      </c>
      <c r="D5056" s="96" t="s">
        <v>7774</v>
      </c>
      <c r="E5056" s="96"/>
    </row>
    <row r="5057" spans="2:5" ht="15" customHeight="1" thickBot="1" x14ac:dyDescent="0.35">
      <c r="B5057" s="96" t="s">
        <v>7775</v>
      </c>
      <c r="C5057" s="97">
        <v>542244</v>
      </c>
      <c r="D5057" s="96" t="s">
        <v>7776</v>
      </c>
      <c r="E5057" s="96"/>
    </row>
    <row r="5058" spans="2:5" ht="15" customHeight="1" thickBot="1" x14ac:dyDescent="0.35">
      <c r="B5058" s="96" t="s">
        <v>7777</v>
      </c>
      <c r="C5058" s="97">
        <v>542245</v>
      </c>
      <c r="D5058" s="96" t="s">
        <v>7778</v>
      </c>
      <c r="E5058" s="96"/>
    </row>
    <row r="5059" spans="2:5" ht="15" customHeight="1" thickBot="1" x14ac:dyDescent="0.35">
      <c r="B5059" s="96" t="s">
        <v>7779</v>
      </c>
      <c r="C5059" s="97">
        <v>542246</v>
      </c>
      <c r="D5059" s="96" t="s">
        <v>7780</v>
      </c>
      <c r="E5059" s="96"/>
    </row>
    <row r="5060" spans="2:5" ht="15" customHeight="1" thickBot="1" x14ac:dyDescent="0.35">
      <c r="B5060" s="96" t="s">
        <v>7781</v>
      </c>
      <c r="C5060" s="97">
        <v>542247</v>
      </c>
      <c r="D5060" s="96" t="s">
        <v>7782</v>
      </c>
      <c r="E5060" s="96"/>
    </row>
    <row r="5061" spans="2:5" ht="15" customHeight="1" thickBot="1" x14ac:dyDescent="0.35">
      <c r="B5061" s="96" t="s">
        <v>7783</v>
      </c>
      <c r="C5061" s="97">
        <v>542513</v>
      </c>
      <c r="D5061" s="96" t="s">
        <v>7784</v>
      </c>
      <c r="E5061" s="96"/>
    </row>
    <row r="5062" spans="2:5" ht="15" customHeight="1" thickBot="1" x14ac:dyDescent="0.35">
      <c r="B5062" s="96" t="s">
        <v>7785</v>
      </c>
      <c r="C5062" s="97">
        <v>542543</v>
      </c>
      <c r="D5062" s="96" t="s">
        <v>7786</v>
      </c>
      <c r="E5062" s="96"/>
    </row>
    <row r="5063" spans="2:5" ht="15" customHeight="1" thickBot="1" x14ac:dyDescent="0.35">
      <c r="B5063" s="96" t="s">
        <v>7787</v>
      </c>
      <c r="C5063" s="97">
        <v>542694</v>
      </c>
      <c r="D5063" s="96" t="s">
        <v>7788</v>
      </c>
      <c r="E5063" s="96" t="s">
        <v>410</v>
      </c>
    </row>
    <row r="5064" spans="2:5" ht="15" customHeight="1" thickBot="1" x14ac:dyDescent="0.35">
      <c r="B5064" s="96" t="s">
        <v>7789</v>
      </c>
      <c r="C5064" s="97">
        <v>542721</v>
      </c>
      <c r="D5064" s="96" t="s">
        <v>7790</v>
      </c>
      <c r="E5064" s="96" t="s">
        <v>410</v>
      </c>
    </row>
    <row r="5065" spans="2:5" ht="15" customHeight="1" thickBot="1" x14ac:dyDescent="0.35">
      <c r="B5065" s="96" t="s">
        <v>7791</v>
      </c>
      <c r="C5065" s="97">
        <v>542724</v>
      </c>
      <c r="D5065" s="96" t="s">
        <v>7792</v>
      </c>
      <c r="E5065" s="96" t="s">
        <v>426</v>
      </c>
    </row>
    <row r="5066" spans="2:5" ht="15" customHeight="1" thickBot="1" x14ac:dyDescent="0.35">
      <c r="B5066" s="96" t="s">
        <v>7793</v>
      </c>
      <c r="C5066" s="97">
        <v>542725</v>
      </c>
      <c r="D5066" s="96" t="s">
        <v>7794</v>
      </c>
      <c r="E5066" s="96" t="s">
        <v>502</v>
      </c>
    </row>
    <row r="5067" spans="2:5" ht="15" customHeight="1" thickBot="1" x14ac:dyDescent="0.35">
      <c r="B5067" s="96" t="s">
        <v>7795</v>
      </c>
      <c r="C5067" s="97">
        <v>542726</v>
      </c>
      <c r="D5067" s="96" t="s">
        <v>7796</v>
      </c>
      <c r="E5067" s="96" t="s">
        <v>394</v>
      </c>
    </row>
    <row r="5068" spans="2:5" ht="15" customHeight="1" thickBot="1" x14ac:dyDescent="0.35">
      <c r="B5068" s="96" t="s">
        <v>7797</v>
      </c>
      <c r="C5068" s="97">
        <v>542727</v>
      </c>
      <c r="D5068" s="96" t="s">
        <v>7798</v>
      </c>
      <c r="E5068" s="96" t="s">
        <v>389</v>
      </c>
    </row>
    <row r="5069" spans="2:5" ht="15" customHeight="1" thickBot="1" x14ac:dyDescent="0.35">
      <c r="B5069" s="96" t="s">
        <v>7799</v>
      </c>
      <c r="C5069" s="97">
        <v>542728</v>
      </c>
      <c r="D5069" s="96" t="s">
        <v>7800</v>
      </c>
      <c r="E5069" s="96" t="s">
        <v>502</v>
      </c>
    </row>
    <row r="5070" spans="2:5" ht="15" customHeight="1" thickBot="1" x14ac:dyDescent="0.35">
      <c r="B5070" s="96" t="s">
        <v>7801</v>
      </c>
      <c r="C5070" s="97">
        <v>542729</v>
      </c>
      <c r="D5070" s="96" t="s">
        <v>7802</v>
      </c>
      <c r="E5070" s="96" t="s">
        <v>403</v>
      </c>
    </row>
    <row r="5071" spans="2:5" ht="15" customHeight="1" thickBot="1" x14ac:dyDescent="0.35">
      <c r="B5071" s="96" t="s">
        <v>7803</v>
      </c>
      <c r="C5071" s="97">
        <v>542730</v>
      </c>
      <c r="D5071" s="96" t="s">
        <v>7804</v>
      </c>
      <c r="E5071" s="96"/>
    </row>
    <row r="5072" spans="2:5" ht="15" customHeight="1" thickBot="1" x14ac:dyDescent="0.35">
      <c r="B5072" s="96" t="s">
        <v>7805</v>
      </c>
      <c r="C5072" s="97">
        <v>542747</v>
      </c>
      <c r="D5072" s="96" t="s">
        <v>7806</v>
      </c>
      <c r="E5072" s="96"/>
    </row>
    <row r="5073" spans="2:5" ht="15" customHeight="1" thickBot="1" x14ac:dyDescent="0.35">
      <c r="B5073" s="96" t="s">
        <v>7807</v>
      </c>
      <c r="C5073" s="97">
        <v>542752</v>
      </c>
      <c r="D5073" s="96" t="s">
        <v>7808</v>
      </c>
      <c r="E5073" s="96" t="s">
        <v>1990</v>
      </c>
    </row>
    <row r="5074" spans="2:5" ht="15" customHeight="1" thickBot="1" x14ac:dyDescent="0.35">
      <c r="B5074" s="96" t="s">
        <v>7809</v>
      </c>
      <c r="C5074" s="97">
        <v>542753</v>
      </c>
      <c r="D5074" s="96" t="s">
        <v>7810</v>
      </c>
      <c r="E5074" s="96" t="s">
        <v>422</v>
      </c>
    </row>
    <row r="5075" spans="2:5" ht="15" customHeight="1" thickBot="1" x14ac:dyDescent="0.35">
      <c r="B5075" s="96" t="s">
        <v>7811</v>
      </c>
      <c r="C5075" s="97">
        <v>542758</v>
      </c>
      <c r="D5075" s="96" t="s">
        <v>7812</v>
      </c>
      <c r="E5075" s="96"/>
    </row>
    <row r="5076" spans="2:5" ht="15" customHeight="1" thickBot="1" x14ac:dyDescent="0.35">
      <c r="B5076" s="96" t="s">
        <v>7813</v>
      </c>
      <c r="C5076" s="97">
        <v>542759</v>
      </c>
      <c r="D5076" s="96" t="s">
        <v>7814</v>
      </c>
      <c r="E5076" s="96" t="s">
        <v>405</v>
      </c>
    </row>
    <row r="5077" spans="2:5" ht="15" customHeight="1" thickBot="1" x14ac:dyDescent="0.35">
      <c r="B5077" s="96" t="s">
        <v>7815</v>
      </c>
      <c r="C5077" s="97">
        <v>542760</v>
      </c>
      <c r="D5077" s="96" t="s">
        <v>7816</v>
      </c>
      <c r="E5077" s="96" t="s">
        <v>431</v>
      </c>
    </row>
    <row r="5078" spans="2:5" ht="15" customHeight="1" thickBot="1" x14ac:dyDescent="0.35">
      <c r="B5078" s="96" t="s">
        <v>7817</v>
      </c>
      <c r="C5078" s="97">
        <v>542765</v>
      </c>
      <c r="D5078" s="96" t="s">
        <v>7818</v>
      </c>
      <c r="E5078" s="96" t="s">
        <v>1554</v>
      </c>
    </row>
    <row r="5079" spans="2:5" ht="15" customHeight="1" thickBot="1" x14ac:dyDescent="0.35">
      <c r="B5079" s="96" t="s">
        <v>7819</v>
      </c>
      <c r="C5079" s="97">
        <v>542770</v>
      </c>
      <c r="D5079" s="96" t="s">
        <v>7820</v>
      </c>
      <c r="E5079" s="96" t="s">
        <v>374</v>
      </c>
    </row>
    <row r="5080" spans="2:5" ht="15" customHeight="1" thickBot="1" x14ac:dyDescent="0.35">
      <c r="B5080" s="96" t="s">
        <v>7821</v>
      </c>
      <c r="C5080" s="97">
        <v>542771</v>
      </c>
      <c r="D5080" s="96" t="s">
        <v>7822</v>
      </c>
      <c r="E5080" s="96" t="s">
        <v>570</v>
      </c>
    </row>
    <row r="5081" spans="2:5" ht="15" customHeight="1" thickBot="1" x14ac:dyDescent="0.35">
      <c r="B5081" s="96" t="s">
        <v>7823</v>
      </c>
      <c r="C5081" s="97">
        <v>542772</v>
      </c>
      <c r="D5081" s="96" t="s">
        <v>7824</v>
      </c>
      <c r="E5081" s="96" t="s">
        <v>371</v>
      </c>
    </row>
    <row r="5082" spans="2:5" ht="15" customHeight="1" thickBot="1" x14ac:dyDescent="0.35">
      <c r="B5082" s="96" t="s">
        <v>7825</v>
      </c>
      <c r="C5082" s="97">
        <v>542773</v>
      </c>
      <c r="D5082" s="96" t="s">
        <v>7826</v>
      </c>
      <c r="E5082" s="96" t="s">
        <v>371</v>
      </c>
    </row>
    <row r="5083" spans="2:5" ht="15" customHeight="1" thickBot="1" x14ac:dyDescent="0.35">
      <c r="B5083" s="96" t="s">
        <v>7827</v>
      </c>
      <c r="C5083" s="97">
        <v>542774</v>
      </c>
      <c r="D5083" s="96" t="s">
        <v>7828</v>
      </c>
      <c r="E5083" s="96" t="s">
        <v>405</v>
      </c>
    </row>
    <row r="5084" spans="2:5" ht="15" customHeight="1" thickBot="1" x14ac:dyDescent="0.35">
      <c r="B5084" s="96" t="s">
        <v>7829</v>
      </c>
      <c r="C5084" s="97">
        <v>542801</v>
      </c>
      <c r="D5084" s="96" t="s">
        <v>7830</v>
      </c>
      <c r="E5084" s="96" t="s">
        <v>396</v>
      </c>
    </row>
    <row r="5085" spans="2:5" ht="15" customHeight="1" thickBot="1" x14ac:dyDescent="0.35">
      <c r="B5085" s="96" t="s">
        <v>7831</v>
      </c>
      <c r="C5085" s="97">
        <v>542802</v>
      </c>
      <c r="D5085" s="96" t="s">
        <v>7832</v>
      </c>
      <c r="E5085" s="96" t="s">
        <v>371</v>
      </c>
    </row>
    <row r="5086" spans="2:5" ht="15" customHeight="1" thickBot="1" x14ac:dyDescent="0.35">
      <c r="B5086" s="96" t="s">
        <v>7833</v>
      </c>
      <c r="C5086" s="97">
        <v>542803</v>
      </c>
      <c r="D5086" s="96" t="s">
        <v>7834</v>
      </c>
      <c r="E5086" s="96" t="s">
        <v>410</v>
      </c>
    </row>
    <row r="5087" spans="2:5" ht="15" customHeight="1" thickBot="1" x14ac:dyDescent="0.35">
      <c r="B5087" s="96" t="s">
        <v>7835</v>
      </c>
      <c r="C5087" s="97">
        <v>542804</v>
      </c>
      <c r="D5087" s="96" t="s">
        <v>7836</v>
      </c>
      <c r="E5087" s="96"/>
    </row>
    <row r="5088" spans="2:5" ht="15" customHeight="1" thickBot="1" x14ac:dyDescent="0.35">
      <c r="B5088" s="96" t="s">
        <v>7837</v>
      </c>
      <c r="C5088" s="97">
        <v>542805</v>
      </c>
      <c r="D5088" s="96" t="s">
        <v>7838</v>
      </c>
      <c r="E5088" s="96"/>
    </row>
    <row r="5089" spans="2:5" ht="15" customHeight="1" thickBot="1" x14ac:dyDescent="0.35">
      <c r="B5089" s="96" t="s">
        <v>7839</v>
      </c>
      <c r="C5089" s="97">
        <v>542806</v>
      </c>
      <c r="D5089" s="96" t="s">
        <v>7840</v>
      </c>
      <c r="E5089" s="96"/>
    </row>
    <row r="5090" spans="2:5" ht="15" customHeight="1" thickBot="1" x14ac:dyDescent="0.35">
      <c r="B5090" s="96" t="s">
        <v>7841</v>
      </c>
      <c r="C5090" s="97">
        <v>542807</v>
      </c>
      <c r="D5090" s="96" t="s">
        <v>7842</v>
      </c>
      <c r="E5090" s="96"/>
    </row>
    <row r="5091" spans="2:5" ht="15" customHeight="1" thickBot="1" x14ac:dyDescent="0.35">
      <c r="B5091" s="96" t="s">
        <v>7843</v>
      </c>
      <c r="C5091" s="97">
        <v>542808</v>
      </c>
      <c r="D5091" s="96" t="s">
        <v>7844</v>
      </c>
      <c r="E5091" s="96"/>
    </row>
    <row r="5092" spans="2:5" ht="15" customHeight="1" thickBot="1" x14ac:dyDescent="0.35">
      <c r="B5092" s="96" t="s">
        <v>7845</v>
      </c>
      <c r="C5092" s="97">
        <v>542809</v>
      </c>
      <c r="D5092" s="96" t="s">
        <v>7846</v>
      </c>
      <c r="E5092" s="96"/>
    </row>
    <row r="5093" spans="2:5" ht="15" customHeight="1" thickBot="1" x14ac:dyDescent="0.35">
      <c r="B5093" s="96" t="s">
        <v>7847</v>
      </c>
      <c r="C5093" s="97">
        <v>542810</v>
      </c>
      <c r="D5093" s="96" t="s">
        <v>7848</v>
      </c>
      <c r="E5093" s="96"/>
    </row>
    <row r="5094" spans="2:5" ht="15" customHeight="1" thickBot="1" x14ac:dyDescent="0.35">
      <c r="B5094" s="96" t="s">
        <v>7849</v>
      </c>
      <c r="C5094" s="97">
        <v>542811</v>
      </c>
      <c r="D5094" s="96" t="s">
        <v>7850</v>
      </c>
      <c r="E5094" s="96"/>
    </row>
    <row r="5095" spans="2:5" ht="15" customHeight="1" thickBot="1" x14ac:dyDescent="0.35">
      <c r="B5095" s="96" t="s">
        <v>7851</v>
      </c>
      <c r="C5095" s="97">
        <v>542812</v>
      </c>
      <c r="D5095" s="96" t="s">
        <v>7852</v>
      </c>
      <c r="E5095" s="96" t="s">
        <v>548</v>
      </c>
    </row>
    <row r="5096" spans="2:5" ht="15" customHeight="1" thickBot="1" x14ac:dyDescent="0.35">
      <c r="B5096" s="96" t="s">
        <v>7853</v>
      </c>
      <c r="C5096" s="97">
        <v>542813</v>
      </c>
      <c r="D5096" s="96" t="s">
        <v>7854</v>
      </c>
      <c r="E5096" s="96"/>
    </row>
    <row r="5097" spans="2:5" ht="15" customHeight="1" thickBot="1" x14ac:dyDescent="0.35">
      <c r="B5097" s="96" t="s">
        <v>7855</v>
      </c>
      <c r="C5097" s="97">
        <v>542814</v>
      </c>
      <c r="D5097" s="96" t="s">
        <v>7856</v>
      </c>
      <c r="E5097" s="96"/>
    </row>
    <row r="5098" spans="2:5" ht="15" customHeight="1" thickBot="1" x14ac:dyDescent="0.35">
      <c r="B5098" s="96" t="s">
        <v>7857</v>
      </c>
      <c r="C5098" s="97">
        <v>542815</v>
      </c>
      <c r="D5098" s="96" t="s">
        <v>7858</v>
      </c>
      <c r="E5098" s="96"/>
    </row>
    <row r="5099" spans="2:5" ht="15" customHeight="1" thickBot="1" x14ac:dyDescent="0.35">
      <c r="B5099" s="96" t="s">
        <v>7859</v>
      </c>
      <c r="C5099" s="97">
        <v>542816</v>
      </c>
      <c r="D5099" s="96" t="s">
        <v>7860</v>
      </c>
      <c r="E5099" s="96"/>
    </row>
    <row r="5100" spans="2:5" ht="15" customHeight="1" thickBot="1" x14ac:dyDescent="0.35">
      <c r="B5100" s="96" t="s">
        <v>7861</v>
      </c>
      <c r="C5100" s="97">
        <v>542817</v>
      </c>
      <c r="D5100" s="96" t="s">
        <v>7862</v>
      </c>
      <c r="E5100" s="96"/>
    </row>
    <row r="5101" spans="2:5" ht="15" customHeight="1" thickBot="1" x14ac:dyDescent="0.35">
      <c r="B5101" s="96" t="s">
        <v>7863</v>
      </c>
      <c r="C5101" s="97">
        <v>542818</v>
      </c>
      <c r="D5101" s="96" t="s">
        <v>7864</v>
      </c>
      <c r="E5101" s="96"/>
    </row>
    <row r="5102" spans="2:5" ht="15" customHeight="1" thickBot="1" x14ac:dyDescent="0.35">
      <c r="B5102" s="96" t="s">
        <v>7865</v>
      </c>
      <c r="C5102" s="97">
        <v>542819</v>
      </c>
      <c r="D5102" s="96" t="s">
        <v>7866</v>
      </c>
      <c r="E5102" s="96"/>
    </row>
    <row r="5103" spans="2:5" ht="15" customHeight="1" thickBot="1" x14ac:dyDescent="0.35">
      <c r="B5103" s="96" t="s">
        <v>7867</v>
      </c>
      <c r="C5103" s="97">
        <v>542820</v>
      </c>
      <c r="D5103" s="96" t="s">
        <v>7868</v>
      </c>
      <c r="E5103" s="96"/>
    </row>
    <row r="5104" spans="2:5" ht="15" customHeight="1" thickBot="1" x14ac:dyDescent="0.35">
      <c r="B5104" s="96" t="s">
        <v>7869</v>
      </c>
      <c r="C5104" s="97">
        <v>542830</v>
      </c>
      <c r="D5104" s="96" t="s">
        <v>7870</v>
      </c>
      <c r="E5104" s="96" t="s">
        <v>1390</v>
      </c>
    </row>
    <row r="5105" spans="2:5" ht="15" customHeight="1" thickBot="1" x14ac:dyDescent="0.35">
      <c r="B5105" s="96" t="s">
        <v>7871</v>
      </c>
      <c r="C5105" s="97">
        <v>542836</v>
      </c>
      <c r="D5105" s="96" t="s">
        <v>7872</v>
      </c>
      <c r="E5105" s="96"/>
    </row>
    <row r="5106" spans="2:5" ht="15" customHeight="1" thickBot="1" x14ac:dyDescent="0.35">
      <c r="B5106" s="96" t="s">
        <v>7873</v>
      </c>
      <c r="C5106" s="97">
        <v>542837</v>
      </c>
      <c r="D5106" s="96" t="s">
        <v>7874</v>
      </c>
      <c r="E5106" s="96"/>
    </row>
    <row r="5107" spans="2:5" ht="15" customHeight="1" thickBot="1" x14ac:dyDescent="0.35">
      <c r="B5107" s="96" t="s">
        <v>7875</v>
      </c>
      <c r="C5107" s="97">
        <v>542838</v>
      </c>
      <c r="D5107" s="96" t="s">
        <v>7876</v>
      </c>
      <c r="E5107" s="96"/>
    </row>
    <row r="5108" spans="2:5" ht="15" customHeight="1" thickBot="1" x14ac:dyDescent="0.35">
      <c r="B5108" s="96" t="s">
        <v>7877</v>
      </c>
      <c r="C5108" s="97">
        <v>542839</v>
      </c>
      <c r="D5108" s="96" t="s">
        <v>7878</v>
      </c>
      <c r="E5108" s="96"/>
    </row>
    <row r="5109" spans="2:5" ht="15" customHeight="1" thickBot="1" x14ac:dyDescent="0.35">
      <c r="B5109" s="96" t="s">
        <v>7879</v>
      </c>
      <c r="C5109" s="97">
        <v>542840</v>
      </c>
      <c r="D5109" s="96" t="s">
        <v>7880</v>
      </c>
      <c r="E5109" s="96"/>
    </row>
    <row r="5110" spans="2:5" ht="15" customHeight="1" thickBot="1" x14ac:dyDescent="0.35">
      <c r="B5110" s="96" t="s">
        <v>7881</v>
      </c>
      <c r="C5110" s="97">
        <v>542841</v>
      </c>
      <c r="D5110" s="96" t="s">
        <v>7882</v>
      </c>
      <c r="E5110" s="96"/>
    </row>
    <row r="5111" spans="2:5" ht="15" customHeight="1" thickBot="1" x14ac:dyDescent="0.35">
      <c r="B5111" s="96" t="s">
        <v>7883</v>
      </c>
      <c r="C5111" s="97">
        <v>542842</v>
      </c>
      <c r="D5111" s="96" t="s">
        <v>7884</v>
      </c>
      <c r="E5111" s="96"/>
    </row>
    <row r="5112" spans="2:5" ht="15" customHeight="1" thickBot="1" x14ac:dyDescent="0.35">
      <c r="B5112" s="96" t="s">
        <v>7885</v>
      </c>
      <c r="C5112" s="97">
        <v>542843</v>
      </c>
      <c r="D5112" s="96" t="s">
        <v>7886</v>
      </c>
      <c r="E5112" s="96"/>
    </row>
    <row r="5113" spans="2:5" ht="15" customHeight="1" thickBot="1" x14ac:dyDescent="0.35">
      <c r="B5113" s="96" t="s">
        <v>7887</v>
      </c>
      <c r="C5113" s="97">
        <v>542844</v>
      </c>
      <c r="D5113" s="96" t="s">
        <v>7888</v>
      </c>
      <c r="E5113" s="96"/>
    </row>
    <row r="5114" spans="2:5" ht="15" customHeight="1" thickBot="1" x14ac:dyDescent="0.35">
      <c r="B5114" s="96" t="s">
        <v>7889</v>
      </c>
      <c r="C5114" s="97">
        <v>542845</v>
      </c>
      <c r="D5114" s="96" t="s">
        <v>7890</v>
      </c>
      <c r="E5114" s="96"/>
    </row>
    <row r="5115" spans="2:5" ht="15" customHeight="1" thickBot="1" x14ac:dyDescent="0.35">
      <c r="B5115" s="96" t="s">
        <v>7891</v>
      </c>
      <c r="C5115" s="97">
        <v>542846</v>
      </c>
      <c r="D5115" s="96" t="s">
        <v>7892</v>
      </c>
      <c r="E5115" s="96"/>
    </row>
    <row r="5116" spans="2:5" ht="15" customHeight="1" thickBot="1" x14ac:dyDescent="0.35">
      <c r="B5116" s="96" t="s">
        <v>7893</v>
      </c>
      <c r="C5116" s="97">
        <v>542847</v>
      </c>
      <c r="D5116" s="96" t="s">
        <v>7894</v>
      </c>
      <c r="E5116" s="96"/>
    </row>
    <row r="5117" spans="2:5" ht="15" customHeight="1" thickBot="1" x14ac:dyDescent="0.35">
      <c r="B5117" s="96" t="s">
        <v>7895</v>
      </c>
      <c r="C5117" s="97">
        <v>542848</v>
      </c>
      <c r="D5117" s="96" t="s">
        <v>7896</v>
      </c>
      <c r="E5117" s="96"/>
    </row>
    <row r="5118" spans="2:5" ht="15" customHeight="1" thickBot="1" x14ac:dyDescent="0.35">
      <c r="B5118" s="96" t="s">
        <v>7897</v>
      </c>
      <c r="C5118" s="97">
        <v>542849</v>
      </c>
      <c r="D5118" s="96" t="s">
        <v>7898</v>
      </c>
      <c r="E5118" s="96"/>
    </row>
    <row r="5119" spans="2:5" ht="15" customHeight="1" thickBot="1" x14ac:dyDescent="0.35">
      <c r="B5119" s="96" t="s">
        <v>7899</v>
      </c>
      <c r="C5119" s="97">
        <v>542850</v>
      </c>
      <c r="D5119" s="96" t="s">
        <v>7900</v>
      </c>
      <c r="E5119" s="96" t="s">
        <v>502</v>
      </c>
    </row>
    <row r="5120" spans="2:5" ht="15" customHeight="1" thickBot="1" x14ac:dyDescent="0.35">
      <c r="B5120" s="96" t="s">
        <v>7901</v>
      </c>
      <c r="C5120" s="97">
        <v>542851</v>
      </c>
      <c r="D5120" s="96" t="s">
        <v>7902</v>
      </c>
      <c r="E5120" s="96" t="s">
        <v>472</v>
      </c>
    </row>
    <row r="5121" spans="2:5" ht="15" customHeight="1" thickBot="1" x14ac:dyDescent="0.35">
      <c r="B5121" s="96" t="s">
        <v>7903</v>
      </c>
      <c r="C5121" s="97">
        <v>542852</v>
      </c>
      <c r="D5121" s="96" t="s">
        <v>7904</v>
      </c>
      <c r="E5121" s="96" t="s">
        <v>1087</v>
      </c>
    </row>
    <row r="5122" spans="2:5" ht="15" customHeight="1" thickBot="1" x14ac:dyDescent="0.35">
      <c r="B5122" s="96" t="s">
        <v>7905</v>
      </c>
      <c r="C5122" s="97">
        <v>542857</v>
      </c>
      <c r="D5122" s="96" t="s">
        <v>7906</v>
      </c>
      <c r="E5122" s="96" t="s">
        <v>883</v>
      </c>
    </row>
    <row r="5123" spans="2:5" ht="15" customHeight="1" thickBot="1" x14ac:dyDescent="0.35">
      <c r="B5123" s="96" t="s">
        <v>7907</v>
      </c>
      <c r="C5123" s="97">
        <v>542862</v>
      </c>
      <c r="D5123" s="96" t="s">
        <v>7908</v>
      </c>
      <c r="E5123" s="96" t="s">
        <v>403</v>
      </c>
    </row>
    <row r="5124" spans="2:5" ht="15" customHeight="1" thickBot="1" x14ac:dyDescent="0.35">
      <c r="B5124" s="96" t="s">
        <v>7909</v>
      </c>
      <c r="C5124" s="97">
        <v>542863</v>
      </c>
      <c r="D5124" s="96" t="s">
        <v>7910</v>
      </c>
      <c r="E5124" s="96"/>
    </row>
    <row r="5125" spans="2:5" ht="15" customHeight="1" thickBot="1" x14ac:dyDescent="0.35">
      <c r="B5125" s="96" t="s">
        <v>7911</v>
      </c>
      <c r="C5125" s="97">
        <v>542864</v>
      </c>
      <c r="D5125" s="96" t="s">
        <v>7912</v>
      </c>
      <c r="E5125" s="96" t="s">
        <v>474</v>
      </c>
    </row>
    <row r="5126" spans="2:5" ht="15" customHeight="1" thickBot="1" x14ac:dyDescent="0.35">
      <c r="B5126" s="96" t="s">
        <v>7913</v>
      </c>
      <c r="C5126" s="97">
        <v>542865</v>
      </c>
      <c r="D5126" s="96" t="s">
        <v>7914</v>
      </c>
      <c r="E5126" s="96" t="s">
        <v>583</v>
      </c>
    </row>
    <row r="5127" spans="2:5" ht="15" customHeight="1" thickBot="1" x14ac:dyDescent="0.35">
      <c r="B5127" s="96" t="s">
        <v>7915</v>
      </c>
      <c r="C5127" s="97">
        <v>542866</v>
      </c>
      <c r="D5127" s="96" t="s">
        <v>7916</v>
      </c>
      <c r="E5127" s="96" t="s">
        <v>371</v>
      </c>
    </row>
    <row r="5128" spans="2:5" ht="15" customHeight="1" thickBot="1" x14ac:dyDescent="0.35">
      <c r="B5128" s="96" t="s">
        <v>7917</v>
      </c>
      <c r="C5128" s="97">
        <v>542867</v>
      </c>
      <c r="D5128" s="96" t="s">
        <v>7918</v>
      </c>
      <c r="E5128" s="96" t="s">
        <v>706</v>
      </c>
    </row>
    <row r="5129" spans="2:5" ht="15" customHeight="1" thickBot="1" x14ac:dyDescent="0.35">
      <c r="B5129" s="96" t="s">
        <v>7919</v>
      </c>
      <c r="C5129" s="97">
        <v>542904</v>
      </c>
      <c r="D5129" s="96" t="s">
        <v>7920</v>
      </c>
      <c r="E5129" s="96" t="s">
        <v>706</v>
      </c>
    </row>
    <row r="5130" spans="2:5" ht="15" customHeight="1" thickBot="1" x14ac:dyDescent="0.35">
      <c r="B5130" s="96" t="s">
        <v>7921</v>
      </c>
      <c r="C5130" s="97">
        <v>542905</v>
      </c>
      <c r="D5130" s="96" t="s">
        <v>7922</v>
      </c>
      <c r="E5130" s="96" t="s">
        <v>686</v>
      </c>
    </row>
    <row r="5131" spans="2:5" ht="15" customHeight="1" thickBot="1" x14ac:dyDescent="0.35">
      <c r="B5131" s="96" t="s">
        <v>7923</v>
      </c>
      <c r="C5131" s="97">
        <v>542906</v>
      </c>
      <c r="D5131" s="96" t="s">
        <v>7924</v>
      </c>
      <c r="E5131" s="96" t="s">
        <v>405</v>
      </c>
    </row>
    <row r="5132" spans="2:5" ht="15" customHeight="1" thickBot="1" x14ac:dyDescent="0.35">
      <c r="B5132" s="96" t="s">
        <v>7925</v>
      </c>
      <c r="C5132" s="97">
        <v>542907</v>
      </c>
      <c r="D5132" s="96" t="s">
        <v>7926</v>
      </c>
      <c r="E5132" s="96" t="s">
        <v>508</v>
      </c>
    </row>
    <row r="5133" spans="2:5" ht="15" customHeight="1" thickBot="1" x14ac:dyDescent="0.35">
      <c r="B5133" s="96" t="s">
        <v>7927</v>
      </c>
      <c r="C5133" s="97">
        <v>542910</v>
      </c>
      <c r="D5133" s="96" t="s">
        <v>7928</v>
      </c>
      <c r="E5133" s="96" t="s">
        <v>823</v>
      </c>
    </row>
    <row r="5134" spans="2:5" ht="15" customHeight="1" thickBot="1" x14ac:dyDescent="0.35">
      <c r="B5134" s="96" t="s">
        <v>7929</v>
      </c>
      <c r="C5134" s="97">
        <v>542911</v>
      </c>
      <c r="D5134" s="96" t="s">
        <v>7930</v>
      </c>
      <c r="E5134" s="96" t="s">
        <v>405</v>
      </c>
    </row>
    <row r="5135" spans="2:5" ht="15" customHeight="1" thickBot="1" x14ac:dyDescent="0.35">
      <c r="B5135" s="96" t="s">
        <v>7931</v>
      </c>
      <c r="C5135" s="97">
        <v>542918</v>
      </c>
      <c r="D5135" s="96" t="s">
        <v>7932</v>
      </c>
      <c r="E5135" s="96" t="s">
        <v>577</v>
      </c>
    </row>
    <row r="5136" spans="2:5" ht="15" customHeight="1" thickBot="1" x14ac:dyDescent="0.35">
      <c r="B5136" s="96" t="s">
        <v>7933</v>
      </c>
      <c r="C5136" s="97">
        <v>542919</v>
      </c>
      <c r="D5136" s="96" t="s">
        <v>7934</v>
      </c>
      <c r="E5136" s="96" t="s">
        <v>577</v>
      </c>
    </row>
    <row r="5137" spans="2:5" ht="15" customHeight="1" thickBot="1" x14ac:dyDescent="0.35">
      <c r="B5137" s="96" t="s">
        <v>7935</v>
      </c>
      <c r="C5137" s="97">
        <v>542920</v>
      </c>
      <c r="D5137" s="96" t="s">
        <v>7936</v>
      </c>
      <c r="E5137" s="96" t="s">
        <v>532</v>
      </c>
    </row>
    <row r="5138" spans="2:5" ht="15" customHeight="1" thickBot="1" x14ac:dyDescent="0.35">
      <c r="B5138" s="96" t="s">
        <v>7937</v>
      </c>
      <c r="C5138" s="97">
        <v>542921</v>
      </c>
      <c r="D5138" s="96" t="s">
        <v>7938</v>
      </c>
      <c r="E5138" s="96"/>
    </row>
    <row r="5139" spans="2:5" ht="15" customHeight="1" thickBot="1" x14ac:dyDescent="0.35">
      <c r="B5139" s="96" t="s">
        <v>7939</v>
      </c>
      <c r="C5139" s="97">
        <v>542922</v>
      </c>
      <c r="D5139" s="96" t="s">
        <v>7940</v>
      </c>
      <c r="E5139" s="96"/>
    </row>
    <row r="5140" spans="2:5" ht="15" customHeight="1" thickBot="1" x14ac:dyDescent="0.35">
      <c r="B5140" s="96" t="s">
        <v>7941</v>
      </c>
      <c r="C5140" s="97">
        <v>542923</v>
      </c>
      <c r="D5140" s="96" t="s">
        <v>7942</v>
      </c>
      <c r="E5140" s="96" t="s">
        <v>374</v>
      </c>
    </row>
    <row r="5141" spans="2:5" ht="15" customHeight="1" thickBot="1" x14ac:dyDescent="0.35">
      <c r="B5141" s="96" t="s">
        <v>7943</v>
      </c>
      <c r="C5141" s="97">
        <v>542924</v>
      </c>
      <c r="D5141" s="96" t="s">
        <v>7944</v>
      </c>
      <c r="E5141" s="96" t="s">
        <v>377</v>
      </c>
    </row>
    <row r="5142" spans="2:5" ht="15" customHeight="1" thickBot="1" x14ac:dyDescent="0.35">
      <c r="B5142" s="96" t="s">
        <v>7945</v>
      </c>
      <c r="C5142" s="97">
        <v>542931</v>
      </c>
      <c r="D5142" s="96" t="s">
        <v>7946</v>
      </c>
      <c r="E5142" s="96" t="s">
        <v>405</v>
      </c>
    </row>
    <row r="5143" spans="2:5" ht="15" customHeight="1" thickBot="1" x14ac:dyDescent="0.35">
      <c r="B5143" s="96" t="s">
        <v>7947</v>
      </c>
      <c r="C5143" s="97">
        <v>542932</v>
      </c>
      <c r="D5143" s="96" t="s">
        <v>7948</v>
      </c>
      <c r="E5143" s="96" t="s">
        <v>868</v>
      </c>
    </row>
    <row r="5144" spans="2:5" ht="15" customHeight="1" thickBot="1" x14ac:dyDescent="0.35">
      <c r="B5144" s="96" t="s">
        <v>7949</v>
      </c>
      <c r="C5144" s="97">
        <v>542933</v>
      </c>
      <c r="D5144" s="96" t="s">
        <v>7950</v>
      </c>
      <c r="E5144" s="96" t="s">
        <v>1626</v>
      </c>
    </row>
    <row r="5145" spans="2:5" ht="15" customHeight="1" thickBot="1" x14ac:dyDescent="0.35">
      <c r="B5145" s="96" t="s">
        <v>7951</v>
      </c>
      <c r="C5145" s="97">
        <v>542934</v>
      </c>
      <c r="D5145" s="96" t="s">
        <v>7952</v>
      </c>
      <c r="E5145" s="96" t="s">
        <v>426</v>
      </c>
    </row>
    <row r="5146" spans="2:5" ht="15" customHeight="1" thickBot="1" x14ac:dyDescent="0.35">
      <c r="B5146" s="96" t="s">
        <v>7953</v>
      </c>
      <c r="C5146" s="97">
        <v>542935</v>
      </c>
      <c r="D5146" s="96" t="s">
        <v>7954</v>
      </c>
      <c r="E5146" s="96" t="s">
        <v>448</v>
      </c>
    </row>
    <row r="5147" spans="2:5" ht="15" customHeight="1" thickBot="1" x14ac:dyDescent="0.35">
      <c r="B5147" s="96" t="s">
        <v>7955</v>
      </c>
      <c r="C5147" s="97">
        <v>542938</v>
      </c>
      <c r="D5147" s="96" t="s">
        <v>7956</v>
      </c>
      <c r="E5147" s="96" t="s">
        <v>795</v>
      </c>
    </row>
    <row r="5148" spans="2:5" ht="15" customHeight="1" thickBot="1" x14ac:dyDescent="0.35">
      <c r="B5148" s="96" t="s">
        <v>7957</v>
      </c>
      <c r="C5148" s="97">
        <v>543064</v>
      </c>
      <c r="D5148" s="96" t="s">
        <v>7958</v>
      </c>
      <c r="E5148" s="96" t="s">
        <v>426</v>
      </c>
    </row>
    <row r="5149" spans="2:5" ht="15" customHeight="1" thickBot="1" x14ac:dyDescent="0.35">
      <c r="B5149" s="96" t="s">
        <v>7959</v>
      </c>
      <c r="C5149" s="97">
        <v>543065</v>
      </c>
      <c r="D5149" s="96" t="s">
        <v>7960</v>
      </c>
      <c r="E5149" s="96" t="s">
        <v>573</v>
      </c>
    </row>
    <row r="5150" spans="2:5" ht="15" customHeight="1" thickBot="1" x14ac:dyDescent="0.35">
      <c r="B5150" s="96" t="s">
        <v>7961</v>
      </c>
      <c r="C5150" s="97">
        <v>543066</v>
      </c>
      <c r="D5150" s="96" t="s">
        <v>7962</v>
      </c>
      <c r="E5150" s="96" t="s">
        <v>405</v>
      </c>
    </row>
    <row r="5151" spans="2:5" ht="15" customHeight="1" thickBot="1" x14ac:dyDescent="0.35">
      <c r="B5151" s="96" t="s">
        <v>7963</v>
      </c>
      <c r="C5151" s="97">
        <v>543144</v>
      </c>
      <c r="D5151" s="96" t="s">
        <v>7964</v>
      </c>
      <c r="E5151" s="96"/>
    </row>
    <row r="5152" spans="2:5" ht="15" customHeight="1" thickBot="1" x14ac:dyDescent="0.35">
      <c r="B5152" s="96" t="s">
        <v>7965</v>
      </c>
      <c r="C5152" s="97">
        <v>543145</v>
      </c>
      <c r="D5152" s="96" t="s">
        <v>7966</v>
      </c>
      <c r="E5152" s="96"/>
    </row>
    <row r="5153" spans="2:5" ht="15" customHeight="1" thickBot="1" x14ac:dyDescent="0.35">
      <c r="B5153" s="96" t="s">
        <v>7963</v>
      </c>
      <c r="C5153" s="97">
        <v>543146</v>
      </c>
      <c r="D5153" s="96" t="s">
        <v>7967</v>
      </c>
      <c r="E5153" s="96"/>
    </row>
    <row r="5154" spans="2:5" ht="15" customHeight="1" thickBot="1" x14ac:dyDescent="0.35">
      <c r="B5154" s="96" t="s">
        <v>7968</v>
      </c>
      <c r="C5154" s="97">
        <v>543147</v>
      </c>
      <c r="D5154" s="96" t="s">
        <v>7969</v>
      </c>
      <c r="E5154" s="96"/>
    </row>
    <row r="5155" spans="2:5" ht="15" customHeight="1" thickBot="1" x14ac:dyDescent="0.35">
      <c r="B5155" s="96" t="s">
        <v>7968</v>
      </c>
      <c r="C5155" s="97">
        <v>543148</v>
      </c>
      <c r="D5155" s="96" t="s">
        <v>7970</v>
      </c>
      <c r="E5155" s="96"/>
    </row>
    <row r="5156" spans="2:5" ht="15" customHeight="1" thickBot="1" x14ac:dyDescent="0.35">
      <c r="B5156" s="96" t="s">
        <v>7971</v>
      </c>
      <c r="C5156" s="97">
        <v>543149</v>
      </c>
      <c r="D5156" s="96" t="s">
        <v>7972</v>
      </c>
      <c r="E5156" s="96"/>
    </row>
    <row r="5157" spans="2:5" ht="15" customHeight="1" thickBot="1" x14ac:dyDescent="0.35">
      <c r="B5157" s="96" t="s">
        <v>7973</v>
      </c>
      <c r="C5157" s="97">
        <v>543150</v>
      </c>
      <c r="D5157" s="96" t="s">
        <v>7974</v>
      </c>
      <c r="E5157" s="96"/>
    </row>
    <row r="5158" spans="2:5" ht="15" customHeight="1" thickBot="1" x14ac:dyDescent="0.35">
      <c r="B5158" s="96" t="s">
        <v>7975</v>
      </c>
      <c r="C5158" s="97">
        <v>543151</v>
      </c>
      <c r="D5158" s="96" t="s">
        <v>7976</v>
      </c>
      <c r="E5158" s="96"/>
    </row>
    <row r="5159" spans="2:5" ht="15" customHeight="1" thickBot="1" x14ac:dyDescent="0.35">
      <c r="B5159" s="96" t="s">
        <v>7977</v>
      </c>
      <c r="C5159" s="97">
        <v>543152</v>
      </c>
      <c r="D5159" s="96" t="s">
        <v>7978</v>
      </c>
      <c r="E5159" s="96"/>
    </row>
    <row r="5160" spans="2:5" ht="15" customHeight="1" thickBot="1" x14ac:dyDescent="0.35">
      <c r="B5160" s="96" t="s">
        <v>7979</v>
      </c>
      <c r="C5160" s="97">
        <v>543153</v>
      </c>
      <c r="D5160" s="96" t="s">
        <v>7980</v>
      </c>
      <c r="E5160" s="96"/>
    </row>
    <row r="5161" spans="2:5" ht="15" customHeight="1" thickBot="1" x14ac:dyDescent="0.35">
      <c r="B5161" s="96" t="s">
        <v>7977</v>
      </c>
      <c r="C5161" s="97">
        <v>543154</v>
      </c>
      <c r="D5161" s="96" t="s">
        <v>7981</v>
      </c>
      <c r="E5161" s="96"/>
    </row>
    <row r="5162" spans="2:5" ht="15" customHeight="1" thickBot="1" x14ac:dyDescent="0.35">
      <c r="B5162" s="96" t="s">
        <v>7982</v>
      </c>
      <c r="C5162" s="97">
        <v>543155</v>
      </c>
      <c r="D5162" s="96" t="s">
        <v>7983</v>
      </c>
      <c r="E5162" s="96"/>
    </row>
    <row r="5163" spans="2:5" ht="15" customHeight="1" thickBot="1" x14ac:dyDescent="0.35">
      <c r="B5163" s="96" t="s">
        <v>7984</v>
      </c>
      <c r="C5163" s="97">
        <v>543156</v>
      </c>
      <c r="D5163" s="96" t="s">
        <v>7985</v>
      </c>
      <c r="E5163" s="96"/>
    </row>
    <row r="5164" spans="2:5" ht="15" customHeight="1" thickBot="1" x14ac:dyDescent="0.35">
      <c r="B5164" s="96" t="s">
        <v>7982</v>
      </c>
      <c r="C5164" s="97">
        <v>543168</v>
      </c>
      <c r="D5164" s="96" t="s">
        <v>7986</v>
      </c>
      <c r="E5164" s="96"/>
    </row>
    <row r="5165" spans="2:5" ht="15" customHeight="1" thickBot="1" x14ac:dyDescent="0.35">
      <c r="B5165" s="96" t="s">
        <v>7984</v>
      </c>
      <c r="C5165" s="97">
        <v>543169</v>
      </c>
      <c r="D5165" s="96" t="s">
        <v>7987</v>
      </c>
      <c r="E5165" s="96"/>
    </row>
    <row r="5166" spans="2:5" ht="15" customHeight="1" thickBot="1" x14ac:dyDescent="0.35">
      <c r="B5166" s="96" t="s">
        <v>7965</v>
      </c>
      <c r="C5166" s="97">
        <v>543170</v>
      </c>
      <c r="D5166" s="96" t="s">
        <v>7988</v>
      </c>
      <c r="E5166" s="96"/>
    </row>
    <row r="5167" spans="2:5" ht="15" customHeight="1" thickBot="1" x14ac:dyDescent="0.35">
      <c r="B5167" s="96" t="s">
        <v>7989</v>
      </c>
      <c r="C5167" s="97">
        <v>543171</v>
      </c>
      <c r="D5167" s="96" t="s">
        <v>7990</v>
      </c>
      <c r="E5167" s="96" t="s">
        <v>502</v>
      </c>
    </row>
    <row r="5168" spans="2:5" ht="15" customHeight="1" thickBot="1" x14ac:dyDescent="0.35">
      <c r="B5168" s="96" t="s">
        <v>7991</v>
      </c>
      <c r="C5168" s="97">
        <v>543172</v>
      </c>
      <c r="D5168" s="96" t="s">
        <v>7992</v>
      </c>
      <c r="E5168" s="96" t="s">
        <v>396</v>
      </c>
    </row>
    <row r="5169" spans="2:5" ht="15" customHeight="1" thickBot="1" x14ac:dyDescent="0.35">
      <c r="B5169" s="96" t="s">
        <v>7993</v>
      </c>
      <c r="C5169" s="97">
        <v>543173</v>
      </c>
      <c r="D5169" s="96" t="s">
        <v>7994</v>
      </c>
      <c r="E5169" s="96"/>
    </row>
    <row r="5170" spans="2:5" ht="15" customHeight="1" thickBot="1" x14ac:dyDescent="0.35">
      <c r="B5170" s="96" t="s">
        <v>7995</v>
      </c>
      <c r="C5170" s="97">
        <v>543174</v>
      </c>
      <c r="D5170" s="96" t="s">
        <v>7996</v>
      </c>
      <c r="E5170" s="96"/>
    </row>
    <row r="5171" spans="2:5" ht="15" customHeight="1" thickBot="1" x14ac:dyDescent="0.35">
      <c r="B5171" s="96" t="s">
        <v>7997</v>
      </c>
      <c r="C5171" s="97">
        <v>543175</v>
      </c>
      <c r="D5171" s="96" t="s">
        <v>7998</v>
      </c>
      <c r="E5171" s="96"/>
    </row>
    <row r="5172" spans="2:5" ht="15" customHeight="1" thickBot="1" x14ac:dyDescent="0.35">
      <c r="B5172" s="96" t="s">
        <v>7999</v>
      </c>
      <c r="C5172" s="97">
        <v>543176</v>
      </c>
      <c r="D5172" s="96" t="s">
        <v>8000</v>
      </c>
      <c r="E5172" s="96"/>
    </row>
    <row r="5173" spans="2:5" ht="15" customHeight="1" thickBot="1" x14ac:dyDescent="0.35">
      <c r="B5173" s="96" t="s">
        <v>8001</v>
      </c>
      <c r="C5173" s="97">
        <v>543177</v>
      </c>
      <c r="D5173" s="96" t="s">
        <v>8002</v>
      </c>
      <c r="E5173" s="96"/>
    </row>
    <row r="5174" spans="2:5" ht="15" customHeight="1" thickBot="1" x14ac:dyDescent="0.35">
      <c r="B5174" s="96" t="s">
        <v>8003</v>
      </c>
      <c r="C5174" s="97">
        <v>543178</v>
      </c>
      <c r="D5174" s="96" t="s">
        <v>8004</v>
      </c>
      <c r="E5174" s="96"/>
    </row>
    <row r="5175" spans="2:5" ht="15" customHeight="1" thickBot="1" x14ac:dyDescent="0.35">
      <c r="B5175" s="96" t="s">
        <v>8005</v>
      </c>
      <c r="C5175" s="97">
        <v>543179</v>
      </c>
      <c r="D5175" s="96" t="s">
        <v>8006</v>
      </c>
      <c r="E5175" s="96"/>
    </row>
    <row r="5176" spans="2:5" ht="15" customHeight="1" thickBot="1" x14ac:dyDescent="0.35">
      <c r="B5176" s="96" t="s">
        <v>8007</v>
      </c>
      <c r="C5176" s="97">
        <v>543180</v>
      </c>
      <c r="D5176" s="96" t="s">
        <v>8008</v>
      </c>
      <c r="E5176" s="96"/>
    </row>
    <row r="5177" spans="2:5" ht="15" customHeight="1" thickBot="1" x14ac:dyDescent="0.35">
      <c r="B5177" s="96" t="s">
        <v>8009</v>
      </c>
      <c r="C5177" s="97">
        <v>543181</v>
      </c>
      <c r="D5177" s="96" t="s">
        <v>8010</v>
      </c>
      <c r="E5177" s="96"/>
    </row>
    <row r="5178" spans="2:5" ht="15" customHeight="1" thickBot="1" x14ac:dyDescent="0.35">
      <c r="B5178" s="96" t="s">
        <v>8011</v>
      </c>
      <c r="C5178" s="97">
        <v>543182</v>
      </c>
      <c r="D5178" s="96" t="s">
        <v>8012</v>
      </c>
      <c r="E5178" s="96"/>
    </row>
    <row r="5179" spans="2:5" ht="15" customHeight="1" thickBot="1" x14ac:dyDescent="0.35">
      <c r="B5179" s="96" t="s">
        <v>8013</v>
      </c>
      <c r="C5179" s="97">
        <v>543183</v>
      </c>
      <c r="D5179" s="96" t="s">
        <v>8014</v>
      </c>
      <c r="E5179" s="96"/>
    </row>
    <row r="5180" spans="2:5" ht="15" customHeight="1" thickBot="1" x14ac:dyDescent="0.35">
      <c r="B5180" s="96" t="s">
        <v>8015</v>
      </c>
      <c r="C5180" s="97">
        <v>543184</v>
      </c>
      <c r="D5180" s="96" t="s">
        <v>8016</v>
      </c>
      <c r="E5180" s="96"/>
    </row>
    <row r="5181" spans="2:5" ht="15" customHeight="1" thickBot="1" x14ac:dyDescent="0.35">
      <c r="B5181" s="96" t="s">
        <v>8017</v>
      </c>
      <c r="C5181" s="97">
        <v>543185</v>
      </c>
      <c r="D5181" s="96" t="s">
        <v>8018</v>
      </c>
      <c r="E5181" s="96"/>
    </row>
    <row r="5182" spans="2:5" ht="15" customHeight="1" thickBot="1" x14ac:dyDescent="0.35">
      <c r="B5182" s="96" t="s">
        <v>8019</v>
      </c>
      <c r="C5182" s="97">
        <v>543186</v>
      </c>
      <c r="D5182" s="96" t="s">
        <v>8020</v>
      </c>
      <c r="E5182" s="96"/>
    </row>
    <row r="5183" spans="2:5" ht="15" customHeight="1" thickBot="1" x14ac:dyDescent="0.35">
      <c r="B5183" s="96" t="s">
        <v>8021</v>
      </c>
      <c r="C5183" s="97">
        <v>543187</v>
      </c>
      <c r="D5183" s="96" t="s">
        <v>8022</v>
      </c>
      <c r="E5183" s="96" t="s">
        <v>431</v>
      </c>
    </row>
    <row r="5184" spans="2:5" ht="15" customHeight="1" thickBot="1" x14ac:dyDescent="0.35">
      <c r="B5184" s="96" t="s">
        <v>8023</v>
      </c>
      <c r="C5184" s="97">
        <v>543193</v>
      </c>
      <c r="D5184" s="96" t="s">
        <v>8024</v>
      </c>
      <c r="E5184" s="96" t="s">
        <v>709</v>
      </c>
    </row>
    <row r="5185" spans="2:5" ht="15" customHeight="1" thickBot="1" x14ac:dyDescent="0.35">
      <c r="B5185" s="96" t="s">
        <v>8025</v>
      </c>
      <c r="C5185" s="97">
        <v>543194</v>
      </c>
      <c r="D5185" s="96" t="s">
        <v>8026</v>
      </c>
      <c r="E5185" s="96" t="s">
        <v>7342</v>
      </c>
    </row>
    <row r="5186" spans="2:5" ht="15" customHeight="1" thickBot="1" x14ac:dyDescent="0.35">
      <c r="B5186" s="96" t="s">
        <v>8027</v>
      </c>
      <c r="C5186" s="97">
        <v>543207</v>
      </c>
      <c r="D5186" s="96" t="s">
        <v>8028</v>
      </c>
      <c r="E5186" s="96" t="s">
        <v>532</v>
      </c>
    </row>
    <row r="5187" spans="2:5" ht="15" customHeight="1" thickBot="1" x14ac:dyDescent="0.35">
      <c r="B5187" s="96" t="s">
        <v>8029</v>
      </c>
      <c r="C5187" s="97">
        <v>543208</v>
      </c>
      <c r="D5187" s="96" t="s">
        <v>8030</v>
      </c>
      <c r="E5187" s="96" t="s">
        <v>405</v>
      </c>
    </row>
    <row r="5188" spans="2:5" ht="15" customHeight="1" thickBot="1" x14ac:dyDescent="0.35">
      <c r="B5188" s="96" t="s">
        <v>8031</v>
      </c>
      <c r="C5188" s="97">
        <v>543209</v>
      </c>
      <c r="D5188" s="96" t="s">
        <v>8032</v>
      </c>
      <c r="E5188" s="96" t="s">
        <v>377</v>
      </c>
    </row>
    <row r="5189" spans="2:5" ht="15" customHeight="1" thickBot="1" x14ac:dyDescent="0.35">
      <c r="B5189" s="96" t="s">
        <v>8033</v>
      </c>
      <c r="C5189" s="97">
        <v>543210</v>
      </c>
      <c r="D5189" s="96" t="s">
        <v>8034</v>
      </c>
      <c r="E5189" s="96" t="s">
        <v>548</v>
      </c>
    </row>
    <row r="5190" spans="2:5" ht="15" customHeight="1" thickBot="1" x14ac:dyDescent="0.35">
      <c r="B5190" s="96" t="s">
        <v>8035</v>
      </c>
      <c r="C5190" s="97">
        <v>543211</v>
      </c>
      <c r="D5190" s="96" t="s">
        <v>8036</v>
      </c>
      <c r="E5190" s="96" t="s">
        <v>1307</v>
      </c>
    </row>
    <row r="5191" spans="2:5" ht="15" customHeight="1" thickBot="1" x14ac:dyDescent="0.35">
      <c r="B5191" s="96" t="s">
        <v>8037</v>
      </c>
      <c r="C5191" s="97">
        <v>543212</v>
      </c>
      <c r="D5191" s="96" t="s">
        <v>8038</v>
      </c>
      <c r="E5191" s="96" t="s">
        <v>1433</v>
      </c>
    </row>
    <row r="5192" spans="2:5" ht="15" customHeight="1" thickBot="1" x14ac:dyDescent="0.35">
      <c r="B5192" s="96" t="s">
        <v>8039</v>
      </c>
      <c r="C5192" s="97">
        <v>543213</v>
      </c>
      <c r="D5192" s="96" t="s">
        <v>8040</v>
      </c>
      <c r="E5192" s="96" t="s">
        <v>548</v>
      </c>
    </row>
    <row r="5193" spans="2:5" ht="15" customHeight="1" thickBot="1" x14ac:dyDescent="0.35">
      <c r="B5193" s="96" t="s">
        <v>8041</v>
      </c>
      <c r="C5193" s="97">
        <v>543214</v>
      </c>
      <c r="D5193" s="96" t="s">
        <v>8042</v>
      </c>
      <c r="E5193" s="96" t="s">
        <v>743</v>
      </c>
    </row>
    <row r="5194" spans="2:5" ht="15" customHeight="1" thickBot="1" x14ac:dyDescent="0.35">
      <c r="B5194" s="96" t="s">
        <v>8043</v>
      </c>
      <c r="C5194" s="97">
        <v>543217</v>
      </c>
      <c r="D5194" s="96" t="s">
        <v>8044</v>
      </c>
      <c r="E5194" s="96"/>
    </row>
    <row r="5195" spans="2:5" ht="15" customHeight="1" thickBot="1" x14ac:dyDescent="0.35">
      <c r="B5195" s="96" t="s">
        <v>8045</v>
      </c>
      <c r="C5195" s="97">
        <v>543218</v>
      </c>
      <c r="D5195" s="96" t="s">
        <v>8046</v>
      </c>
      <c r="E5195" s="96" t="s">
        <v>474</v>
      </c>
    </row>
    <row r="5196" spans="2:5" ht="15" customHeight="1" thickBot="1" x14ac:dyDescent="0.35">
      <c r="B5196" s="96" t="s">
        <v>8047</v>
      </c>
      <c r="C5196" s="97">
        <v>543219</v>
      </c>
      <c r="D5196" s="96" t="s">
        <v>8048</v>
      </c>
      <c r="E5196" s="96"/>
    </row>
    <row r="5197" spans="2:5" ht="15" customHeight="1" thickBot="1" x14ac:dyDescent="0.35">
      <c r="B5197" s="96" t="s">
        <v>8049</v>
      </c>
      <c r="C5197" s="97">
        <v>543220</v>
      </c>
      <c r="D5197" s="96" t="s">
        <v>8050</v>
      </c>
      <c r="E5197" s="96" t="s">
        <v>858</v>
      </c>
    </row>
    <row r="5198" spans="2:5" ht="15" customHeight="1" thickBot="1" x14ac:dyDescent="0.35">
      <c r="B5198" s="96" t="s">
        <v>8051</v>
      </c>
      <c r="C5198" s="97">
        <v>543221</v>
      </c>
      <c r="D5198" s="96" t="s">
        <v>8052</v>
      </c>
      <c r="E5198" s="96"/>
    </row>
    <row r="5199" spans="2:5" ht="15" customHeight="1" thickBot="1" x14ac:dyDescent="0.35">
      <c r="B5199" s="96" t="s">
        <v>8053</v>
      </c>
      <c r="C5199" s="97">
        <v>543222</v>
      </c>
      <c r="D5199" s="96" t="s">
        <v>8054</v>
      </c>
      <c r="E5199" s="96" t="s">
        <v>511</v>
      </c>
    </row>
    <row r="5200" spans="2:5" ht="15" customHeight="1" thickBot="1" x14ac:dyDescent="0.35">
      <c r="B5200" s="96" t="s">
        <v>8055</v>
      </c>
      <c r="C5200" s="97">
        <v>543223</v>
      </c>
      <c r="D5200" s="96" t="s">
        <v>4107</v>
      </c>
      <c r="E5200" s="96" t="s">
        <v>554</v>
      </c>
    </row>
    <row r="5201" spans="2:5" ht="15" customHeight="1" thickBot="1" x14ac:dyDescent="0.35">
      <c r="B5201" s="96" t="s">
        <v>8056</v>
      </c>
      <c r="C5201" s="97">
        <v>543224</v>
      </c>
      <c r="D5201" s="96" t="s">
        <v>8057</v>
      </c>
      <c r="E5201" s="96"/>
    </row>
    <row r="5202" spans="2:5" ht="15" customHeight="1" thickBot="1" x14ac:dyDescent="0.35">
      <c r="B5202" s="96" t="s">
        <v>8058</v>
      </c>
      <c r="C5202" s="97">
        <v>543225</v>
      </c>
      <c r="D5202" s="96" t="s">
        <v>8059</v>
      </c>
      <c r="E5202" s="96"/>
    </row>
    <row r="5203" spans="2:5" ht="15" customHeight="1" thickBot="1" x14ac:dyDescent="0.35">
      <c r="B5203" s="96" t="s">
        <v>8060</v>
      </c>
      <c r="C5203" s="97">
        <v>543226</v>
      </c>
      <c r="D5203" s="96" t="s">
        <v>8061</v>
      </c>
      <c r="E5203" s="96"/>
    </row>
    <row r="5204" spans="2:5" ht="15" customHeight="1" thickBot="1" x14ac:dyDescent="0.35">
      <c r="B5204" s="96" t="s">
        <v>8062</v>
      </c>
      <c r="C5204" s="97">
        <v>543227</v>
      </c>
      <c r="D5204" s="96" t="s">
        <v>8063</v>
      </c>
      <c r="E5204" s="96" t="s">
        <v>374</v>
      </c>
    </row>
    <row r="5205" spans="2:5" ht="15" customHeight="1" thickBot="1" x14ac:dyDescent="0.35">
      <c r="B5205" s="96" t="s">
        <v>8064</v>
      </c>
      <c r="C5205" s="97">
        <v>543228</v>
      </c>
      <c r="D5205" s="96" t="s">
        <v>8065</v>
      </c>
      <c r="E5205" s="96" t="s">
        <v>394</v>
      </c>
    </row>
    <row r="5206" spans="2:5" ht="15" customHeight="1" thickBot="1" x14ac:dyDescent="0.35">
      <c r="B5206" s="96" t="s">
        <v>8066</v>
      </c>
      <c r="C5206" s="97">
        <v>543230</v>
      </c>
      <c r="D5206" s="96" t="s">
        <v>8067</v>
      </c>
      <c r="E5206" s="96" t="s">
        <v>686</v>
      </c>
    </row>
    <row r="5207" spans="2:5" ht="15" customHeight="1" thickBot="1" x14ac:dyDescent="0.35">
      <c r="B5207" s="96" t="s">
        <v>8068</v>
      </c>
      <c r="C5207" s="97">
        <v>543231</v>
      </c>
      <c r="D5207" s="96" t="s">
        <v>8069</v>
      </c>
      <c r="E5207" s="96" t="s">
        <v>883</v>
      </c>
    </row>
    <row r="5208" spans="2:5" ht="15" customHeight="1" thickBot="1" x14ac:dyDescent="0.35">
      <c r="B5208" s="96" t="s">
        <v>8070</v>
      </c>
      <c r="C5208" s="97">
        <v>543232</v>
      </c>
      <c r="D5208" s="96" t="s">
        <v>8071</v>
      </c>
      <c r="E5208" s="96" t="s">
        <v>371</v>
      </c>
    </row>
    <row r="5209" spans="2:5" ht="15" customHeight="1" thickBot="1" x14ac:dyDescent="0.35">
      <c r="B5209" s="96" t="s">
        <v>8072</v>
      </c>
      <c r="C5209" s="97">
        <v>543233</v>
      </c>
      <c r="D5209" s="96" t="s">
        <v>8073</v>
      </c>
      <c r="E5209" s="96" t="s">
        <v>548</v>
      </c>
    </row>
    <row r="5210" spans="2:5" ht="15" customHeight="1" thickBot="1" x14ac:dyDescent="0.35">
      <c r="B5210" s="96" t="s">
        <v>8074</v>
      </c>
      <c r="C5210" s="97">
        <v>543234</v>
      </c>
      <c r="D5210" s="96" t="s">
        <v>8075</v>
      </c>
      <c r="E5210" s="96" t="s">
        <v>374</v>
      </c>
    </row>
    <row r="5211" spans="2:5" ht="15" customHeight="1" thickBot="1" x14ac:dyDescent="0.35">
      <c r="B5211" s="96" t="s">
        <v>8076</v>
      </c>
      <c r="C5211" s="97">
        <v>543235</v>
      </c>
      <c r="D5211" s="96" t="s">
        <v>8077</v>
      </c>
      <c r="E5211" s="96" t="s">
        <v>371</v>
      </c>
    </row>
    <row r="5212" spans="2:5" ht="15" customHeight="1" thickBot="1" x14ac:dyDescent="0.35">
      <c r="B5212" s="96" t="s">
        <v>8078</v>
      </c>
      <c r="C5212" s="97">
        <v>543236</v>
      </c>
      <c r="D5212" s="96" t="s">
        <v>8079</v>
      </c>
      <c r="E5212" s="96" t="s">
        <v>396</v>
      </c>
    </row>
    <row r="5213" spans="2:5" ht="15" customHeight="1" thickBot="1" x14ac:dyDescent="0.35">
      <c r="B5213" s="96" t="s">
        <v>8080</v>
      </c>
      <c r="C5213" s="97">
        <v>543237</v>
      </c>
      <c r="D5213" s="96" t="s">
        <v>8081</v>
      </c>
      <c r="E5213" s="96" t="s">
        <v>861</v>
      </c>
    </row>
    <row r="5214" spans="2:5" ht="15" customHeight="1" thickBot="1" x14ac:dyDescent="0.35">
      <c r="B5214" s="96" t="s">
        <v>8082</v>
      </c>
      <c r="C5214" s="97">
        <v>543238</v>
      </c>
      <c r="D5214" s="96" t="s">
        <v>8083</v>
      </c>
      <c r="E5214" s="96" t="s">
        <v>2793</v>
      </c>
    </row>
    <row r="5215" spans="2:5" ht="15" customHeight="1" thickBot="1" x14ac:dyDescent="0.35">
      <c r="B5215" s="96" t="s">
        <v>8084</v>
      </c>
      <c r="C5215" s="97">
        <v>543239</v>
      </c>
      <c r="D5215" s="96" t="s">
        <v>8085</v>
      </c>
      <c r="E5215" s="96" t="s">
        <v>508</v>
      </c>
    </row>
    <row r="5216" spans="2:5" ht="15" customHeight="1" thickBot="1" x14ac:dyDescent="0.35">
      <c r="B5216" s="96" t="s">
        <v>8086</v>
      </c>
      <c r="C5216" s="97">
        <v>543240</v>
      </c>
      <c r="D5216" s="96" t="s">
        <v>8087</v>
      </c>
      <c r="E5216" s="96" t="s">
        <v>786</v>
      </c>
    </row>
    <row r="5217" spans="2:5" ht="15" customHeight="1" thickBot="1" x14ac:dyDescent="0.35">
      <c r="B5217" s="96" t="s">
        <v>8088</v>
      </c>
      <c r="C5217" s="97">
        <v>543241</v>
      </c>
      <c r="D5217" s="96" t="s">
        <v>8089</v>
      </c>
      <c r="E5217" s="96" t="s">
        <v>474</v>
      </c>
    </row>
    <row r="5218" spans="2:5" ht="15" customHeight="1" thickBot="1" x14ac:dyDescent="0.35">
      <c r="B5218" s="96" t="s">
        <v>8090</v>
      </c>
      <c r="C5218" s="97">
        <v>543242</v>
      </c>
      <c r="D5218" s="96" t="s">
        <v>8091</v>
      </c>
      <c r="E5218" s="96" t="s">
        <v>474</v>
      </c>
    </row>
    <row r="5219" spans="2:5" ht="15" customHeight="1" thickBot="1" x14ac:dyDescent="0.35">
      <c r="B5219" s="96" t="s">
        <v>8092</v>
      </c>
      <c r="C5219" s="97">
        <v>543243</v>
      </c>
      <c r="D5219" s="96" t="s">
        <v>8093</v>
      </c>
      <c r="E5219" s="96" t="s">
        <v>706</v>
      </c>
    </row>
    <row r="5220" spans="2:5" ht="15" customHeight="1" thickBot="1" x14ac:dyDescent="0.35">
      <c r="B5220" s="96" t="s">
        <v>8094</v>
      </c>
      <c r="C5220" s="97">
        <v>543244</v>
      </c>
      <c r="D5220" s="96" t="s">
        <v>8095</v>
      </c>
      <c r="E5220" s="96" t="s">
        <v>403</v>
      </c>
    </row>
    <row r="5221" spans="2:5" ht="15" customHeight="1" thickBot="1" x14ac:dyDescent="0.35">
      <c r="B5221" s="96" t="s">
        <v>8096</v>
      </c>
      <c r="C5221" s="97">
        <v>500270</v>
      </c>
      <c r="D5221" s="96" t="s">
        <v>8097</v>
      </c>
      <c r="E5221" s="96" t="s">
        <v>8098</v>
      </c>
    </row>
    <row r="5222" spans="2:5" ht="15" customHeight="1" thickBot="1" x14ac:dyDescent="0.35">
      <c r="B5222" s="96" t="s">
        <v>8099</v>
      </c>
      <c r="C5222" s="97">
        <v>503685</v>
      </c>
      <c r="D5222" s="96" t="s">
        <v>8100</v>
      </c>
      <c r="E5222" s="96" t="s">
        <v>8101</v>
      </c>
    </row>
    <row r="5223" spans="2:5" ht="15" customHeight="1" thickBot="1" x14ac:dyDescent="0.35">
      <c r="B5223" s="96" t="s">
        <v>8102</v>
      </c>
      <c r="C5223" s="97">
        <v>505100</v>
      </c>
      <c r="D5223" s="96" t="s">
        <v>8103</v>
      </c>
      <c r="E5223" s="96" t="s">
        <v>8104</v>
      </c>
    </row>
    <row r="5224" spans="2:5" ht="15" customHeight="1" thickBot="1" x14ac:dyDescent="0.35">
      <c r="B5224" s="96" t="s">
        <v>8105</v>
      </c>
      <c r="C5224" s="97">
        <v>506580</v>
      </c>
      <c r="D5224" s="96" t="s">
        <v>8106</v>
      </c>
      <c r="E5224" s="96" t="s">
        <v>8107</v>
      </c>
    </row>
    <row r="5225" spans="2:5" ht="15" customHeight="1" thickBot="1" x14ac:dyDescent="0.35">
      <c r="B5225" s="96" t="s">
        <v>8108</v>
      </c>
      <c r="C5225" s="97">
        <v>509069</v>
      </c>
      <c r="D5225" s="96" t="s">
        <v>8109</v>
      </c>
      <c r="E5225" s="96" t="s">
        <v>8110</v>
      </c>
    </row>
    <row r="5226" spans="2:5" ht="15" customHeight="1" thickBot="1" x14ac:dyDescent="0.35">
      <c r="B5226" s="96" t="s">
        <v>8111</v>
      </c>
      <c r="C5226" s="97">
        <v>509960</v>
      </c>
      <c r="D5226" s="96" t="s">
        <v>8112</v>
      </c>
      <c r="E5226" s="96" t="s">
        <v>8113</v>
      </c>
    </row>
    <row r="5227" spans="2:5" ht="15" customHeight="1" thickBot="1" x14ac:dyDescent="0.35">
      <c r="B5227" s="96" t="s">
        <v>8114</v>
      </c>
      <c r="C5227" s="97">
        <v>511016</v>
      </c>
      <c r="D5227" s="96" t="s">
        <v>8115</v>
      </c>
      <c r="E5227" s="96" t="s">
        <v>8116</v>
      </c>
    </row>
    <row r="5228" spans="2:5" ht="15" customHeight="1" thickBot="1" x14ac:dyDescent="0.35">
      <c r="B5228" s="96" t="s">
        <v>8117</v>
      </c>
      <c r="C5228" s="97">
        <v>511194</v>
      </c>
      <c r="D5228" s="96" t="s">
        <v>8118</v>
      </c>
      <c r="E5228" s="96" t="s">
        <v>7342</v>
      </c>
    </row>
    <row r="5229" spans="2:5" ht="15" customHeight="1" thickBot="1" x14ac:dyDescent="0.35">
      <c r="B5229" s="96" t="s">
        <v>8119</v>
      </c>
      <c r="C5229" s="97">
        <v>512097</v>
      </c>
      <c r="D5229" s="96" t="s">
        <v>8120</v>
      </c>
      <c r="E5229" s="96" t="s">
        <v>8121</v>
      </c>
    </row>
    <row r="5230" spans="2:5" ht="15" customHeight="1" thickBot="1" x14ac:dyDescent="0.35">
      <c r="B5230" s="96" t="s">
        <v>8122</v>
      </c>
      <c r="C5230" s="97">
        <v>512115</v>
      </c>
      <c r="D5230" s="96" t="s">
        <v>8123</v>
      </c>
      <c r="E5230" s="96" t="s">
        <v>8121</v>
      </c>
    </row>
    <row r="5231" spans="2:5" ht="15" customHeight="1" thickBot="1" x14ac:dyDescent="0.35">
      <c r="B5231" s="96" t="s">
        <v>8124</v>
      </c>
      <c r="C5231" s="97">
        <v>514260</v>
      </c>
      <c r="D5231" s="96" t="s">
        <v>8125</v>
      </c>
      <c r="E5231" s="96" t="s">
        <v>8098</v>
      </c>
    </row>
    <row r="5232" spans="2:5" ht="15" customHeight="1" thickBot="1" x14ac:dyDescent="0.35">
      <c r="B5232" s="96" t="s">
        <v>8126</v>
      </c>
      <c r="C5232" s="97">
        <v>523309</v>
      </c>
      <c r="D5232" s="96" t="s">
        <v>8127</v>
      </c>
      <c r="E5232" s="96" t="s">
        <v>8128</v>
      </c>
    </row>
    <row r="5233" spans="2:5" ht="15" customHeight="1" thickBot="1" x14ac:dyDescent="0.35">
      <c r="B5233" s="96" t="s">
        <v>8129</v>
      </c>
      <c r="C5233" s="97">
        <v>523868</v>
      </c>
      <c r="D5233" s="96" t="s">
        <v>8130</v>
      </c>
      <c r="E5233" s="96" t="s">
        <v>396</v>
      </c>
    </row>
    <row r="5234" spans="2:5" ht="15" customHeight="1" thickBot="1" x14ac:dyDescent="0.35">
      <c r="B5234" s="96" t="s">
        <v>8131</v>
      </c>
      <c r="C5234" s="97">
        <v>524046</v>
      </c>
      <c r="D5234" s="96" t="s">
        <v>8132</v>
      </c>
      <c r="E5234" s="96" t="s">
        <v>8133</v>
      </c>
    </row>
    <row r="5235" spans="2:5" ht="15" customHeight="1" thickBot="1" x14ac:dyDescent="0.35">
      <c r="B5235" s="96" t="s">
        <v>8134</v>
      </c>
      <c r="C5235" s="97">
        <v>526345</v>
      </c>
      <c r="D5235" s="96" t="s">
        <v>8135</v>
      </c>
      <c r="E5235" s="96" t="s">
        <v>448</v>
      </c>
    </row>
    <row r="5236" spans="2:5" ht="15" customHeight="1" thickBot="1" x14ac:dyDescent="0.35">
      <c r="B5236" s="96" t="s">
        <v>8136</v>
      </c>
      <c r="C5236" s="97">
        <v>526468</v>
      </c>
      <c r="D5236" s="96" t="s">
        <v>8137</v>
      </c>
      <c r="E5236" s="96" t="s">
        <v>8138</v>
      </c>
    </row>
    <row r="5237" spans="2:5" ht="15" customHeight="1" thickBot="1" x14ac:dyDescent="0.35">
      <c r="B5237" s="96" t="s">
        <v>8139</v>
      </c>
      <c r="C5237" s="97">
        <v>526677</v>
      </c>
      <c r="D5237" s="96" t="s">
        <v>8140</v>
      </c>
      <c r="E5237" s="96" t="s">
        <v>493</v>
      </c>
    </row>
    <row r="5238" spans="2:5" ht="15" customHeight="1" thickBot="1" x14ac:dyDescent="0.35">
      <c r="B5238" s="96" t="s">
        <v>8141</v>
      </c>
      <c r="C5238" s="97">
        <v>526877</v>
      </c>
      <c r="D5238" s="96" t="s">
        <v>8142</v>
      </c>
      <c r="E5238" s="96" t="s">
        <v>8121</v>
      </c>
    </row>
    <row r="5239" spans="2:5" ht="15" customHeight="1" thickBot="1" x14ac:dyDescent="0.35">
      <c r="B5239" s="96" t="s">
        <v>8143</v>
      </c>
      <c r="C5239" s="97">
        <v>530027</v>
      </c>
      <c r="D5239" s="96" t="s">
        <v>8144</v>
      </c>
      <c r="E5239" s="96" t="s">
        <v>602</v>
      </c>
    </row>
    <row r="5240" spans="2:5" ht="15" customHeight="1" thickBot="1" x14ac:dyDescent="0.35">
      <c r="B5240" s="96" t="s">
        <v>8145</v>
      </c>
      <c r="C5240" s="97">
        <v>531240</v>
      </c>
      <c r="D5240" s="96" t="s">
        <v>8146</v>
      </c>
      <c r="E5240" s="96" t="s">
        <v>8121</v>
      </c>
    </row>
    <row r="5241" spans="2:5" ht="15" customHeight="1" thickBot="1" x14ac:dyDescent="0.35">
      <c r="B5241" s="96" t="s">
        <v>8147</v>
      </c>
      <c r="C5241" s="97">
        <v>531399</v>
      </c>
      <c r="D5241" s="96" t="s">
        <v>8148</v>
      </c>
      <c r="E5241" s="96" t="s">
        <v>8104</v>
      </c>
    </row>
    <row r="5242" spans="2:5" ht="15" customHeight="1" thickBot="1" x14ac:dyDescent="0.35">
      <c r="B5242" s="96" t="s">
        <v>8149</v>
      </c>
      <c r="C5242" s="97">
        <v>531812</v>
      </c>
      <c r="D5242" s="96" t="s">
        <v>8150</v>
      </c>
      <c r="E5242" s="96" t="s">
        <v>8116</v>
      </c>
    </row>
    <row r="5243" spans="2:5" ht="15" customHeight="1" thickBot="1" x14ac:dyDescent="0.35">
      <c r="B5243" s="96" t="s">
        <v>8151</v>
      </c>
      <c r="C5243" s="97">
        <v>532019</v>
      </c>
      <c r="D5243" s="96" t="s">
        <v>8152</v>
      </c>
      <c r="E5243" s="96" t="s">
        <v>8153</v>
      </c>
    </row>
    <row r="5244" spans="2:5" ht="15" customHeight="1" thickBot="1" x14ac:dyDescent="0.35">
      <c r="B5244" s="96" t="s">
        <v>8154</v>
      </c>
      <c r="C5244" s="97">
        <v>532335</v>
      </c>
      <c r="D5244" s="96" t="s">
        <v>8155</v>
      </c>
      <c r="E5244" s="96" t="s">
        <v>2206</v>
      </c>
    </row>
    <row r="5245" spans="2:5" ht="15" customHeight="1" thickBot="1" x14ac:dyDescent="0.35">
      <c r="B5245" s="96" t="s">
        <v>8156</v>
      </c>
      <c r="C5245" s="97">
        <v>537709</v>
      </c>
      <c r="D5245" s="96" t="s">
        <v>8157</v>
      </c>
      <c r="E5245" s="96" t="s">
        <v>1087</v>
      </c>
    </row>
    <row r="5246" spans="2:5" ht="15" customHeight="1" thickBot="1" x14ac:dyDescent="0.35">
      <c r="B5246" s="96" t="s">
        <v>8158</v>
      </c>
      <c r="C5246" s="97">
        <v>543229</v>
      </c>
      <c r="D5246" s="96" t="s">
        <v>8159</v>
      </c>
      <c r="E5246" s="96" t="s">
        <v>8160</v>
      </c>
    </row>
    <row r="5247" spans="2:5" ht="15" customHeight="1" thickBot="1" x14ac:dyDescent="0.35">
      <c r="B5247" s="96" t="s">
        <v>8161</v>
      </c>
      <c r="C5247" s="97">
        <v>543245</v>
      </c>
      <c r="D5247" s="96" t="s">
        <v>8162</v>
      </c>
      <c r="E5247" s="96" t="s">
        <v>426</v>
      </c>
    </row>
    <row r="5248" spans="2:5" ht="15" customHeight="1" thickBot="1" x14ac:dyDescent="0.35">
      <c r="B5248" s="96" t="s">
        <v>8163</v>
      </c>
      <c r="C5248" s="97">
        <v>543246</v>
      </c>
      <c r="D5248" s="96" t="s">
        <v>8164</v>
      </c>
      <c r="E5248" s="96"/>
    </row>
    <row r="5249" spans="2:5" ht="15" customHeight="1" thickBot="1" x14ac:dyDescent="0.35">
      <c r="B5249" s="96" t="s">
        <v>8165</v>
      </c>
      <c r="C5249" s="97">
        <v>543247</v>
      </c>
      <c r="D5249" s="96" t="s">
        <v>8166</v>
      </c>
      <c r="E5249" s="96" t="s">
        <v>8101</v>
      </c>
    </row>
    <row r="5250" spans="2:5" ht="15" customHeight="1" thickBot="1" x14ac:dyDescent="0.35">
      <c r="B5250" s="96" t="s">
        <v>8167</v>
      </c>
      <c r="C5250" s="97">
        <v>543248</v>
      </c>
      <c r="D5250" s="96" t="s">
        <v>8168</v>
      </c>
      <c r="E5250" s="96" t="s">
        <v>877</v>
      </c>
    </row>
    <row r="5251" spans="2:5" ht="15" customHeight="1" thickBot="1" x14ac:dyDescent="0.35">
      <c r="B5251" s="96" t="s">
        <v>8169</v>
      </c>
      <c r="C5251" s="97">
        <v>543249</v>
      </c>
      <c r="D5251" s="96" t="s">
        <v>8170</v>
      </c>
      <c r="E5251" s="96" t="s">
        <v>8171</v>
      </c>
    </row>
    <row r="5252" spans="2:5" ht="15" customHeight="1" thickBot="1" x14ac:dyDescent="0.35">
      <c r="B5252" s="96" t="s">
        <v>8172</v>
      </c>
      <c r="C5252" s="97">
        <v>543251</v>
      </c>
      <c r="D5252" s="96" t="s">
        <v>8173</v>
      </c>
      <c r="E5252" s="96" t="s">
        <v>8171</v>
      </c>
    </row>
    <row r="5253" spans="2:5" ht="15" customHeight="1" thickBot="1" x14ac:dyDescent="0.35">
      <c r="B5253" s="96" t="s">
        <v>8174</v>
      </c>
      <c r="C5253" s="97">
        <v>543252</v>
      </c>
      <c r="D5253" s="96" t="s">
        <v>8175</v>
      </c>
      <c r="E5253" s="96" t="s">
        <v>548</v>
      </c>
    </row>
    <row r="5254" spans="2:5" ht="15" customHeight="1" thickBot="1" x14ac:dyDescent="0.35">
      <c r="B5254" s="96" t="s">
        <v>8176</v>
      </c>
      <c r="C5254" s="97">
        <v>543253</v>
      </c>
      <c r="D5254" s="96" t="s">
        <v>8177</v>
      </c>
      <c r="E5254" s="96" t="s">
        <v>448</v>
      </c>
    </row>
    <row r="5255" spans="2:5" ht="15" customHeight="1" thickBot="1" x14ac:dyDescent="0.35">
      <c r="B5255" s="96" t="s">
        <v>8178</v>
      </c>
      <c r="C5255" s="97">
        <v>543254</v>
      </c>
      <c r="D5255" s="96" t="s">
        <v>8179</v>
      </c>
      <c r="E5255" s="96" t="s">
        <v>8180</v>
      </c>
    </row>
    <row r="5256" spans="2:5" ht="15" customHeight="1" thickBot="1" x14ac:dyDescent="0.35">
      <c r="B5256" s="96" t="s">
        <v>8181</v>
      </c>
      <c r="C5256" s="97">
        <v>543255</v>
      </c>
      <c r="D5256" s="96" t="s">
        <v>8182</v>
      </c>
      <c r="E5256" s="96"/>
    </row>
    <row r="5257" spans="2:5" ht="15" customHeight="1" thickBot="1" x14ac:dyDescent="0.35">
      <c r="B5257" s="96" t="s">
        <v>8183</v>
      </c>
      <c r="C5257" s="97">
        <v>543256</v>
      </c>
      <c r="D5257" s="96" t="s">
        <v>8184</v>
      </c>
      <c r="E5257" s="96" t="s">
        <v>8185</v>
      </c>
    </row>
    <row r="5258" spans="2:5" ht="15" customHeight="1" thickBot="1" x14ac:dyDescent="0.35">
      <c r="B5258" s="96" t="s">
        <v>8186</v>
      </c>
      <c r="C5258" s="97">
        <v>543257</v>
      </c>
      <c r="D5258" s="96" t="s">
        <v>8187</v>
      </c>
      <c r="E5258" s="96" t="s">
        <v>8188</v>
      </c>
    </row>
    <row r="5259" spans="2:5" ht="15" customHeight="1" thickBot="1" x14ac:dyDescent="0.35">
      <c r="B5259" s="96" t="s">
        <v>8189</v>
      </c>
      <c r="C5259" s="97">
        <v>543258</v>
      </c>
      <c r="D5259" s="96" t="s">
        <v>8190</v>
      </c>
      <c r="E5259" s="96" t="s">
        <v>8191</v>
      </c>
    </row>
    <row r="5260" spans="2:5" ht="15" customHeight="1" thickBot="1" x14ac:dyDescent="0.35">
      <c r="B5260" s="96" t="s">
        <v>8192</v>
      </c>
      <c r="C5260" s="97">
        <v>543259</v>
      </c>
      <c r="D5260" s="96" t="s">
        <v>8193</v>
      </c>
      <c r="E5260" s="96" t="s">
        <v>8194</v>
      </c>
    </row>
    <row r="5261" spans="2:5" ht="15" customHeight="1" thickBot="1" x14ac:dyDescent="0.35">
      <c r="B5261" s="96" t="s">
        <v>8195</v>
      </c>
      <c r="C5261" s="97">
        <v>543260</v>
      </c>
      <c r="D5261" s="96" t="s">
        <v>8196</v>
      </c>
      <c r="E5261" s="96" t="s">
        <v>1152</v>
      </c>
    </row>
    <row r="5262" spans="2:5" ht="15" customHeight="1" thickBot="1" x14ac:dyDescent="0.35">
      <c r="B5262" s="96" t="s">
        <v>8197</v>
      </c>
      <c r="C5262" s="97">
        <v>543261</v>
      </c>
      <c r="D5262" s="96" t="s">
        <v>8198</v>
      </c>
      <c r="E5262" s="96" t="s">
        <v>8199</v>
      </c>
    </row>
    <row r="5263" spans="2:5" ht="15" customHeight="1" thickBot="1" x14ac:dyDescent="0.35">
      <c r="B5263" s="96" t="s">
        <v>8200</v>
      </c>
      <c r="C5263" s="97">
        <v>543262</v>
      </c>
      <c r="D5263" s="96" t="s">
        <v>8201</v>
      </c>
      <c r="E5263" s="96" t="s">
        <v>422</v>
      </c>
    </row>
    <row r="5264" spans="2:5" ht="15" customHeight="1" thickBot="1" x14ac:dyDescent="0.35">
      <c r="B5264" s="96" t="s">
        <v>8202</v>
      </c>
      <c r="C5264" s="97">
        <v>543263</v>
      </c>
      <c r="D5264" s="96" t="s">
        <v>8203</v>
      </c>
      <c r="E5264" s="96" t="s">
        <v>8204</v>
      </c>
    </row>
    <row r="5265" spans="2:5" ht="15" customHeight="1" thickBot="1" x14ac:dyDescent="0.35">
      <c r="B5265" s="96" t="s">
        <v>8205</v>
      </c>
      <c r="C5265" s="97">
        <v>543264</v>
      </c>
      <c r="D5265" s="96" t="s">
        <v>8206</v>
      </c>
      <c r="E5265" s="96" t="s">
        <v>8207</v>
      </c>
    </row>
    <row r="5266" spans="2:5" ht="15" customHeight="1" thickBot="1" x14ac:dyDescent="0.35">
      <c r="B5266" s="96" t="s">
        <v>8208</v>
      </c>
      <c r="C5266" s="97">
        <v>543265</v>
      </c>
      <c r="D5266" s="96" t="s">
        <v>8209</v>
      </c>
      <c r="E5266" s="96" t="s">
        <v>1334</v>
      </c>
    </row>
    <row r="5267" spans="2:5" ht="15" customHeight="1" thickBot="1" x14ac:dyDescent="0.35">
      <c r="B5267" s="96" t="s">
        <v>8210</v>
      </c>
      <c r="C5267" s="97">
        <v>543266</v>
      </c>
      <c r="D5267" s="96" t="s">
        <v>8211</v>
      </c>
      <c r="E5267" s="96" t="s">
        <v>8107</v>
      </c>
    </row>
    <row r="5268" spans="2:5" ht="15" customHeight="1" thickBot="1" x14ac:dyDescent="0.35">
      <c r="B5268" s="96" t="s">
        <v>8212</v>
      </c>
      <c r="C5268" s="97">
        <v>543267</v>
      </c>
      <c r="D5268" s="96" t="s">
        <v>8213</v>
      </c>
      <c r="E5268" s="96" t="s">
        <v>1087</v>
      </c>
    </row>
    <row r="5269" spans="2:5" ht="15" customHeight="1" thickBot="1" x14ac:dyDescent="0.35">
      <c r="B5269" s="96" t="s">
        <v>8214</v>
      </c>
      <c r="C5269" s="97">
        <v>543269</v>
      </c>
      <c r="D5269" s="96" t="s">
        <v>8215</v>
      </c>
      <c r="E5269" s="96" t="s">
        <v>8216</v>
      </c>
    </row>
    <row r="5270" spans="2:5" ht="15" customHeight="1" thickBot="1" x14ac:dyDescent="0.35">
      <c r="B5270" s="96" t="s">
        <v>8217</v>
      </c>
      <c r="C5270" s="97">
        <v>543270</v>
      </c>
      <c r="D5270" s="96" t="s">
        <v>8218</v>
      </c>
      <c r="E5270" s="96" t="s">
        <v>8219</v>
      </c>
    </row>
    <row r="5271" spans="2:5" ht="15" customHeight="1" thickBot="1" x14ac:dyDescent="0.35">
      <c r="B5271" s="96" t="s">
        <v>8220</v>
      </c>
      <c r="C5271" s="97">
        <v>543271</v>
      </c>
      <c r="D5271" s="96" t="s">
        <v>8221</v>
      </c>
      <c r="E5271" s="96" t="s">
        <v>548</v>
      </c>
    </row>
    <row r="5272" spans="2:5" ht="15" customHeight="1" thickBot="1" x14ac:dyDescent="0.35">
      <c r="B5272" s="96" t="s">
        <v>8222</v>
      </c>
      <c r="C5272" s="97">
        <v>543272</v>
      </c>
      <c r="D5272" s="96" t="s">
        <v>8223</v>
      </c>
      <c r="E5272" s="96" t="s">
        <v>8224</v>
      </c>
    </row>
    <row r="5273" spans="2:5" ht="15" customHeight="1" thickBot="1" x14ac:dyDescent="0.35">
      <c r="B5273" s="96" t="s">
        <v>8225</v>
      </c>
      <c r="C5273" s="97">
        <v>543273</v>
      </c>
      <c r="D5273" s="96" t="s">
        <v>8226</v>
      </c>
      <c r="E5273" s="96" t="s">
        <v>1635</v>
      </c>
    </row>
    <row r="5274" spans="2:5" ht="15" customHeight="1" thickBot="1" x14ac:dyDescent="0.35">
      <c r="B5274" s="96" t="s">
        <v>8227</v>
      </c>
      <c r="C5274" s="97">
        <v>543274</v>
      </c>
      <c r="D5274" s="96" t="s">
        <v>8228</v>
      </c>
      <c r="E5274" s="96" t="s">
        <v>8098</v>
      </c>
    </row>
    <row r="5275" spans="2:5" ht="15" customHeight="1" thickBot="1" x14ac:dyDescent="0.35">
      <c r="B5275" s="96" t="s">
        <v>8229</v>
      </c>
      <c r="C5275" s="97">
        <v>543275</v>
      </c>
      <c r="D5275" s="96" t="s">
        <v>8230</v>
      </c>
      <c r="E5275" s="96" t="s">
        <v>548</v>
      </c>
    </row>
    <row r="5276" spans="2:5" ht="15" customHeight="1" thickBot="1" x14ac:dyDescent="0.35">
      <c r="B5276" s="96" t="s">
        <v>8231</v>
      </c>
      <c r="C5276" s="97">
        <v>543276</v>
      </c>
      <c r="D5276" s="96" t="s">
        <v>8232</v>
      </c>
      <c r="E5276" s="96" t="s">
        <v>8104</v>
      </c>
    </row>
    <row r="5277" spans="2:5" ht="15" customHeight="1" thickBot="1" x14ac:dyDescent="0.35">
      <c r="B5277" s="96" t="s">
        <v>8233</v>
      </c>
      <c r="C5277" s="97">
        <v>543277</v>
      </c>
      <c r="D5277" s="96" t="s">
        <v>8234</v>
      </c>
      <c r="E5277" s="96" t="s">
        <v>548</v>
      </c>
    </row>
    <row r="5278" spans="2:5" ht="15" customHeight="1" thickBot="1" x14ac:dyDescent="0.35">
      <c r="B5278" s="96" t="s">
        <v>8235</v>
      </c>
      <c r="C5278" s="97">
        <v>543278</v>
      </c>
      <c r="D5278" s="96" t="s">
        <v>8236</v>
      </c>
      <c r="E5278" s="96" t="s">
        <v>8138</v>
      </c>
    </row>
    <row r="5279" spans="2:5" ht="15" customHeight="1" thickBot="1" x14ac:dyDescent="0.35">
      <c r="B5279" s="96" t="s">
        <v>8237</v>
      </c>
      <c r="C5279" s="97">
        <v>543279</v>
      </c>
      <c r="D5279" s="96" t="s">
        <v>8238</v>
      </c>
      <c r="E5279" s="96" t="s">
        <v>8239</v>
      </c>
    </row>
    <row r="5280" spans="2:5" ht="15" customHeight="1" thickBot="1" x14ac:dyDescent="0.35">
      <c r="B5280" s="96" t="s">
        <v>8240</v>
      </c>
      <c r="C5280" s="97">
        <v>543280</v>
      </c>
      <c r="D5280" s="96" t="s">
        <v>8241</v>
      </c>
      <c r="E5280" s="96" t="s">
        <v>8242</v>
      </c>
    </row>
    <row r="5281" spans="2:5" ht="15" customHeight="1" thickBot="1" x14ac:dyDescent="0.35">
      <c r="B5281" s="96" t="s">
        <v>8243</v>
      </c>
      <c r="C5281" s="97">
        <v>543281</v>
      </c>
      <c r="D5281" s="96" t="s">
        <v>8244</v>
      </c>
      <c r="E5281" s="96" t="s">
        <v>8245</v>
      </c>
    </row>
    <row r="5282" spans="2:5" ht="15" customHeight="1" thickBot="1" x14ac:dyDescent="0.35">
      <c r="B5282" s="96" t="s">
        <v>8246</v>
      </c>
      <c r="C5282" s="97">
        <v>543282</v>
      </c>
      <c r="D5282" s="96" t="s">
        <v>8247</v>
      </c>
      <c r="E5282" s="96" t="s">
        <v>8216</v>
      </c>
    </row>
    <row r="5283" spans="2:5" ht="15" customHeight="1" thickBot="1" x14ac:dyDescent="0.35">
      <c r="B5283" s="96" t="s">
        <v>8248</v>
      </c>
      <c r="C5283" s="97">
        <v>543283</v>
      </c>
      <c r="D5283" s="96" t="s">
        <v>8249</v>
      </c>
      <c r="E5283" s="96" t="s">
        <v>877</v>
      </c>
    </row>
    <row r="5284" spans="2:5" ht="15" customHeight="1" thickBot="1" x14ac:dyDescent="0.35">
      <c r="B5284" s="96" t="s">
        <v>8250</v>
      </c>
      <c r="C5284" s="97">
        <v>543284</v>
      </c>
      <c r="D5284" s="96" t="s">
        <v>8251</v>
      </c>
      <c r="E5284" s="96" t="s">
        <v>472</v>
      </c>
    </row>
    <row r="5285" spans="2:5" ht="15" customHeight="1" thickBot="1" x14ac:dyDescent="0.35">
      <c r="B5285" s="96" t="s">
        <v>8252</v>
      </c>
      <c r="C5285" s="97">
        <v>543285</v>
      </c>
      <c r="D5285" s="96" t="s">
        <v>8253</v>
      </c>
      <c r="E5285" s="96" t="s">
        <v>8254</v>
      </c>
    </row>
    <row r="5286" spans="2:5" ht="15" customHeight="1" thickBot="1" x14ac:dyDescent="0.35">
      <c r="B5286" s="96" t="s">
        <v>8255</v>
      </c>
      <c r="C5286" s="97">
        <v>543286</v>
      </c>
      <c r="D5286" s="96" t="s">
        <v>8256</v>
      </c>
      <c r="E5286" s="96" t="s">
        <v>468</v>
      </c>
    </row>
    <row r="5287" spans="2:5" ht="15" customHeight="1" thickBot="1" x14ac:dyDescent="0.35">
      <c r="B5287" s="96" t="s">
        <v>8257</v>
      </c>
      <c r="C5287" s="97">
        <v>543287</v>
      </c>
      <c r="D5287" s="96" t="s">
        <v>8258</v>
      </c>
      <c r="E5287" s="96" t="s">
        <v>8171</v>
      </c>
    </row>
    <row r="5288" spans="2:5" ht="15" customHeight="1" thickBot="1" x14ac:dyDescent="0.35">
      <c r="B5288" s="96" t="s">
        <v>8259</v>
      </c>
      <c r="C5288" s="97">
        <v>543288</v>
      </c>
      <c r="D5288" s="96" t="s">
        <v>1896</v>
      </c>
      <c r="E5288" s="96" t="s">
        <v>8260</v>
      </c>
    </row>
    <row r="5289" spans="2:5" ht="15" customHeight="1" thickBot="1" x14ac:dyDescent="0.35">
      <c r="B5289" s="96" t="s">
        <v>8261</v>
      </c>
      <c r="C5289" s="97">
        <v>543289</v>
      </c>
      <c r="D5289" s="96" t="s">
        <v>8262</v>
      </c>
      <c r="E5289" s="96" t="s">
        <v>493</v>
      </c>
    </row>
    <row r="5290" spans="2:5" ht="15" customHeight="1" thickBot="1" x14ac:dyDescent="0.35">
      <c r="B5290" s="96" t="s">
        <v>8263</v>
      </c>
      <c r="C5290" s="97">
        <v>543290</v>
      </c>
      <c r="D5290" s="96" t="s">
        <v>8264</v>
      </c>
      <c r="E5290" s="96" t="s">
        <v>8265</v>
      </c>
    </row>
    <row r="5291" spans="2:5" ht="15" customHeight="1" thickBot="1" x14ac:dyDescent="0.35">
      <c r="B5291" s="96" t="s">
        <v>8266</v>
      </c>
      <c r="C5291" s="97">
        <v>543291</v>
      </c>
      <c r="D5291" s="96" t="s">
        <v>8267</v>
      </c>
      <c r="E5291" s="96"/>
    </row>
    <row r="5292" spans="2:5" ht="15" customHeight="1" thickBot="1" x14ac:dyDescent="0.35">
      <c r="B5292" s="96" t="s">
        <v>8268</v>
      </c>
      <c r="C5292" s="97">
        <v>543292</v>
      </c>
      <c r="D5292" s="96" t="s">
        <v>8269</v>
      </c>
      <c r="E5292" s="96"/>
    </row>
    <row r="5293" spans="2:5" ht="15" customHeight="1" thickBot="1" x14ac:dyDescent="0.35">
      <c r="B5293" s="96" t="s">
        <v>8270</v>
      </c>
      <c r="C5293" s="97">
        <v>543297</v>
      </c>
      <c r="D5293" s="96" t="s">
        <v>8271</v>
      </c>
      <c r="E5293" s="96" t="s">
        <v>431</v>
      </c>
    </row>
    <row r="5294" spans="2:5" ht="15" customHeight="1" thickBot="1" x14ac:dyDescent="0.35">
      <c r="B5294" s="96" t="s">
        <v>8272</v>
      </c>
      <c r="C5294" s="97">
        <v>543298</v>
      </c>
      <c r="D5294" s="96" t="s">
        <v>8273</v>
      </c>
      <c r="E5294" s="96" t="s">
        <v>426</v>
      </c>
    </row>
    <row r="5295" spans="2:5" ht="15" customHeight="1" thickBot="1" x14ac:dyDescent="0.35">
      <c r="B5295" s="96" t="s">
        <v>8274</v>
      </c>
      <c r="C5295" s="97">
        <v>543299</v>
      </c>
      <c r="D5295" s="96" t="s">
        <v>8275</v>
      </c>
      <c r="E5295" s="96" t="s">
        <v>8276</v>
      </c>
    </row>
    <row r="5296" spans="2:5" ht="15" customHeight="1" thickBot="1" x14ac:dyDescent="0.35">
      <c r="B5296" s="96" t="s">
        <v>8277</v>
      </c>
      <c r="C5296" s="97">
        <v>543300</v>
      </c>
      <c r="D5296" s="96" t="s">
        <v>8278</v>
      </c>
      <c r="E5296" s="96" t="s">
        <v>8104</v>
      </c>
    </row>
    <row r="5297" spans="2:5" ht="15" customHeight="1" thickBot="1" x14ac:dyDescent="0.35">
      <c r="B5297" s="96" t="s">
        <v>8279</v>
      </c>
      <c r="C5297" s="97">
        <v>543305</v>
      </c>
      <c r="D5297" s="96" t="s">
        <v>8280</v>
      </c>
      <c r="E5297" s="96" t="s">
        <v>472</v>
      </c>
    </row>
    <row r="5298" spans="2:5" ht="15" customHeight="1" thickBot="1" x14ac:dyDescent="0.35">
      <c r="B5298" s="96" t="s">
        <v>8281</v>
      </c>
      <c r="C5298" s="97">
        <v>543306</v>
      </c>
      <c r="D5298" s="96" t="s">
        <v>8282</v>
      </c>
      <c r="E5298" s="96" t="s">
        <v>8283</v>
      </c>
    </row>
    <row r="5299" spans="2:5" ht="15" customHeight="1" thickBot="1" x14ac:dyDescent="0.35">
      <c r="B5299" s="96" t="s">
        <v>8284</v>
      </c>
      <c r="C5299" s="97">
        <v>543308</v>
      </c>
      <c r="D5299" s="96" t="s">
        <v>8285</v>
      </c>
      <c r="E5299" s="96" t="s">
        <v>8286</v>
      </c>
    </row>
    <row r="5300" spans="2:5" ht="15" customHeight="1" thickBot="1" x14ac:dyDescent="0.35">
      <c r="B5300" s="96" t="s">
        <v>8287</v>
      </c>
      <c r="C5300" s="97">
        <v>543309</v>
      </c>
      <c r="D5300" s="96" t="s">
        <v>8288</v>
      </c>
      <c r="E5300" s="96" t="s">
        <v>8289</v>
      </c>
    </row>
    <row r="5301" spans="2:5" ht="15" customHeight="1" thickBot="1" x14ac:dyDescent="0.35">
      <c r="B5301" s="96" t="s">
        <v>8290</v>
      </c>
      <c r="C5301" s="97">
        <v>543310</v>
      </c>
      <c r="D5301" s="96" t="s">
        <v>8291</v>
      </c>
      <c r="E5301" s="96" t="s">
        <v>586</v>
      </c>
    </row>
    <row r="5302" spans="2:5" ht="15" customHeight="1" thickBot="1" x14ac:dyDescent="0.35">
      <c r="B5302" s="96" t="s">
        <v>8292</v>
      </c>
      <c r="C5302" s="97">
        <v>543311</v>
      </c>
      <c r="D5302" s="96" t="s">
        <v>8293</v>
      </c>
      <c r="E5302" s="96" t="s">
        <v>8107</v>
      </c>
    </row>
    <row r="5303" spans="2:5" ht="15" customHeight="1" thickBot="1" x14ac:dyDescent="0.35">
      <c r="B5303" s="96" t="s">
        <v>8294</v>
      </c>
      <c r="C5303" s="97">
        <v>543312</v>
      </c>
      <c r="D5303" s="96" t="s">
        <v>2311</v>
      </c>
      <c r="E5303" s="96" t="s">
        <v>8216</v>
      </c>
    </row>
    <row r="5304" spans="2:5" ht="15" customHeight="1" thickBot="1" x14ac:dyDescent="0.35">
      <c r="B5304" s="96" t="s">
        <v>8295</v>
      </c>
      <c r="C5304" s="97">
        <v>543317</v>
      </c>
      <c r="D5304" s="96" t="s">
        <v>8296</v>
      </c>
      <c r="E5304" s="96" t="s">
        <v>8297</v>
      </c>
    </row>
    <row r="5305" spans="2:5" ht="15" customHeight="1" thickBot="1" x14ac:dyDescent="0.35">
      <c r="B5305" s="96" t="s">
        <v>8298</v>
      </c>
      <c r="C5305" s="97">
        <v>543318</v>
      </c>
      <c r="D5305" s="96" t="s">
        <v>8299</v>
      </c>
      <c r="E5305" s="96" t="s">
        <v>436</v>
      </c>
    </row>
    <row r="5306" spans="2:5" ht="15" customHeight="1" thickBot="1" x14ac:dyDescent="0.35">
      <c r="B5306" s="96" t="s">
        <v>8300</v>
      </c>
      <c r="C5306" s="97">
        <v>543319</v>
      </c>
      <c r="D5306" s="96" t="s">
        <v>8301</v>
      </c>
      <c r="E5306" s="96" t="s">
        <v>8121</v>
      </c>
    </row>
    <row r="5307" spans="2:5" ht="15" customHeight="1" thickBot="1" x14ac:dyDescent="0.35">
      <c r="B5307" s="96" t="s">
        <v>8302</v>
      </c>
      <c r="C5307" s="97">
        <v>543320</v>
      </c>
      <c r="D5307" s="96" t="s">
        <v>8303</v>
      </c>
      <c r="E5307" s="96" t="s">
        <v>8304</v>
      </c>
    </row>
    <row r="5308" spans="2:5" ht="15" customHeight="1" thickBot="1" x14ac:dyDescent="0.35">
      <c r="B5308" s="96" t="s">
        <v>8305</v>
      </c>
      <c r="C5308" s="97">
        <v>543321</v>
      </c>
      <c r="D5308" s="96" t="s">
        <v>8306</v>
      </c>
      <c r="E5308" s="96" t="s">
        <v>548</v>
      </c>
    </row>
    <row r="5309" spans="2:5" ht="15" customHeight="1" thickBot="1" x14ac:dyDescent="0.35">
      <c r="B5309" s="96" t="s">
        <v>8307</v>
      </c>
      <c r="C5309" s="97">
        <v>543322</v>
      </c>
      <c r="D5309" s="96" t="s">
        <v>8308</v>
      </c>
      <c r="E5309" s="96" t="s">
        <v>426</v>
      </c>
    </row>
    <row r="5310" spans="2:5" ht="15" customHeight="1" thickBot="1" x14ac:dyDescent="0.35">
      <c r="B5310" s="96" t="s">
        <v>8309</v>
      </c>
      <c r="C5310" s="97">
        <v>543323</v>
      </c>
      <c r="D5310" s="96" t="s">
        <v>8310</v>
      </c>
      <c r="E5310" s="96"/>
    </row>
    <row r="5311" spans="2:5" ht="15" customHeight="1" thickBot="1" x14ac:dyDescent="0.35">
      <c r="B5311" s="96" t="s">
        <v>8311</v>
      </c>
      <c r="C5311" s="97">
        <v>543324</v>
      </c>
      <c r="D5311" s="96" t="s">
        <v>8312</v>
      </c>
      <c r="E5311" s="96" t="s">
        <v>8313</v>
      </c>
    </row>
    <row r="5312" spans="2:5" ht="15" customHeight="1" thickBot="1" x14ac:dyDescent="0.35">
      <c r="B5312" s="96" t="s">
        <v>8314</v>
      </c>
      <c r="C5312" s="97">
        <v>543325</v>
      </c>
      <c r="D5312" s="96" t="s">
        <v>8315</v>
      </c>
      <c r="E5312" s="96" t="s">
        <v>8104</v>
      </c>
    </row>
    <row r="5313" spans="2:5" ht="15" customHeight="1" thickBot="1" x14ac:dyDescent="0.35">
      <c r="B5313" s="96" t="s">
        <v>8316</v>
      </c>
      <c r="C5313" s="97">
        <v>543326</v>
      </c>
      <c r="D5313" s="96" t="s">
        <v>8317</v>
      </c>
      <c r="E5313" s="96"/>
    </row>
    <row r="5314" spans="2:5" ht="15" customHeight="1" thickBot="1" x14ac:dyDescent="0.35">
      <c r="B5314" s="96" t="s">
        <v>8318</v>
      </c>
      <c r="C5314" s="97">
        <v>543327</v>
      </c>
      <c r="D5314" s="96" t="s">
        <v>8319</v>
      </c>
      <c r="E5314" s="96" t="s">
        <v>8320</v>
      </c>
    </row>
    <row r="5315" spans="2:5" ht="15" customHeight="1" thickBot="1" x14ac:dyDescent="0.35">
      <c r="B5315" s="96" t="s">
        <v>8321</v>
      </c>
      <c r="C5315" s="97">
        <v>543328</v>
      </c>
      <c r="D5315" s="96" t="s">
        <v>8322</v>
      </c>
      <c r="E5315" s="96" t="s">
        <v>8323</v>
      </c>
    </row>
    <row r="5316" spans="2:5" ht="15" customHeight="1" thickBot="1" x14ac:dyDescent="0.35">
      <c r="B5316" s="96" t="s">
        <v>8324</v>
      </c>
      <c r="C5316" s="97">
        <v>543329</v>
      </c>
      <c r="D5316" s="96" t="s">
        <v>8325</v>
      </c>
      <c r="E5316" s="96" t="s">
        <v>426</v>
      </c>
    </row>
    <row r="5317" spans="2:5" ht="15" customHeight="1" thickBot="1" x14ac:dyDescent="0.35">
      <c r="B5317" s="96" t="s">
        <v>8326</v>
      </c>
      <c r="C5317" s="97">
        <v>543330</v>
      </c>
      <c r="D5317" s="96" t="s">
        <v>8327</v>
      </c>
      <c r="E5317" s="96" t="s">
        <v>877</v>
      </c>
    </row>
    <row r="5318" spans="2:5" ht="15" customHeight="1" thickBot="1" x14ac:dyDescent="0.35">
      <c r="B5318" s="96" t="s">
        <v>8328</v>
      </c>
      <c r="C5318" s="97">
        <v>543331</v>
      </c>
      <c r="D5318" s="96" t="s">
        <v>8329</v>
      </c>
      <c r="E5318" s="96" t="s">
        <v>8107</v>
      </c>
    </row>
    <row r="5319" spans="2:5" ht="15" customHeight="1" thickBot="1" x14ac:dyDescent="0.35">
      <c r="B5319" s="96" t="s">
        <v>8330</v>
      </c>
      <c r="C5319" s="97">
        <v>543332</v>
      </c>
      <c r="D5319" s="96" t="s">
        <v>8331</v>
      </c>
      <c r="E5319" s="96" t="s">
        <v>548</v>
      </c>
    </row>
    <row r="5320" spans="2:5" ht="15" customHeight="1" thickBot="1" x14ac:dyDescent="0.35">
      <c r="B5320" s="96" t="s">
        <v>8332</v>
      </c>
      <c r="C5320" s="97">
        <v>543333</v>
      </c>
      <c r="D5320" s="96" t="s">
        <v>8333</v>
      </c>
      <c r="E5320" s="96" t="s">
        <v>8304</v>
      </c>
    </row>
    <row r="5321" spans="2:5" ht="15" customHeight="1" thickBot="1" x14ac:dyDescent="0.35">
      <c r="B5321" s="96" t="s">
        <v>8334</v>
      </c>
      <c r="C5321" s="97">
        <v>543334</v>
      </c>
      <c r="D5321" s="96" t="s">
        <v>8335</v>
      </c>
      <c r="E5321" s="96" t="s">
        <v>401</v>
      </c>
    </row>
    <row r="5322" spans="2:5" ht="15" customHeight="1" thickBot="1" x14ac:dyDescent="0.35">
      <c r="B5322" s="96" t="s">
        <v>8336</v>
      </c>
      <c r="C5322" s="97">
        <v>543335</v>
      </c>
      <c r="D5322" s="96" t="s">
        <v>8337</v>
      </c>
      <c r="E5322" s="96" t="s">
        <v>8194</v>
      </c>
    </row>
    <row r="5323" spans="2:5" ht="15" customHeight="1" thickBot="1" x14ac:dyDescent="0.35">
      <c r="B5323" s="96" t="s">
        <v>8338</v>
      </c>
      <c r="C5323" s="97">
        <v>543336</v>
      </c>
      <c r="D5323" s="96" t="s">
        <v>8339</v>
      </c>
      <c r="E5323" s="96" t="s">
        <v>436</v>
      </c>
    </row>
    <row r="5324" spans="2:5" ht="15" customHeight="1" thickBot="1" x14ac:dyDescent="0.35">
      <c r="B5324" s="96" t="s">
        <v>8340</v>
      </c>
      <c r="C5324" s="97">
        <v>543341</v>
      </c>
      <c r="D5324" s="96" t="s">
        <v>8341</v>
      </c>
      <c r="E5324" s="96" t="s">
        <v>8342</v>
      </c>
    </row>
    <row r="5325" spans="2:5" ht="15" customHeight="1" thickBot="1" x14ac:dyDescent="0.35">
      <c r="B5325" s="96" t="s">
        <v>8343</v>
      </c>
      <c r="C5325" s="97">
        <v>543346</v>
      </c>
      <c r="D5325" s="96" t="s">
        <v>8344</v>
      </c>
      <c r="E5325" s="96" t="s">
        <v>8286</v>
      </c>
    </row>
    <row r="5326" spans="2:5" ht="15" customHeight="1" thickBot="1" x14ac:dyDescent="0.35">
      <c r="B5326" s="96" t="s">
        <v>8345</v>
      </c>
      <c r="C5326" s="97">
        <v>543347</v>
      </c>
      <c r="D5326" s="96" t="s">
        <v>8346</v>
      </c>
      <c r="E5326" s="96"/>
    </row>
    <row r="5327" spans="2:5" ht="15" customHeight="1" thickBot="1" x14ac:dyDescent="0.35">
      <c r="B5327" s="96" t="s">
        <v>8347</v>
      </c>
      <c r="C5327" s="97">
        <v>543348</v>
      </c>
      <c r="D5327" s="96" t="s">
        <v>8348</v>
      </c>
      <c r="E5327" s="96"/>
    </row>
    <row r="5328" spans="2:5" ht="15" customHeight="1" thickBot="1" x14ac:dyDescent="0.35">
      <c r="B5328" s="96" t="s">
        <v>8349</v>
      </c>
      <c r="C5328" s="97">
        <v>543349</v>
      </c>
      <c r="D5328" s="96" t="s">
        <v>8350</v>
      </c>
      <c r="E5328" s="96" t="s">
        <v>426</v>
      </c>
    </row>
    <row r="5329" spans="2:5" ht="15" customHeight="1" thickBot="1" x14ac:dyDescent="0.35">
      <c r="B5329" s="96" t="s">
        <v>8351</v>
      </c>
      <c r="C5329" s="97">
        <v>543350</v>
      </c>
      <c r="D5329" s="96" t="s">
        <v>8352</v>
      </c>
      <c r="E5329" s="96" t="s">
        <v>8323</v>
      </c>
    </row>
    <row r="5330" spans="2:5" ht="15" customHeight="1" thickBot="1" x14ac:dyDescent="0.35">
      <c r="B5330" s="96" t="s">
        <v>8353</v>
      </c>
      <c r="C5330" s="97">
        <v>543351</v>
      </c>
      <c r="D5330" s="96" t="s">
        <v>8354</v>
      </c>
      <c r="E5330" s="96" t="s">
        <v>8216</v>
      </c>
    </row>
    <row r="5331" spans="2:5" ht="15" customHeight="1" thickBot="1" x14ac:dyDescent="0.35">
      <c r="B5331" s="96" t="s">
        <v>8355</v>
      </c>
      <c r="C5331" s="97">
        <v>543352</v>
      </c>
      <c r="D5331" s="96" t="s">
        <v>8356</v>
      </c>
      <c r="E5331" s="96" t="s">
        <v>8357</v>
      </c>
    </row>
    <row r="5332" spans="2:5" ht="15" customHeight="1" thickBot="1" x14ac:dyDescent="0.35">
      <c r="B5332" s="96" t="s">
        <v>8358</v>
      </c>
      <c r="C5332" s="97">
        <v>543357</v>
      </c>
      <c r="D5332" s="96" t="s">
        <v>8359</v>
      </c>
      <c r="E5332" s="96"/>
    </row>
    <row r="5333" spans="2:5" ht="15" customHeight="1" thickBot="1" x14ac:dyDescent="0.35">
      <c r="B5333" s="96" t="s">
        <v>8360</v>
      </c>
      <c r="C5333" s="97">
        <v>543358</v>
      </c>
      <c r="D5333" s="96" t="s">
        <v>8361</v>
      </c>
      <c r="E5333" s="96" t="s">
        <v>8104</v>
      </c>
    </row>
    <row r="5334" spans="2:5" ht="15" customHeight="1" thickBot="1" x14ac:dyDescent="0.35">
      <c r="B5334" s="96" t="s">
        <v>8362</v>
      </c>
      <c r="C5334" s="97">
        <v>543363</v>
      </c>
      <c r="D5334" s="96" t="s">
        <v>8363</v>
      </c>
      <c r="E5334" s="96" t="s">
        <v>8207</v>
      </c>
    </row>
    <row r="5335" spans="2:5" ht="15" customHeight="1" thickBot="1" x14ac:dyDescent="0.35">
      <c r="B5335" s="96" t="s">
        <v>8364</v>
      </c>
      <c r="C5335" s="97">
        <v>543364</v>
      </c>
      <c r="D5335" s="96" t="s">
        <v>8365</v>
      </c>
      <c r="E5335" s="96" t="s">
        <v>8297</v>
      </c>
    </row>
    <row r="5336" spans="2:5" ht="15" customHeight="1" thickBot="1" x14ac:dyDescent="0.35">
      <c r="B5336" s="96" t="s">
        <v>8366</v>
      </c>
      <c r="C5336" s="97">
        <v>543365</v>
      </c>
      <c r="D5336" s="96" t="s">
        <v>8367</v>
      </c>
      <c r="E5336" s="96"/>
    </row>
    <row r="5337" spans="2:5" ht="15" customHeight="1" thickBot="1" x14ac:dyDescent="0.35">
      <c r="B5337" s="96" t="s">
        <v>8368</v>
      </c>
      <c r="C5337" s="97">
        <v>543366</v>
      </c>
      <c r="D5337" s="96" t="s">
        <v>8369</v>
      </c>
      <c r="E5337" s="96" t="s">
        <v>8171</v>
      </c>
    </row>
    <row r="5338" spans="2:5" ht="15" customHeight="1" thickBot="1" x14ac:dyDescent="0.35">
      <c r="B5338" s="96" t="s">
        <v>8370</v>
      </c>
      <c r="C5338" s="97">
        <v>543367</v>
      </c>
      <c r="D5338" s="96" t="s">
        <v>8371</v>
      </c>
      <c r="E5338" s="96" t="s">
        <v>8219</v>
      </c>
    </row>
    <row r="5339" spans="2:5" ht="15" customHeight="1" thickBot="1" x14ac:dyDescent="0.35">
      <c r="B5339" s="96" t="s">
        <v>8372</v>
      </c>
      <c r="C5339" s="97">
        <v>543372</v>
      </c>
      <c r="D5339" s="96" t="s">
        <v>8373</v>
      </c>
      <c r="E5339" s="96" t="s">
        <v>8374</v>
      </c>
    </row>
    <row r="5340" spans="2:5" ht="15" customHeight="1" thickBot="1" x14ac:dyDescent="0.35">
      <c r="B5340" s="96" t="s">
        <v>8375</v>
      </c>
      <c r="C5340" s="97">
        <v>543373</v>
      </c>
      <c r="D5340" s="96" t="s">
        <v>8376</v>
      </c>
      <c r="E5340" s="96" t="s">
        <v>8128</v>
      </c>
    </row>
    <row r="5341" spans="2:5" ht="15" customHeight="1" thickBot="1" x14ac:dyDescent="0.35">
      <c r="B5341" s="96" t="s">
        <v>8377</v>
      </c>
      <c r="C5341" s="97">
        <v>543374</v>
      </c>
      <c r="D5341" s="96" t="s">
        <v>8378</v>
      </c>
      <c r="E5341" s="96" t="s">
        <v>8379</v>
      </c>
    </row>
    <row r="5342" spans="2:5" ht="15" customHeight="1" thickBot="1" x14ac:dyDescent="0.35">
      <c r="B5342" s="96" t="s">
        <v>8380</v>
      </c>
      <c r="C5342" s="97">
        <v>543375</v>
      </c>
      <c r="D5342" s="96" t="s">
        <v>8381</v>
      </c>
      <c r="E5342" s="96" t="s">
        <v>8382</v>
      </c>
    </row>
    <row r="5343" spans="2:5" ht="15" customHeight="1" thickBot="1" x14ac:dyDescent="0.35">
      <c r="B5343" s="96" t="s">
        <v>8383</v>
      </c>
      <c r="C5343" s="97">
        <v>543376</v>
      </c>
      <c r="D5343" s="96" t="s">
        <v>8384</v>
      </c>
      <c r="E5343" s="96" t="s">
        <v>8171</v>
      </c>
    </row>
    <row r="5344" spans="2:5" ht="15" customHeight="1" thickBot="1" x14ac:dyDescent="0.35">
      <c r="B5344" s="96" t="s">
        <v>8385</v>
      </c>
      <c r="C5344" s="97">
        <v>543377</v>
      </c>
      <c r="D5344" s="96" t="s">
        <v>8386</v>
      </c>
      <c r="E5344" s="96" t="s">
        <v>711</v>
      </c>
    </row>
    <row r="5345" spans="2:5" ht="15" customHeight="1" thickBot="1" x14ac:dyDescent="0.35">
      <c r="B5345" s="96" t="s">
        <v>8387</v>
      </c>
      <c r="C5345" s="97">
        <v>543378</v>
      </c>
      <c r="D5345" s="96" t="s">
        <v>8388</v>
      </c>
      <c r="E5345" s="96" t="s">
        <v>757</v>
      </c>
    </row>
    <row r="5346" spans="2:5" ht="15" customHeight="1" thickBot="1" x14ac:dyDescent="0.35">
      <c r="B5346" s="96" t="s">
        <v>8389</v>
      </c>
      <c r="C5346" s="97">
        <v>543383</v>
      </c>
      <c r="D5346" s="96" t="s">
        <v>8390</v>
      </c>
      <c r="E5346" s="96"/>
    </row>
    <row r="5347" spans="2:5" ht="15" customHeight="1" thickBot="1" x14ac:dyDescent="0.35">
      <c r="B5347" s="96" t="s">
        <v>8391</v>
      </c>
      <c r="C5347" s="97">
        <v>543384</v>
      </c>
      <c r="D5347" s="96" t="s">
        <v>8392</v>
      </c>
      <c r="E5347" s="96" t="s">
        <v>8304</v>
      </c>
    </row>
    <row r="5348" spans="2:5" ht="15" customHeight="1" thickBot="1" x14ac:dyDescent="0.35">
      <c r="B5348" s="96" t="s">
        <v>8393</v>
      </c>
      <c r="C5348" s="97">
        <v>543385</v>
      </c>
      <c r="D5348" s="96" t="s">
        <v>8394</v>
      </c>
      <c r="E5348" s="96" t="s">
        <v>8297</v>
      </c>
    </row>
    <row r="5349" spans="2:5" ht="15" customHeight="1" thickBot="1" x14ac:dyDescent="0.35">
      <c r="B5349" s="96" t="s">
        <v>8395</v>
      </c>
      <c r="C5349" s="97">
        <v>543386</v>
      </c>
      <c r="D5349" s="96" t="s">
        <v>8396</v>
      </c>
      <c r="E5349" s="96" t="s">
        <v>8239</v>
      </c>
    </row>
    <row r="5350" spans="2:5" ht="15" customHeight="1" thickBot="1" x14ac:dyDescent="0.35">
      <c r="B5350" s="96" t="s">
        <v>8397</v>
      </c>
      <c r="C5350" s="97">
        <v>543387</v>
      </c>
      <c r="D5350" s="96" t="s">
        <v>8398</v>
      </c>
      <c r="E5350" s="96" t="s">
        <v>8104</v>
      </c>
    </row>
    <row r="5351" spans="2:5" ht="15" customHeight="1" thickBot="1" x14ac:dyDescent="0.35">
      <c r="B5351" s="96" t="s">
        <v>8399</v>
      </c>
      <c r="C5351" s="97">
        <v>543388</v>
      </c>
      <c r="D5351" s="96" t="s">
        <v>8400</v>
      </c>
      <c r="E5351" s="96"/>
    </row>
    <row r="5352" spans="2:5" ht="15" customHeight="1" thickBot="1" x14ac:dyDescent="0.35">
      <c r="B5352" s="96" t="s">
        <v>8401</v>
      </c>
      <c r="C5352" s="97">
        <v>543389</v>
      </c>
      <c r="D5352" s="96" t="s">
        <v>8402</v>
      </c>
      <c r="E5352" s="96" t="s">
        <v>426</v>
      </c>
    </row>
    <row r="5353" spans="2:5" ht="15" customHeight="1" thickBot="1" x14ac:dyDescent="0.35">
      <c r="B5353" s="96" t="s">
        <v>8403</v>
      </c>
      <c r="C5353" s="97">
        <v>543390</v>
      </c>
      <c r="D5353" s="96" t="s">
        <v>8404</v>
      </c>
      <c r="E5353" s="96" t="s">
        <v>8245</v>
      </c>
    </row>
    <row r="5354" spans="2:5" ht="15" customHeight="1" thickBot="1" x14ac:dyDescent="0.35">
      <c r="B5354" s="96" t="s">
        <v>8405</v>
      </c>
      <c r="C5354" s="97">
        <v>543391</v>
      </c>
      <c r="D5354" s="96" t="s">
        <v>8406</v>
      </c>
      <c r="E5354" s="96" t="s">
        <v>8297</v>
      </c>
    </row>
    <row r="5355" spans="2:5" ht="15" customHeight="1" thickBot="1" x14ac:dyDescent="0.35">
      <c r="B5355" s="96" t="s">
        <v>8407</v>
      </c>
      <c r="C5355" s="97">
        <v>543396</v>
      </c>
      <c r="D5355" s="96" t="s">
        <v>8408</v>
      </c>
      <c r="E5355" s="96" t="s">
        <v>8245</v>
      </c>
    </row>
    <row r="5356" spans="2:5" ht="15" customHeight="1" thickBot="1" x14ac:dyDescent="0.35">
      <c r="B5356" s="96" t="s">
        <v>8409</v>
      </c>
      <c r="C5356" s="97">
        <v>543397</v>
      </c>
      <c r="D5356" s="96" t="s">
        <v>8410</v>
      </c>
      <c r="E5356" s="96" t="s">
        <v>877</v>
      </c>
    </row>
    <row r="5357" spans="2:5" ht="15" customHeight="1" thickBot="1" x14ac:dyDescent="0.35">
      <c r="B5357" s="96" t="s">
        <v>8411</v>
      </c>
      <c r="C5357" s="97">
        <v>543398</v>
      </c>
      <c r="D5357" s="96" t="s">
        <v>8412</v>
      </c>
      <c r="E5357" s="96" t="s">
        <v>8216</v>
      </c>
    </row>
    <row r="5358" spans="2:5" ht="15" customHeight="1" thickBot="1" x14ac:dyDescent="0.35">
      <c r="B5358" s="96" t="s">
        <v>8413</v>
      </c>
      <c r="C5358" s="97">
        <v>543399</v>
      </c>
      <c r="D5358" s="96" t="s">
        <v>8414</v>
      </c>
      <c r="E5358" s="96" t="s">
        <v>8207</v>
      </c>
    </row>
    <row r="5359" spans="2:5" ht="15" customHeight="1" thickBot="1" x14ac:dyDescent="0.35">
      <c r="B5359" s="96" t="s">
        <v>8415</v>
      </c>
      <c r="C5359" s="97">
        <v>543400</v>
      </c>
      <c r="D5359" s="96" t="s">
        <v>8416</v>
      </c>
      <c r="E5359" s="96" t="s">
        <v>8417</v>
      </c>
    </row>
    <row r="5360" spans="2:5" ht="15" customHeight="1" thickBot="1" x14ac:dyDescent="0.35">
      <c r="B5360" s="96" t="s">
        <v>8418</v>
      </c>
      <c r="C5360" s="97">
        <v>543401</v>
      </c>
      <c r="D5360" s="96" t="s">
        <v>8419</v>
      </c>
      <c r="E5360" s="96" t="s">
        <v>8420</v>
      </c>
    </row>
    <row r="5361" spans="2:5" ht="15" customHeight="1" thickBot="1" x14ac:dyDescent="0.35">
      <c r="B5361" s="96" t="s">
        <v>8421</v>
      </c>
      <c r="C5361" s="97">
        <v>543410</v>
      </c>
      <c r="D5361" s="96" t="s">
        <v>8422</v>
      </c>
      <c r="E5361" s="96" t="s">
        <v>472</v>
      </c>
    </row>
    <row r="5362" spans="2:5" ht="15" customHeight="1" thickBot="1" x14ac:dyDescent="0.35">
      <c r="B5362" s="96" t="s">
        <v>8423</v>
      </c>
      <c r="C5362" s="97">
        <v>543411</v>
      </c>
      <c r="D5362" s="96" t="s">
        <v>2916</v>
      </c>
      <c r="E5362" s="96" t="s">
        <v>711</v>
      </c>
    </row>
    <row r="5363" spans="2:5" ht="15" customHeight="1" thickBot="1" x14ac:dyDescent="0.35">
      <c r="B5363" s="96" t="s">
        <v>8424</v>
      </c>
      <c r="C5363" s="97">
        <v>543412</v>
      </c>
      <c r="D5363" s="96" t="s">
        <v>8425</v>
      </c>
      <c r="E5363" s="96" t="s">
        <v>2470</v>
      </c>
    </row>
    <row r="5364" spans="2:5" ht="15" customHeight="1" thickBot="1" x14ac:dyDescent="0.35">
      <c r="B5364" s="96" t="s">
        <v>8426</v>
      </c>
      <c r="C5364" s="97">
        <v>543413</v>
      </c>
      <c r="D5364" s="96" t="s">
        <v>8427</v>
      </c>
      <c r="E5364" s="96" t="s">
        <v>8428</v>
      </c>
    </row>
    <row r="5365" spans="2:5" ht="15" customHeight="1" thickBot="1" x14ac:dyDescent="0.35">
      <c r="B5365" s="96" t="s">
        <v>8429</v>
      </c>
      <c r="C5365" s="97">
        <v>543414</v>
      </c>
      <c r="D5365" s="96" t="s">
        <v>8430</v>
      </c>
      <c r="E5365" s="96"/>
    </row>
    <row r="5366" spans="2:5" ht="15" customHeight="1" thickBot="1" x14ac:dyDescent="0.35">
      <c r="B5366" s="96" t="s">
        <v>8431</v>
      </c>
      <c r="C5366" s="97">
        <v>543415</v>
      </c>
      <c r="D5366" s="96" t="s">
        <v>8432</v>
      </c>
      <c r="E5366" s="96" t="s">
        <v>8433</v>
      </c>
    </row>
    <row r="5367" spans="2:5" ht="15" customHeight="1" thickBot="1" x14ac:dyDescent="0.35">
      <c r="B5367" s="96" t="s">
        <v>8434</v>
      </c>
      <c r="C5367" s="97">
        <v>543416</v>
      </c>
      <c r="D5367" s="96" t="s">
        <v>7315</v>
      </c>
      <c r="E5367" s="96" t="s">
        <v>8382</v>
      </c>
    </row>
    <row r="5368" spans="2:5" ht="15" customHeight="1" thickBot="1" x14ac:dyDescent="0.35">
      <c r="B5368" s="96" t="s">
        <v>8435</v>
      </c>
      <c r="C5368" s="97">
        <v>543417</v>
      </c>
      <c r="D5368" s="96" t="s">
        <v>8436</v>
      </c>
      <c r="E5368" s="96" t="s">
        <v>8216</v>
      </c>
    </row>
    <row r="5369" spans="2:5" ht="15" customHeight="1" thickBot="1" x14ac:dyDescent="0.35">
      <c r="B5369" s="96" t="s">
        <v>8437</v>
      </c>
      <c r="C5369" s="97">
        <v>543419</v>
      </c>
      <c r="D5369" s="96" t="s">
        <v>8438</v>
      </c>
      <c r="E5369" s="96" t="s">
        <v>8171</v>
      </c>
    </row>
    <row r="5370" spans="2:5" ht="15" customHeight="1" thickBot="1" x14ac:dyDescent="0.35">
      <c r="B5370" s="96" t="s">
        <v>8439</v>
      </c>
      <c r="C5370" s="97">
        <v>543420</v>
      </c>
      <c r="D5370" s="96" t="s">
        <v>3361</v>
      </c>
      <c r="E5370" s="96" t="s">
        <v>8440</v>
      </c>
    </row>
    <row r="5371" spans="2:5" ht="15" customHeight="1" thickBot="1" x14ac:dyDescent="0.35">
      <c r="B5371" s="96" t="s">
        <v>8441</v>
      </c>
      <c r="C5371" s="97">
        <v>543425</v>
      </c>
      <c r="D5371" s="96" t="s">
        <v>8442</v>
      </c>
      <c r="E5371" s="96" t="s">
        <v>8443</v>
      </c>
    </row>
    <row r="5372" spans="2:5" ht="15" customHeight="1" thickBot="1" x14ac:dyDescent="0.35">
      <c r="B5372" s="96" t="s">
        <v>8444</v>
      </c>
      <c r="C5372" s="97">
        <v>543426</v>
      </c>
      <c r="D5372" s="96" t="s">
        <v>8445</v>
      </c>
      <c r="E5372" s="96" t="s">
        <v>814</v>
      </c>
    </row>
    <row r="5373" spans="2:5" ht="15" customHeight="1" thickBot="1" x14ac:dyDescent="0.35">
      <c r="B5373" s="96" t="s">
        <v>8446</v>
      </c>
      <c r="C5373" s="97">
        <v>543427</v>
      </c>
      <c r="D5373" s="96" t="s">
        <v>8447</v>
      </c>
      <c r="E5373" s="96" t="s">
        <v>8448</v>
      </c>
    </row>
    <row r="5374" spans="2:5" ht="15" customHeight="1" thickBot="1" x14ac:dyDescent="0.35">
      <c r="B5374" s="96" t="s">
        <v>8449</v>
      </c>
      <c r="C5374" s="97">
        <v>543428</v>
      </c>
      <c r="D5374" s="96" t="s">
        <v>8450</v>
      </c>
      <c r="E5374" s="96" t="s">
        <v>8219</v>
      </c>
    </row>
    <row r="5375" spans="2:5" ht="15" customHeight="1" thickBot="1" x14ac:dyDescent="0.35">
      <c r="B5375" s="96" t="s">
        <v>8451</v>
      </c>
      <c r="C5375" s="97">
        <v>543433</v>
      </c>
      <c r="D5375" s="96" t="s">
        <v>8452</v>
      </c>
      <c r="E5375" s="96" t="s">
        <v>548</v>
      </c>
    </row>
    <row r="5376" spans="2:5" ht="15" customHeight="1" thickBot="1" x14ac:dyDescent="0.35">
      <c r="B5376" s="96" t="s">
        <v>8453</v>
      </c>
      <c r="C5376" s="97">
        <v>543434</v>
      </c>
      <c r="D5376" s="96" t="s">
        <v>8454</v>
      </c>
      <c r="E5376" s="96" t="s">
        <v>426</v>
      </c>
    </row>
    <row r="5377" spans="2:5" ht="15" customHeight="1" thickBot="1" x14ac:dyDescent="0.35">
      <c r="B5377" s="96" t="s">
        <v>8455</v>
      </c>
      <c r="C5377" s="97">
        <v>543435</v>
      </c>
      <c r="D5377" s="96" t="s">
        <v>8456</v>
      </c>
      <c r="E5377" s="96" t="s">
        <v>8254</v>
      </c>
    </row>
    <row r="5378" spans="2:5" ht="15" customHeight="1" thickBot="1" x14ac:dyDescent="0.35">
      <c r="B5378" s="96" t="s">
        <v>8457</v>
      </c>
      <c r="C5378" s="97">
        <v>543436</v>
      </c>
      <c r="D5378" s="96" t="s">
        <v>8458</v>
      </c>
      <c r="E5378" s="96" t="s">
        <v>8216</v>
      </c>
    </row>
    <row r="5379" spans="2:5" ht="15" customHeight="1" thickBot="1" x14ac:dyDescent="0.35">
      <c r="B5379" s="96" t="s">
        <v>8459</v>
      </c>
      <c r="C5379" s="97">
        <v>543437</v>
      </c>
      <c r="D5379" s="96" t="s">
        <v>8460</v>
      </c>
      <c r="E5379" s="96"/>
    </row>
    <row r="5380" spans="2:5" ht="15" customHeight="1" thickBot="1" x14ac:dyDescent="0.35">
      <c r="B5380" s="96" t="s">
        <v>8461</v>
      </c>
      <c r="C5380" s="97">
        <v>543438</v>
      </c>
      <c r="D5380" s="96" t="s">
        <v>8462</v>
      </c>
      <c r="E5380" s="96"/>
    </row>
    <row r="5381" spans="2:5" ht="15" customHeight="1" thickBot="1" x14ac:dyDescent="0.35">
      <c r="B5381" s="96" t="s">
        <v>8463</v>
      </c>
      <c r="C5381" s="97">
        <v>543439</v>
      </c>
      <c r="D5381" s="96" t="s">
        <v>8464</v>
      </c>
      <c r="E5381" s="96" t="s">
        <v>8342</v>
      </c>
    </row>
    <row r="5382" spans="2:5" ht="15" customHeight="1" thickBot="1" x14ac:dyDescent="0.35">
      <c r="B5382" s="96" t="s">
        <v>8465</v>
      </c>
      <c r="C5382" s="97">
        <v>543440</v>
      </c>
      <c r="D5382" s="96" t="s">
        <v>8466</v>
      </c>
      <c r="E5382" s="96"/>
    </row>
    <row r="5383" spans="2:5" ht="15" customHeight="1" thickBot="1" x14ac:dyDescent="0.35">
      <c r="B5383" s="96" t="s">
        <v>8467</v>
      </c>
      <c r="C5383" s="97">
        <v>543441</v>
      </c>
      <c r="D5383" s="96" t="s">
        <v>8468</v>
      </c>
      <c r="E5383" s="96" t="s">
        <v>7342</v>
      </c>
    </row>
    <row r="5384" spans="2:5" ht="15" customHeight="1" thickBot="1" x14ac:dyDescent="0.35">
      <c r="B5384" s="96" t="s">
        <v>8469</v>
      </c>
      <c r="C5384" s="97">
        <v>543442</v>
      </c>
      <c r="D5384" s="96" t="s">
        <v>1444</v>
      </c>
      <c r="E5384" s="96" t="s">
        <v>8420</v>
      </c>
    </row>
    <row r="5385" spans="2:5" ht="15" customHeight="1" thickBot="1" x14ac:dyDescent="0.35">
      <c r="B5385" s="96" t="s">
        <v>8470</v>
      </c>
      <c r="C5385" s="97">
        <v>543443</v>
      </c>
      <c r="D5385" s="96" t="s">
        <v>8471</v>
      </c>
      <c r="E5385" s="96" t="s">
        <v>493</v>
      </c>
    </row>
    <row r="5386" spans="2:5" ht="15" customHeight="1" thickBot="1" x14ac:dyDescent="0.35">
      <c r="B5386" s="96" t="s">
        <v>8472</v>
      </c>
      <c r="C5386" s="97">
        <v>543444</v>
      </c>
      <c r="D5386" s="96" t="s">
        <v>8473</v>
      </c>
      <c r="E5386" s="96" t="s">
        <v>426</v>
      </c>
    </row>
    <row r="5387" spans="2:5" ht="15" customHeight="1" thickBot="1" x14ac:dyDescent="0.35">
      <c r="B5387" s="96" t="s">
        <v>8474</v>
      </c>
      <c r="C5387" s="97">
        <v>543449</v>
      </c>
      <c r="D5387" s="96" t="s">
        <v>8475</v>
      </c>
      <c r="E5387" s="96" t="s">
        <v>1152</v>
      </c>
    </row>
    <row r="5388" spans="2:5" ht="15" customHeight="1" thickBot="1" x14ac:dyDescent="0.35">
      <c r="B5388" s="96" t="s">
        <v>8476</v>
      </c>
      <c r="C5388" s="97">
        <v>543450</v>
      </c>
      <c r="D5388" s="96" t="s">
        <v>8477</v>
      </c>
      <c r="E5388" s="96"/>
    </row>
    <row r="5389" spans="2:5" ht="15" customHeight="1" thickBot="1" x14ac:dyDescent="0.35">
      <c r="B5389" s="96" t="s">
        <v>8478</v>
      </c>
      <c r="C5389" s="97">
        <v>543451</v>
      </c>
      <c r="D5389" s="96" t="s">
        <v>8479</v>
      </c>
      <c r="E5389" s="96" t="s">
        <v>7342</v>
      </c>
    </row>
    <row r="5390" spans="2:5" ht="15" customHeight="1" thickBot="1" x14ac:dyDescent="0.35">
      <c r="B5390" s="96" t="s">
        <v>8480</v>
      </c>
      <c r="C5390" s="97">
        <v>543452</v>
      </c>
      <c r="D5390" s="96" t="s">
        <v>8481</v>
      </c>
      <c r="E5390" s="96"/>
    </row>
    <row r="5391" spans="2:5" ht="15" customHeight="1" thickBot="1" x14ac:dyDescent="0.35">
      <c r="B5391" s="96" t="s">
        <v>8482</v>
      </c>
      <c r="C5391" s="97">
        <v>543453</v>
      </c>
      <c r="D5391" s="96" t="s">
        <v>8483</v>
      </c>
      <c r="E5391" s="96" t="s">
        <v>8484</v>
      </c>
    </row>
    <row r="5392" spans="2:5" ht="15" customHeight="1" thickBot="1" x14ac:dyDescent="0.35">
      <c r="B5392" s="96" t="s">
        <v>8485</v>
      </c>
      <c r="C5392" s="97">
        <v>543454</v>
      </c>
      <c r="D5392" s="96" t="s">
        <v>8486</v>
      </c>
      <c r="E5392" s="96"/>
    </row>
    <row r="5393" spans="2:5" ht="15" customHeight="1" thickBot="1" x14ac:dyDescent="0.35">
      <c r="B5393" s="96" t="s">
        <v>8487</v>
      </c>
      <c r="C5393" s="97">
        <v>543458</v>
      </c>
      <c r="D5393" s="96" t="s">
        <v>8488</v>
      </c>
      <c r="E5393" s="96" t="s">
        <v>8128</v>
      </c>
    </row>
    <row r="5394" spans="2:5" ht="15" customHeight="1" thickBot="1" x14ac:dyDescent="0.35">
      <c r="B5394" s="96" t="s">
        <v>8489</v>
      </c>
      <c r="C5394" s="97">
        <v>543460</v>
      </c>
      <c r="D5394" s="96" t="s">
        <v>8490</v>
      </c>
      <c r="E5394" s="96" t="s">
        <v>396</v>
      </c>
    </row>
    <row r="5395" spans="2:5" ht="15" customHeight="1" thickBot="1" x14ac:dyDescent="0.35">
      <c r="B5395" s="96" t="s">
        <v>8491</v>
      </c>
      <c r="C5395" s="97">
        <v>543461</v>
      </c>
      <c r="D5395" s="96" t="s">
        <v>8492</v>
      </c>
      <c r="E5395" s="96" t="s">
        <v>8121</v>
      </c>
    </row>
    <row r="5396" spans="2:5" ht="15" customHeight="1" thickBot="1" x14ac:dyDescent="0.35">
      <c r="B5396" s="96" t="s">
        <v>8493</v>
      </c>
      <c r="C5396" s="97">
        <v>543462</v>
      </c>
      <c r="D5396" s="96" t="s">
        <v>1919</v>
      </c>
      <c r="E5396" s="96" t="s">
        <v>8494</v>
      </c>
    </row>
    <row r="5397" spans="2:5" ht="15" customHeight="1" thickBot="1" x14ac:dyDescent="0.35">
      <c r="B5397" s="96" t="s">
        <v>8495</v>
      </c>
      <c r="C5397" s="97">
        <v>543463</v>
      </c>
      <c r="D5397" s="96" t="s">
        <v>8496</v>
      </c>
      <c r="E5397" s="96" t="s">
        <v>8420</v>
      </c>
    </row>
    <row r="5398" spans="2:5" ht="15" customHeight="1" thickBot="1" x14ac:dyDescent="0.35">
      <c r="B5398" s="96" t="s">
        <v>8497</v>
      </c>
      <c r="C5398" s="97">
        <v>543464</v>
      </c>
      <c r="D5398" s="96" t="s">
        <v>8498</v>
      </c>
      <c r="E5398" s="96" t="s">
        <v>1433</v>
      </c>
    </row>
    <row r="5399" spans="2:5" ht="15" customHeight="1" thickBot="1" x14ac:dyDescent="0.35">
      <c r="B5399" s="96" t="s">
        <v>8499</v>
      </c>
      <c r="C5399" s="97">
        <v>543465</v>
      </c>
      <c r="D5399" s="96" t="s">
        <v>8500</v>
      </c>
      <c r="E5399" s="96"/>
    </row>
    <row r="5400" spans="2:5" ht="15" customHeight="1" thickBot="1" x14ac:dyDescent="0.35">
      <c r="B5400" s="96" t="s">
        <v>8501</v>
      </c>
      <c r="C5400" s="97">
        <v>543470</v>
      </c>
      <c r="D5400" s="96" t="s">
        <v>6043</v>
      </c>
      <c r="E5400" s="96" t="s">
        <v>8216</v>
      </c>
    </row>
    <row r="5401" spans="2:5" ht="15" customHeight="1" thickBot="1" x14ac:dyDescent="0.35">
      <c r="B5401" s="96" t="s">
        <v>8502</v>
      </c>
      <c r="C5401" s="97">
        <v>543471</v>
      </c>
      <c r="D5401" s="96" t="s">
        <v>8503</v>
      </c>
      <c r="E5401" s="96"/>
    </row>
    <row r="5402" spans="2:5" ht="15" customHeight="1" thickBot="1" x14ac:dyDescent="0.35">
      <c r="B5402" s="96" t="s">
        <v>8504</v>
      </c>
      <c r="C5402" s="97">
        <v>543472</v>
      </c>
      <c r="D5402" s="96" t="s">
        <v>8505</v>
      </c>
      <c r="E5402" s="96"/>
    </row>
    <row r="5403" spans="2:5" ht="15" customHeight="1" thickBot="1" x14ac:dyDescent="0.35">
      <c r="B5403" s="96" t="s">
        <v>8506</v>
      </c>
      <c r="C5403" s="97">
        <v>543473</v>
      </c>
      <c r="D5403" s="96" t="s">
        <v>8507</v>
      </c>
      <c r="E5403" s="96"/>
    </row>
    <row r="5404" spans="2:5" ht="15" customHeight="1" thickBot="1" x14ac:dyDescent="0.35">
      <c r="B5404" s="96" t="s">
        <v>8508</v>
      </c>
      <c r="C5404" s="97">
        <v>543474</v>
      </c>
      <c r="D5404" s="96" t="s">
        <v>8509</v>
      </c>
      <c r="E5404" s="96"/>
    </row>
    <row r="5405" spans="2:5" ht="15" customHeight="1" thickBot="1" x14ac:dyDescent="0.35">
      <c r="B5405" s="96" t="s">
        <v>8510</v>
      </c>
      <c r="C5405" s="97">
        <v>543475</v>
      </c>
      <c r="D5405" s="96" t="s">
        <v>8511</v>
      </c>
      <c r="E5405" s="96" t="s">
        <v>8494</v>
      </c>
    </row>
    <row r="5406" spans="2:5" ht="15" customHeight="1" thickBot="1" x14ac:dyDescent="0.35">
      <c r="B5406" s="96" t="s">
        <v>8512</v>
      </c>
      <c r="C5406" s="97">
        <v>543481</v>
      </c>
      <c r="D5406" s="96" t="s">
        <v>8513</v>
      </c>
      <c r="E5406" s="96"/>
    </row>
    <row r="5407" spans="2:5" ht="15" customHeight="1" thickBot="1" x14ac:dyDescent="0.35">
      <c r="B5407" s="96" t="s">
        <v>8514</v>
      </c>
      <c r="C5407" s="97">
        <v>543482</v>
      </c>
      <c r="D5407" s="96" t="s">
        <v>8515</v>
      </c>
      <c r="E5407" s="96" t="s">
        <v>1152</v>
      </c>
    </row>
    <row r="5408" spans="2:5" ht="15" customHeight="1" thickBot="1" x14ac:dyDescent="0.35">
      <c r="B5408" s="96" t="s">
        <v>8516</v>
      </c>
      <c r="C5408" s="97">
        <v>543489</v>
      </c>
      <c r="D5408" s="96" t="s">
        <v>8517</v>
      </c>
      <c r="E5408" s="96" t="s">
        <v>8440</v>
      </c>
    </row>
    <row r="5409" spans="2:5" ht="15" customHeight="1" thickBot="1" x14ac:dyDescent="0.35">
      <c r="B5409" s="96" t="s">
        <v>8518</v>
      </c>
      <c r="C5409" s="97">
        <v>543490</v>
      </c>
      <c r="D5409" s="96" t="s">
        <v>8519</v>
      </c>
      <c r="E5409" s="96" t="s">
        <v>8382</v>
      </c>
    </row>
    <row r="5410" spans="2:5" ht="15" customHeight="1" thickBot="1" x14ac:dyDescent="0.35">
      <c r="B5410" s="96" t="s">
        <v>8520</v>
      </c>
      <c r="C5410" s="97">
        <v>543497</v>
      </c>
      <c r="D5410" s="96" t="s">
        <v>8521</v>
      </c>
      <c r="E5410" s="96" t="s">
        <v>548</v>
      </c>
    </row>
    <row r="5411" spans="2:5" ht="15" customHeight="1" thickBot="1" x14ac:dyDescent="0.35">
      <c r="B5411" s="96" t="s">
        <v>8522</v>
      </c>
      <c r="C5411" s="97">
        <v>543498</v>
      </c>
      <c r="D5411" s="96" t="s">
        <v>8523</v>
      </c>
      <c r="E5411" s="96" t="s">
        <v>8104</v>
      </c>
    </row>
    <row r="5412" spans="2:5" ht="15" customHeight="1" thickBot="1" x14ac:dyDescent="0.35">
      <c r="B5412" s="96" t="s">
        <v>8524</v>
      </c>
      <c r="C5412" s="97">
        <v>543499</v>
      </c>
      <c r="D5412" s="96" t="s">
        <v>8525</v>
      </c>
      <c r="E5412" s="96" t="s">
        <v>426</v>
      </c>
    </row>
    <row r="5413" spans="2:5" ht="15" customHeight="1" thickBot="1" x14ac:dyDescent="0.35">
      <c r="B5413" s="96" t="s">
        <v>8526</v>
      </c>
      <c r="C5413" s="97">
        <v>543500</v>
      </c>
      <c r="D5413" s="96" t="s">
        <v>8527</v>
      </c>
      <c r="E5413" s="96" t="s">
        <v>8121</v>
      </c>
    </row>
    <row r="5414" spans="2:5" ht="15" customHeight="1" thickBot="1" x14ac:dyDescent="0.35">
      <c r="B5414" s="96" t="s">
        <v>8528</v>
      </c>
      <c r="C5414" s="97">
        <v>543501</v>
      </c>
      <c r="D5414" s="96" t="s">
        <v>8529</v>
      </c>
      <c r="E5414" s="96"/>
    </row>
    <row r="5415" spans="2:5" ht="15" customHeight="1" thickBot="1" x14ac:dyDescent="0.35">
      <c r="B5415" s="96" t="s">
        <v>8530</v>
      </c>
      <c r="C5415" s="97">
        <v>543512</v>
      </c>
      <c r="D5415" s="96" t="s">
        <v>8531</v>
      </c>
      <c r="E5415" s="96" t="s">
        <v>8532</v>
      </c>
    </row>
    <row r="5416" spans="2:5" ht="15" customHeight="1" thickBot="1" x14ac:dyDescent="0.35">
      <c r="B5416" s="96" t="s">
        <v>8533</v>
      </c>
      <c r="C5416" s="97">
        <v>543513</v>
      </c>
      <c r="D5416" s="96" t="s">
        <v>8534</v>
      </c>
      <c r="E5416" s="96" t="s">
        <v>8121</v>
      </c>
    </row>
    <row r="5417" spans="2:5" ht="15" customHeight="1" thickBot="1" x14ac:dyDescent="0.35">
      <c r="B5417" s="96" t="s">
        <v>8535</v>
      </c>
      <c r="C5417" s="97">
        <v>543514</v>
      </c>
      <c r="D5417" s="96" t="s">
        <v>8536</v>
      </c>
      <c r="E5417" s="96" t="s">
        <v>8153</v>
      </c>
    </row>
    <row r="5418" spans="2:5" ht="15" customHeight="1" thickBot="1" x14ac:dyDescent="0.35">
      <c r="B5418" s="96" t="s">
        <v>8537</v>
      </c>
      <c r="C5418" s="97">
        <v>543515</v>
      </c>
      <c r="D5418" s="96" t="s">
        <v>8538</v>
      </c>
      <c r="E5418" s="96" t="s">
        <v>8121</v>
      </c>
    </row>
    <row r="5419" spans="2:5" ht="15" customHeight="1" thickBot="1" x14ac:dyDescent="0.35">
      <c r="B5419" s="96" t="s">
        <v>8539</v>
      </c>
      <c r="C5419" s="97">
        <v>543516</v>
      </c>
      <c r="D5419" s="96" t="s">
        <v>8540</v>
      </c>
      <c r="E5419" s="96" t="s">
        <v>8121</v>
      </c>
    </row>
    <row r="5420" spans="2:5" ht="15" customHeight="1" thickBot="1" x14ac:dyDescent="0.35">
      <c r="B5420" s="96" t="s">
        <v>8541</v>
      </c>
      <c r="C5420" s="97">
        <v>543517</v>
      </c>
      <c r="D5420" s="96" t="s">
        <v>8542</v>
      </c>
      <c r="E5420" s="96" t="s">
        <v>711</v>
      </c>
    </row>
    <row r="5421" spans="2:5" ht="15" customHeight="1" thickBot="1" x14ac:dyDescent="0.35">
      <c r="B5421" s="96" t="s">
        <v>8543</v>
      </c>
      <c r="C5421" s="97">
        <v>543518</v>
      </c>
      <c r="D5421" s="96" t="s">
        <v>8544</v>
      </c>
      <c r="E5421" s="96" t="s">
        <v>8138</v>
      </c>
    </row>
    <row r="5422" spans="2:5" ht="15" customHeight="1" thickBot="1" x14ac:dyDescent="0.35">
      <c r="B5422" s="96" t="s">
        <v>8545</v>
      </c>
      <c r="C5422" s="97">
        <v>543519</v>
      </c>
      <c r="D5422" s="96" t="s">
        <v>8546</v>
      </c>
      <c r="E5422" s="96" t="s">
        <v>8320</v>
      </c>
    </row>
    <row r="5423" spans="2:5" ht="15" customHeight="1" thickBot="1" x14ac:dyDescent="0.35">
      <c r="B5423" s="96" t="s">
        <v>8547</v>
      </c>
      <c r="C5423" s="97">
        <v>543520</v>
      </c>
      <c r="D5423" s="96" t="s">
        <v>8548</v>
      </c>
      <c r="E5423" s="96" t="s">
        <v>8286</v>
      </c>
    </row>
    <row r="5424" spans="2:5" ht="15" customHeight="1" thickBot="1" x14ac:dyDescent="0.35">
      <c r="B5424" s="96" t="s">
        <v>8549</v>
      </c>
      <c r="C5424" s="97">
        <v>543521</v>
      </c>
      <c r="D5424" s="96" t="s">
        <v>8550</v>
      </c>
      <c r="E5424" s="96" t="s">
        <v>8304</v>
      </c>
    </row>
    <row r="5425" spans="2:5" ht="15" customHeight="1" thickBot="1" x14ac:dyDescent="0.35">
      <c r="B5425" s="96" t="s">
        <v>8551</v>
      </c>
      <c r="C5425" s="97">
        <v>543522</v>
      </c>
      <c r="D5425" s="96" t="s">
        <v>8552</v>
      </c>
      <c r="E5425" s="96" t="s">
        <v>8553</v>
      </c>
    </row>
    <row r="5426" spans="2:5" ht="15" customHeight="1" thickBot="1" x14ac:dyDescent="0.35">
      <c r="B5426" s="96" t="s">
        <v>8554</v>
      </c>
      <c r="C5426" s="97">
        <v>543523</v>
      </c>
      <c r="D5426" s="96" t="s">
        <v>8555</v>
      </c>
      <c r="E5426" s="96" t="s">
        <v>814</v>
      </c>
    </row>
    <row r="5427" spans="2:5" ht="15" customHeight="1" thickBot="1" x14ac:dyDescent="0.35">
      <c r="B5427" s="96" t="s">
        <v>8556</v>
      </c>
      <c r="C5427" s="97">
        <v>543524</v>
      </c>
      <c r="D5427" s="96" t="s">
        <v>8557</v>
      </c>
      <c r="E5427" s="96" t="s">
        <v>8286</v>
      </c>
    </row>
    <row r="5428" spans="2:5" ht="15" customHeight="1" thickBot="1" x14ac:dyDescent="0.35">
      <c r="B5428" s="96" t="s">
        <v>8558</v>
      </c>
      <c r="C5428" s="97">
        <v>543525</v>
      </c>
      <c r="D5428" s="96" t="s">
        <v>5956</v>
      </c>
      <c r="E5428" s="96" t="s">
        <v>8494</v>
      </c>
    </row>
    <row r="5429" spans="2:5" ht="15" customHeight="1" thickBot="1" x14ac:dyDescent="0.35">
      <c r="B5429" s="96" t="s">
        <v>8559</v>
      </c>
      <c r="C5429" s="97">
        <v>543526</v>
      </c>
      <c r="D5429" s="96" t="s">
        <v>8560</v>
      </c>
      <c r="E5429" s="96" t="s">
        <v>2800</v>
      </c>
    </row>
    <row r="5430" spans="2:5" ht="15" customHeight="1" thickBot="1" x14ac:dyDescent="0.35">
      <c r="B5430" s="96" t="s">
        <v>8561</v>
      </c>
      <c r="C5430" s="97">
        <v>543527</v>
      </c>
      <c r="D5430" s="96" t="s">
        <v>8562</v>
      </c>
      <c r="E5430" s="96" t="s">
        <v>8433</v>
      </c>
    </row>
    <row r="5431" spans="2:5" ht="15" customHeight="1" thickBot="1" x14ac:dyDescent="0.35">
      <c r="B5431" s="96" t="s">
        <v>8563</v>
      </c>
      <c r="C5431" s="97">
        <v>543528</v>
      </c>
      <c r="D5431" s="96" t="s">
        <v>8564</v>
      </c>
      <c r="E5431" s="96" t="s">
        <v>711</v>
      </c>
    </row>
    <row r="5432" spans="2:5" ht="15" customHeight="1" thickBot="1" x14ac:dyDescent="0.35">
      <c r="B5432" s="96" t="s">
        <v>8565</v>
      </c>
      <c r="C5432" s="97">
        <v>543529</v>
      </c>
      <c r="D5432" s="96" t="s">
        <v>8566</v>
      </c>
      <c r="E5432" s="96" t="s">
        <v>8440</v>
      </c>
    </row>
    <row r="5433" spans="2:5" ht="15" customHeight="1" thickBot="1" x14ac:dyDescent="0.35">
      <c r="B5433" s="96" t="s">
        <v>8567</v>
      </c>
      <c r="C5433" s="97">
        <v>543530</v>
      </c>
      <c r="D5433" s="96" t="s">
        <v>8568</v>
      </c>
      <c r="E5433" s="96" t="s">
        <v>896</v>
      </c>
    </row>
    <row r="5434" spans="2:5" ht="15" customHeight="1" thickBot="1" x14ac:dyDescent="0.35">
      <c r="B5434" s="96" t="s">
        <v>8569</v>
      </c>
      <c r="C5434" s="97">
        <v>543531</v>
      </c>
      <c r="D5434" s="96" t="s">
        <v>8570</v>
      </c>
      <c r="E5434" s="96" t="s">
        <v>586</v>
      </c>
    </row>
    <row r="5435" spans="2:5" ht="15" customHeight="1" thickBot="1" x14ac:dyDescent="0.35">
      <c r="B5435" s="96" t="s">
        <v>8571</v>
      </c>
      <c r="C5435" s="97">
        <v>543532</v>
      </c>
      <c r="D5435" s="96" t="s">
        <v>8572</v>
      </c>
      <c r="E5435" s="96" t="s">
        <v>8138</v>
      </c>
    </row>
    <row r="5436" spans="2:5" ht="15" customHeight="1" thickBot="1" x14ac:dyDescent="0.35">
      <c r="B5436" s="96" t="s">
        <v>8573</v>
      </c>
      <c r="C5436" s="97">
        <v>543533</v>
      </c>
      <c r="D5436" s="96" t="s">
        <v>8574</v>
      </c>
      <c r="E5436" s="96" t="s">
        <v>8494</v>
      </c>
    </row>
    <row r="5437" spans="2:5" ht="15" customHeight="1" thickBot="1" x14ac:dyDescent="0.35">
      <c r="B5437" s="96" t="s">
        <v>8575</v>
      </c>
      <c r="C5437" s="97">
        <v>543534</v>
      </c>
      <c r="D5437" s="96" t="s">
        <v>8576</v>
      </c>
      <c r="E5437" s="96" t="s">
        <v>548</v>
      </c>
    </row>
    <row r="5438" spans="2:5" ht="15" customHeight="1" thickBot="1" x14ac:dyDescent="0.35">
      <c r="B5438" s="96" t="s">
        <v>8577</v>
      </c>
      <c r="C5438" s="97">
        <v>543535</v>
      </c>
      <c r="D5438" s="96" t="s">
        <v>8578</v>
      </c>
      <c r="E5438" s="96" t="s">
        <v>8357</v>
      </c>
    </row>
    <row r="5439" spans="2:5" ht="15" customHeight="1" thickBot="1" x14ac:dyDescent="0.35">
      <c r="B5439" s="96" t="s">
        <v>8579</v>
      </c>
      <c r="C5439" s="97">
        <v>543536</v>
      </c>
      <c r="D5439" s="96" t="s">
        <v>8580</v>
      </c>
      <c r="E5439" s="96" t="s">
        <v>8113</v>
      </c>
    </row>
    <row r="5440" spans="2:5" ht="15" customHeight="1" thickBot="1" x14ac:dyDescent="0.35">
      <c r="B5440" s="96" t="s">
        <v>8581</v>
      </c>
      <c r="C5440" s="97">
        <v>590136</v>
      </c>
      <c r="D5440" s="96" t="s">
        <v>8582</v>
      </c>
      <c r="E5440" s="96"/>
    </row>
    <row r="5441" spans="2:5" ht="15" customHeight="1" thickBot="1" x14ac:dyDescent="0.35">
      <c r="B5441" s="96" t="s">
        <v>8583</v>
      </c>
      <c r="C5441" s="97">
        <v>590137</v>
      </c>
      <c r="D5441" s="96" t="s">
        <v>8584</v>
      </c>
      <c r="E5441" s="96"/>
    </row>
    <row r="5442" spans="2:5" ht="15" customHeight="1" thickBot="1" x14ac:dyDescent="0.35">
      <c r="B5442" s="96" t="s">
        <v>8585</v>
      </c>
      <c r="C5442" s="97">
        <v>590138</v>
      </c>
      <c r="D5442" s="96" t="s">
        <v>8586</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2026-09-23T19:25:31Z</dcterms:modified>
</cp:coreProperties>
</file>