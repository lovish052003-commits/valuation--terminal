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exports\"/>
    </mc:Choice>
  </mc:AlternateContent>
  <xr:revisionPtr revIDLastSave="0" documentId="13_ncr:1_{7F655C29-069C-4389-85C2-97CDC7ADA9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t Valu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9" i="1" l="1"/>
  <c r="C66" i="1"/>
  <c r="E57" i="1"/>
  <c r="E56" i="1"/>
  <c r="E55" i="1"/>
  <c r="E54" i="1"/>
  <c r="E53" i="1"/>
  <c r="E52" i="1"/>
  <c r="C58" i="1" s="1"/>
  <c r="C59" i="1" s="1"/>
  <c r="C64" i="1" s="1"/>
  <c r="C48" i="1"/>
  <c r="E48" i="1" s="1"/>
  <c r="C21" i="1"/>
  <c r="C12" i="1"/>
  <c r="C11" i="1"/>
  <c r="C9" i="1"/>
  <c r="C7" i="1"/>
  <c r="D27" i="1" l="1"/>
  <c r="C14" i="1"/>
  <c r="C37" i="1" s="1"/>
  <c r="C41" i="1"/>
  <c r="E41" i="1" s="1"/>
  <c r="C15" i="1"/>
  <c r="E72" i="1"/>
  <c r="D72" i="1"/>
  <c r="C72" i="1"/>
  <c r="C23" i="1"/>
  <c r="C65" i="1"/>
  <c r="C67" i="1" s="1"/>
  <c r="C68" i="1" s="1"/>
  <c r="B76" i="1" l="1"/>
  <c r="B75" i="1"/>
  <c r="B74" i="1"/>
  <c r="B73" i="1"/>
  <c r="C36" i="1"/>
  <c r="C42" i="1" s="1"/>
  <c r="C43" i="1" s="1"/>
  <c r="M28" i="1"/>
  <c r="L28" i="1"/>
  <c r="K28" i="1"/>
  <c r="J28" i="1"/>
  <c r="I28" i="1"/>
  <c r="H28" i="1"/>
  <c r="G28" i="1"/>
  <c r="F28" i="1"/>
  <c r="E28" i="1"/>
  <c r="D28" i="1"/>
  <c r="D29" i="1" s="1"/>
  <c r="D31" i="1" s="1"/>
  <c r="D30" i="1"/>
  <c r="E27" i="1" s="1"/>
  <c r="E30" i="1" s="1"/>
  <c r="F27" i="1" s="1"/>
  <c r="F30" i="1" s="1"/>
  <c r="G27" i="1" s="1"/>
  <c r="G30" i="1" s="1"/>
  <c r="H27" i="1" s="1"/>
  <c r="H30" i="1" s="1"/>
  <c r="I27" i="1" s="1"/>
  <c r="I30" i="1" s="1"/>
  <c r="J27" i="1" s="1"/>
  <c r="J30" i="1" s="1"/>
  <c r="K27" i="1" s="1"/>
  <c r="K30" i="1" s="1"/>
  <c r="L27" i="1" s="1"/>
  <c r="L30" i="1" s="1"/>
  <c r="M27" i="1" s="1"/>
  <c r="M30" i="1" s="1"/>
  <c r="C34" i="1" s="1"/>
  <c r="E29" i="1" l="1"/>
  <c r="E31" i="1" s="1"/>
  <c r="F29" i="1"/>
  <c r="F31" i="1" s="1"/>
  <c r="G29" i="1"/>
  <c r="G31" i="1" s="1"/>
  <c r="H29" i="1"/>
  <c r="H31" i="1" s="1"/>
  <c r="I29" i="1"/>
  <c r="I31" i="1" s="1"/>
  <c r="J29" i="1"/>
  <c r="J31" i="1" s="1"/>
  <c r="K29" i="1"/>
  <c r="K31" i="1" s="1"/>
  <c r="L29" i="1"/>
  <c r="L31" i="1" s="1"/>
  <c r="M29" i="1"/>
  <c r="M31" i="1" s="1"/>
  <c r="E73" i="1"/>
  <c r="D73" i="1"/>
  <c r="C73" i="1"/>
  <c r="E74" i="1"/>
  <c r="D74" i="1"/>
  <c r="C74" i="1"/>
  <c r="E75" i="1"/>
  <c r="D75" i="1"/>
  <c r="C75" i="1"/>
  <c r="E76" i="1"/>
  <c r="D76" i="1"/>
  <c r="C76" i="1"/>
  <c r="C33" i="1" l="1"/>
  <c r="C35" i="1" s="1"/>
</calcChain>
</file>

<file path=xl/sharedStrings.xml><?xml version="1.0" encoding="utf-8"?>
<sst xmlns="http://schemas.openxmlformats.org/spreadsheetml/2006/main" count="77" uniqueCount="75">
  <si>
    <t>ADANI ENTERPRISES LTD - Alternate Valuation Model</t>
  </si>
  <si>
    <t>Used where the FCFF DCF is not meaningful. Blue = editable input. All other cells are formulas.</t>
  </si>
  <si>
    <t>MARKET DATA &amp; LATEST FY</t>
  </si>
  <si>
    <t>Current price (Rs)</t>
  </si>
  <si>
    <t>Shares outstanding (Cr)</t>
  </si>
  <si>
    <t>Market cap (Rs Cr)</t>
  </si>
  <si>
    <t>Net worth (Rs Cr)</t>
  </si>
  <si>
    <t>Book value per share (Rs)</t>
  </si>
  <si>
    <t>Net profit (Rs Cr)</t>
  </si>
  <si>
    <t>EPS (Rs)</t>
  </si>
  <si>
    <t>Return on equity</t>
  </si>
  <si>
    <t>Dividend payout</t>
  </si>
  <si>
    <t>Current P/B</t>
  </si>
  <si>
    <t>Current P/E</t>
  </si>
  <si>
    <t>ASSUMPTIONS</t>
  </si>
  <si>
    <t>Risk-free rate</t>
  </si>
  <si>
    <t>Equity risk premium</t>
  </si>
  <si>
    <t>Beta</t>
  </si>
  <si>
    <t>Cost of equity</t>
  </si>
  <si>
    <t>Terminal growth</t>
  </si>
  <si>
    <t>Long-run ROE (fade target)</t>
  </si>
  <si>
    <t>Default = cost of equity (no excess return in perpetuity). Raise it to credit a franchise.</t>
  </si>
  <si>
    <t>METHOD 1 - RESIDUAL INCOME (primary for banks / NBFCs)</t>
  </si>
  <si>
    <t>Residual income schedule</t>
  </si>
  <si>
    <t>Year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</si>
  <si>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</si>
  <si>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</si>
  <si>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</si>
  <si>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</si>
  <si>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</si>
  <si>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</si>
  <si>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</si>
  <si>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</si>
  <si>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</si>
  <si>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</si>
  <si>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Opening book value / share</t>
  </si>
  <si>
    <t>ROE</t>
  </si>
  <si>
    <t>Residual income / share</t>
  </si>
  <si>
    <t>Closing book value / share</t>
  </si>
  <si>
    <t>PV of residual income</t>
  </si>
  <si>
    <t>Sum of PV of residual income (Rs/share)</t>
  </si>
  <si>
    <t>PV of terminal residual income (Rs/share)</t>
  </si>
  <si>
    <t>Residual-income value per share (Rs)</t>
  </si>
  <si>
    <t>Justified P/B at long-run ROE</t>
  </si>
  <si>
    <t>Market-implied ROE (justified P/B = current P/B)</t>
  </si>
  <si>
    <t>METHOD 2 - RELATIVE VALUATION (peer multiples from Screener)</t>
  </si>
  <si>
    <t>Peer median P/E</t>
  </si>
  <si>
    <t>P/E value per share (Rs)</t>
  </si>
  <si>
    <t>E col: positive values only, used in peer median</t>
  </si>
  <si>
    <t>Target P/B (editable; default = justified P/B)</t>
  </si>
  <si>
    <t>P/B value per share (Rs)</t>
  </si>
  <si>
    <t>Peer median EV/EBITDA</t>
  </si>
  <si>
    <t>EBITDA (Rs Cr)</t>
  </si>
  <si>
    <t>Borrowings (Rs Cr)</t>
  </si>
  <si>
    <t>Investments (Rs Cr, treated as cash-like at 90%)</t>
  </si>
  <si>
    <t>EV/EBITDA value per share (Rs)</t>
  </si>
  <si>
    <t>METHOD 3 - SUM OF THE PARTS (fill in segments; blank by default)</t>
  </si>
  <si>
    <t>Segment</t>
  </si>
  <si>
    <t>EV/EBITDA (x)</t>
  </si>
  <si>
    <t>EV (Rs Cr)</t>
  </si>
  <si>
    <t>Sum of segment EV (Rs Cr)</t>
  </si>
  <si>
    <t>SOTP value per share (Rs)</t>
  </si>
  <si>
    <t>RESULT</t>
  </si>
  <si>
    <t>Method override (blank = auto)</t>
  </si>
  <si>
    <t>Type: Residual Income / EV-EBITDA / P-E / SOTP</t>
  </si>
  <si>
    <t>Company type</t>
  </si>
  <si>
    <t>Corporate / Conglomerate</t>
  </si>
  <si>
    <t>Active method</t>
  </si>
  <si>
    <t>Intrinsic value per share (Rs)</t>
  </si>
  <si>
    <t>Upside / (downside)</t>
  </si>
  <si>
    <t>Verdict</t>
  </si>
  <si>
    <t>Confidence</t>
  </si>
  <si>
    <t>SENSITIVITY - justified P/B x BVPS (Rs/share)</t>
  </si>
  <si>
    <t>Long-run ROE  \  Cost of equity</t>
  </si>
  <si>
    <t>Note: grid shows steady-state justified P/B; the headline value uses the full 10-year fade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</si>
</sst>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&quot;x&quot;"/>
    <numFmt numFmtId="166" formatCode="0.0&quot;x&quot;"/>
    <numFmt numFmtId="167" formatCode="#,##0.0"/>
  </numFmts>
  <fonts count="5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color rgb="FF0000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4" fontId="3" fillId="0" borderId="0" xfId="0" applyNumberFormat="1" applyFont="1"/>
    <xf numFmtId="3" fontId="0" fillId="0" borderId="0" xfId="0" applyNumberFormat="1"/>
    <xf numFmtId="3" fontId="3" fillId="0" borderId="0" xfId="0" applyNumberFormat="1" applyFont="1"/>
    <xf numFmtId="4" fontId="0" fillId="0" borderId="0" xfId="0" applyNumberFormat="1"/>
    <xf numFmtId="164" fontId="0" fillId="0" borderId="0" xfId="0" applyNumberFormat="1"/>
    <xf numFmtId="9" fontId="3" fillId="0" borderId="0" xfId="0" applyNumberFormat="1" applyFont="1"/>
    <xf numFmtId="165" fontId="0" fillId="0" borderId="0" xfId="0" applyNumberFormat="1"/>
    <xf numFmtId="166" fontId="0" fillId="0" borderId="0" xfId="0" applyNumberFormat="1"/>
    <xf numFmtId="164" fontId="3" fillId="0" borderId="0" xfId="0" applyNumberFormat="1" applyFont="1"/>
    <xf numFmtId="2" fontId="3" fillId="0" borderId="0" xfId="0" applyNumberFormat="1" applyFont="1"/>
    <xf numFmtId="0" fontId="4" fillId="2" borderId="0" xfId="0" applyFont="1" applyFill="1"/>
    <xf numFmtId="167" fontId="0" fillId="0" borderId="0" xfId="0" applyNumberFormat="1"/>
    <xf numFmtId="4" fontId="2" fillId="0" borderId="0" xfId="0" applyNumberFormat="1" applyFont="1"/>
    <xf numFmtId="166" fontId="3" fillId="0" borderId="0" xfId="0" applyNumberFormat="1" applyFont="1"/>
    <xf numFmtId="165" fontId="3" fillId="0" borderId="0" xfId="0" applyNumberFormat="1" applyFont="1"/>
    <xf numFmtId="0" fontId="3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78"/>
  <sheetViews>
    <sheetView showGridLines="0" tabSelected="1" workbookViewId="0"/>
  </sheetViews>
  <sheetFormatPr defaultRowHeight="14.4"/>
  <cols>
    <col min="1" max="1" width="3" customWidth="1"/>
    <col min="2" max="2" width="52" customWidth="1"/>
    <col min="3" max="13" width="15" customWidth="1"/>
  </cols>
  <sheetData>
    <row r="1" spans="2:3" ht="18">
      <c r="B1" s="1" t="s">
        <v>0</v>
      </c>
    </row>
    <row r="2" spans="2:3">
      <c r="B2" t="s">
        <v>1</v>
      </c>
    </row>
    <row r="4" spans="2:3">
      <c r="B4" s="2" t="s">
        <v>2</v>
      </c>
    </row>
    <row r="5" spans="2:3">
      <c r="B5" t="s">
        <v>3</v>
      </c>
      <c r="C5" s="3">
        <v>2634</v>
      </c>
    </row>
    <row r="6" spans="2:3">
      <c r="B6" t="s">
        <v>4</v>
      </c>
      <c r="C6" s="3">
        <v>129</v>
      </c>
    </row>
    <row r="7" spans="2:3">
      <c r="B7" t="s">
        <v>5</v>
      </c>
      <c r="C7" s="4">
        <f>C5*C6</f>
        <v>339786</v>
      </c>
    </row>
    <row r="8" spans="2:3">
      <c r="B8" t="s">
        <v>6</v>
      </c>
      <c r="C8" s="5">
        <v>80926</v>
      </c>
    </row>
    <row r="9" spans="2:3">
      <c r="B9" t="s">
        <v>7</v>
      </c>
      <c r="C9" s="6">
        <f>C8/C6</f>
        <v>627.33333333333337</v>
      </c>
    </row>
    <row r="10" spans="2:3">
      <c r="B10" t="s">
        <v>8</v>
      </c>
      <c r="C10" s="5">
        <v>9951</v>
      </c>
    </row>
    <row r="11" spans="2:3">
      <c r="B11" t="s">
        <v>9</v>
      </c>
      <c r="C11" s="6">
        <f>C10/C6</f>
        <v>77.139534883720927</v>
      </c>
    </row>
    <row r="12" spans="2:3">
      <c r="B12" t="s">
        <v>10</v>
      </c>
      <c r="C12" s="7">
        <f>C10/C8</f>
        <v>0.12296418950646269</v>
      </c>
    </row>
    <row r="13" spans="2:3">
      <c r="B13" t="s">
        <v>11</v>
      </c>
      <c r="C13" s="8">
        <v>0.02</v>
      </c>
    </row>
    <row r="14" spans="2:3">
      <c r="B14" t="s">
        <v>12</v>
      </c>
      <c r="C14" s="9">
        <f>C5/C9</f>
        <v>4.1987247608926674</v>
      </c>
    </row>
    <row r="15" spans="2:3">
      <c r="B15" t="s">
        <v>13</v>
      </c>
      <c r="C15" s="10">
        <f>IFERROR(C5/C11,"n/a")</f>
        <v>34.145914983418756</v>
      </c>
    </row>
    <row r="17" spans="2:13">
      <c r="B17" s="2" t="s">
        <v>14</v>
      </c>
    </row>
    <row r="18" spans="2:13">
      <c r="B18" t="s">
        <v>15</v>
      </c>
      <c r="C18" s="11">
        <v>7.0000000000000007E-2</v>
      </c>
    </row>
    <row r="19" spans="2:13">
      <c r="B19" t="s">
        <v>16</v>
      </c>
      <c r="C19" s="11">
        <v>5.5E-2</v>
      </c>
    </row>
    <row r="20" spans="2:13">
      <c r="B20" t="s">
        <v>17</v>
      </c>
      <c r="C20" s="12">
        <v>1</v>
      </c>
    </row>
    <row r="21" spans="2:13">
      <c r="B21" t="s">
        <v>18</v>
      </c>
      <c r="C21" s="7">
        <f>C18+C20*C19</f>
        <v>0.125</v>
      </c>
    </row>
    <row r="22" spans="2:13">
      <c r="B22" t="s">
        <v>19</v>
      </c>
      <c r="C22" s="11">
        <v>0.06</v>
      </c>
    </row>
    <row r="23" spans="2:13">
      <c r="B23" t="s">
        <v>20</v>
      </c>
      <c r="C23" s="7">
        <f>C21</f>
        <v>0.125</v>
      </c>
      <c r="D23" t="s">
        <v>21</v>
      </c>
    </row>
    <row r="25" spans="2:13">
      <c r="B25" s="2" t="s">
        <v>22</v>
      </c>
    </row>
    <row r="26" spans="2:13">
      <c r="B26" s="13" t="s">
        <v>23</v>
      </c>
      <c r="C26" s="13" t="s">
        <v>24</v>
      </c>
      <c r="D26" s="13" t="s">
        <v>25</v>
      </c>
      <c r="E26" s="13" t="s">
        <v>26</v>
      </c>
      <c r="F26" s="13" t="s">
        <v>27</v>
      </c>
      <c r="G26" s="13" t="s">
        <v>28</v>
      </c>
      <c r="H26" s="13" t="s">
        <v>29</v>
      </c>
      <c r="I26" s="13" t="s">
        <v>30</v>
      </c>
      <c r="J26" s="13" t="s">
        <v>31</v>
      </c>
      <c r="K26" s="13" t="s">
        <v>32</v>
      </c>
      <c r="L26" s="13" t="s">
        <v>33</v>
      </c>
      <c r="M26" s="13" t="s">
        <v>34</v>
      </c>
    </row>
    <row r="27" spans="2:13">
      <c r="B27" t="s">
        <v>35</v>
      </c>
      <c r="D27" s="14">
        <f>C9</f>
        <v>627.33333333333337</v>
      </c>
      <c r="E27" s="14">
        <f t="shared" ref="E27:M27" si="0">D30</f>
        <v>702.93007751937989</v>
      </c>
      <c r="F27" s="14">
        <f t="shared" si="0"/>
        <v>787.79242376708066</v>
      </c>
      <c r="G27" s="14">
        <f t="shared" si="0"/>
        <v>883.0745466641464</v>
      </c>
      <c r="H27" s="14">
        <f t="shared" si="0"/>
        <v>990.0766339771036</v>
      </c>
      <c r="I27" s="14">
        <f t="shared" si="0"/>
        <v>1110.2636348432768</v>
      </c>
      <c r="J27" s="14">
        <f t="shared" si="0"/>
        <v>1245.2864498310278</v>
      </c>
      <c r="K27" s="14">
        <f t="shared" si="0"/>
        <v>1397.005885309467</v>
      </c>
      <c r="L27" s="14">
        <f t="shared" si="0"/>
        <v>1567.5197377140923</v>
      </c>
      <c r="M27" s="14">
        <f t="shared" si="0"/>
        <v>1759.1934222875966</v>
      </c>
    </row>
    <row r="28" spans="2:13">
      <c r="B28" t="s">
        <v>36</v>
      </c>
      <c r="D28" s="7">
        <f>$C$12+($C$23-$C$12)*(1-1)/9</f>
        <v>0.12296418950646269</v>
      </c>
      <c r="E28" s="7">
        <f>$C$12+($C$23-$C$12)*(2-1)/9</f>
        <v>0.12319039067241128</v>
      </c>
      <c r="F28" s="7">
        <f>$C$12+($C$23-$C$12)*(3-1)/9</f>
        <v>0.12341659183835987</v>
      </c>
      <c r="G28" s="7">
        <f>$C$12+($C$23-$C$12)*(4-1)/9</f>
        <v>0.12364279300430846</v>
      </c>
      <c r="H28" s="7">
        <f>$C$12+($C$23-$C$12)*(5-1)/9</f>
        <v>0.12386899417025705</v>
      </c>
      <c r="I28" s="7">
        <f>$C$12+($C$23-$C$12)*(6-1)/9</f>
        <v>0.12409519533620564</v>
      </c>
      <c r="J28" s="7">
        <f>$C$12+($C$23-$C$12)*(7-1)/9</f>
        <v>0.12432139650215424</v>
      </c>
      <c r="K28" s="7">
        <f>$C$12+($C$23-$C$12)*(8-1)/9</f>
        <v>0.12454759766810282</v>
      </c>
      <c r="L28" s="7">
        <f>$C$12+($C$23-$C$12)*(9-1)/9</f>
        <v>0.12477379883405142</v>
      </c>
      <c r="M28" s="7">
        <f>$C$12+($C$23-$C$12)*(10-1)/9</f>
        <v>0.125</v>
      </c>
    </row>
    <row r="29" spans="2:13">
      <c r="B29" t="s">
        <v>37</v>
      </c>
      <c r="D29" s="14">
        <f t="shared" ref="D29:M29" si="1">(D28-$C$21)*D27</f>
        <v>-1.2771317829457376</v>
      </c>
      <c r="E29" s="14">
        <f t="shared" si="1"/>
        <v>-1.2720288249217344</v>
      </c>
      <c r="F29" s="14">
        <f t="shared" si="1"/>
        <v>-1.2473969534710525</v>
      </c>
      <c r="G29" s="14">
        <f t="shared" si="1"/>
        <v>-1.1985149524497172</v>
      </c>
      <c r="H29" s="14">
        <f t="shared" si="1"/>
        <v>-1.1197824449203766</v>
      </c>
      <c r="I29" s="14">
        <f t="shared" si="1"/>
        <v>-1.0045717148474773</v>
      </c>
      <c r="J29" s="14">
        <f t="shared" si="1"/>
        <v>-0.84505574067526956</v>
      </c>
      <c r="K29" s="14">
        <f t="shared" si="1"/>
        <v>-0.63200872018808851</v>
      </c>
      <c r="L29" s="14">
        <f t="shared" si="1"/>
        <v>-0.35457479231834554</v>
      </c>
      <c r="M29" s="14">
        <f t="shared" si="1"/>
        <v>0</v>
      </c>
    </row>
    <row r="30" spans="2:13">
      <c r="B30" t="s">
        <v>38</v>
      </c>
      <c r="D30" s="14">
        <f t="shared" ref="D30:M30" si="2">D27+D28*D27*(1-$C$13)</f>
        <v>702.93007751937989</v>
      </c>
      <c r="E30" s="14">
        <f t="shared" si="2"/>
        <v>787.79242376708066</v>
      </c>
      <c r="F30" s="14">
        <f t="shared" si="2"/>
        <v>883.0745466641464</v>
      </c>
      <c r="G30" s="14">
        <f t="shared" si="2"/>
        <v>990.0766339771036</v>
      </c>
      <c r="H30" s="14">
        <f t="shared" si="2"/>
        <v>1110.2636348432768</v>
      </c>
      <c r="I30" s="14">
        <f t="shared" si="2"/>
        <v>1245.2864498310278</v>
      </c>
      <c r="J30" s="14">
        <f t="shared" si="2"/>
        <v>1397.005885309467</v>
      </c>
      <c r="K30" s="14">
        <f t="shared" si="2"/>
        <v>1567.5197377140923</v>
      </c>
      <c r="L30" s="14">
        <f t="shared" si="2"/>
        <v>1759.1934222875966</v>
      </c>
      <c r="M30" s="14">
        <f t="shared" si="2"/>
        <v>1974.6946165178272</v>
      </c>
    </row>
    <row r="31" spans="2:13">
      <c r="B31" t="s">
        <v>39</v>
      </c>
      <c r="D31" s="14">
        <f>D29/(1+$C$21)^1</f>
        <v>-1.1352282515073222</v>
      </c>
      <c r="E31" s="14">
        <f>E29/(1+$C$21)^2</f>
        <v>-1.0050598122838394</v>
      </c>
      <c r="F31" s="14">
        <f>F29/(1+$C$21)^3</f>
        <v>-0.87608674921423713</v>
      </c>
      <c r="G31" s="14">
        <f>G29/(1+$C$21)^4</f>
        <v>-0.74822698448926106</v>
      </c>
      <c r="H31" s="14">
        <f>H29/(1+$C$21)^5</f>
        <v>-0.62139970456994864</v>
      </c>
      <c r="I31" s="14">
        <f>I29/(1+$C$21)^6</f>
        <v>-0.49552527489782888</v>
      </c>
      <c r="J31" s="14">
        <f>J29/(1+$C$21)^7</f>
        <v>-0.37052515637643124</v>
      </c>
      <c r="K31" s="14">
        <f>K29/(1+$C$21)^8</f>
        <v>-0.2463218235014723</v>
      </c>
      <c r="L31" s="14">
        <f>L29/(1+$C$21)^9</f>
        <v>-0.12283868401972976</v>
      </c>
      <c r="M31" s="14">
        <f>M29/(1+$C$21)^10</f>
        <v>0</v>
      </c>
    </row>
    <row r="33" spans="2:5">
      <c r="B33" t="s">
        <v>40</v>
      </c>
      <c r="C33" s="14">
        <f>SUM(D31:M31)</f>
        <v>-5.621212440860071</v>
      </c>
    </row>
    <row r="34" spans="2:5">
      <c r="B34" t="s">
        <v>41</v>
      </c>
      <c r="C34" s="14">
        <f>(($C$23-$C$21)*M30)*(1+$C$22)/($C$21-$C$22)/(1+$C$21)^10</f>
        <v>0</v>
      </c>
    </row>
    <row r="35" spans="2:5">
      <c r="B35" t="s">
        <v>42</v>
      </c>
      <c r="C35" s="15">
        <f>C9+C33+C34</f>
        <v>621.71212089247331</v>
      </c>
    </row>
    <row r="36" spans="2:5">
      <c r="B36" t="s">
        <v>43</v>
      </c>
      <c r="C36" s="9">
        <f>(C23-C22)/(C21-C22)</f>
        <v>1</v>
      </c>
    </row>
    <row r="37" spans="2:5">
      <c r="B37" t="s">
        <v>44</v>
      </c>
      <c r="C37" s="7">
        <f>C22+C14*(C21-C22)</f>
        <v>0.33291710945802339</v>
      </c>
    </row>
    <row r="39" spans="2:5">
      <c r="B39" s="2" t="s">
        <v>45</v>
      </c>
    </row>
    <row r="40" spans="2:5">
      <c r="B40" t="s">
        <v>46</v>
      </c>
      <c r="C40" s="16">
        <v>15.96</v>
      </c>
    </row>
    <row r="41" spans="2:5">
      <c r="B41" t="s">
        <v>47</v>
      </c>
      <c r="C41" s="6">
        <f>IFERROR(C40*C11,"n/a")</f>
        <v>1231.1469767441861</v>
      </c>
      <c r="D41" t="s">
        <v>48</v>
      </c>
      <c r="E41">
        <f>IF(AND(ISNUMBER(C41),C41&gt;0),C41,"")</f>
        <v>1231.1469767441861</v>
      </c>
    </row>
    <row r="42" spans="2:5">
      <c r="B42" t="s">
        <v>49</v>
      </c>
      <c r="C42" s="17">
        <f>C36</f>
        <v>1</v>
      </c>
    </row>
    <row r="43" spans="2:5">
      <c r="B43" t="s">
        <v>50</v>
      </c>
      <c r="C43" s="6">
        <f>C42*C9</f>
        <v>627.33333333333337</v>
      </c>
    </row>
    <row r="44" spans="2:5">
      <c r="B44" t="s">
        <v>51</v>
      </c>
      <c r="C44" s="16">
        <v>9.3149999999999995</v>
      </c>
    </row>
    <row r="45" spans="2:5">
      <c r="B45" t="s">
        <v>52</v>
      </c>
      <c r="C45" s="5">
        <v>13991</v>
      </c>
    </row>
    <row r="46" spans="2:5">
      <c r="B46" t="s">
        <v>53</v>
      </c>
      <c r="C46" s="5">
        <v>106622</v>
      </c>
    </row>
    <row r="47" spans="2:5">
      <c r="B47" t="s">
        <v>54</v>
      </c>
      <c r="C47" s="5">
        <v>9428</v>
      </c>
    </row>
    <row r="48" spans="2:5">
      <c r="B48" t="s">
        <v>55</v>
      </c>
      <c r="C48" s="6">
        <f>IFERROR((C44*C45-C46+0.9*C47)/C6,"n/a")</f>
        <v>249.52996124031003</v>
      </c>
      <c r="E48">
        <f>IF(AND(ISNUMBER(C48),C48&gt;0),C48,"")</f>
        <v>249.52996124031003</v>
      </c>
    </row>
    <row r="50" spans="2:5">
      <c r="B50" s="2" t="s">
        <v>56</v>
      </c>
    </row>
    <row r="51" spans="2:5">
      <c r="B51" s="13" t="s">
        <v>57</v>
      </c>
      <c r="C51" s="13" t="s">
        <v>52</v>
      </c>
      <c r="D51" s="13" t="s">
        <v>58</v>
      </c>
      <c r="E51" s="13" t="s">
        <v>59</v>
      </c>
    </row>
    <row r="52" spans="2:5">
      <c r="C52" s="18"/>
      <c r="D52" s="18"/>
      <c r="E52" s="4">
        <f t="shared" ref="E52:E57" si="3">IF(AND(ISNUMBER(C52),ISNUMBER(D52)),C52*D52,0)</f>
        <v>0</v>
      </c>
    </row>
    <row r="53" spans="2:5">
      <c r="C53" s="18"/>
      <c r="D53" s="18"/>
      <c r="E53" s="4">
        <f t="shared" si="3"/>
        <v>0</v>
      </c>
    </row>
    <row r="54" spans="2:5">
      <c r="C54" s="18"/>
      <c r="D54" s="18"/>
      <c r="E54" s="4">
        <f t="shared" si="3"/>
        <v>0</v>
      </c>
    </row>
    <row r="55" spans="2:5">
      <c r="C55" s="18"/>
      <c r="D55" s="18"/>
      <c r="E55" s="4">
        <f t="shared" si="3"/>
        <v>0</v>
      </c>
    </row>
    <row r="56" spans="2:5">
      <c r="C56" s="18"/>
      <c r="D56" s="18"/>
      <c r="E56" s="4">
        <f t="shared" si="3"/>
        <v>0</v>
      </c>
    </row>
    <row r="57" spans="2:5">
      <c r="C57" s="18"/>
      <c r="D57" s="18"/>
      <c r="E57" s="4">
        <f t="shared" si="3"/>
        <v>0</v>
      </c>
    </row>
    <row r="58" spans="2:5">
      <c r="B58" t="s">
        <v>60</v>
      </c>
      <c r="C58" s="4">
        <f>SUM(E52:E57)</f>
        <v>0</v>
      </c>
    </row>
    <row r="59" spans="2:5">
      <c r="B59" t="s">
        <v>61</v>
      </c>
      <c r="C59" s="6" t="str">
        <f>IF(C58&gt;0,(C58-C46+0.9*C47)/C6,"n/a")</f>
        <v>n/a</v>
      </c>
    </row>
    <row r="61" spans="2:5">
      <c r="B61" s="2" t="s">
        <v>62</v>
      </c>
    </row>
    <row r="62" spans="2:5">
      <c r="B62" t="s">
        <v>63</v>
      </c>
      <c r="C62" s="18"/>
      <c r="D62" t="s">
        <v>64</v>
      </c>
    </row>
    <row r="63" spans="2:5">
      <c r="B63" t="s">
        <v>65</v>
      </c>
      <c r="C63" t="s">
        <v>66</v>
      </c>
    </row>
    <row r="64" spans="2:5">
      <c r="B64" t="s">
        <v>67</v>
      </c>
      <c r="C64" t="str">
        <f>IF(C62&lt;&gt;"",C62,IF(C63="Financial (Bank / NBFC)","Residual Income",IF(ISNUMBER(C59),"SOTP","Peer median (EV/EBITDA, P/E)")))</f>
        <v>Peer median (EV/EBITDA, P/E)</v>
      </c>
    </row>
    <row r="65" spans="2:5">
      <c r="B65" t="s">
        <v>68</v>
      </c>
      <c r="C65" s="15">
        <f>IF(C64="Residual Income",C35,IF(C64="EV/EBITDA",C48,IF(C64="P/E",C41,IF(C64="SOTP",C59,IFERROR(MEDIAN(E41,E48),C43)))))</f>
        <v>740.33846899224807</v>
      </c>
    </row>
    <row r="66" spans="2:5">
      <c r="B66" t="s">
        <v>3</v>
      </c>
      <c r="C66" s="6">
        <f>C5</f>
        <v>2634</v>
      </c>
    </row>
    <row r="67" spans="2:5">
      <c r="B67" t="s">
        <v>69</v>
      </c>
      <c r="C67" s="7">
        <f>C65/C66-1</f>
        <v>-0.71892996621402883</v>
      </c>
    </row>
    <row r="68" spans="2:5">
      <c r="B68" t="s">
        <v>70</v>
      </c>
      <c r="C68" t="str">
        <f>IF(C67&gt;0.15,"UNDERVALUED",IF(C67&lt;-0.15,"OVERVALUED","FAIRLY VALUED"))</f>
        <v>OVERVALUED</v>
      </c>
    </row>
    <row r="69" spans="2:5">
      <c r="B69" t="s">
        <v>71</v>
      </c>
      <c r="C69" t="str">
        <f>IF(C63="Financial (Bank / NBFC)","Medium - model-driven; sensitive to long-run ROE","Low-Medium - relative; add SOTP segments to improve")</f>
        <v>Low-Medium - relative; add SOTP segments to improve</v>
      </c>
    </row>
    <row r="71" spans="2:5">
      <c r="B71" s="2" t="s">
        <v>72</v>
      </c>
    </row>
    <row r="72" spans="2:5">
      <c r="B72" t="s">
        <v>73</v>
      </c>
      <c r="C72" s="19">
        <f>$C$21+(-0.01)</f>
        <v>0.115</v>
      </c>
      <c r="D72" s="19">
        <f>$C$21+(0)</f>
        <v>0.125</v>
      </c>
      <c r="E72" s="19">
        <f>$C$21+(0.01)</f>
        <v>0.13500000000000001</v>
      </c>
    </row>
    <row r="73" spans="2:5">
      <c r="B73" s="19">
        <f>$C$23+(-0.02)</f>
        <v>0.105</v>
      </c>
      <c r="C73" s="4">
        <f t="shared" ref="C73:E76" si="4">$C$9*($B73-$C$22)/(C$72-$C$22)</f>
        <v>513.27272727272725</v>
      </c>
      <c r="D73" s="4">
        <f t="shared" si="4"/>
        <v>434.30769230769232</v>
      </c>
      <c r="E73" s="4">
        <f t="shared" si="4"/>
        <v>376.4</v>
      </c>
    </row>
    <row r="74" spans="2:5">
      <c r="B74" s="19">
        <f>$C$23+(0)</f>
        <v>0.125</v>
      </c>
      <c r="C74" s="4">
        <f t="shared" si="4"/>
        <v>741.39393939393938</v>
      </c>
      <c r="D74" s="4">
        <f t="shared" si="4"/>
        <v>627.33333333333337</v>
      </c>
      <c r="E74" s="4">
        <f t="shared" si="4"/>
        <v>543.68888888888887</v>
      </c>
    </row>
    <row r="75" spans="2:5">
      <c r="B75" s="19">
        <f>$C$23+(0.03)</f>
        <v>0.155</v>
      </c>
      <c r="C75" s="4">
        <f t="shared" si="4"/>
        <v>1083.5757575757575</v>
      </c>
      <c r="D75" s="4">
        <f t="shared" si="4"/>
        <v>916.87179487179492</v>
      </c>
      <c r="E75" s="4">
        <f t="shared" si="4"/>
        <v>794.62222222222215</v>
      </c>
    </row>
    <row r="76" spans="2:5">
      <c r="B76" s="19">
        <f>$C$23+(0.06)</f>
        <v>0.185</v>
      </c>
      <c r="C76" s="4">
        <f t="shared" si="4"/>
        <v>1425.7575757575758</v>
      </c>
      <c r="D76" s="4">
        <f t="shared" si="4"/>
        <v>1206.4102564102564</v>
      </c>
      <c r="E76" s="4">
        <f t="shared" si="4"/>
        <v>1045.5555555555554</v>
      </c>
    </row>
    <row r="78" spans="2:5">
      <c r="B78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Loveish</cp:lastModifiedBy>
  <dcterms:created xsi:type="dcterms:W3CDTF">2026-10-10T20:06:09Z</dcterms:created>
  <dcterms:modified xsi:type="dcterms:W3CDTF">2026-10-10T20:06:17Z</dcterms:modified>
</cp:coreProperties>
</file>